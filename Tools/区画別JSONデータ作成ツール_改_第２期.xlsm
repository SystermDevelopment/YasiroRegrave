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igashijima\JIMA\project\YASHIRO\YasiroRegrave\Tools\"/>
    </mc:Choice>
  </mc:AlternateContent>
  <xr:revisionPtr revIDLastSave="0" documentId="13_ncr:1_{5B7E1658-C98E-491F-AB9D-E2D585941484}" xr6:coauthVersionLast="47" xr6:coauthVersionMax="47" xr10:uidLastSave="{00000000-0000-0000-0000-000000000000}"/>
  <bookViews>
    <workbookView xWindow="-120" yWindow="-120" windowWidth="29040" windowHeight="15720" tabRatio="793" activeTab="1" xr2:uid="{00000000-000D-0000-FFFF-FFFF00000000}"/>
  </bookViews>
  <sheets>
    <sheet name="11" sheetId="38" r:id="rId1"/>
    <sheet name="12" sheetId="39" r:id="rId2"/>
  </sheets>
  <definedNames>
    <definedName name="_xlnm._FilterDatabase" localSheetId="0" hidden="1">'11'!$A$10:$AB$172</definedName>
    <definedName name="_xlnm._FilterDatabase" localSheetId="1" hidden="1">'12'!$A$10:$AB$172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172" i="39" l="1"/>
  <c r="T172" i="39"/>
  <c r="S172" i="39"/>
  <c r="P172" i="39"/>
  <c r="Z172" i="39" s="1"/>
  <c r="O172" i="39"/>
  <c r="Q172" i="39" s="1"/>
  <c r="N172" i="39"/>
  <c r="L172" i="39"/>
  <c r="V172" i="39" s="1"/>
  <c r="K172" i="39"/>
  <c r="J172" i="39"/>
  <c r="I172" i="39"/>
  <c r="S171" i="39"/>
  <c r="Q171" i="39"/>
  <c r="O171" i="39"/>
  <c r="N171" i="39"/>
  <c r="X171" i="39" s="1"/>
  <c r="M171" i="39"/>
  <c r="L171" i="39"/>
  <c r="V171" i="39" s="1"/>
  <c r="K171" i="39"/>
  <c r="J171" i="39"/>
  <c r="I171" i="39"/>
  <c r="X170" i="39"/>
  <c r="T170" i="39"/>
  <c r="S170" i="39"/>
  <c r="P170" i="39"/>
  <c r="Z170" i="39" s="1"/>
  <c r="O170" i="39"/>
  <c r="Q170" i="39" s="1"/>
  <c r="N170" i="39"/>
  <c r="L170" i="39"/>
  <c r="V170" i="39" s="1"/>
  <c r="K170" i="39"/>
  <c r="J170" i="39"/>
  <c r="I170" i="39"/>
  <c r="S169" i="39"/>
  <c r="Q169" i="39"/>
  <c r="O169" i="39"/>
  <c r="N169" i="39"/>
  <c r="X169" i="39" s="1"/>
  <c r="M169" i="39"/>
  <c r="L169" i="39"/>
  <c r="V169" i="39" s="1"/>
  <c r="K169" i="39"/>
  <c r="J169" i="39"/>
  <c r="I169" i="39"/>
  <c r="X168" i="39"/>
  <c r="T168" i="39"/>
  <c r="S168" i="39"/>
  <c r="P168" i="39"/>
  <c r="Z168" i="39" s="1"/>
  <c r="O168" i="39"/>
  <c r="Q168" i="39" s="1"/>
  <c r="N168" i="39"/>
  <c r="L168" i="39"/>
  <c r="V168" i="39" s="1"/>
  <c r="K168" i="39"/>
  <c r="J168" i="39"/>
  <c r="I168" i="39"/>
  <c r="S167" i="39"/>
  <c r="Q167" i="39"/>
  <c r="O167" i="39"/>
  <c r="N167" i="39"/>
  <c r="X167" i="39" s="1"/>
  <c r="M167" i="39"/>
  <c r="L167" i="39"/>
  <c r="V167" i="39" s="1"/>
  <c r="K167" i="39"/>
  <c r="J167" i="39"/>
  <c r="I167" i="39"/>
  <c r="X166" i="39"/>
  <c r="T166" i="39"/>
  <c r="S166" i="39"/>
  <c r="P166" i="39"/>
  <c r="Z166" i="39" s="1"/>
  <c r="O166" i="39"/>
  <c r="Q166" i="39" s="1"/>
  <c r="N166" i="39"/>
  <c r="L166" i="39"/>
  <c r="V166" i="39" s="1"/>
  <c r="K166" i="39"/>
  <c r="J166" i="39"/>
  <c r="I166" i="39"/>
  <c r="S165" i="39"/>
  <c r="Q165" i="39"/>
  <c r="O165" i="39"/>
  <c r="N165" i="39"/>
  <c r="X165" i="39" s="1"/>
  <c r="M165" i="39"/>
  <c r="L165" i="39"/>
  <c r="V165" i="39" s="1"/>
  <c r="K165" i="39"/>
  <c r="J165" i="39"/>
  <c r="I165" i="39"/>
  <c r="X164" i="39"/>
  <c r="T164" i="39"/>
  <c r="S164" i="39"/>
  <c r="P164" i="39"/>
  <c r="Z164" i="39" s="1"/>
  <c r="O164" i="39"/>
  <c r="Q164" i="39" s="1"/>
  <c r="N164" i="39"/>
  <c r="L164" i="39"/>
  <c r="V164" i="39" s="1"/>
  <c r="K164" i="39"/>
  <c r="J164" i="39"/>
  <c r="I164" i="39"/>
  <c r="S163" i="39"/>
  <c r="Q163" i="39"/>
  <c r="O163" i="39"/>
  <c r="N163" i="39"/>
  <c r="X163" i="39" s="1"/>
  <c r="M163" i="39"/>
  <c r="L163" i="39"/>
  <c r="V163" i="39" s="1"/>
  <c r="K163" i="39"/>
  <c r="J163" i="39"/>
  <c r="I163" i="39"/>
  <c r="X162" i="39"/>
  <c r="T162" i="39"/>
  <c r="S162" i="39"/>
  <c r="P162" i="39"/>
  <c r="Z162" i="39" s="1"/>
  <c r="O162" i="39"/>
  <c r="Q162" i="39" s="1"/>
  <c r="N162" i="39"/>
  <c r="L162" i="39"/>
  <c r="V162" i="39" s="1"/>
  <c r="K162" i="39"/>
  <c r="J162" i="39"/>
  <c r="I162" i="39"/>
  <c r="S161" i="39"/>
  <c r="Q161" i="39"/>
  <c r="O161" i="39"/>
  <c r="N161" i="39"/>
  <c r="X161" i="39" s="1"/>
  <c r="M161" i="39"/>
  <c r="L161" i="39"/>
  <c r="V161" i="39" s="1"/>
  <c r="K161" i="39"/>
  <c r="J161" i="39"/>
  <c r="I161" i="39"/>
  <c r="X160" i="39"/>
  <c r="T160" i="39"/>
  <c r="S160" i="39"/>
  <c r="P160" i="39"/>
  <c r="Z160" i="39" s="1"/>
  <c r="O160" i="39"/>
  <c r="Q160" i="39" s="1"/>
  <c r="N160" i="39"/>
  <c r="L160" i="39"/>
  <c r="V160" i="39" s="1"/>
  <c r="K160" i="39"/>
  <c r="J160" i="39"/>
  <c r="I160" i="39"/>
  <c r="S159" i="39"/>
  <c r="Q159" i="39"/>
  <c r="O159" i="39"/>
  <c r="N159" i="39"/>
  <c r="X159" i="39" s="1"/>
  <c r="M159" i="39"/>
  <c r="L159" i="39"/>
  <c r="V159" i="39" s="1"/>
  <c r="K159" i="39"/>
  <c r="J159" i="39"/>
  <c r="I159" i="39"/>
  <c r="X158" i="39"/>
  <c r="T158" i="39"/>
  <c r="S158" i="39"/>
  <c r="P158" i="39"/>
  <c r="Z158" i="39" s="1"/>
  <c r="O158" i="39"/>
  <c r="Q158" i="39" s="1"/>
  <c r="N158" i="39"/>
  <c r="L158" i="39"/>
  <c r="V158" i="39" s="1"/>
  <c r="K158" i="39"/>
  <c r="J158" i="39"/>
  <c r="I158" i="39"/>
  <c r="S157" i="39"/>
  <c r="Q157" i="39"/>
  <c r="O157" i="39"/>
  <c r="N157" i="39"/>
  <c r="X157" i="39" s="1"/>
  <c r="M157" i="39"/>
  <c r="L157" i="39"/>
  <c r="V157" i="39" s="1"/>
  <c r="K157" i="39"/>
  <c r="J157" i="39"/>
  <c r="I157" i="39"/>
  <c r="X156" i="39"/>
  <c r="T156" i="39"/>
  <c r="S156" i="39"/>
  <c r="P156" i="39"/>
  <c r="Z156" i="39" s="1"/>
  <c r="O156" i="39"/>
  <c r="Q156" i="39" s="1"/>
  <c r="N156" i="39"/>
  <c r="L156" i="39"/>
  <c r="V156" i="39" s="1"/>
  <c r="K156" i="39"/>
  <c r="J156" i="39"/>
  <c r="I156" i="39"/>
  <c r="S155" i="39"/>
  <c r="Q155" i="39"/>
  <c r="O155" i="39"/>
  <c r="N155" i="39"/>
  <c r="X155" i="39" s="1"/>
  <c r="M155" i="39"/>
  <c r="L155" i="39"/>
  <c r="V155" i="39" s="1"/>
  <c r="K155" i="39"/>
  <c r="J155" i="39"/>
  <c r="I155" i="39"/>
  <c r="X154" i="39"/>
  <c r="T154" i="39"/>
  <c r="S154" i="39"/>
  <c r="P154" i="39"/>
  <c r="Z154" i="39" s="1"/>
  <c r="O154" i="39"/>
  <c r="Q154" i="39" s="1"/>
  <c r="N154" i="39"/>
  <c r="L154" i="39"/>
  <c r="V154" i="39" s="1"/>
  <c r="K154" i="39"/>
  <c r="J154" i="39"/>
  <c r="I154" i="39"/>
  <c r="S153" i="39"/>
  <c r="Q153" i="39"/>
  <c r="O153" i="39"/>
  <c r="N153" i="39"/>
  <c r="X153" i="39" s="1"/>
  <c r="M153" i="39"/>
  <c r="L153" i="39"/>
  <c r="V153" i="39" s="1"/>
  <c r="K153" i="39"/>
  <c r="J153" i="39"/>
  <c r="I153" i="39"/>
  <c r="X152" i="39"/>
  <c r="T152" i="39"/>
  <c r="S152" i="39"/>
  <c r="P152" i="39"/>
  <c r="Z152" i="39" s="1"/>
  <c r="O152" i="39"/>
  <c r="Q152" i="39" s="1"/>
  <c r="N152" i="39"/>
  <c r="L152" i="39"/>
  <c r="V152" i="39" s="1"/>
  <c r="K152" i="39"/>
  <c r="J152" i="39"/>
  <c r="I152" i="39"/>
  <c r="S151" i="39"/>
  <c r="Q151" i="39"/>
  <c r="O151" i="39"/>
  <c r="N151" i="39"/>
  <c r="X151" i="39" s="1"/>
  <c r="M151" i="39"/>
  <c r="L151" i="39"/>
  <c r="V151" i="39" s="1"/>
  <c r="K151" i="39"/>
  <c r="J151" i="39"/>
  <c r="I151" i="39"/>
  <c r="X150" i="39"/>
  <c r="T150" i="39"/>
  <c r="S150" i="39"/>
  <c r="P150" i="39"/>
  <c r="Z150" i="39" s="1"/>
  <c r="O150" i="39"/>
  <c r="Q150" i="39" s="1"/>
  <c r="N150" i="39"/>
  <c r="L150" i="39"/>
  <c r="V150" i="39" s="1"/>
  <c r="K150" i="39"/>
  <c r="J150" i="39"/>
  <c r="I150" i="39"/>
  <c r="S149" i="39"/>
  <c r="Q149" i="39"/>
  <c r="O149" i="39"/>
  <c r="N149" i="39"/>
  <c r="X149" i="39" s="1"/>
  <c r="M149" i="39"/>
  <c r="L149" i="39"/>
  <c r="V149" i="39" s="1"/>
  <c r="K149" i="39"/>
  <c r="J149" i="39"/>
  <c r="I149" i="39"/>
  <c r="X148" i="39"/>
  <c r="T148" i="39"/>
  <c r="S148" i="39"/>
  <c r="P148" i="39"/>
  <c r="Z148" i="39" s="1"/>
  <c r="O148" i="39"/>
  <c r="Q148" i="39" s="1"/>
  <c r="N148" i="39"/>
  <c r="L148" i="39"/>
  <c r="V148" i="39" s="1"/>
  <c r="K148" i="39"/>
  <c r="J148" i="39"/>
  <c r="I148" i="39"/>
  <c r="S147" i="39"/>
  <c r="Q147" i="39"/>
  <c r="O147" i="39"/>
  <c r="N147" i="39"/>
  <c r="X147" i="39" s="1"/>
  <c r="M147" i="39"/>
  <c r="L147" i="39"/>
  <c r="V147" i="39" s="1"/>
  <c r="K147" i="39"/>
  <c r="J147" i="39"/>
  <c r="I147" i="39"/>
  <c r="X146" i="39"/>
  <c r="T146" i="39"/>
  <c r="S146" i="39"/>
  <c r="P146" i="39"/>
  <c r="Z146" i="39" s="1"/>
  <c r="O146" i="39"/>
  <c r="Q146" i="39" s="1"/>
  <c r="N146" i="39"/>
  <c r="L146" i="39"/>
  <c r="V146" i="39" s="1"/>
  <c r="K146" i="39"/>
  <c r="J146" i="39"/>
  <c r="I146" i="39"/>
  <c r="S145" i="39"/>
  <c r="Q145" i="39"/>
  <c r="O145" i="39"/>
  <c r="N145" i="39"/>
  <c r="X145" i="39" s="1"/>
  <c r="M145" i="39"/>
  <c r="L145" i="39"/>
  <c r="V145" i="39" s="1"/>
  <c r="K145" i="39"/>
  <c r="J145" i="39"/>
  <c r="I145" i="39"/>
  <c r="X144" i="39"/>
  <c r="T144" i="39"/>
  <c r="S144" i="39"/>
  <c r="P144" i="39"/>
  <c r="Z144" i="39" s="1"/>
  <c r="O144" i="39"/>
  <c r="Q144" i="39" s="1"/>
  <c r="N144" i="39"/>
  <c r="L144" i="39"/>
  <c r="V144" i="39" s="1"/>
  <c r="K144" i="39"/>
  <c r="J144" i="39"/>
  <c r="I144" i="39"/>
  <c r="S143" i="39"/>
  <c r="Q143" i="39"/>
  <c r="O143" i="39"/>
  <c r="N143" i="39"/>
  <c r="X143" i="39" s="1"/>
  <c r="M143" i="39"/>
  <c r="L143" i="39"/>
  <c r="V143" i="39" s="1"/>
  <c r="K143" i="39"/>
  <c r="J143" i="39"/>
  <c r="I143" i="39"/>
  <c r="X142" i="39"/>
  <c r="T142" i="39"/>
  <c r="S142" i="39"/>
  <c r="P142" i="39"/>
  <c r="Z142" i="39" s="1"/>
  <c r="O142" i="39"/>
  <c r="Q142" i="39" s="1"/>
  <c r="N142" i="39"/>
  <c r="L142" i="39"/>
  <c r="V142" i="39" s="1"/>
  <c r="K142" i="39"/>
  <c r="J142" i="39"/>
  <c r="I142" i="39"/>
  <c r="S141" i="39"/>
  <c r="Q141" i="39"/>
  <c r="O141" i="39"/>
  <c r="N141" i="39"/>
  <c r="X141" i="39" s="1"/>
  <c r="M141" i="39"/>
  <c r="L141" i="39"/>
  <c r="V141" i="39" s="1"/>
  <c r="K141" i="39"/>
  <c r="J141" i="39"/>
  <c r="I141" i="39"/>
  <c r="X140" i="39"/>
  <c r="T140" i="39"/>
  <c r="S140" i="39"/>
  <c r="P140" i="39"/>
  <c r="Z140" i="39" s="1"/>
  <c r="O140" i="39"/>
  <c r="Q140" i="39" s="1"/>
  <c r="N140" i="39"/>
  <c r="L140" i="39"/>
  <c r="V140" i="39" s="1"/>
  <c r="K140" i="39"/>
  <c r="J140" i="39"/>
  <c r="I140" i="39"/>
  <c r="S139" i="39"/>
  <c r="Q139" i="39"/>
  <c r="O139" i="39"/>
  <c r="N139" i="39"/>
  <c r="X139" i="39" s="1"/>
  <c r="M139" i="39"/>
  <c r="L139" i="39"/>
  <c r="V139" i="39" s="1"/>
  <c r="K139" i="39"/>
  <c r="J139" i="39"/>
  <c r="I139" i="39"/>
  <c r="X138" i="39"/>
  <c r="T138" i="39"/>
  <c r="S138" i="39"/>
  <c r="P138" i="39"/>
  <c r="Z138" i="39" s="1"/>
  <c r="O138" i="39"/>
  <c r="Q138" i="39" s="1"/>
  <c r="N138" i="39"/>
  <c r="L138" i="39"/>
  <c r="V138" i="39" s="1"/>
  <c r="K138" i="39"/>
  <c r="J138" i="39"/>
  <c r="I138" i="39"/>
  <c r="S137" i="39"/>
  <c r="Q137" i="39"/>
  <c r="O137" i="39"/>
  <c r="N137" i="39"/>
  <c r="X137" i="39" s="1"/>
  <c r="M137" i="39"/>
  <c r="L137" i="39"/>
  <c r="V137" i="39" s="1"/>
  <c r="K137" i="39"/>
  <c r="J137" i="39"/>
  <c r="I137" i="39"/>
  <c r="X136" i="39"/>
  <c r="T136" i="39"/>
  <c r="S136" i="39"/>
  <c r="P136" i="39"/>
  <c r="Z136" i="39" s="1"/>
  <c r="O136" i="39"/>
  <c r="Q136" i="39" s="1"/>
  <c r="N136" i="39"/>
  <c r="L136" i="39"/>
  <c r="V136" i="39" s="1"/>
  <c r="K136" i="39"/>
  <c r="J136" i="39"/>
  <c r="I136" i="39"/>
  <c r="S135" i="39"/>
  <c r="Q135" i="39"/>
  <c r="O135" i="39"/>
  <c r="N135" i="39"/>
  <c r="X135" i="39" s="1"/>
  <c r="M135" i="39"/>
  <c r="L135" i="39"/>
  <c r="V135" i="39" s="1"/>
  <c r="K135" i="39"/>
  <c r="J135" i="39"/>
  <c r="I135" i="39"/>
  <c r="X134" i="39"/>
  <c r="T134" i="39"/>
  <c r="S134" i="39"/>
  <c r="P134" i="39"/>
  <c r="Z134" i="39" s="1"/>
  <c r="O134" i="39"/>
  <c r="Q134" i="39" s="1"/>
  <c r="N134" i="39"/>
  <c r="L134" i="39"/>
  <c r="V134" i="39" s="1"/>
  <c r="K134" i="39"/>
  <c r="J134" i="39"/>
  <c r="I134" i="39"/>
  <c r="S133" i="39"/>
  <c r="Q133" i="39"/>
  <c r="O133" i="39"/>
  <c r="N133" i="39"/>
  <c r="X133" i="39" s="1"/>
  <c r="M133" i="39"/>
  <c r="L133" i="39"/>
  <c r="V133" i="39" s="1"/>
  <c r="K133" i="39"/>
  <c r="J133" i="39"/>
  <c r="I133" i="39"/>
  <c r="X132" i="39"/>
  <c r="T132" i="39"/>
  <c r="S132" i="39"/>
  <c r="P132" i="39"/>
  <c r="Z132" i="39" s="1"/>
  <c r="O132" i="39"/>
  <c r="Q132" i="39" s="1"/>
  <c r="N132" i="39"/>
  <c r="L132" i="39"/>
  <c r="V132" i="39" s="1"/>
  <c r="K132" i="39"/>
  <c r="J132" i="39"/>
  <c r="I132" i="39"/>
  <c r="S131" i="39"/>
  <c r="Q131" i="39"/>
  <c r="O131" i="39"/>
  <c r="N131" i="39"/>
  <c r="X131" i="39" s="1"/>
  <c r="M131" i="39"/>
  <c r="L131" i="39"/>
  <c r="V131" i="39" s="1"/>
  <c r="K131" i="39"/>
  <c r="J131" i="39"/>
  <c r="I131" i="39"/>
  <c r="X130" i="39"/>
  <c r="T130" i="39"/>
  <c r="S130" i="39"/>
  <c r="P130" i="39"/>
  <c r="Z130" i="39" s="1"/>
  <c r="O130" i="39"/>
  <c r="Q130" i="39" s="1"/>
  <c r="N130" i="39"/>
  <c r="L130" i="39"/>
  <c r="V130" i="39" s="1"/>
  <c r="K130" i="39"/>
  <c r="J130" i="39"/>
  <c r="I130" i="39"/>
  <c r="S129" i="39"/>
  <c r="Q129" i="39"/>
  <c r="O129" i="39"/>
  <c r="N129" i="39"/>
  <c r="X129" i="39" s="1"/>
  <c r="M129" i="39"/>
  <c r="L129" i="39"/>
  <c r="V129" i="39" s="1"/>
  <c r="K129" i="39"/>
  <c r="J129" i="39"/>
  <c r="I129" i="39"/>
  <c r="X128" i="39"/>
  <c r="T128" i="39"/>
  <c r="S128" i="39"/>
  <c r="P128" i="39"/>
  <c r="Z128" i="39" s="1"/>
  <c r="O128" i="39"/>
  <c r="Q128" i="39" s="1"/>
  <c r="N128" i="39"/>
  <c r="L128" i="39"/>
  <c r="V128" i="39" s="1"/>
  <c r="K128" i="39"/>
  <c r="M128" i="39" s="1"/>
  <c r="J128" i="39"/>
  <c r="I128" i="39"/>
  <c r="S127" i="39"/>
  <c r="Q127" i="39"/>
  <c r="O127" i="39"/>
  <c r="N127" i="39"/>
  <c r="M127" i="39"/>
  <c r="K127" i="39"/>
  <c r="J127" i="39"/>
  <c r="I127" i="39"/>
  <c r="X126" i="39"/>
  <c r="T126" i="39"/>
  <c r="S126" i="39"/>
  <c r="P126" i="39"/>
  <c r="Z126" i="39" s="1"/>
  <c r="O126" i="39"/>
  <c r="Q126" i="39" s="1"/>
  <c r="N126" i="39"/>
  <c r="L126" i="39"/>
  <c r="V126" i="39" s="1"/>
  <c r="K126" i="39"/>
  <c r="J126" i="39"/>
  <c r="I126" i="39"/>
  <c r="S125" i="39"/>
  <c r="Q125" i="39"/>
  <c r="O125" i="39"/>
  <c r="N125" i="39"/>
  <c r="X125" i="39" s="1"/>
  <c r="M125" i="39"/>
  <c r="L125" i="39"/>
  <c r="V125" i="39" s="1"/>
  <c r="K125" i="39"/>
  <c r="J125" i="39"/>
  <c r="I125" i="39"/>
  <c r="X124" i="39"/>
  <c r="T124" i="39"/>
  <c r="S124" i="39"/>
  <c r="P124" i="39"/>
  <c r="Z124" i="39" s="1"/>
  <c r="O124" i="39"/>
  <c r="Q124" i="39" s="1"/>
  <c r="N124" i="39"/>
  <c r="L124" i="39"/>
  <c r="V124" i="39" s="1"/>
  <c r="K124" i="39"/>
  <c r="M124" i="39" s="1"/>
  <c r="J124" i="39"/>
  <c r="I124" i="39"/>
  <c r="S123" i="39"/>
  <c r="Q123" i="39"/>
  <c r="O123" i="39"/>
  <c r="N123" i="39"/>
  <c r="X123" i="39" s="1"/>
  <c r="M123" i="39"/>
  <c r="L123" i="39"/>
  <c r="V123" i="39" s="1"/>
  <c r="K123" i="39"/>
  <c r="J123" i="39"/>
  <c r="I123" i="39"/>
  <c r="X122" i="39"/>
  <c r="T122" i="39"/>
  <c r="S122" i="39"/>
  <c r="P122" i="39"/>
  <c r="Z122" i="39" s="1"/>
  <c r="O122" i="39"/>
  <c r="Q122" i="39" s="1"/>
  <c r="N122" i="39"/>
  <c r="L122" i="39"/>
  <c r="V122" i="39" s="1"/>
  <c r="K122" i="39"/>
  <c r="M122" i="39" s="1"/>
  <c r="J122" i="39"/>
  <c r="I122" i="39"/>
  <c r="S121" i="39"/>
  <c r="Q121" i="39"/>
  <c r="O121" i="39"/>
  <c r="N121" i="39"/>
  <c r="X121" i="39" s="1"/>
  <c r="M121" i="39"/>
  <c r="L121" i="39"/>
  <c r="V121" i="39" s="1"/>
  <c r="K121" i="39"/>
  <c r="J121" i="39"/>
  <c r="I121" i="39"/>
  <c r="X120" i="39"/>
  <c r="V120" i="39"/>
  <c r="T120" i="39"/>
  <c r="P120" i="39"/>
  <c r="Z120" i="39" s="1"/>
  <c r="O120" i="39"/>
  <c r="Q120" i="39" s="1"/>
  <c r="N120" i="39"/>
  <c r="L120" i="39"/>
  <c r="K120" i="39"/>
  <c r="M120" i="39" s="1"/>
  <c r="J120" i="39"/>
  <c r="I120" i="39"/>
  <c r="S120" i="39" s="1"/>
  <c r="V119" i="39"/>
  <c r="S119" i="39"/>
  <c r="Q119" i="39"/>
  <c r="O119" i="39"/>
  <c r="N119" i="39"/>
  <c r="X119" i="39" s="1"/>
  <c r="M119" i="39"/>
  <c r="L119" i="39"/>
  <c r="K119" i="39"/>
  <c r="J119" i="39"/>
  <c r="I119" i="39"/>
  <c r="X118" i="39"/>
  <c r="T118" i="39"/>
  <c r="S118" i="39"/>
  <c r="P118" i="39"/>
  <c r="Z118" i="39" s="1"/>
  <c r="O118" i="39"/>
  <c r="N118" i="39"/>
  <c r="L118" i="39"/>
  <c r="V118" i="39" s="1"/>
  <c r="K118" i="39"/>
  <c r="M118" i="39" s="1"/>
  <c r="J118" i="39"/>
  <c r="I118" i="39"/>
  <c r="Q117" i="39"/>
  <c r="O117" i="39"/>
  <c r="N117" i="39"/>
  <c r="X117" i="39" s="1"/>
  <c r="M117" i="39"/>
  <c r="L117" i="39"/>
  <c r="V117" i="39" s="1"/>
  <c r="K117" i="39"/>
  <c r="J117" i="39"/>
  <c r="I117" i="39"/>
  <c r="S117" i="39" s="1"/>
  <c r="X116" i="39"/>
  <c r="V116" i="39"/>
  <c r="T116" i="39"/>
  <c r="P116" i="39"/>
  <c r="Z116" i="39" s="1"/>
  <c r="O116" i="39"/>
  <c r="Q116" i="39" s="1"/>
  <c r="N116" i="39"/>
  <c r="M116" i="39"/>
  <c r="L116" i="39"/>
  <c r="K116" i="39"/>
  <c r="J116" i="39"/>
  <c r="I116" i="39"/>
  <c r="S116" i="39" s="1"/>
  <c r="V115" i="39"/>
  <c r="T115" i="39"/>
  <c r="S115" i="39"/>
  <c r="O115" i="39"/>
  <c r="Q115" i="39" s="1"/>
  <c r="N115" i="39"/>
  <c r="X115" i="39" s="1"/>
  <c r="M115" i="39"/>
  <c r="L115" i="39"/>
  <c r="K115" i="39"/>
  <c r="J115" i="39"/>
  <c r="P115" i="39" s="1"/>
  <c r="Z115" i="39" s="1"/>
  <c r="I115" i="39"/>
  <c r="X114" i="39"/>
  <c r="V114" i="39"/>
  <c r="T114" i="39"/>
  <c r="P114" i="39"/>
  <c r="Z114" i="39" s="1"/>
  <c r="O114" i="39"/>
  <c r="Q114" i="39" s="1"/>
  <c r="N114" i="39"/>
  <c r="L114" i="39"/>
  <c r="K114" i="39"/>
  <c r="M114" i="39" s="1"/>
  <c r="J114" i="39"/>
  <c r="I114" i="39"/>
  <c r="S114" i="39" s="1"/>
  <c r="Z113" i="39"/>
  <c r="V113" i="39"/>
  <c r="T113" i="39"/>
  <c r="S113" i="39"/>
  <c r="O113" i="39"/>
  <c r="Q113" i="39" s="1"/>
  <c r="N113" i="39"/>
  <c r="X113" i="39" s="1"/>
  <c r="M113" i="39"/>
  <c r="L113" i="39"/>
  <c r="K113" i="39"/>
  <c r="J113" i="39"/>
  <c r="P113" i="39" s="1"/>
  <c r="I113" i="39"/>
  <c r="X112" i="39"/>
  <c r="V112" i="39"/>
  <c r="T112" i="39"/>
  <c r="P112" i="39"/>
  <c r="Z112" i="39" s="1"/>
  <c r="O112" i="39"/>
  <c r="Q112" i="39" s="1"/>
  <c r="N112" i="39"/>
  <c r="M112" i="39"/>
  <c r="L112" i="39"/>
  <c r="K112" i="39"/>
  <c r="J112" i="39"/>
  <c r="I112" i="39"/>
  <c r="S112" i="39" s="1"/>
  <c r="V111" i="39"/>
  <c r="T111" i="39"/>
  <c r="O111" i="39"/>
  <c r="N111" i="39"/>
  <c r="X111" i="39" s="1"/>
  <c r="M111" i="39"/>
  <c r="L111" i="39"/>
  <c r="K111" i="39"/>
  <c r="J111" i="39"/>
  <c r="P111" i="39" s="1"/>
  <c r="Z111" i="39" s="1"/>
  <c r="I111" i="39"/>
  <c r="S111" i="39" s="1"/>
  <c r="X110" i="39"/>
  <c r="V110" i="39"/>
  <c r="T110" i="39"/>
  <c r="P110" i="39"/>
  <c r="Z110" i="39" s="1"/>
  <c r="O110" i="39"/>
  <c r="Q110" i="39" s="1"/>
  <c r="N110" i="39"/>
  <c r="L110" i="39"/>
  <c r="K110" i="39"/>
  <c r="M110" i="39" s="1"/>
  <c r="J110" i="39"/>
  <c r="I110" i="39"/>
  <c r="S110" i="39" s="1"/>
  <c r="V109" i="39"/>
  <c r="T109" i="39"/>
  <c r="O109" i="39"/>
  <c r="Q109" i="39" s="1"/>
  <c r="N109" i="39"/>
  <c r="X109" i="39" s="1"/>
  <c r="M109" i="39"/>
  <c r="L109" i="39"/>
  <c r="K109" i="39"/>
  <c r="J109" i="39"/>
  <c r="P109" i="39" s="1"/>
  <c r="Z109" i="39" s="1"/>
  <c r="I109" i="39"/>
  <c r="S109" i="39" s="1"/>
  <c r="X108" i="39"/>
  <c r="V108" i="39"/>
  <c r="T108" i="39"/>
  <c r="P108" i="39"/>
  <c r="Z108" i="39" s="1"/>
  <c r="O108" i="39"/>
  <c r="Q108" i="39" s="1"/>
  <c r="N108" i="39"/>
  <c r="M108" i="39"/>
  <c r="L108" i="39"/>
  <c r="K108" i="39"/>
  <c r="J108" i="39"/>
  <c r="I108" i="39"/>
  <c r="S108" i="39" s="1"/>
  <c r="V107" i="39"/>
  <c r="T107" i="39"/>
  <c r="S107" i="39"/>
  <c r="O107" i="39"/>
  <c r="N107" i="39"/>
  <c r="X107" i="39" s="1"/>
  <c r="M107" i="39"/>
  <c r="L107" i="39"/>
  <c r="K107" i="39"/>
  <c r="J107" i="39"/>
  <c r="P107" i="39" s="1"/>
  <c r="Z107" i="39" s="1"/>
  <c r="I107" i="39"/>
  <c r="Z106" i="39"/>
  <c r="X106" i="39"/>
  <c r="V106" i="39"/>
  <c r="T106" i="39"/>
  <c r="P106" i="39"/>
  <c r="O106" i="39"/>
  <c r="Q106" i="39" s="1"/>
  <c r="N106" i="39"/>
  <c r="M106" i="39"/>
  <c r="L106" i="39"/>
  <c r="K106" i="39"/>
  <c r="J106" i="39"/>
  <c r="I106" i="39"/>
  <c r="S106" i="39" s="1"/>
  <c r="Z105" i="39"/>
  <c r="S105" i="39"/>
  <c r="O105" i="39"/>
  <c r="N105" i="39"/>
  <c r="M105" i="39"/>
  <c r="K105" i="39"/>
  <c r="J105" i="39"/>
  <c r="P105" i="39" s="1"/>
  <c r="I105" i="39"/>
  <c r="Z104" i="39"/>
  <c r="X104" i="39"/>
  <c r="T104" i="39"/>
  <c r="S104" i="39"/>
  <c r="P104" i="39"/>
  <c r="O104" i="39"/>
  <c r="N104" i="39"/>
  <c r="M104" i="39"/>
  <c r="L104" i="39"/>
  <c r="V104" i="39" s="1"/>
  <c r="K104" i="39"/>
  <c r="J104" i="39"/>
  <c r="I104" i="39"/>
  <c r="V103" i="39"/>
  <c r="S103" i="39"/>
  <c r="O103" i="39"/>
  <c r="N103" i="39"/>
  <c r="X103" i="39" s="1"/>
  <c r="M103" i="39"/>
  <c r="L103" i="39"/>
  <c r="K103" i="39"/>
  <c r="J103" i="39"/>
  <c r="I103" i="39"/>
  <c r="Z102" i="39"/>
  <c r="X102" i="39"/>
  <c r="T102" i="39"/>
  <c r="P102" i="39"/>
  <c r="O102" i="39"/>
  <c r="N102" i="39"/>
  <c r="L102" i="39" s="1"/>
  <c r="V102" i="39" s="1"/>
  <c r="K102" i="39"/>
  <c r="J102" i="39"/>
  <c r="I102" i="39"/>
  <c r="S102" i="39" s="1"/>
  <c r="Z101" i="39"/>
  <c r="T101" i="39"/>
  <c r="Q101" i="39"/>
  <c r="O101" i="39"/>
  <c r="N101" i="39"/>
  <c r="X101" i="39" s="1"/>
  <c r="M101" i="39"/>
  <c r="L101" i="39"/>
  <c r="V101" i="39" s="1"/>
  <c r="K101" i="39"/>
  <c r="J101" i="39"/>
  <c r="P101" i="39" s="1"/>
  <c r="I101" i="39"/>
  <c r="S101" i="39" s="1"/>
  <c r="X100" i="39"/>
  <c r="V100" i="39"/>
  <c r="O100" i="39"/>
  <c r="Q100" i="39" s="1"/>
  <c r="N100" i="39"/>
  <c r="M100" i="39"/>
  <c r="L100" i="39"/>
  <c r="K100" i="39"/>
  <c r="J100" i="39"/>
  <c r="I100" i="39"/>
  <c r="S100" i="39" s="1"/>
  <c r="X99" i="39"/>
  <c r="T99" i="39"/>
  <c r="S99" i="39"/>
  <c r="Q99" i="39"/>
  <c r="P99" i="39"/>
  <c r="Z99" i="39" s="1"/>
  <c r="O99" i="39"/>
  <c r="N99" i="39"/>
  <c r="M99" i="39"/>
  <c r="L99" i="39"/>
  <c r="V99" i="39" s="1"/>
  <c r="K99" i="39"/>
  <c r="J99" i="39"/>
  <c r="I99" i="39"/>
  <c r="X98" i="39"/>
  <c r="V98" i="39"/>
  <c r="O98" i="39"/>
  <c r="Q98" i="39" s="1"/>
  <c r="N98" i="39"/>
  <c r="M98" i="39"/>
  <c r="L98" i="39"/>
  <c r="K98" i="39"/>
  <c r="J98" i="39"/>
  <c r="I98" i="39"/>
  <c r="S98" i="39" s="1"/>
  <c r="X97" i="39"/>
  <c r="T97" i="39"/>
  <c r="S97" i="39"/>
  <c r="Q97" i="39"/>
  <c r="P97" i="39"/>
  <c r="Z97" i="39" s="1"/>
  <c r="O97" i="39"/>
  <c r="N97" i="39"/>
  <c r="M97" i="39"/>
  <c r="L97" i="39"/>
  <c r="V97" i="39" s="1"/>
  <c r="K97" i="39"/>
  <c r="J97" i="39"/>
  <c r="I97" i="39"/>
  <c r="X96" i="39"/>
  <c r="S96" i="39"/>
  <c r="Q96" i="39"/>
  <c r="O96" i="39"/>
  <c r="N96" i="39"/>
  <c r="L96" i="39"/>
  <c r="V96" i="39" s="1"/>
  <c r="K96" i="39"/>
  <c r="J96" i="39"/>
  <c r="I96" i="39"/>
  <c r="T95" i="39"/>
  <c r="P95" i="39"/>
  <c r="Z95" i="39" s="1"/>
  <c r="O95" i="39"/>
  <c r="N95" i="39"/>
  <c r="L95" i="39" s="1"/>
  <c r="V95" i="39" s="1"/>
  <c r="M95" i="39"/>
  <c r="K95" i="39"/>
  <c r="J95" i="39"/>
  <c r="I95" i="39"/>
  <c r="S95" i="39" s="1"/>
  <c r="X94" i="39"/>
  <c r="T94" i="39"/>
  <c r="Q94" i="39"/>
  <c r="O94" i="39"/>
  <c r="N94" i="39"/>
  <c r="L94" i="39"/>
  <c r="V94" i="39" s="1"/>
  <c r="K94" i="39"/>
  <c r="J94" i="39"/>
  <c r="P94" i="39" s="1"/>
  <c r="Z94" i="39" s="1"/>
  <c r="I94" i="39"/>
  <c r="S94" i="39" s="1"/>
  <c r="T93" i="39"/>
  <c r="S93" i="39"/>
  <c r="P93" i="39"/>
  <c r="Z93" i="39" s="1"/>
  <c r="O93" i="39"/>
  <c r="Q93" i="39" s="1"/>
  <c r="N93" i="39"/>
  <c r="X93" i="39" s="1"/>
  <c r="K93" i="39"/>
  <c r="J93" i="39"/>
  <c r="I93" i="39"/>
  <c r="Z92" i="39"/>
  <c r="X92" i="39"/>
  <c r="V92" i="39"/>
  <c r="T92" i="39"/>
  <c r="O92" i="39"/>
  <c r="N92" i="39"/>
  <c r="M92" i="39"/>
  <c r="L92" i="39"/>
  <c r="K92" i="39"/>
  <c r="J92" i="39"/>
  <c r="P92" i="39" s="1"/>
  <c r="I92" i="39"/>
  <c r="S92" i="39" s="1"/>
  <c r="Z91" i="39"/>
  <c r="X91" i="39"/>
  <c r="T91" i="39"/>
  <c r="S91" i="39"/>
  <c r="P91" i="39"/>
  <c r="O91" i="39"/>
  <c r="Q91" i="39" s="1"/>
  <c r="N91" i="39"/>
  <c r="L91" i="39"/>
  <c r="V91" i="39" s="1"/>
  <c r="K91" i="39"/>
  <c r="J91" i="39"/>
  <c r="I91" i="39"/>
  <c r="X90" i="39"/>
  <c r="S90" i="39"/>
  <c r="O90" i="39"/>
  <c r="Q90" i="39" s="1"/>
  <c r="N90" i="39"/>
  <c r="L90" i="39"/>
  <c r="V90" i="39" s="1"/>
  <c r="K90" i="39"/>
  <c r="J90" i="39"/>
  <c r="I90" i="39"/>
  <c r="T89" i="39"/>
  <c r="S89" i="39"/>
  <c r="P89" i="39"/>
  <c r="Z89" i="39" s="1"/>
  <c r="O89" i="39"/>
  <c r="N89" i="39"/>
  <c r="L89" i="39" s="1"/>
  <c r="V89" i="39" s="1"/>
  <c r="K89" i="39"/>
  <c r="J89" i="39"/>
  <c r="I89" i="39"/>
  <c r="Z88" i="39"/>
  <c r="X88" i="39"/>
  <c r="Q88" i="39"/>
  <c r="O88" i="39"/>
  <c r="N88" i="39"/>
  <c r="M88" i="39"/>
  <c r="L88" i="39"/>
  <c r="V88" i="39" s="1"/>
  <c r="K88" i="39"/>
  <c r="J88" i="39"/>
  <c r="P88" i="39" s="1"/>
  <c r="I88" i="39"/>
  <c r="S88" i="39" s="1"/>
  <c r="T87" i="39"/>
  <c r="S87" i="39"/>
  <c r="P87" i="39"/>
  <c r="Z87" i="39" s="1"/>
  <c r="O87" i="39"/>
  <c r="Q87" i="39" s="1"/>
  <c r="N87" i="39"/>
  <c r="X87" i="39" s="1"/>
  <c r="L87" i="39"/>
  <c r="V87" i="39" s="1"/>
  <c r="K87" i="39"/>
  <c r="J87" i="39"/>
  <c r="I87" i="39"/>
  <c r="Z86" i="39"/>
  <c r="X86" i="39"/>
  <c r="T86" i="39"/>
  <c r="Q86" i="39"/>
  <c r="O86" i="39"/>
  <c r="N86" i="39"/>
  <c r="L86" i="39"/>
  <c r="V86" i="39" s="1"/>
  <c r="K86" i="39"/>
  <c r="M86" i="39" s="1"/>
  <c r="J86" i="39"/>
  <c r="P86" i="39" s="1"/>
  <c r="I86" i="39"/>
  <c r="S86" i="39" s="1"/>
  <c r="X85" i="39"/>
  <c r="V85" i="39"/>
  <c r="T85" i="39"/>
  <c r="S85" i="39"/>
  <c r="P85" i="39"/>
  <c r="Z85" i="39" s="1"/>
  <c r="O85" i="39"/>
  <c r="Q85" i="39" s="1"/>
  <c r="N85" i="39"/>
  <c r="M85" i="39"/>
  <c r="L85" i="39"/>
  <c r="K85" i="39"/>
  <c r="J85" i="39"/>
  <c r="I85" i="39"/>
  <c r="X84" i="39"/>
  <c r="S84" i="39"/>
  <c r="O84" i="39"/>
  <c r="N84" i="39"/>
  <c r="L84" i="39"/>
  <c r="V84" i="39" s="1"/>
  <c r="K84" i="39"/>
  <c r="J84" i="39"/>
  <c r="I84" i="39"/>
  <c r="X83" i="39"/>
  <c r="V83" i="39"/>
  <c r="T83" i="39"/>
  <c r="S83" i="39"/>
  <c r="P83" i="39"/>
  <c r="Z83" i="39" s="1"/>
  <c r="O83" i="39"/>
  <c r="N83" i="39"/>
  <c r="L83" i="39"/>
  <c r="K83" i="39"/>
  <c r="J83" i="39"/>
  <c r="I83" i="39"/>
  <c r="X82" i="39"/>
  <c r="V82" i="39"/>
  <c r="Q82" i="39"/>
  <c r="O82" i="39"/>
  <c r="N82" i="39"/>
  <c r="L82" i="39"/>
  <c r="K82" i="39"/>
  <c r="M82" i="39" s="1"/>
  <c r="J82" i="39"/>
  <c r="P82" i="39" s="1"/>
  <c r="Z82" i="39" s="1"/>
  <c r="I82" i="39"/>
  <c r="S82" i="39" s="1"/>
  <c r="Z81" i="39"/>
  <c r="T81" i="39"/>
  <c r="S81" i="39"/>
  <c r="Q81" i="39"/>
  <c r="P81" i="39"/>
  <c r="O81" i="39"/>
  <c r="N81" i="39"/>
  <c r="X81" i="39" s="1"/>
  <c r="L81" i="39"/>
  <c r="V81" i="39" s="1"/>
  <c r="K81" i="39"/>
  <c r="J81" i="39"/>
  <c r="I81" i="39"/>
  <c r="Z80" i="39"/>
  <c r="X80" i="39"/>
  <c r="T80" i="39"/>
  <c r="O80" i="39"/>
  <c r="N80" i="39"/>
  <c r="L80" i="39"/>
  <c r="V80" i="39" s="1"/>
  <c r="K80" i="39"/>
  <c r="M80" i="39" s="1"/>
  <c r="J80" i="39"/>
  <c r="P80" i="39" s="1"/>
  <c r="I80" i="39"/>
  <c r="S80" i="39" s="1"/>
  <c r="Z79" i="39"/>
  <c r="V79" i="39"/>
  <c r="T79" i="39"/>
  <c r="S79" i="39"/>
  <c r="P79" i="39"/>
  <c r="O79" i="39"/>
  <c r="Q79" i="39" s="1"/>
  <c r="N79" i="39"/>
  <c r="X79" i="39" s="1"/>
  <c r="M79" i="39"/>
  <c r="L79" i="39"/>
  <c r="K79" i="39"/>
  <c r="J79" i="39"/>
  <c r="I79" i="39"/>
  <c r="X78" i="39"/>
  <c r="S78" i="39"/>
  <c r="O78" i="39"/>
  <c r="Q78" i="39" s="1"/>
  <c r="N78" i="39"/>
  <c r="L78" i="39"/>
  <c r="V78" i="39" s="1"/>
  <c r="K78" i="39"/>
  <c r="J78" i="39"/>
  <c r="I78" i="39"/>
  <c r="T77" i="39"/>
  <c r="P77" i="39"/>
  <c r="Z77" i="39" s="1"/>
  <c r="O77" i="39"/>
  <c r="N77" i="39"/>
  <c r="L77" i="39" s="1"/>
  <c r="V77" i="39" s="1"/>
  <c r="K77" i="39"/>
  <c r="J77" i="39"/>
  <c r="I77" i="39"/>
  <c r="S77" i="39" s="1"/>
  <c r="X76" i="39"/>
  <c r="T76" i="39"/>
  <c r="Q76" i="39"/>
  <c r="O76" i="39"/>
  <c r="N76" i="39"/>
  <c r="L76" i="39"/>
  <c r="V76" i="39" s="1"/>
  <c r="K76" i="39"/>
  <c r="J76" i="39"/>
  <c r="P76" i="39" s="1"/>
  <c r="Z76" i="39" s="1"/>
  <c r="I76" i="39"/>
  <c r="S76" i="39" s="1"/>
  <c r="T75" i="39"/>
  <c r="S75" i="39"/>
  <c r="P75" i="39"/>
  <c r="Z75" i="39" s="1"/>
  <c r="O75" i="39"/>
  <c r="N75" i="39"/>
  <c r="X75" i="39" s="1"/>
  <c r="K75" i="39"/>
  <c r="J75" i="39"/>
  <c r="I75" i="39"/>
  <c r="Z74" i="39"/>
  <c r="X74" i="39"/>
  <c r="V74" i="39"/>
  <c r="T74" i="39"/>
  <c r="O74" i="39"/>
  <c r="N74" i="39"/>
  <c r="L74" i="39"/>
  <c r="K74" i="39"/>
  <c r="M74" i="39" s="1"/>
  <c r="J74" i="39"/>
  <c r="P74" i="39" s="1"/>
  <c r="I74" i="39"/>
  <c r="S74" i="39" s="1"/>
  <c r="V73" i="39"/>
  <c r="T73" i="39"/>
  <c r="S73" i="39"/>
  <c r="P73" i="39"/>
  <c r="Z73" i="39" s="1"/>
  <c r="O73" i="39"/>
  <c r="Q73" i="39" s="1"/>
  <c r="N73" i="39"/>
  <c r="X73" i="39" s="1"/>
  <c r="L73" i="39"/>
  <c r="K73" i="39"/>
  <c r="M73" i="39" s="1"/>
  <c r="J73" i="39"/>
  <c r="I73" i="39"/>
  <c r="X72" i="39"/>
  <c r="V72" i="39"/>
  <c r="S72" i="39"/>
  <c r="O72" i="39"/>
  <c r="N72" i="39"/>
  <c r="L72" i="39"/>
  <c r="K72" i="39"/>
  <c r="J72" i="39"/>
  <c r="I72" i="39"/>
  <c r="X71" i="39"/>
  <c r="V71" i="39"/>
  <c r="T71" i="39"/>
  <c r="S71" i="39"/>
  <c r="P71" i="39"/>
  <c r="Z71" i="39" s="1"/>
  <c r="O71" i="39"/>
  <c r="N71" i="39"/>
  <c r="L71" i="39"/>
  <c r="K71" i="39"/>
  <c r="J71" i="39"/>
  <c r="I71" i="39"/>
  <c r="X70" i="39"/>
  <c r="Q70" i="39"/>
  <c r="O70" i="39"/>
  <c r="N70" i="39"/>
  <c r="L70" i="39"/>
  <c r="V70" i="39" s="1"/>
  <c r="K70" i="39"/>
  <c r="M70" i="39" s="1"/>
  <c r="J70" i="39"/>
  <c r="P70" i="39" s="1"/>
  <c r="Z70" i="39" s="1"/>
  <c r="I70" i="39"/>
  <c r="S70" i="39" s="1"/>
  <c r="Z69" i="39"/>
  <c r="T69" i="39"/>
  <c r="S69" i="39"/>
  <c r="P69" i="39"/>
  <c r="O69" i="39"/>
  <c r="Q69" i="39" s="1"/>
  <c r="N69" i="39"/>
  <c r="X69" i="39" s="1"/>
  <c r="K69" i="39"/>
  <c r="J69" i="39"/>
  <c r="I69" i="39"/>
  <c r="Z68" i="39"/>
  <c r="X68" i="39"/>
  <c r="T68" i="39"/>
  <c r="O68" i="39"/>
  <c r="N68" i="39"/>
  <c r="L68" i="39"/>
  <c r="V68" i="39" s="1"/>
  <c r="K68" i="39"/>
  <c r="M68" i="39" s="1"/>
  <c r="J68" i="39"/>
  <c r="P68" i="39" s="1"/>
  <c r="I68" i="39"/>
  <c r="S68" i="39" s="1"/>
  <c r="T67" i="39"/>
  <c r="S67" i="39"/>
  <c r="P67" i="39"/>
  <c r="Z67" i="39" s="1"/>
  <c r="O67" i="39"/>
  <c r="Q67" i="39" s="1"/>
  <c r="N67" i="39"/>
  <c r="X67" i="39" s="1"/>
  <c r="L67" i="39"/>
  <c r="V67" i="39" s="1"/>
  <c r="K67" i="39"/>
  <c r="J67" i="39"/>
  <c r="I67" i="39"/>
  <c r="X66" i="39"/>
  <c r="V66" i="39"/>
  <c r="S66" i="39"/>
  <c r="Q66" i="39"/>
  <c r="O66" i="39"/>
  <c r="N66" i="39"/>
  <c r="L66" i="39"/>
  <c r="K66" i="39"/>
  <c r="J66" i="39"/>
  <c r="I66" i="39"/>
  <c r="T65" i="39"/>
  <c r="S65" i="39"/>
  <c r="P65" i="39"/>
  <c r="Z65" i="39" s="1"/>
  <c r="O65" i="39"/>
  <c r="N65" i="39"/>
  <c r="X65" i="39" s="1"/>
  <c r="K65" i="39"/>
  <c r="J65" i="39"/>
  <c r="I65" i="39"/>
  <c r="X64" i="39"/>
  <c r="V64" i="39"/>
  <c r="T64" i="39"/>
  <c r="Q64" i="39"/>
  <c r="O64" i="39"/>
  <c r="N64" i="39"/>
  <c r="M64" i="39"/>
  <c r="L64" i="39"/>
  <c r="K64" i="39"/>
  <c r="J64" i="39"/>
  <c r="P64" i="39" s="1"/>
  <c r="Z64" i="39" s="1"/>
  <c r="I64" i="39"/>
  <c r="S64" i="39" s="1"/>
  <c r="T63" i="39"/>
  <c r="S63" i="39"/>
  <c r="Q63" i="39"/>
  <c r="P63" i="39"/>
  <c r="Z63" i="39" s="1"/>
  <c r="O63" i="39"/>
  <c r="N63" i="39"/>
  <c r="X63" i="39" s="1"/>
  <c r="K63" i="39"/>
  <c r="J63" i="39"/>
  <c r="I63" i="39"/>
  <c r="Z62" i="39"/>
  <c r="X62" i="39"/>
  <c r="V62" i="39"/>
  <c r="T62" i="39"/>
  <c r="O62" i="39"/>
  <c r="N62" i="39"/>
  <c r="L62" i="39"/>
  <c r="K62" i="39"/>
  <c r="M62" i="39" s="1"/>
  <c r="J62" i="39"/>
  <c r="P62" i="39" s="1"/>
  <c r="I62" i="39"/>
  <c r="S62" i="39" s="1"/>
  <c r="T61" i="39"/>
  <c r="S61" i="39"/>
  <c r="P61" i="39"/>
  <c r="Z61" i="39" s="1"/>
  <c r="O61" i="39"/>
  <c r="Q61" i="39" s="1"/>
  <c r="N61" i="39"/>
  <c r="X61" i="39" s="1"/>
  <c r="L61" i="39"/>
  <c r="V61" i="39" s="1"/>
  <c r="K61" i="39"/>
  <c r="J61" i="39"/>
  <c r="I61" i="39"/>
  <c r="X60" i="39"/>
  <c r="S60" i="39"/>
  <c r="O60" i="39"/>
  <c r="Q60" i="39" s="1"/>
  <c r="N60" i="39"/>
  <c r="L60" i="39"/>
  <c r="V60" i="39" s="1"/>
  <c r="K60" i="39"/>
  <c r="J60" i="39"/>
  <c r="I60" i="39"/>
  <c r="X59" i="39"/>
  <c r="V59" i="39"/>
  <c r="T59" i="39"/>
  <c r="S59" i="39"/>
  <c r="P59" i="39"/>
  <c r="Z59" i="39" s="1"/>
  <c r="O59" i="39"/>
  <c r="N59" i="39"/>
  <c r="L59" i="39"/>
  <c r="K59" i="39"/>
  <c r="J59" i="39"/>
  <c r="I59" i="39"/>
  <c r="X58" i="39"/>
  <c r="Q58" i="39"/>
  <c r="O58" i="39"/>
  <c r="N58" i="39"/>
  <c r="M58" i="39"/>
  <c r="L58" i="39"/>
  <c r="V58" i="39" s="1"/>
  <c r="K58" i="39"/>
  <c r="J58" i="39"/>
  <c r="P58" i="39" s="1"/>
  <c r="Z58" i="39" s="1"/>
  <c r="I58" i="39"/>
  <c r="S58" i="39" s="1"/>
  <c r="T57" i="39"/>
  <c r="S57" i="39"/>
  <c r="P57" i="39"/>
  <c r="Z57" i="39" s="1"/>
  <c r="O57" i="39"/>
  <c r="Q57" i="39" s="1"/>
  <c r="N57" i="39"/>
  <c r="X57" i="39" s="1"/>
  <c r="L57" i="39"/>
  <c r="V57" i="39" s="1"/>
  <c r="K57" i="39"/>
  <c r="J57" i="39"/>
  <c r="I57" i="39"/>
  <c r="Z56" i="39"/>
  <c r="X56" i="39"/>
  <c r="T56" i="39"/>
  <c r="Q56" i="39"/>
  <c r="O56" i="39"/>
  <c r="N56" i="39"/>
  <c r="L56" i="39"/>
  <c r="V56" i="39" s="1"/>
  <c r="K56" i="39"/>
  <c r="M56" i="39" s="1"/>
  <c r="J56" i="39"/>
  <c r="P56" i="39" s="1"/>
  <c r="I56" i="39"/>
  <c r="S56" i="39" s="1"/>
  <c r="V55" i="39"/>
  <c r="T55" i="39"/>
  <c r="S55" i="39"/>
  <c r="P55" i="39"/>
  <c r="Z55" i="39" s="1"/>
  <c r="O55" i="39"/>
  <c r="Q55" i="39" s="1"/>
  <c r="N55" i="39"/>
  <c r="X55" i="39" s="1"/>
  <c r="M55" i="39"/>
  <c r="L55" i="39"/>
  <c r="K55" i="39"/>
  <c r="J55" i="39"/>
  <c r="I55" i="39"/>
  <c r="X54" i="39"/>
  <c r="V54" i="39"/>
  <c r="S54" i="39"/>
  <c r="O54" i="39"/>
  <c r="N54" i="39"/>
  <c r="L54" i="39"/>
  <c r="K54" i="39"/>
  <c r="J54" i="39"/>
  <c r="I54" i="39"/>
  <c r="T53" i="39"/>
  <c r="S53" i="39"/>
  <c r="P53" i="39"/>
  <c r="Z53" i="39" s="1"/>
  <c r="O53" i="39"/>
  <c r="N53" i="39"/>
  <c r="K53" i="39"/>
  <c r="J53" i="39"/>
  <c r="I53" i="39"/>
  <c r="X52" i="39"/>
  <c r="V52" i="39"/>
  <c r="T52" i="39"/>
  <c r="Q52" i="39"/>
  <c r="O52" i="39"/>
  <c r="N52" i="39"/>
  <c r="M52" i="39"/>
  <c r="L52" i="39"/>
  <c r="K52" i="39"/>
  <c r="J52" i="39"/>
  <c r="P52" i="39" s="1"/>
  <c r="Z52" i="39" s="1"/>
  <c r="I52" i="39"/>
  <c r="S52" i="39" s="1"/>
  <c r="Z51" i="39"/>
  <c r="V51" i="39"/>
  <c r="T51" i="39"/>
  <c r="S51" i="39"/>
  <c r="Q51" i="39"/>
  <c r="P51" i="39"/>
  <c r="O51" i="39"/>
  <c r="N51" i="39"/>
  <c r="X51" i="39" s="1"/>
  <c r="L51" i="39"/>
  <c r="K51" i="39"/>
  <c r="J51" i="39"/>
  <c r="I51" i="39"/>
  <c r="Z50" i="39"/>
  <c r="X50" i="39"/>
  <c r="V50" i="39"/>
  <c r="T50" i="39"/>
  <c r="O50" i="39"/>
  <c r="N50" i="39"/>
  <c r="L50" i="39"/>
  <c r="K50" i="39"/>
  <c r="M50" i="39" s="1"/>
  <c r="J50" i="39"/>
  <c r="P50" i="39" s="1"/>
  <c r="I50" i="39"/>
  <c r="S50" i="39" s="1"/>
  <c r="I49" i="39"/>
  <c r="S49" i="39" s="1"/>
  <c r="I48" i="39"/>
  <c r="S48" i="39" s="1"/>
  <c r="I47" i="39"/>
  <c r="S47" i="39" s="1"/>
  <c r="S46" i="39"/>
  <c r="I46" i="39"/>
  <c r="S45" i="39"/>
  <c r="I45" i="39"/>
  <c r="I44" i="39"/>
  <c r="S44" i="39" s="1"/>
  <c r="F44" i="39"/>
  <c r="N44" i="39" s="1"/>
  <c r="I43" i="39"/>
  <c r="S43" i="39" s="1"/>
  <c r="I42" i="39"/>
  <c r="S42" i="39" s="1"/>
  <c r="I41" i="39"/>
  <c r="S41" i="39" s="1"/>
  <c r="S40" i="39"/>
  <c r="I40" i="39"/>
  <c r="E40" i="39"/>
  <c r="D40" i="39"/>
  <c r="J40" i="39" s="1"/>
  <c r="K39" i="39"/>
  <c r="I39" i="39"/>
  <c r="S39" i="39" s="1"/>
  <c r="E39" i="39"/>
  <c r="N38" i="39"/>
  <c r="M38" i="39"/>
  <c r="K38" i="39"/>
  <c r="I38" i="39"/>
  <c r="S38" i="39" s="1"/>
  <c r="F38" i="39"/>
  <c r="E38" i="39"/>
  <c r="T37" i="39"/>
  <c r="N37" i="39"/>
  <c r="X37" i="39" s="1"/>
  <c r="M37" i="39"/>
  <c r="L37" i="39"/>
  <c r="V37" i="39" s="1"/>
  <c r="K37" i="39"/>
  <c r="I37" i="39"/>
  <c r="S37" i="39" s="1"/>
  <c r="G37" i="39"/>
  <c r="F37" i="39"/>
  <c r="E37" i="39"/>
  <c r="D37" i="39"/>
  <c r="J37" i="39" s="1"/>
  <c r="P37" i="39" s="1"/>
  <c r="Z37" i="39" s="1"/>
  <c r="I36" i="39"/>
  <c r="S36" i="39" s="1"/>
  <c r="F36" i="39"/>
  <c r="S35" i="39"/>
  <c r="I35" i="39"/>
  <c r="F35" i="39"/>
  <c r="D35" i="39"/>
  <c r="N34" i="39"/>
  <c r="I34" i="39"/>
  <c r="S34" i="39" s="1"/>
  <c r="F34" i="39"/>
  <c r="F47" i="39" s="1"/>
  <c r="N47" i="39" s="1"/>
  <c r="D34" i="39"/>
  <c r="J34" i="39" s="1"/>
  <c r="P34" i="39" s="1"/>
  <c r="Z34" i="39" s="1"/>
  <c r="I33" i="39"/>
  <c r="S33" i="39" s="1"/>
  <c r="D33" i="39"/>
  <c r="N32" i="39"/>
  <c r="L32" i="39" s="1"/>
  <c r="V32" i="39" s="1"/>
  <c r="J32" i="39"/>
  <c r="P32" i="39" s="1"/>
  <c r="Z32" i="39" s="1"/>
  <c r="I32" i="39"/>
  <c r="S32" i="39" s="1"/>
  <c r="D32" i="39"/>
  <c r="D45" i="39" s="1"/>
  <c r="J45" i="39" s="1"/>
  <c r="I31" i="39"/>
  <c r="S31" i="39" s="1"/>
  <c r="F31" i="39"/>
  <c r="N31" i="39" s="1"/>
  <c r="X30" i="39"/>
  <c r="I30" i="39"/>
  <c r="S30" i="39" s="1"/>
  <c r="F30" i="39"/>
  <c r="N30" i="39" s="1"/>
  <c r="L30" i="39" s="1"/>
  <c r="V30" i="39" s="1"/>
  <c r="S29" i="39"/>
  <c r="I29" i="39"/>
  <c r="O28" i="39"/>
  <c r="I28" i="39"/>
  <c r="S28" i="39" s="1"/>
  <c r="F28" i="39"/>
  <c r="N28" i="39" s="1"/>
  <c r="Q27" i="39"/>
  <c r="O27" i="39"/>
  <c r="I27" i="39"/>
  <c r="S27" i="39" s="1"/>
  <c r="F27" i="39"/>
  <c r="D27" i="39"/>
  <c r="J27" i="39" s="1"/>
  <c r="T27" i="39" s="1"/>
  <c r="O26" i="39"/>
  <c r="K26" i="39"/>
  <c r="I26" i="39"/>
  <c r="S26" i="39" s="1"/>
  <c r="O25" i="39"/>
  <c r="Q25" i="39" s="1"/>
  <c r="K25" i="39"/>
  <c r="I25" i="39"/>
  <c r="S25" i="39" s="1"/>
  <c r="G25" i="39"/>
  <c r="G26" i="39" s="1"/>
  <c r="G27" i="39" s="1"/>
  <c r="G28" i="39" s="1"/>
  <c r="G29" i="39" s="1"/>
  <c r="F25" i="39"/>
  <c r="N25" i="39" s="1"/>
  <c r="L25" i="39" s="1"/>
  <c r="V25" i="39" s="1"/>
  <c r="D25" i="39"/>
  <c r="D38" i="39" s="1"/>
  <c r="J38" i="39" s="1"/>
  <c r="X24" i="39"/>
  <c r="S24" i="39"/>
  <c r="Q24" i="39"/>
  <c r="O24" i="39"/>
  <c r="L24" i="39"/>
  <c r="V24" i="39" s="1"/>
  <c r="K24" i="39"/>
  <c r="I24" i="39"/>
  <c r="G24" i="39"/>
  <c r="F24" i="39"/>
  <c r="N24" i="39" s="1"/>
  <c r="E24" i="39"/>
  <c r="E25" i="39" s="1"/>
  <c r="E26" i="39" s="1"/>
  <c r="E27" i="39" s="1"/>
  <c r="D24" i="39"/>
  <c r="J24" i="39" s="1"/>
  <c r="X23" i="39"/>
  <c r="I23" i="39"/>
  <c r="S23" i="39" s="1"/>
  <c r="G23" i="39"/>
  <c r="O23" i="39" s="1"/>
  <c r="F23" i="39"/>
  <c r="N23" i="39" s="1"/>
  <c r="L23" i="39" s="1"/>
  <c r="V23" i="39" s="1"/>
  <c r="E23" i="39"/>
  <c r="K23" i="39" s="1"/>
  <c r="M23" i="39" s="1"/>
  <c r="D23" i="39"/>
  <c r="D36" i="39" s="1"/>
  <c r="S22" i="39"/>
  <c r="Q22" i="39"/>
  <c r="O22" i="39"/>
  <c r="N22" i="39"/>
  <c r="M22" i="39"/>
  <c r="I22" i="39"/>
  <c r="G22" i="39"/>
  <c r="F22" i="39"/>
  <c r="E22" i="39"/>
  <c r="K22" i="39" s="1"/>
  <c r="D22" i="39"/>
  <c r="J22" i="39" s="1"/>
  <c r="Z21" i="39"/>
  <c r="T21" i="39"/>
  <c r="Q21" i="39"/>
  <c r="O21" i="39"/>
  <c r="M21" i="39"/>
  <c r="L21" i="39"/>
  <c r="V21" i="39" s="1"/>
  <c r="K21" i="39"/>
  <c r="I21" i="39"/>
  <c r="S21" i="39" s="1"/>
  <c r="G21" i="39"/>
  <c r="F21" i="39"/>
  <c r="N21" i="39" s="1"/>
  <c r="X21" i="39" s="1"/>
  <c r="E21" i="39"/>
  <c r="D21" i="39"/>
  <c r="J21" i="39" s="1"/>
  <c r="P21" i="39" s="1"/>
  <c r="T20" i="39"/>
  <c r="O20" i="39"/>
  <c r="N20" i="39"/>
  <c r="K20" i="39"/>
  <c r="I20" i="39"/>
  <c r="S20" i="39" s="1"/>
  <c r="G20" i="39"/>
  <c r="F20" i="39"/>
  <c r="F33" i="39" s="1"/>
  <c r="E20" i="39"/>
  <c r="D20" i="39"/>
  <c r="J20" i="39" s="1"/>
  <c r="P20" i="39" s="1"/>
  <c r="Z20" i="39" s="1"/>
  <c r="O19" i="39"/>
  <c r="N19" i="39"/>
  <c r="K19" i="39"/>
  <c r="J19" i="39"/>
  <c r="I19" i="39"/>
  <c r="S19" i="39" s="1"/>
  <c r="G19" i="39"/>
  <c r="F19" i="39"/>
  <c r="F32" i="39" s="1"/>
  <c r="F45" i="39" s="1"/>
  <c r="N45" i="39" s="1"/>
  <c r="E19" i="39"/>
  <c r="D19" i="39"/>
  <c r="X18" i="39"/>
  <c r="Q18" i="39"/>
  <c r="K18" i="39"/>
  <c r="M18" i="39" s="1"/>
  <c r="J18" i="39"/>
  <c r="P18" i="39" s="1"/>
  <c r="Z18" i="39" s="1"/>
  <c r="I18" i="39"/>
  <c r="S18" i="39" s="1"/>
  <c r="G18" i="39"/>
  <c r="O18" i="39" s="1"/>
  <c r="F18" i="39"/>
  <c r="N18" i="39" s="1"/>
  <c r="L18" i="39" s="1"/>
  <c r="V18" i="39" s="1"/>
  <c r="E18" i="39"/>
  <c r="D18" i="39"/>
  <c r="D31" i="39" s="1"/>
  <c r="X17" i="39"/>
  <c r="S17" i="39"/>
  <c r="Q17" i="39"/>
  <c r="O17" i="39"/>
  <c r="K17" i="39"/>
  <c r="I17" i="39"/>
  <c r="G17" i="39"/>
  <c r="F17" i="39"/>
  <c r="N17" i="39" s="1"/>
  <c r="L17" i="39" s="1"/>
  <c r="V17" i="39" s="1"/>
  <c r="E17" i="39"/>
  <c r="D17" i="39"/>
  <c r="Q16" i="39"/>
  <c r="I16" i="39"/>
  <c r="S16" i="39" s="1"/>
  <c r="G16" i="39"/>
  <c r="O16" i="39" s="1"/>
  <c r="F16" i="39"/>
  <c r="N16" i="39" s="1"/>
  <c r="E16" i="39"/>
  <c r="K16" i="39" s="1"/>
  <c r="D16" i="39"/>
  <c r="S15" i="39"/>
  <c r="Q15" i="39"/>
  <c r="O15" i="39"/>
  <c r="N15" i="39"/>
  <c r="I15" i="39"/>
  <c r="G15" i="39"/>
  <c r="F15" i="39"/>
  <c r="E15" i="39"/>
  <c r="K15" i="39" s="1"/>
  <c r="D15" i="39"/>
  <c r="X14" i="39"/>
  <c r="T14" i="39"/>
  <c r="O14" i="39"/>
  <c r="Q14" i="39" s="1"/>
  <c r="N14" i="39"/>
  <c r="L14" i="39" s="1"/>
  <c r="V14" i="39" s="1"/>
  <c r="M14" i="39"/>
  <c r="K14" i="39"/>
  <c r="J14" i="39"/>
  <c r="P14" i="39" s="1"/>
  <c r="Z14" i="39" s="1"/>
  <c r="I14" i="39"/>
  <c r="S14" i="39" s="1"/>
  <c r="G14" i="39"/>
  <c r="F14" i="39"/>
  <c r="E14" i="39"/>
  <c r="D14" i="39"/>
  <c r="N13" i="39"/>
  <c r="L13" i="39" s="1"/>
  <c r="V13" i="39" s="1"/>
  <c r="K13" i="39"/>
  <c r="M13" i="39" s="1"/>
  <c r="J13" i="39"/>
  <c r="P13" i="39" s="1"/>
  <c r="Z13" i="39" s="1"/>
  <c r="I13" i="39"/>
  <c r="S13" i="39" s="1"/>
  <c r="G13" i="39"/>
  <c r="O13" i="39" s="1"/>
  <c r="Q13" i="39" s="1"/>
  <c r="F13" i="39"/>
  <c r="F26" i="39" s="1"/>
  <c r="E13" i="39"/>
  <c r="D13" i="39"/>
  <c r="D26" i="39" s="1"/>
  <c r="Z12" i="39"/>
  <c r="X12" i="39"/>
  <c r="T12" i="39"/>
  <c r="Q12" i="39"/>
  <c r="O12" i="39"/>
  <c r="M12" i="39"/>
  <c r="L12" i="39"/>
  <c r="V12" i="39" s="1"/>
  <c r="K12" i="39"/>
  <c r="I12" i="39"/>
  <c r="S12" i="39" s="1"/>
  <c r="G12" i="39"/>
  <c r="F12" i="39"/>
  <c r="N12" i="39" s="1"/>
  <c r="E12" i="39"/>
  <c r="D12" i="39"/>
  <c r="J12" i="39" s="1"/>
  <c r="P12" i="39" s="1"/>
  <c r="X11" i="39"/>
  <c r="V11" i="39"/>
  <c r="T11" i="39"/>
  <c r="Q11" i="39"/>
  <c r="O11" i="39"/>
  <c r="N11" i="39"/>
  <c r="L11" i="39" s="1"/>
  <c r="M11" i="39"/>
  <c r="K11" i="39"/>
  <c r="J11" i="39"/>
  <c r="P11" i="39" s="1"/>
  <c r="Z11" i="39" s="1"/>
  <c r="I11" i="39"/>
  <c r="S11" i="39" s="1"/>
  <c r="G6" i="39"/>
  <c r="U6" i="39" s="1"/>
  <c r="U13" i="39" s="1"/>
  <c r="D4" i="39"/>
  <c r="D3" i="39"/>
  <c r="G37" i="38"/>
  <c r="F37" i="38"/>
  <c r="E37" i="38"/>
  <c r="E38" i="38" s="1"/>
  <c r="E39" i="38" s="1"/>
  <c r="E40" i="38" s="1"/>
  <c r="E41" i="38" s="1"/>
  <c r="E42" i="38" s="1"/>
  <c r="E43" i="38" s="1"/>
  <c r="E44" i="38" s="1"/>
  <c r="E45" i="38" s="1"/>
  <c r="E46" i="38" s="1"/>
  <c r="E47" i="38" s="1"/>
  <c r="E48" i="38" s="1"/>
  <c r="E49" i="38" s="1"/>
  <c r="D37" i="38"/>
  <c r="G24" i="38"/>
  <c r="E24" i="38"/>
  <c r="G23" i="38"/>
  <c r="F23" i="38"/>
  <c r="E23" i="38"/>
  <c r="D23" i="38"/>
  <c r="G22" i="38"/>
  <c r="F22" i="38"/>
  <c r="E22" i="38"/>
  <c r="D22" i="38"/>
  <c r="G21" i="38"/>
  <c r="F21" i="38"/>
  <c r="E21" i="38"/>
  <c r="D21" i="38"/>
  <c r="G20" i="38"/>
  <c r="F20" i="38"/>
  <c r="E20" i="38"/>
  <c r="D20" i="38"/>
  <c r="G19" i="38"/>
  <c r="F19" i="38"/>
  <c r="N19" i="38" s="1"/>
  <c r="E19" i="38"/>
  <c r="D19" i="38"/>
  <c r="G18" i="38"/>
  <c r="O18" i="38" s="1"/>
  <c r="F18" i="38"/>
  <c r="E18" i="38"/>
  <c r="D18" i="38"/>
  <c r="J18" i="38" s="1"/>
  <c r="G17" i="38"/>
  <c r="O17" i="38" s="1"/>
  <c r="F17" i="38"/>
  <c r="N17" i="38" s="1"/>
  <c r="L17" i="38" s="1"/>
  <c r="V17" i="38" s="1"/>
  <c r="E17" i="38"/>
  <c r="K17" i="38" s="1"/>
  <c r="D17" i="38"/>
  <c r="G16" i="38"/>
  <c r="F16" i="38"/>
  <c r="N16" i="38" s="1"/>
  <c r="E16" i="38"/>
  <c r="D16" i="38"/>
  <c r="G15" i="38"/>
  <c r="F15" i="38"/>
  <c r="E15" i="38"/>
  <c r="D15" i="38"/>
  <c r="G14" i="38"/>
  <c r="F14" i="38"/>
  <c r="E14" i="38"/>
  <c r="D14" i="38"/>
  <c r="G13" i="38"/>
  <c r="F13" i="38"/>
  <c r="E13" i="38"/>
  <c r="D13" i="38"/>
  <c r="F12" i="38"/>
  <c r="D12" i="38"/>
  <c r="J19" i="38"/>
  <c r="N18" i="38"/>
  <c r="L18" i="38" s="1"/>
  <c r="V18" i="38" s="1"/>
  <c r="K18" i="38"/>
  <c r="J17" i="38"/>
  <c r="J16" i="38"/>
  <c r="T16" i="38" s="1"/>
  <c r="O19" i="38"/>
  <c r="O16" i="38"/>
  <c r="F24" i="38"/>
  <c r="D24" i="38"/>
  <c r="I19" i="38"/>
  <c r="S19" i="38" s="1"/>
  <c r="K19" i="38"/>
  <c r="I18" i="38"/>
  <c r="S18" i="38" s="1"/>
  <c r="I17" i="38"/>
  <c r="S17" i="38" s="1"/>
  <c r="I16" i="38"/>
  <c r="S16" i="38" s="1"/>
  <c r="K16" i="38"/>
  <c r="U12" i="39" l="1"/>
  <c r="U18" i="39"/>
  <c r="U17" i="39"/>
  <c r="X47" i="39"/>
  <c r="L47" i="39"/>
  <c r="V47" i="39" s="1"/>
  <c r="U15" i="39"/>
  <c r="M15" i="39"/>
  <c r="U16" i="39"/>
  <c r="M16" i="39"/>
  <c r="G30" i="39"/>
  <c r="O29" i="39"/>
  <c r="F49" i="39"/>
  <c r="N49" i="39" s="1"/>
  <c r="N36" i="39"/>
  <c r="W6" i="39"/>
  <c r="W104" i="39" s="1"/>
  <c r="Y6" i="39"/>
  <c r="Y28" i="39" s="1"/>
  <c r="D44" i="39"/>
  <c r="J44" i="39" s="1"/>
  <c r="J31" i="39"/>
  <c r="W70" i="39"/>
  <c r="AA6" i="39"/>
  <c r="AA22" i="39" s="1"/>
  <c r="T13" i="39"/>
  <c r="L16" i="39"/>
  <c r="V16" i="39" s="1"/>
  <c r="X16" i="39"/>
  <c r="W23" i="39"/>
  <c r="F29" i="39"/>
  <c r="X31" i="39"/>
  <c r="L31" i="39"/>
  <c r="V31" i="39" s="1"/>
  <c r="J33" i="39"/>
  <c r="D46" i="39"/>
  <c r="J46" i="39" s="1"/>
  <c r="D48" i="39"/>
  <c r="J48" i="39" s="1"/>
  <c r="J35" i="39"/>
  <c r="U37" i="39"/>
  <c r="P40" i="39"/>
  <c r="Z40" i="39" s="1"/>
  <c r="T40" i="39"/>
  <c r="Y16" i="39"/>
  <c r="P22" i="39"/>
  <c r="Z22" i="39" s="1"/>
  <c r="T22" i="39"/>
  <c r="J25" i="39"/>
  <c r="F40" i="39"/>
  <c r="N40" i="39" s="1"/>
  <c r="N27" i="39"/>
  <c r="E41" i="39"/>
  <c r="K40" i="39"/>
  <c r="W55" i="39"/>
  <c r="AA100" i="39"/>
  <c r="U26" i="39"/>
  <c r="M26" i="39"/>
  <c r="W26" i="39" s="1"/>
  <c r="U171" i="39"/>
  <c r="U169" i="39"/>
  <c r="U167" i="39"/>
  <c r="U165" i="39"/>
  <c r="U163" i="39"/>
  <c r="U161" i="39"/>
  <c r="U159" i="39"/>
  <c r="U157" i="39"/>
  <c r="U155" i="39"/>
  <c r="U153" i="39"/>
  <c r="U151" i="39"/>
  <c r="U149" i="39"/>
  <c r="U147" i="39"/>
  <c r="U145" i="39"/>
  <c r="U143" i="39"/>
  <c r="U141" i="39"/>
  <c r="U139" i="39"/>
  <c r="U137" i="39"/>
  <c r="U135" i="39"/>
  <c r="U133" i="39"/>
  <c r="U131" i="39"/>
  <c r="U129" i="39"/>
  <c r="U127" i="39"/>
  <c r="U125" i="39"/>
  <c r="U123" i="39"/>
  <c r="U121" i="39"/>
  <c r="U119" i="39"/>
  <c r="U117" i="39"/>
  <c r="U115" i="39"/>
  <c r="U113" i="39"/>
  <c r="U111" i="39"/>
  <c r="U109" i="39"/>
  <c r="U107" i="39"/>
  <c r="U105" i="39"/>
  <c r="U118" i="39"/>
  <c r="U68" i="39"/>
  <c r="U120" i="39"/>
  <c r="U128" i="39"/>
  <c r="U86" i="39"/>
  <c r="U56" i="39"/>
  <c r="U64" i="39"/>
  <c r="U103" i="39"/>
  <c r="U101" i="39"/>
  <c r="U92" i="39"/>
  <c r="U74" i="39"/>
  <c r="U52" i="39"/>
  <c r="U124" i="39"/>
  <c r="U114" i="39"/>
  <c r="U82" i="39"/>
  <c r="U62" i="39"/>
  <c r="U110" i="39"/>
  <c r="U70" i="39"/>
  <c r="U50" i="39"/>
  <c r="U80" i="39"/>
  <c r="U58" i="39"/>
  <c r="U88" i="39"/>
  <c r="J36" i="39"/>
  <c r="D49" i="39"/>
  <c r="J49" i="39" s="1"/>
  <c r="X45" i="39"/>
  <c r="L45" i="39"/>
  <c r="V45" i="39" s="1"/>
  <c r="F46" i="39"/>
  <c r="N46" i="39" s="1"/>
  <c r="N33" i="39"/>
  <c r="U22" i="39"/>
  <c r="Y23" i="39"/>
  <c r="Q23" i="39"/>
  <c r="U24" i="39"/>
  <c r="M24" i="39"/>
  <c r="U25" i="39"/>
  <c r="M25" i="39"/>
  <c r="W25" i="39" s="1"/>
  <c r="M60" i="39"/>
  <c r="W60" i="39" s="1"/>
  <c r="U60" i="39"/>
  <c r="Y84" i="39"/>
  <c r="D39" i="39"/>
  <c r="J39" i="39" s="1"/>
  <c r="J26" i="39"/>
  <c r="X13" i="39"/>
  <c r="AA25" i="39"/>
  <c r="W82" i="39"/>
  <c r="U21" i="39"/>
  <c r="J23" i="39"/>
  <c r="AA27" i="39"/>
  <c r="AA93" i="39"/>
  <c r="AA98" i="39"/>
  <c r="W11" i="39"/>
  <c r="L15" i="39"/>
  <c r="V15" i="39" s="1"/>
  <c r="X15" i="39"/>
  <c r="F39" i="39"/>
  <c r="N39" i="39" s="1"/>
  <c r="N26" i="39"/>
  <c r="M17" i="39"/>
  <c r="W18" i="39"/>
  <c r="P19" i="39"/>
  <c r="Z19" i="39" s="1"/>
  <c r="T19" i="39"/>
  <c r="AA24" i="39"/>
  <c r="X25" i="39"/>
  <c r="W38" i="39"/>
  <c r="W68" i="39"/>
  <c r="AA15" i="39"/>
  <c r="U19" i="39"/>
  <c r="M19" i="39"/>
  <c r="W19" i="39" s="1"/>
  <c r="X20" i="39"/>
  <c r="L20" i="39"/>
  <c r="V20" i="39" s="1"/>
  <c r="W21" i="39"/>
  <c r="U23" i="39"/>
  <c r="T45" i="39"/>
  <c r="P45" i="39"/>
  <c r="Z45" i="39" s="1"/>
  <c r="L38" i="39"/>
  <c r="V38" i="39" s="1"/>
  <c r="X38" i="39"/>
  <c r="X53" i="39"/>
  <c r="L53" i="39"/>
  <c r="V53" i="39" s="1"/>
  <c r="Y96" i="39"/>
  <c r="T18" i="39"/>
  <c r="L19" i="39"/>
  <c r="V19" i="39" s="1"/>
  <c r="X19" i="39"/>
  <c r="Q20" i="39"/>
  <c r="L22" i="39"/>
  <c r="V22" i="39" s="1"/>
  <c r="X22" i="39"/>
  <c r="L28" i="39"/>
  <c r="V28" i="39" s="1"/>
  <c r="X28" i="39"/>
  <c r="L44" i="39"/>
  <c r="V44" i="39" s="1"/>
  <c r="X44" i="39"/>
  <c r="W50" i="39"/>
  <c r="W62" i="39"/>
  <c r="U76" i="39"/>
  <c r="W86" i="39"/>
  <c r="J15" i="39"/>
  <c r="D28" i="39"/>
  <c r="P24" i="39"/>
  <c r="Z24" i="39" s="1"/>
  <c r="T24" i="39"/>
  <c r="T38" i="39"/>
  <c r="P38" i="39"/>
  <c r="Z38" i="39" s="1"/>
  <c r="Q26" i="39"/>
  <c r="AA26" i="39" s="1"/>
  <c r="Q28" i="39"/>
  <c r="AA28" i="39" s="1"/>
  <c r="L34" i="39"/>
  <c r="V34" i="39" s="1"/>
  <c r="X34" i="39"/>
  <c r="U39" i="39"/>
  <c r="M39" i="39"/>
  <c r="W56" i="39"/>
  <c r="U61" i="39"/>
  <c r="M61" i="39"/>
  <c r="W61" i="39" s="1"/>
  <c r="U94" i="39"/>
  <c r="Q19" i="39"/>
  <c r="D30" i="39"/>
  <c r="J17" i="39"/>
  <c r="X32" i="39"/>
  <c r="AA67" i="39"/>
  <c r="AA79" i="39"/>
  <c r="AA101" i="39"/>
  <c r="U11" i="39"/>
  <c r="J16" i="39"/>
  <c r="D29" i="39"/>
  <c r="K27" i="39"/>
  <c r="E28" i="39"/>
  <c r="O37" i="39"/>
  <c r="G38" i="39"/>
  <c r="AA58" i="39"/>
  <c r="U20" i="39"/>
  <c r="T32" i="39"/>
  <c r="F41" i="39"/>
  <c r="N41" i="39" s="1"/>
  <c r="Q50" i="39"/>
  <c r="AA50" i="39" s="1"/>
  <c r="P54" i="39"/>
  <c r="Z54" i="39" s="1"/>
  <c r="T54" i="39"/>
  <c r="T58" i="39"/>
  <c r="L63" i="39"/>
  <c r="V63" i="39" s="1"/>
  <c r="M84" i="39"/>
  <c r="U84" i="39"/>
  <c r="U85" i="39"/>
  <c r="T88" i="39"/>
  <c r="U102" i="39"/>
  <c r="M102" i="39"/>
  <c r="W52" i="39"/>
  <c r="M54" i="39"/>
  <c r="W54" i="39" s="1"/>
  <c r="U54" i="39"/>
  <c r="U55" i="39"/>
  <c r="Q71" i="39"/>
  <c r="AA71" i="39" s="1"/>
  <c r="X77" i="39"/>
  <c r="U93" i="39"/>
  <c r="M93" i="39"/>
  <c r="W100" i="39"/>
  <c r="X105" i="39"/>
  <c r="L105" i="39"/>
  <c r="V105" i="39" s="1"/>
  <c r="W115" i="39"/>
  <c r="T34" i="39"/>
  <c r="AA70" i="39"/>
  <c r="U75" i="39"/>
  <c r="M75" i="39"/>
  <c r="W75" i="39" s="1"/>
  <c r="Y87" i="39"/>
  <c r="M20" i="39"/>
  <c r="W20" i="39" s="1"/>
  <c r="P27" i="39"/>
  <c r="Z27" i="39" s="1"/>
  <c r="D47" i="39"/>
  <c r="J47" i="39" s="1"/>
  <c r="Q62" i="39"/>
  <c r="P66" i="39"/>
  <c r="Z66" i="39" s="1"/>
  <c r="T66" i="39"/>
  <c r="T70" i="39"/>
  <c r="Q72" i="39"/>
  <c r="AA72" i="39" s="1"/>
  <c r="L75" i="39"/>
  <c r="V75" i="39" s="1"/>
  <c r="L93" i="39"/>
  <c r="V93" i="39" s="1"/>
  <c r="X95" i="39"/>
  <c r="Y105" i="39"/>
  <c r="Q105" i="39"/>
  <c r="AA105" i="39" s="1"/>
  <c r="Q107" i="39"/>
  <c r="Q111" i="39"/>
  <c r="AA111" i="39" s="1"/>
  <c r="AA117" i="39"/>
  <c r="W64" i="39"/>
  <c r="M66" i="39"/>
  <c r="W66" i="39" s="1"/>
  <c r="U66" i="39"/>
  <c r="U67" i="39"/>
  <c r="AA82" i="39"/>
  <c r="Q83" i="39"/>
  <c r="Y92" i="39"/>
  <c r="Q104" i="39"/>
  <c r="AA104" i="39" s="1"/>
  <c r="T119" i="39"/>
  <c r="P119" i="39"/>
  <c r="Z119" i="39" s="1"/>
  <c r="T121" i="39"/>
  <c r="P121" i="39"/>
  <c r="Z121" i="39" s="1"/>
  <c r="W37" i="39"/>
  <c r="AA52" i="39"/>
  <c r="Q53" i="39"/>
  <c r="AA53" i="39" s="1"/>
  <c r="U57" i="39"/>
  <c r="M57" i="39"/>
  <c r="L65" i="39"/>
  <c r="V65" i="39" s="1"/>
  <c r="Q74" i="39"/>
  <c r="AA74" i="39" s="1"/>
  <c r="P78" i="39"/>
  <c r="Z78" i="39" s="1"/>
  <c r="T78" i="39"/>
  <c r="T82" i="39"/>
  <c r="Q84" i="39"/>
  <c r="U87" i="39"/>
  <c r="M87" i="39"/>
  <c r="W87" i="39" s="1"/>
  <c r="X89" i="39"/>
  <c r="Q92" i="39"/>
  <c r="AA92" i="39" s="1"/>
  <c r="AA99" i="39"/>
  <c r="Q103" i="39"/>
  <c r="AA103" i="39" s="1"/>
  <c r="Y22" i="39"/>
  <c r="Q54" i="39"/>
  <c r="AA54" i="39" s="1"/>
  <c r="M67" i="39"/>
  <c r="M76" i="39"/>
  <c r="W76" i="39" s="1"/>
  <c r="M78" i="39"/>
  <c r="U78" i="39"/>
  <c r="M94" i="39"/>
  <c r="W94" i="39" s="1"/>
  <c r="P96" i="39"/>
  <c r="Z96" i="39" s="1"/>
  <c r="T96" i="39"/>
  <c r="AA123" i="39"/>
  <c r="F43" i="39"/>
  <c r="N43" i="39" s="1"/>
  <c r="U79" i="39"/>
  <c r="U14" i="39"/>
  <c r="U38" i="39"/>
  <c r="AA64" i="39"/>
  <c r="Q65" i="39"/>
  <c r="U69" i="39"/>
  <c r="M69" i="39"/>
  <c r="W69" i="39" s="1"/>
  <c r="Q75" i="39"/>
  <c r="M96" i="39"/>
  <c r="W96" i="39" s="1"/>
  <c r="U96" i="39"/>
  <c r="U97" i="39"/>
  <c r="Y106" i="39"/>
  <c r="W127" i="39"/>
  <c r="AA56" i="39"/>
  <c r="P60" i="39"/>
  <c r="Z60" i="39" s="1"/>
  <c r="T60" i="39"/>
  <c r="AA66" i="39"/>
  <c r="L69" i="39"/>
  <c r="V69" i="39" s="1"/>
  <c r="W79" i="39"/>
  <c r="AA86" i="39"/>
  <c r="P90" i="39"/>
  <c r="Z90" i="39" s="1"/>
  <c r="T90" i="39"/>
  <c r="Y115" i="39"/>
  <c r="Y68" i="39"/>
  <c r="Q77" i="39"/>
  <c r="AA77" i="39" s="1"/>
  <c r="U81" i="39"/>
  <c r="M81" i="39"/>
  <c r="W88" i="39"/>
  <c r="M90" i="39"/>
  <c r="W90" i="39" s="1"/>
  <c r="U90" i="39"/>
  <c r="U91" i="39"/>
  <c r="AA94" i="39"/>
  <c r="P98" i="39"/>
  <c r="Z98" i="39" s="1"/>
  <c r="T98" i="39"/>
  <c r="T117" i="39"/>
  <c r="P117" i="39"/>
  <c r="Z117" i="39" s="1"/>
  <c r="Y119" i="39"/>
  <c r="F48" i="39"/>
  <c r="N48" i="39" s="1"/>
  <c r="N35" i="39"/>
  <c r="U51" i="39"/>
  <c r="M51" i="39"/>
  <c r="W51" i="39" s="1"/>
  <c r="Q68" i="39"/>
  <c r="P72" i="39"/>
  <c r="Z72" i="39" s="1"/>
  <c r="T72" i="39"/>
  <c r="Y95" i="39"/>
  <c r="Q95" i="39"/>
  <c r="AA95" i="39" s="1"/>
  <c r="U106" i="39"/>
  <c r="U108" i="39"/>
  <c r="Q118" i="39"/>
  <c r="AA118" i="39" s="1"/>
  <c r="M72" i="39"/>
  <c r="W72" i="39" s="1"/>
  <c r="U72" i="39"/>
  <c r="U73" i="39"/>
  <c r="M91" i="39"/>
  <c r="AA96" i="39"/>
  <c r="P100" i="39"/>
  <c r="Z100" i="39" s="1"/>
  <c r="T100" i="39"/>
  <c r="W124" i="39"/>
  <c r="AA126" i="39"/>
  <c r="W137" i="39"/>
  <c r="Q59" i="39"/>
  <c r="AA59" i="39" s="1"/>
  <c r="U63" i="39"/>
  <c r="M63" i="39"/>
  <c r="W63" i="39" s="1"/>
  <c r="Q80" i="39"/>
  <c r="P84" i="39"/>
  <c r="Z84" i="39" s="1"/>
  <c r="T84" i="39"/>
  <c r="AA88" i="39"/>
  <c r="Y89" i="39"/>
  <c r="Q89" i="39"/>
  <c r="AA89" i="39" s="1"/>
  <c r="U100" i="39"/>
  <c r="U104" i="39"/>
  <c r="W111" i="39"/>
  <c r="W114" i="39"/>
  <c r="U53" i="39"/>
  <c r="U59" i="39"/>
  <c r="U65" i="39"/>
  <c r="U71" i="39"/>
  <c r="U77" i="39"/>
  <c r="U83" i="39"/>
  <c r="U89" i="39"/>
  <c r="U95" i="39"/>
  <c r="Y101" i="39"/>
  <c r="P103" i="39"/>
  <c r="Z103" i="39" s="1"/>
  <c r="T103" i="39"/>
  <c r="W108" i="39"/>
  <c r="W109" i="39"/>
  <c r="U112" i="39"/>
  <c r="AA130" i="39"/>
  <c r="AA131" i="39"/>
  <c r="M136" i="39"/>
  <c r="W136" i="39" s="1"/>
  <c r="U136" i="39"/>
  <c r="AA142" i="39"/>
  <c r="AA170" i="39"/>
  <c r="AA171" i="39"/>
  <c r="AA140" i="39"/>
  <c r="AA143" i="39"/>
  <c r="T155" i="39"/>
  <c r="P155" i="39"/>
  <c r="Z155" i="39" s="1"/>
  <c r="M156" i="39"/>
  <c r="U156" i="39"/>
  <c r="AA158" i="39"/>
  <c r="AA159" i="39"/>
  <c r="AA164" i="39"/>
  <c r="AA165" i="39"/>
  <c r="M53" i="39"/>
  <c r="W53" i="39" s="1"/>
  <c r="M59" i="39"/>
  <c r="W59" i="39" s="1"/>
  <c r="M65" i="39"/>
  <c r="M71" i="39"/>
  <c r="W71" i="39" s="1"/>
  <c r="M77" i="39"/>
  <c r="W77" i="39" s="1"/>
  <c r="M83" i="39"/>
  <c r="W83" i="39" s="1"/>
  <c r="M89" i="39"/>
  <c r="W95" i="39"/>
  <c r="AA97" i="39"/>
  <c r="U99" i="39"/>
  <c r="Q102" i="39"/>
  <c r="AA102" i="39" s="1"/>
  <c r="AA108" i="39"/>
  <c r="AA110" i="39"/>
  <c r="W113" i="39"/>
  <c r="U116" i="39"/>
  <c r="W118" i="39"/>
  <c r="T125" i="39"/>
  <c r="P125" i="39"/>
  <c r="Z125" i="39" s="1"/>
  <c r="M126" i="39"/>
  <c r="U126" i="39"/>
  <c r="X127" i="39"/>
  <c r="L127" i="39"/>
  <c r="V127" i="39" s="1"/>
  <c r="AA138" i="39"/>
  <c r="AA141" i="39"/>
  <c r="T147" i="39"/>
  <c r="P147" i="39"/>
  <c r="Z147" i="39" s="1"/>
  <c r="M148" i="39"/>
  <c r="W148" i="39" s="1"/>
  <c r="U148" i="39"/>
  <c r="AA151" i="39"/>
  <c r="AA129" i="39"/>
  <c r="T133" i="39"/>
  <c r="P133" i="39"/>
  <c r="Z133" i="39" s="1"/>
  <c r="M134" i="39"/>
  <c r="U134" i="39"/>
  <c r="T161" i="39"/>
  <c r="P161" i="39"/>
  <c r="Z161" i="39" s="1"/>
  <c r="T167" i="39"/>
  <c r="P167" i="39"/>
  <c r="Z167" i="39" s="1"/>
  <c r="AA114" i="39"/>
  <c r="W120" i="39"/>
  <c r="AA137" i="39"/>
  <c r="M132" i="39"/>
  <c r="W132" i="39" s="1"/>
  <c r="U132" i="39"/>
  <c r="T145" i="39"/>
  <c r="P145" i="39"/>
  <c r="Z145" i="39" s="1"/>
  <c r="M146" i="39"/>
  <c r="U146" i="39"/>
  <c r="AA148" i="39"/>
  <c r="AA162" i="39"/>
  <c r="AA116" i="39"/>
  <c r="AA124" i="39"/>
  <c r="T131" i="39"/>
  <c r="P131" i="39"/>
  <c r="Z131" i="39" s="1"/>
  <c r="AA134" i="39"/>
  <c r="AA135" i="39"/>
  <c r="M160" i="39"/>
  <c r="W160" i="39" s="1"/>
  <c r="U160" i="39"/>
  <c r="M166" i="39"/>
  <c r="W166" i="39" s="1"/>
  <c r="U166" i="39"/>
  <c r="T143" i="39"/>
  <c r="P143" i="39"/>
  <c r="Z143" i="39" s="1"/>
  <c r="M144" i="39"/>
  <c r="W144" i="39" s="1"/>
  <c r="U144" i="39"/>
  <c r="M152" i="39"/>
  <c r="W152" i="39" s="1"/>
  <c r="U152" i="39"/>
  <c r="AA154" i="39"/>
  <c r="AA155" i="39"/>
  <c r="T159" i="39"/>
  <c r="P159" i="39"/>
  <c r="Z159" i="39" s="1"/>
  <c r="T165" i="39"/>
  <c r="P165" i="39"/>
  <c r="Z165" i="39" s="1"/>
  <c r="AA125" i="39"/>
  <c r="T141" i="39"/>
  <c r="P141" i="39"/>
  <c r="Z141" i="39" s="1"/>
  <c r="AA146" i="39"/>
  <c r="T151" i="39"/>
  <c r="P151" i="39"/>
  <c r="Z151" i="39" s="1"/>
  <c r="AA121" i="39"/>
  <c r="T129" i="39"/>
  <c r="P129" i="39"/>
  <c r="Z129" i="39" s="1"/>
  <c r="W131" i="39"/>
  <c r="AA133" i="39"/>
  <c r="AA160" i="39"/>
  <c r="AA166" i="39"/>
  <c r="AA167" i="39"/>
  <c r="T137" i="39"/>
  <c r="P137" i="39"/>
  <c r="Z137" i="39" s="1"/>
  <c r="M140" i="39"/>
  <c r="U140" i="39"/>
  <c r="W143" i="39"/>
  <c r="AA152" i="39"/>
  <c r="AA153" i="39"/>
  <c r="T157" i="39"/>
  <c r="P157" i="39"/>
  <c r="Z157" i="39" s="1"/>
  <c r="M158" i="39"/>
  <c r="U158" i="39"/>
  <c r="U98" i="39"/>
  <c r="W107" i="39"/>
  <c r="W110" i="39"/>
  <c r="U122" i="39"/>
  <c r="T127" i="39"/>
  <c r="P127" i="39"/>
  <c r="Z127" i="39" s="1"/>
  <c r="AA145" i="39"/>
  <c r="T163" i="39"/>
  <c r="P163" i="39"/>
  <c r="Z163" i="39" s="1"/>
  <c r="T139" i="39"/>
  <c r="P139" i="39"/>
  <c r="Z139" i="39" s="1"/>
  <c r="M142" i="39"/>
  <c r="U142" i="39"/>
  <c r="AA149" i="39"/>
  <c r="M162" i="39"/>
  <c r="U162" i="39"/>
  <c r="M168" i="39"/>
  <c r="W168" i="39" s="1"/>
  <c r="U168" i="39"/>
  <c r="T105" i="39"/>
  <c r="T123" i="39"/>
  <c r="P123" i="39"/>
  <c r="Z123" i="39" s="1"/>
  <c r="T135" i="39"/>
  <c r="P135" i="39"/>
  <c r="Z135" i="39" s="1"/>
  <c r="M138" i="39"/>
  <c r="U138" i="39"/>
  <c r="AA144" i="39"/>
  <c r="AA147" i="39"/>
  <c r="T153" i="39"/>
  <c r="P153" i="39"/>
  <c r="Z153" i="39" s="1"/>
  <c r="M154" i="39"/>
  <c r="U154" i="39"/>
  <c r="AA156" i="39"/>
  <c r="AA157" i="39"/>
  <c r="AA168" i="39"/>
  <c r="AA169" i="39"/>
  <c r="M172" i="39"/>
  <c r="U172" i="39"/>
  <c r="T171" i="39"/>
  <c r="P171" i="39"/>
  <c r="Z171" i="39" s="1"/>
  <c r="AA122" i="39"/>
  <c r="W128" i="39"/>
  <c r="M130" i="39"/>
  <c r="U130" i="39"/>
  <c r="AA136" i="39"/>
  <c r="AA139" i="39"/>
  <c r="T149" i="39"/>
  <c r="P149" i="39"/>
  <c r="Z149" i="39" s="1"/>
  <c r="M150" i="39"/>
  <c r="U150" i="39"/>
  <c r="AA172" i="39"/>
  <c r="M164" i="39"/>
  <c r="U164" i="39"/>
  <c r="M170" i="39"/>
  <c r="W170" i="39" s="1"/>
  <c r="U170" i="39"/>
  <c r="T169" i="39"/>
  <c r="P169" i="39"/>
  <c r="Z169" i="39" s="1"/>
  <c r="F30" i="38"/>
  <c r="F43" i="38" s="1"/>
  <c r="F31" i="38"/>
  <c r="F44" i="38" s="1"/>
  <c r="F32" i="38"/>
  <c r="F45" i="38" s="1"/>
  <c r="F29" i="38"/>
  <c r="F42" i="38" s="1"/>
  <c r="D30" i="38"/>
  <c r="D43" i="38" s="1"/>
  <c r="D32" i="38"/>
  <c r="D45" i="38" s="1"/>
  <c r="D29" i="38"/>
  <c r="D42" i="38" s="1"/>
  <c r="D31" i="38"/>
  <c r="D44" i="38" s="1"/>
  <c r="G38" i="38"/>
  <c r="G39" i="38" s="1"/>
  <c r="G40" i="38" s="1"/>
  <c r="G41" i="38" s="1"/>
  <c r="G42" i="38" s="1"/>
  <c r="G43" i="38" s="1"/>
  <c r="G44" i="38" s="1"/>
  <c r="G45" i="38" s="1"/>
  <c r="G46" i="38" s="1"/>
  <c r="G47" i="38" s="1"/>
  <c r="G48" i="38" s="1"/>
  <c r="G49" i="38" s="1"/>
  <c r="T17" i="38"/>
  <c r="P17" i="38"/>
  <c r="Z17" i="38" s="1"/>
  <c r="Q17" i="38"/>
  <c r="T19" i="38"/>
  <c r="P19" i="38"/>
  <c r="Z19" i="38" s="1"/>
  <c r="M19" i="38"/>
  <c r="L19" i="38"/>
  <c r="V19" i="38" s="1"/>
  <c r="X19" i="38"/>
  <c r="L16" i="38"/>
  <c r="V16" i="38" s="1"/>
  <c r="X16" i="38"/>
  <c r="P18" i="38"/>
  <c r="Z18" i="38" s="1"/>
  <c r="T18" i="38"/>
  <c r="M18" i="38"/>
  <c r="X17" i="38"/>
  <c r="M16" i="38"/>
  <c r="Q18" i="38"/>
  <c r="P16" i="38"/>
  <c r="Z16" i="38" s="1"/>
  <c r="Q16" i="38"/>
  <c r="M17" i="38"/>
  <c r="Q19" i="38"/>
  <c r="X18" i="38"/>
  <c r="G25" i="38"/>
  <c r="G26" i="38" s="1"/>
  <c r="G27" i="38" s="1"/>
  <c r="G28" i="38" s="1"/>
  <c r="G29" i="38" s="1"/>
  <c r="G30" i="38" s="1"/>
  <c r="G31" i="38" s="1"/>
  <c r="G32" i="38" s="1"/>
  <c r="G33" i="38" s="1"/>
  <c r="G34" i="38" s="1"/>
  <c r="G35" i="38" s="1"/>
  <c r="G36" i="38" s="1"/>
  <c r="E25" i="38"/>
  <c r="E26" i="38" s="1"/>
  <c r="E27" i="38" s="1"/>
  <c r="E28" i="38" s="1"/>
  <c r="E29" i="38" s="1"/>
  <c r="E30" i="38" s="1"/>
  <c r="E31" i="38" s="1"/>
  <c r="E32" i="38" s="1"/>
  <c r="E33" i="38" s="1"/>
  <c r="E34" i="38" s="1"/>
  <c r="E35" i="38" s="1"/>
  <c r="E36" i="38" s="1"/>
  <c r="J169" i="38"/>
  <c r="D28" i="38"/>
  <c r="D41" i="38" s="1"/>
  <c r="K15" i="38"/>
  <c r="O15" i="38"/>
  <c r="D33" i="38"/>
  <c r="D46" i="38" s="1"/>
  <c r="K20" i="38"/>
  <c r="M20" i="38" s="1"/>
  <c r="F33" i="38"/>
  <c r="F46" i="38" s="1"/>
  <c r="O20" i="38"/>
  <c r="K21" i="38"/>
  <c r="M21" i="38" s="1"/>
  <c r="O21" i="38"/>
  <c r="Q21" i="38" s="1"/>
  <c r="K22" i="38"/>
  <c r="O22" i="38"/>
  <c r="Q22" i="38" s="1"/>
  <c r="D36" i="38"/>
  <c r="D49" i="38" s="1"/>
  <c r="K23" i="38"/>
  <c r="O14" i="38"/>
  <c r="Q14" i="38" s="1"/>
  <c r="K14" i="38"/>
  <c r="O13" i="38"/>
  <c r="Q13" i="38" s="1"/>
  <c r="K13" i="38"/>
  <c r="M13" i="38" s="1"/>
  <c r="F25" i="38"/>
  <c r="F38" i="38" s="1"/>
  <c r="I172" i="38"/>
  <c r="S172" i="38" s="1"/>
  <c r="I171" i="38"/>
  <c r="S171" i="38" s="1"/>
  <c r="I170" i="38"/>
  <c r="S170" i="38" s="1"/>
  <c r="I169" i="38"/>
  <c r="S169" i="38" s="1"/>
  <c r="I168" i="38"/>
  <c r="S168" i="38" s="1"/>
  <c r="I167" i="38"/>
  <c r="S167" i="38" s="1"/>
  <c r="I166" i="38"/>
  <c r="S166" i="38" s="1"/>
  <c r="I165" i="38"/>
  <c r="S165" i="38" s="1"/>
  <c r="I164" i="38"/>
  <c r="S164" i="38" s="1"/>
  <c r="I163" i="38"/>
  <c r="S163" i="38" s="1"/>
  <c r="I162" i="38"/>
  <c r="S162" i="38" s="1"/>
  <c r="I161" i="38"/>
  <c r="S161" i="38" s="1"/>
  <c r="I160" i="38"/>
  <c r="S160" i="38" s="1"/>
  <c r="I159" i="38"/>
  <c r="S159" i="38" s="1"/>
  <c r="I158" i="38"/>
  <c r="S158" i="38" s="1"/>
  <c r="I157" i="38"/>
  <c r="S157" i="38" s="1"/>
  <c r="I156" i="38"/>
  <c r="S156" i="38" s="1"/>
  <c r="I155" i="38"/>
  <c r="S155" i="38" s="1"/>
  <c r="I154" i="38"/>
  <c r="S154" i="38" s="1"/>
  <c r="I153" i="38"/>
  <c r="S153" i="38" s="1"/>
  <c r="I152" i="38"/>
  <c r="S152" i="38" s="1"/>
  <c r="I151" i="38"/>
  <c r="S151" i="38" s="1"/>
  <c r="I150" i="38"/>
  <c r="S150" i="38" s="1"/>
  <c r="I149" i="38"/>
  <c r="S149" i="38" s="1"/>
  <c r="I148" i="38"/>
  <c r="S148" i="38" s="1"/>
  <c r="I147" i="38"/>
  <c r="S147" i="38" s="1"/>
  <c r="I146" i="38"/>
  <c r="S146" i="38" s="1"/>
  <c r="I145" i="38"/>
  <c r="S145" i="38" s="1"/>
  <c r="I144" i="38"/>
  <c r="S144" i="38" s="1"/>
  <c r="I143" i="38"/>
  <c r="S143" i="38" s="1"/>
  <c r="I142" i="38"/>
  <c r="S142" i="38" s="1"/>
  <c r="I141" i="38"/>
  <c r="S141" i="38" s="1"/>
  <c r="I140" i="38"/>
  <c r="S140" i="38" s="1"/>
  <c r="I139" i="38"/>
  <c r="S139" i="38" s="1"/>
  <c r="I138" i="38"/>
  <c r="S138" i="38" s="1"/>
  <c r="I137" i="38"/>
  <c r="S137" i="38" s="1"/>
  <c r="I136" i="38"/>
  <c r="S136" i="38" s="1"/>
  <c r="I135" i="38"/>
  <c r="S135" i="38" s="1"/>
  <c r="I134" i="38"/>
  <c r="S134" i="38" s="1"/>
  <c r="I133" i="38"/>
  <c r="S133" i="38" s="1"/>
  <c r="I132" i="38"/>
  <c r="S132" i="38" s="1"/>
  <c r="I131" i="38"/>
  <c r="S131" i="38" s="1"/>
  <c r="I130" i="38"/>
  <c r="S130" i="38" s="1"/>
  <c r="I129" i="38"/>
  <c r="S129" i="38" s="1"/>
  <c r="I128" i="38"/>
  <c r="S128" i="38" s="1"/>
  <c r="I127" i="38"/>
  <c r="S127" i="38" s="1"/>
  <c r="I126" i="38"/>
  <c r="S126" i="38" s="1"/>
  <c r="I125" i="38"/>
  <c r="S125" i="38" s="1"/>
  <c r="I124" i="38"/>
  <c r="S124" i="38" s="1"/>
  <c r="I123" i="38"/>
  <c r="S123" i="38" s="1"/>
  <c r="I122" i="38"/>
  <c r="S122" i="38" s="1"/>
  <c r="I121" i="38"/>
  <c r="S121" i="38" s="1"/>
  <c r="I120" i="38"/>
  <c r="S120" i="38" s="1"/>
  <c r="I119" i="38"/>
  <c r="S119" i="38" s="1"/>
  <c r="I118" i="38"/>
  <c r="S118" i="38" s="1"/>
  <c r="I117" i="38"/>
  <c r="S117" i="38" s="1"/>
  <c r="I116" i="38"/>
  <c r="S116" i="38" s="1"/>
  <c r="I115" i="38"/>
  <c r="S115" i="38" s="1"/>
  <c r="I114" i="38"/>
  <c r="S114" i="38" s="1"/>
  <c r="I113" i="38"/>
  <c r="S113" i="38" s="1"/>
  <c r="I112" i="38"/>
  <c r="S112" i="38" s="1"/>
  <c r="I111" i="38"/>
  <c r="S111" i="38" s="1"/>
  <c r="I110" i="38"/>
  <c r="S110" i="38" s="1"/>
  <c r="I109" i="38"/>
  <c r="S109" i="38" s="1"/>
  <c r="I108" i="38"/>
  <c r="S108" i="38" s="1"/>
  <c r="I107" i="38"/>
  <c r="S107" i="38" s="1"/>
  <c r="I106" i="38"/>
  <c r="S106" i="38" s="1"/>
  <c r="I105" i="38"/>
  <c r="S105" i="38" s="1"/>
  <c r="I104" i="38"/>
  <c r="S104" i="38" s="1"/>
  <c r="I103" i="38"/>
  <c r="S103" i="38" s="1"/>
  <c r="I102" i="38"/>
  <c r="S102" i="38" s="1"/>
  <c r="I101" i="38"/>
  <c r="S101" i="38" s="1"/>
  <c r="I100" i="38"/>
  <c r="S100" i="38" s="1"/>
  <c r="I99" i="38"/>
  <c r="S99" i="38" s="1"/>
  <c r="I98" i="38"/>
  <c r="S98" i="38" s="1"/>
  <c r="I97" i="38"/>
  <c r="S97" i="38" s="1"/>
  <c r="I96" i="38"/>
  <c r="S96" i="38" s="1"/>
  <c r="I95" i="38"/>
  <c r="S95" i="38" s="1"/>
  <c r="I94" i="38"/>
  <c r="S94" i="38" s="1"/>
  <c r="I93" i="38"/>
  <c r="S93" i="38" s="1"/>
  <c r="I92" i="38"/>
  <c r="S92" i="38" s="1"/>
  <c r="I91" i="38"/>
  <c r="S91" i="38" s="1"/>
  <c r="I90" i="38"/>
  <c r="S90" i="38" s="1"/>
  <c r="I89" i="38"/>
  <c r="S89" i="38" s="1"/>
  <c r="I88" i="38"/>
  <c r="S88" i="38" s="1"/>
  <c r="I87" i="38"/>
  <c r="S87" i="38" s="1"/>
  <c r="I86" i="38"/>
  <c r="S86" i="38" s="1"/>
  <c r="I85" i="38"/>
  <c r="S85" i="38" s="1"/>
  <c r="I84" i="38"/>
  <c r="S84" i="38" s="1"/>
  <c r="I83" i="38"/>
  <c r="S83" i="38" s="1"/>
  <c r="I82" i="38"/>
  <c r="S82" i="38" s="1"/>
  <c r="I81" i="38"/>
  <c r="S81" i="38" s="1"/>
  <c r="I80" i="38"/>
  <c r="S80" i="38" s="1"/>
  <c r="I79" i="38"/>
  <c r="S79" i="38" s="1"/>
  <c r="I78" i="38"/>
  <c r="S78" i="38" s="1"/>
  <c r="I77" i="38"/>
  <c r="S77" i="38" s="1"/>
  <c r="I76" i="38"/>
  <c r="S76" i="38" s="1"/>
  <c r="I75" i="38"/>
  <c r="S75" i="38" s="1"/>
  <c r="I74" i="38"/>
  <c r="S74" i="38" s="1"/>
  <c r="I73" i="38"/>
  <c r="S73" i="38" s="1"/>
  <c r="I72" i="38"/>
  <c r="S72" i="38" s="1"/>
  <c r="I71" i="38"/>
  <c r="S71" i="38" s="1"/>
  <c r="I70" i="38"/>
  <c r="S70" i="38" s="1"/>
  <c r="I69" i="38"/>
  <c r="S69" i="38" s="1"/>
  <c r="I68" i="38"/>
  <c r="S68" i="38" s="1"/>
  <c r="I67" i="38"/>
  <c r="S67" i="38" s="1"/>
  <c r="I66" i="38"/>
  <c r="S66" i="38" s="1"/>
  <c r="I65" i="38"/>
  <c r="S65" i="38" s="1"/>
  <c r="I64" i="38"/>
  <c r="S64" i="38" s="1"/>
  <c r="I63" i="38"/>
  <c r="S63" i="38" s="1"/>
  <c r="I62" i="38"/>
  <c r="S62" i="38" s="1"/>
  <c r="I61" i="38"/>
  <c r="S61" i="38" s="1"/>
  <c r="I60" i="38"/>
  <c r="S60" i="38" s="1"/>
  <c r="I59" i="38"/>
  <c r="S59" i="38" s="1"/>
  <c r="I58" i="38"/>
  <c r="S58" i="38" s="1"/>
  <c r="I57" i="38"/>
  <c r="S57" i="38" s="1"/>
  <c r="I56" i="38"/>
  <c r="S56" i="38" s="1"/>
  <c r="I55" i="38"/>
  <c r="S55" i="38" s="1"/>
  <c r="I54" i="38"/>
  <c r="S54" i="38" s="1"/>
  <c r="I53" i="38"/>
  <c r="S53" i="38" s="1"/>
  <c r="I52" i="38"/>
  <c r="S52" i="38" s="1"/>
  <c r="I51" i="38"/>
  <c r="S51" i="38" s="1"/>
  <c r="I50" i="38"/>
  <c r="S50" i="38" s="1"/>
  <c r="I49" i="38"/>
  <c r="S49" i="38" s="1"/>
  <c r="I48" i="38"/>
  <c r="S48" i="38" s="1"/>
  <c r="I47" i="38"/>
  <c r="S47" i="38" s="1"/>
  <c r="I46" i="38"/>
  <c r="S46" i="38" s="1"/>
  <c r="I45" i="38"/>
  <c r="S45" i="38" s="1"/>
  <c r="I44" i="38"/>
  <c r="S44" i="38" s="1"/>
  <c r="I43" i="38"/>
  <c r="S43" i="38" s="1"/>
  <c r="I42" i="38"/>
  <c r="S42" i="38" s="1"/>
  <c r="I41" i="38"/>
  <c r="S41" i="38" s="1"/>
  <c r="I40" i="38"/>
  <c r="S40" i="38" s="1"/>
  <c r="I39" i="38"/>
  <c r="S39" i="38" s="1"/>
  <c r="I38" i="38"/>
  <c r="S38" i="38" s="1"/>
  <c r="I37" i="38"/>
  <c r="S37" i="38" s="1"/>
  <c r="I36" i="38"/>
  <c r="S36" i="38" s="1"/>
  <c r="I35" i="38"/>
  <c r="S35" i="38" s="1"/>
  <c r="I34" i="38"/>
  <c r="S34" i="38" s="1"/>
  <c r="I33" i="38"/>
  <c r="S33" i="38" s="1"/>
  <c r="I32" i="38"/>
  <c r="S32" i="38" s="1"/>
  <c r="I31" i="38"/>
  <c r="S31" i="38" s="1"/>
  <c r="I30" i="38"/>
  <c r="S30" i="38" s="1"/>
  <c r="I29" i="38"/>
  <c r="S29" i="38" s="1"/>
  <c r="I28" i="38"/>
  <c r="S28" i="38" s="1"/>
  <c r="I27" i="38"/>
  <c r="S27" i="38" s="1"/>
  <c r="I26" i="38"/>
  <c r="S26" i="38" s="1"/>
  <c r="I25" i="38"/>
  <c r="S25" i="38" s="1"/>
  <c r="I24" i="38"/>
  <c r="S24" i="38" s="1"/>
  <c r="O23" i="38"/>
  <c r="Q23" i="38" s="1"/>
  <c r="I23" i="38"/>
  <c r="S23" i="38" s="1"/>
  <c r="I22" i="38"/>
  <c r="S22" i="38" s="1"/>
  <c r="I21" i="38"/>
  <c r="S21" i="38" s="1"/>
  <c r="I20" i="38"/>
  <c r="S20" i="38" s="1"/>
  <c r="I15" i="38"/>
  <c r="S15" i="38" s="1"/>
  <c r="I14" i="38"/>
  <c r="S14" i="38" s="1"/>
  <c r="I13" i="38"/>
  <c r="S13" i="38" s="1"/>
  <c r="I12" i="38"/>
  <c r="S12" i="38" s="1"/>
  <c r="G12" i="38"/>
  <c r="O12" i="38" s="1"/>
  <c r="E12" i="38"/>
  <c r="K12" i="38" s="1"/>
  <c r="M12" i="38" s="1"/>
  <c r="O11" i="38"/>
  <c r="Q11" i="38" s="1"/>
  <c r="N11" i="38"/>
  <c r="L11" i="38" s="1"/>
  <c r="V11" i="38" s="1"/>
  <c r="K11" i="38"/>
  <c r="M11" i="38" s="1"/>
  <c r="J11" i="38"/>
  <c r="T11" i="38" s="1"/>
  <c r="I11" i="38"/>
  <c r="S11" i="38" s="1"/>
  <c r="G6" i="38"/>
  <c r="W6" i="38" s="1"/>
  <c r="Y17" i="39" l="1"/>
  <c r="Y83" i="39"/>
  <c r="Y86" i="39"/>
  <c r="AA13" i="39"/>
  <c r="AA85" i="39"/>
  <c r="Y65" i="39"/>
  <c r="AA62" i="39"/>
  <c r="Y50" i="39"/>
  <c r="AA63" i="39"/>
  <c r="AA17" i="39"/>
  <c r="Y15" i="39"/>
  <c r="AA55" i="39"/>
  <c r="Y11" i="39"/>
  <c r="AA76" i="39"/>
  <c r="AA115" i="39"/>
  <c r="AA107" i="39"/>
  <c r="Y26" i="39"/>
  <c r="AA18" i="39"/>
  <c r="W130" i="39"/>
  <c r="W154" i="39"/>
  <c r="W146" i="39"/>
  <c r="W112" i="39"/>
  <c r="W65" i="39"/>
  <c r="W106" i="39"/>
  <c r="Y59" i="39"/>
  <c r="Y118" i="39"/>
  <c r="X48" i="39"/>
  <c r="L48" i="39"/>
  <c r="V48" i="39" s="1"/>
  <c r="W81" i="39"/>
  <c r="AA75" i="39"/>
  <c r="AA128" i="39"/>
  <c r="Y103" i="39"/>
  <c r="W57" i="39"/>
  <c r="Y104" i="39"/>
  <c r="AA112" i="39"/>
  <c r="Y62" i="39"/>
  <c r="Y71" i="39"/>
  <c r="W84" i="39"/>
  <c r="Y37" i="39"/>
  <c r="Q37" i="39"/>
  <c r="AA37" i="39" s="1"/>
  <c r="Y72" i="39"/>
  <c r="AA87" i="39"/>
  <c r="AA20" i="39"/>
  <c r="AA60" i="39"/>
  <c r="W73" i="39"/>
  <c r="Y75" i="39"/>
  <c r="O30" i="39"/>
  <c r="G31" i="39"/>
  <c r="Y57" i="39"/>
  <c r="Y80" i="39"/>
  <c r="P17" i="39"/>
  <c r="Z17" i="39" s="1"/>
  <c r="T17" i="39"/>
  <c r="W58" i="39"/>
  <c r="Y20" i="39"/>
  <c r="Y54" i="39"/>
  <c r="W24" i="39"/>
  <c r="Y66" i="39"/>
  <c r="AA127" i="39"/>
  <c r="AA73" i="39"/>
  <c r="AA113" i="39"/>
  <c r="AA91" i="39"/>
  <c r="AA81" i="39"/>
  <c r="AA61" i="39"/>
  <c r="AA109" i="39"/>
  <c r="AA119" i="39"/>
  <c r="AA21" i="39"/>
  <c r="AA14" i="39"/>
  <c r="AA51" i="39"/>
  <c r="W16" i="39"/>
  <c r="D43" i="39"/>
  <c r="J43" i="39" s="1"/>
  <c r="J30" i="39"/>
  <c r="E29" i="39"/>
  <c r="K28" i="39"/>
  <c r="P35" i="39"/>
  <c r="Z35" i="39" s="1"/>
  <c r="T35" i="39"/>
  <c r="W164" i="39"/>
  <c r="W162" i="39"/>
  <c r="Y116" i="39"/>
  <c r="W140" i="39"/>
  <c r="W134" i="39"/>
  <c r="Y102" i="39"/>
  <c r="Y77" i="39"/>
  <c r="AA65" i="39"/>
  <c r="Y53" i="39"/>
  <c r="AA83" i="39"/>
  <c r="Y107" i="39"/>
  <c r="P47" i="39"/>
  <c r="Z47" i="39" s="1"/>
  <c r="T47" i="39"/>
  <c r="AA106" i="39"/>
  <c r="U27" i="39"/>
  <c r="M27" i="39"/>
  <c r="W27" i="39" s="1"/>
  <c r="AA19" i="39"/>
  <c r="W22" i="39"/>
  <c r="W12" i="39"/>
  <c r="AA23" i="39"/>
  <c r="M40" i="39"/>
  <c r="W40" i="39" s="1"/>
  <c r="U40" i="39"/>
  <c r="P48" i="39"/>
  <c r="Z48" i="39" s="1"/>
  <c r="T48" i="39"/>
  <c r="P31" i="39"/>
  <c r="Z31" i="39" s="1"/>
  <c r="T31" i="39"/>
  <c r="W13" i="39"/>
  <c r="J29" i="39"/>
  <c r="D42" i="39"/>
  <c r="J42" i="39" s="1"/>
  <c r="T26" i="39"/>
  <c r="P26" i="39"/>
  <c r="Z26" i="39" s="1"/>
  <c r="K41" i="39"/>
  <c r="E42" i="39"/>
  <c r="T46" i="39"/>
  <c r="P46" i="39"/>
  <c r="Z46" i="39" s="1"/>
  <c r="T44" i="39"/>
  <c r="P44" i="39"/>
  <c r="Z44" i="39" s="1"/>
  <c r="P16" i="39"/>
  <c r="Z16" i="39" s="1"/>
  <c r="T16" i="39"/>
  <c r="T39" i="39"/>
  <c r="P39" i="39"/>
  <c r="Z39" i="39" s="1"/>
  <c r="L27" i="39"/>
  <c r="V27" i="39" s="1"/>
  <c r="X27" i="39"/>
  <c r="P33" i="39"/>
  <c r="Z33" i="39" s="1"/>
  <c r="T33" i="39"/>
  <c r="Y172" i="39"/>
  <c r="Y170" i="39"/>
  <c r="Y168" i="39"/>
  <c r="Y166" i="39"/>
  <c r="Y164" i="39"/>
  <c r="Y162" i="39"/>
  <c r="Y160" i="39"/>
  <c r="Y158" i="39"/>
  <c r="Y156" i="39"/>
  <c r="Y154" i="39"/>
  <c r="Y171" i="39"/>
  <c r="Y169" i="39"/>
  <c r="Y167" i="39"/>
  <c r="Y165" i="39"/>
  <c r="Y163" i="39"/>
  <c r="Y161" i="39"/>
  <c r="Y159" i="39"/>
  <c r="Y146" i="39"/>
  <c r="Y145" i="39"/>
  <c r="Y150" i="39"/>
  <c r="Y130" i="39"/>
  <c r="Y129" i="39"/>
  <c r="Y126" i="39"/>
  <c r="Y152" i="39"/>
  <c r="Y134" i="39"/>
  <c r="Y133" i="39"/>
  <c r="Y125" i="39"/>
  <c r="Y122" i="39"/>
  <c r="Y147" i="39"/>
  <c r="Y123" i="39"/>
  <c r="Y155" i="39"/>
  <c r="Y148" i="39"/>
  <c r="Y135" i="39"/>
  <c r="Y149" i="39"/>
  <c r="Y136" i="39"/>
  <c r="Y157" i="39"/>
  <c r="Y138" i="39"/>
  <c r="Y137" i="39"/>
  <c r="Y140" i="39"/>
  <c r="Y139" i="39"/>
  <c r="Y127" i="39"/>
  <c r="Y109" i="39"/>
  <c r="Y142" i="39"/>
  <c r="Y141" i="39"/>
  <c r="Y151" i="39"/>
  <c r="Y144" i="39"/>
  <c r="Y143" i="39"/>
  <c r="Y131" i="39"/>
  <c r="Y153" i="39"/>
  <c r="Y124" i="39"/>
  <c r="Y121" i="39"/>
  <c r="Y128" i="39"/>
  <c r="Y64" i="39"/>
  <c r="Y93" i="39"/>
  <c r="Y85" i="39"/>
  <c r="Y55" i="39"/>
  <c r="Y52" i="39"/>
  <c r="Y114" i="39"/>
  <c r="Y99" i="39"/>
  <c r="Y82" i="39"/>
  <c r="Y112" i="39"/>
  <c r="Y100" i="39"/>
  <c r="Y98" i="39"/>
  <c r="Y73" i="39"/>
  <c r="Y113" i="39"/>
  <c r="Y110" i="39"/>
  <c r="Y108" i="39"/>
  <c r="Y91" i="39"/>
  <c r="Y70" i="39"/>
  <c r="Y51" i="39"/>
  <c r="Y21" i="39"/>
  <c r="Y97" i="39"/>
  <c r="Y81" i="39"/>
  <c r="Y61" i="39"/>
  <c r="Y90" i="39"/>
  <c r="Y88" i="39"/>
  <c r="Y60" i="39"/>
  <c r="Y58" i="39"/>
  <c r="Y132" i="39"/>
  <c r="Y117" i="39"/>
  <c r="Y69" i="39"/>
  <c r="Y79" i="39"/>
  <c r="Y94" i="39"/>
  <c r="Y76" i="39"/>
  <c r="Y67" i="39"/>
  <c r="Y14" i="39"/>
  <c r="Y27" i="39"/>
  <c r="Y25" i="39"/>
  <c r="Y13" i="39"/>
  <c r="Y63" i="39"/>
  <c r="Y18" i="39"/>
  <c r="Y19" i="39"/>
  <c r="W150" i="39"/>
  <c r="W172" i="39"/>
  <c r="W138" i="39"/>
  <c r="W142" i="39"/>
  <c r="W122" i="39"/>
  <c r="W126" i="39"/>
  <c r="W97" i="39"/>
  <c r="AA120" i="39"/>
  <c r="W121" i="39"/>
  <c r="Y56" i="39"/>
  <c r="W78" i="39"/>
  <c r="AA84" i="39"/>
  <c r="W135" i="39"/>
  <c r="Y74" i="39"/>
  <c r="Y120" i="39"/>
  <c r="W102" i="39"/>
  <c r="X41" i="39"/>
  <c r="L41" i="39"/>
  <c r="V41" i="39" s="1"/>
  <c r="AA11" i="39"/>
  <c r="AA69" i="39"/>
  <c r="Y111" i="39"/>
  <c r="X33" i="39"/>
  <c r="L33" i="39"/>
  <c r="V33" i="39" s="1"/>
  <c r="L40" i="39"/>
  <c r="V40" i="39" s="1"/>
  <c r="X40" i="39"/>
  <c r="AA12" i="39"/>
  <c r="W15" i="39"/>
  <c r="L46" i="39"/>
  <c r="V46" i="39" s="1"/>
  <c r="X46" i="39"/>
  <c r="P25" i="39"/>
  <c r="Z25" i="39" s="1"/>
  <c r="T25" i="39"/>
  <c r="W169" i="39"/>
  <c r="W149" i="39"/>
  <c r="W171" i="39"/>
  <c r="W151" i="39"/>
  <c r="W167" i="39"/>
  <c r="W161" i="39"/>
  <c r="W133" i="39"/>
  <c r="W147" i="39"/>
  <c r="W155" i="39"/>
  <c r="W117" i="39"/>
  <c r="W163" i="39"/>
  <c r="W157" i="39"/>
  <c r="W139" i="39"/>
  <c r="W141" i="39"/>
  <c r="W165" i="39"/>
  <c r="W159" i="39"/>
  <c r="W145" i="39"/>
  <c r="W153" i="39"/>
  <c r="W129" i="39"/>
  <c r="W103" i="39"/>
  <c r="W92" i="39"/>
  <c r="W74" i="39"/>
  <c r="W123" i="39"/>
  <c r="W101" i="39"/>
  <c r="W98" i="39"/>
  <c r="W125" i="39"/>
  <c r="W105" i="39"/>
  <c r="W80" i="39"/>
  <c r="W119" i="39"/>
  <c r="W14" i="39"/>
  <c r="W158" i="39"/>
  <c r="AA161" i="39"/>
  <c r="AA132" i="39"/>
  <c r="AA163" i="39"/>
  <c r="W116" i="39"/>
  <c r="AA150" i="39"/>
  <c r="W89" i="39"/>
  <c r="W156" i="39"/>
  <c r="AA80" i="39"/>
  <c r="W91" i="39"/>
  <c r="AA68" i="39"/>
  <c r="W67" i="39"/>
  <c r="W85" i="39"/>
  <c r="Y78" i="39"/>
  <c r="W93" i="39"/>
  <c r="W99" i="39"/>
  <c r="AA90" i="39"/>
  <c r="W39" i="39"/>
  <c r="W17" i="39"/>
  <c r="Y24" i="39"/>
  <c r="AA78" i="39"/>
  <c r="N29" i="39"/>
  <c r="F42" i="39"/>
  <c r="N42" i="39" s="1"/>
  <c r="Y12" i="39"/>
  <c r="AA57" i="39"/>
  <c r="P23" i="39"/>
  <c r="Z23" i="39" s="1"/>
  <c r="T23" i="39"/>
  <c r="X36" i="39"/>
  <c r="L36" i="39"/>
  <c r="V36" i="39" s="1"/>
  <c r="L43" i="39"/>
  <c r="V43" i="39" s="1"/>
  <c r="X43" i="39"/>
  <c r="J28" i="39"/>
  <c r="D41" i="39"/>
  <c r="J41" i="39" s="1"/>
  <c r="L26" i="39"/>
  <c r="V26" i="39" s="1"/>
  <c r="X26" i="39"/>
  <c r="P49" i="39"/>
  <c r="Z49" i="39" s="1"/>
  <c r="T49" i="39"/>
  <c r="X49" i="39"/>
  <c r="L49" i="39"/>
  <c r="V49" i="39" s="1"/>
  <c r="L35" i="39"/>
  <c r="V35" i="39" s="1"/>
  <c r="X35" i="39"/>
  <c r="G39" i="39"/>
  <c r="O38" i="39"/>
  <c r="P15" i="39"/>
  <c r="Z15" i="39" s="1"/>
  <c r="T15" i="39"/>
  <c r="L39" i="39"/>
  <c r="V39" i="39" s="1"/>
  <c r="X39" i="39"/>
  <c r="P36" i="39"/>
  <c r="Z36" i="39" s="1"/>
  <c r="T36" i="39"/>
  <c r="Y29" i="39"/>
  <c r="Q29" i="39"/>
  <c r="AA29" i="39" s="1"/>
  <c r="AA16" i="39"/>
  <c r="N15" i="38"/>
  <c r="L15" i="38" s="1"/>
  <c r="V15" i="38" s="1"/>
  <c r="F28" i="38"/>
  <c r="F41" i="38" s="1"/>
  <c r="N22" i="38"/>
  <c r="X22" i="38" s="1"/>
  <c r="F35" i="38"/>
  <c r="F48" i="38" s="1"/>
  <c r="N48" i="38" s="1"/>
  <c r="N21" i="38"/>
  <c r="X21" i="38" s="1"/>
  <c r="F34" i="38"/>
  <c r="F47" i="38" s="1"/>
  <c r="N13" i="38"/>
  <c r="X13" i="38" s="1"/>
  <c r="F26" i="38"/>
  <c r="F39" i="38" s="1"/>
  <c r="N23" i="38"/>
  <c r="L23" i="38" s="1"/>
  <c r="V23" i="38" s="1"/>
  <c r="F36" i="38"/>
  <c r="F49" i="38" s="1"/>
  <c r="N14" i="38"/>
  <c r="X14" i="38" s="1"/>
  <c r="F27" i="38"/>
  <c r="F40" i="38" s="1"/>
  <c r="J21" i="38"/>
  <c r="P21" i="38" s="1"/>
  <c r="Z21" i="38" s="1"/>
  <c r="D34" i="38"/>
  <c r="D47" i="38" s="1"/>
  <c r="J47" i="38" s="1"/>
  <c r="J12" i="38"/>
  <c r="T12" i="38" s="1"/>
  <c r="D25" i="38"/>
  <c r="D38" i="38" s="1"/>
  <c r="J13" i="38"/>
  <c r="P13" i="38" s="1"/>
  <c r="Z13" i="38" s="1"/>
  <c r="D26" i="38"/>
  <c r="D39" i="38" s="1"/>
  <c r="J22" i="38"/>
  <c r="P22" i="38" s="1"/>
  <c r="Z22" i="38" s="1"/>
  <c r="D35" i="38"/>
  <c r="D48" i="38" s="1"/>
  <c r="J14" i="38"/>
  <c r="P14" i="38" s="1"/>
  <c r="Z14" i="38" s="1"/>
  <c r="D27" i="38"/>
  <c r="D40" i="38" s="1"/>
  <c r="J40" i="38" s="1"/>
  <c r="W16" i="38"/>
  <c r="W19" i="38"/>
  <c r="W18" i="38"/>
  <c r="W17" i="38"/>
  <c r="N152" i="38"/>
  <c r="L152" i="38" s="1"/>
  <c r="V152" i="38" s="1"/>
  <c r="J152" i="38"/>
  <c r="T152" i="38" s="1"/>
  <c r="N67" i="38"/>
  <c r="L67" i="38" s="1"/>
  <c r="V67" i="38" s="1"/>
  <c r="N84" i="38"/>
  <c r="N135" i="38"/>
  <c r="L135" i="38" s="1"/>
  <c r="V135" i="38" s="1"/>
  <c r="N101" i="38"/>
  <c r="X101" i="38" s="1"/>
  <c r="J84" i="38"/>
  <c r="P84" i="38" s="1"/>
  <c r="Z84" i="38" s="1"/>
  <c r="N118" i="38"/>
  <c r="L118" i="38" s="1"/>
  <c r="V118" i="38" s="1"/>
  <c r="N33" i="38"/>
  <c r="L33" i="38" s="1"/>
  <c r="V33" i="38" s="1"/>
  <c r="J29" i="38"/>
  <c r="J50" i="38"/>
  <c r="P50" i="38" s="1"/>
  <c r="Z50" i="38" s="1"/>
  <c r="P11" i="38"/>
  <c r="Z11" i="38" s="1"/>
  <c r="Q12" i="38"/>
  <c r="W11" i="38"/>
  <c r="U6" i="38"/>
  <c r="Y6" i="38"/>
  <c r="AA6" i="38"/>
  <c r="AA21" i="38" s="1"/>
  <c r="T22" i="38"/>
  <c r="Q20" i="38"/>
  <c r="D4" i="38"/>
  <c r="D3" i="38"/>
  <c r="M14" i="38"/>
  <c r="W14" i="38" s="1"/>
  <c r="M15" i="38"/>
  <c r="W15" i="38" s="1"/>
  <c r="Q15" i="38"/>
  <c r="M23" i="38"/>
  <c r="W23" i="38" s="1"/>
  <c r="N44" i="38"/>
  <c r="N12" i="38"/>
  <c r="O33" i="38"/>
  <c r="J20" i="38"/>
  <c r="M22" i="38"/>
  <c r="W22" i="38" s="1"/>
  <c r="J23" i="38"/>
  <c r="X11" i="38"/>
  <c r="N20" i="38"/>
  <c r="W12" i="38"/>
  <c r="W13" i="38"/>
  <c r="W20" i="38"/>
  <c r="W21" i="38"/>
  <c r="K33" i="38"/>
  <c r="J15" i="38"/>
  <c r="J30" i="38"/>
  <c r="N31" i="38"/>
  <c r="P169" i="38"/>
  <c r="Z169" i="38" s="1"/>
  <c r="T169" i="38"/>
  <c r="L29" i="39" l="1"/>
  <c r="V29" i="39" s="1"/>
  <c r="X29" i="39"/>
  <c r="P41" i="39"/>
  <c r="Z41" i="39" s="1"/>
  <c r="T41" i="39"/>
  <c r="T28" i="39"/>
  <c r="P28" i="39"/>
  <c r="Z28" i="39" s="1"/>
  <c r="Q38" i="39"/>
  <c r="AA38" i="39" s="1"/>
  <c r="Y38" i="39"/>
  <c r="G40" i="39"/>
  <c r="O39" i="39"/>
  <c r="M28" i="39"/>
  <c r="W28" i="39" s="1"/>
  <c r="U28" i="39"/>
  <c r="E43" i="39"/>
  <c r="K42" i="39"/>
  <c r="E30" i="39"/>
  <c r="K29" i="39"/>
  <c r="G32" i="39"/>
  <c r="O31" i="39"/>
  <c r="X42" i="39"/>
  <c r="L42" i="39"/>
  <c r="V42" i="39" s="1"/>
  <c r="U41" i="39"/>
  <c r="M41" i="39"/>
  <c r="W41" i="39" s="1"/>
  <c r="P30" i="39"/>
  <c r="Z30" i="39" s="1"/>
  <c r="T30" i="39"/>
  <c r="Q30" i="39"/>
  <c r="AA30" i="39" s="1"/>
  <c r="Y30" i="39"/>
  <c r="P43" i="39"/>
  <c r="Z43" i="39" s="1"/>
  <c r="T43" i="39"/>
  <c r="P42" i="39"/>
  <c r="Z42" i="39" s="1"/>
  <c r="T42" i="39"/>
  <c r="T29" i="39"/>
  <c r="P29" i="39"/>
  <c r="Z29" i="39" s="1"/>
  <c r="L13" i="38"/>
  <c r="V13" i="38" s="1"/>
  <c r="L22" i="38"/>
  <c r="V22" i="38" s="1"/>
  <c r="X23" i="38"/>
  <c r="L21" i="38"/>
  <c r="V21" i="38" s="1"/>
  <c r="L14" i="38"/>
  <c r="V14" i="38" s="1"/>
  <c r="N27" i="38"/>
  <c r="X27" i="38" s="1"/>
  <c r="X15" i="38"/>
  <c r="P12" i="38"/>
  <c r="Z12" i="38" s="1"/>
  <c r="T13" i="38"/>
  <c r="T14" i="38"/>
  <c r="T21" i="38"/>
  <c r="AA16" i="38"/>
  <c r="Y12" i="38"/>
  <c r="Y16" i="38"/>
  <c r="Y18" i="38"/>
  <c r="Y17" i="38"/>
  <c r="Y19" i="38"/>
  <c r="AA19" i="38"/>
  <c r="AA17" i="38"/>
  <c r="U17" i="38"/>
  <c r="U16" i="38"/>
  <c r="U18" i="38"/>
  <c r="U19" i="38"/>
  <c r="X152" i="38"/>
  <c r="AA18" i="38"/>
  <c r="U14" i="38"/>
  <c r="U22" i="38"/>
  <c r="U13" i="38"/>
  <c r="U20" i="38"/>
  <c r="U21" i="38"/>
  <c r="J118" i="38"/>
  <c r="P152" i="38"/>
  <c r="Z152" i="38" s="1"/>
  <c r="Y22" i="38"/>
  <c r="J135" i="38"/>
  <c r="P135" i="38" s="1"/>
  <c r="Z135" i="38" s="1"/>
  <c r="J67" i="38"/>
  <c r="P67" i="38" s="1"/>
  <c r="Z67" i="38" s="1"/>
  <c r="J43" i="38"/>
  <c r="P43" i="38" s="1"/>
  <c r="Z43" i="38" s="1"/>
  <c r="U12" i="38"/>
  <c r="U15" i="38"/>
  <c r="X33" i="38"/>
  <c r="T29" i="38"/>
  <c r="P29" i="38"/>
  <c r="Z29" i="38" s="1"/>
  <c r="N169" i="38"/>
  <c r="N50" i="38"/>
  <c r="J101" i="38"/>
  <c r="T101" i="38" s="1"/>
  <c r="L84" i="38"/>
  <c r="V84" i="38" s="1"/>
  <c r="X84" i="38"/>
  <c r="U11" i="38"/>
  <c r="X67" i="38"/>
  <c r="J60" i="38"/>
  <c r="U23" i="38"/>
  <c r="L101" i="38"/>
  <c r="V101" i="38" s="1"/>
  <c r="X135" i="38"/>
  <c r="T84" i="38"/>
  <c r="X118" i="38"/>
  <c r="J26" i="38"/>
  <c r="J33" i="38"/>
  <c r="T50" i="38"/>
  <c r="Y23" i="38"/>
  <c r="Y21" i="38"/>
  <c r="Y15" i="38"/>
  <c r="Y13" i="38"/>
  <c r="Y11" i="38"/>
  <c r="Y14" i="38"/>
  <c r="Y20" i="38"/>
  <c r="AA20" i="38"/>
  <c r="AA23" i="38"/>
  <c r="AA11" i="38"/>
  <c r="AA22" i="38"/>
  <c r="AA13" i="38"/>
  <c r="AA14" i="38"/>
  <c r="AA12" i="38"/>
  <c r="AA15" i="38"/>
  <c r="T23" i="38"/>
  <c r="P23" i="38"/>
  <c r="Z23" i="38" s="1"/>
  <c r="N25" i="38"/>
  <c r="J35" i="38"/>
  <c r="J32" i="38"/>
  <c r="J31" i="38"/>
  <c r="P15" i="38"/>
  <c r="Z15" i="38" s="1"/>
  <c r="T15" i="38"/>
  <c r="M33" i="38"/>
  <c r="W33" i="38" s="1"/>
  <c r="U33" i="38"/>
  <c r="N28" i="38"/>
  <c r="L20" i="38"/>
  <c r="V20" i="38" s="1"/>
  <c r="X20" i="38"/>
  <c r="T20" i="38"/>
  <c r="P20" i="38"/>
  <c r="Z20" i="38" s="1"/>
  <c r="N24" i="38"/>
  <c r="J38" i="38"/>
  <c r="J77" i="38"/>
  <c r="N29" i="38"/>
  <c r="K34" i="38"/>
  <c r="N35" i="38"/>
  <c r="J28" i="38"/>
  <c r="K50" i="38"/>
  <c r="O34" i="38"/>
  <c r="T40" i="38"/>
  <c r="P40" i="38"/>
  <c r="Z40" i="38" s="1"/>
  <c r="X31" i="38"/>
  <c r="L31" i="38"/>
  <c r="V31" i="38" s="1"/>
  <c r="N32" i="38"/>
  <c r="T30" i="38"/>
  <c r="P30" i="38"/>
  <c r="Z30" i="38" s="1"/>
  <c r="J27" i="38"/>
  <c r="Q33" i="38"/>
  <c r="AA33" i="38" s="1"/>
  <c r="Y33" i="38"/>
  <c r="J57" i="38"/>
  <c r="N36" i="38"/>
  <c r="L44" i="38"/>
  <c r="V44" i="38" s="1"/>
  <c r="X44" i="38"/>
  <c r="J25" i="38"/>
  <c r="N40" i="38"/>
  <c r="N39" i="38"/>
  <c r="P47" i="38"/>
  <c r="Z47" i="38" s="1"/>
  <c r="T47" i="38"/>
  <c r="J46" i="38"/>
  <c r="O50" i="38"/>
  <c r="N30" i="38"/>
  <c r="N37" i="38"/>
  <c r="N61" i="38"/>
  <c r="J39" i="38"/>
  <c r="J64" i="38"/>
  <c r="J34" i="38"/>
  <c r="N26" i="38"/>
  <c r="J24" i="38"/>
  <c r="X48" i="38"/>
  <c r="L48" i="38"/>
  <c r="V48" i="38" s="1"/>
  <c r="L12" i="38"/>
  <c r="V12" i="38" s="1"/>
  <c r="X12" i="38"/>
  <c r="Y39" i="39" l="1"/>
  <c r="Q39" i="39"/>
  <c r="AA39" i="39" s="1"/>
  <c r="Y31" i="39"/>
  <c r="Q31" i="39"/>
  <c r="AA31" i="39" s="1"/>
  <c r="G41" i="39"/>
  <c r="O40" i="39"/>
  <c r="G33" i="39"/>
  <c r="O32" i="39"/>
  <c r="U29" i="39"/>
  <c r="M29" i="39"/>
  <c r="W29" i="39" s="1"/>
  <c r="E31" i="39"/>
  <c r="K30" i="39"/>
  <c r="M42" i="39"/>
  <c r="W42" i="39" s="1"/>
  <c r="U42" i="39"/>
  <c r="E44" i="39"/>
  <c r="K43" i="39"/>
  <c r="L27" i="38"/>
  <c r="V27" i="38" s="1"/>
  <c r="T43" i="38"/>
  <c r="P101" i="38"/>
  <c r="Z101" i="38" s="1"/>
  <c r="T135" i="38"/>
  <c r="T67" i="38"/>
  <c r="N65" i="38"/>
  <c r="X65" i="38" s="1"/>
  <c r="P118" i="38"/>
  <c r="Z118" i="38" s="1"/>
  <c r="T118" i="38"/>
  <c r="L50" i="38"/>
  <c r="V50" i="38" s="1"/>
  <c r="X50" i="38"/>
  <c r="X169" i="38"/>
  <c r="L169" i="38"/>
  <c r="V169" i="38" s="1"/>
  <c r="T60" i="38"/>
  <c r="P60" i="38"/>
  <c r="Z60" i="38" s="1"/>
  <c r="T33" i="38"/>
  <c r="P33" i="38"/>
  <c r="Z33" i="38" s="1"/>
  <c r="T26" i="38"/>
  <c r="P26" i="38"/>
  <c r="Z26" i="38" s="1"/>
  <c r="N78" i="38"/>
  <c r="X30" i="38"/>
  <c r="L30" i="38"/>
  <c r="V30" i="38" s="1"/>
  <c r="P46" i="38"/>
  <c r="Z46" i="38" s="1"/>
  <c r="T46" i="38"/>
  <c r="N57" i="38"/>
  <c r="P57" i="38"/>
  <c r="Z57" i="38" s="1"/>
  <c r="T57" i="38"/>
  <c r="J45" i="38"/>
  <c r="L24" i="38"/>
  <c r="V24" i="38" s="1"/>
  <c r="X24" i="38"/>
  <c r="P31" i="38"/>
  <c r="Z31" i="38" s="1"/>
  <c r="T31" i="38"/>
  <c r="L25" i="38"/>
  <c r="V25" i="38" s="1"/>
  <c r="X25" i="38"/>
  <c r="X61" i="38"/>
  <c r="L61" i="38"/>
  <c r="V61" i="38" s="1"/>
  <c r="N47" i="38"/>
  <c r="J42" i="38"/>
  <c r="X32" i="38"/>
  <c r="L32" i="38"/>
  <c r="V32" i="38" s="1"/>
  <c r="T28" i="38"/>
  <c r="P28" i="38"/>
  <c r="Z28" i="38" s="1"/>
  <c r="N41" i="38"/>
  <c r="J48" i="38"/>
  <c r="N42" i="38"/>
  <c r="M34" i="38"/>
  <c r="W34" i="38" s="1"/>
  <c r="U34" i="38"/>
  <c r="J55" i="38"/>
  <c r="J41" i="38"/>
  <c r="J81" i="38"/>
  <c r="T25" i="38"/>
  <c r="P25" i="38"/>
  <c r="Z25" i="38" s="1"/>
  <c r="N49" i="38"/>
  <c r="X35" i="38"/>
  <c r="L35" i="38"/>
  <c r="V35" i="38" s="1"/>
  <c r="L29" i="38"/>
  <c r="V29" i="38" s="1"/>
  <c r="X29" i="38"/>
  <c r="X28" i="38"/>
  <c r="L28" i="38"/>
  <c r="V28" i="38" s="1"/>
  <c r="J49" i="38"/>
  <c r="P38" i="38"/>
  <c r="Z38" i="38" s="1"/>
  <c r="T38" i="38"/>
  <c r="P24" i="38"/>
  <c r="Z24" i="38" s="1"/>
  <c r="T24" i="38"/>
  <c r="T64" i="38"/>
  <c r="P64" i="38"/>
  <c r="Z64" i="38" s="1"/>
  <c r="J36" i="38"/>
  <c r="N34" i="38"/>
  <c r="J37" i="38"/>
  <c r="L36" i="38"/>
  <c r="V36" i="38" s="1"/>
  <c r="X36" i="38"/>
  <c r="O35" i="38"/>
  <c r="N52" i="38"/>
  <c r="N46" i="38"/>
  <c r="N45" i="38"/>
  <c r="T32" i="38"/>
  <c r="P32" i="38"/>
  <c r="Z32" i="38" s="1"/>
  <c r="J56" i="38"/>
  <c r="O51" i="38"/>
  <c r="N56" i="38"/>
  <c r="J44" i="38"/>
  <c r="N82" i="38"/>
  <c r="J52" i="38"/>
  <c r="J51" i="38"/>
  <c r="N54" i="38"/>
  <c r="X40" i="38"/>
  <c r="L40" i="38"/>
  <c r="V40" i="38" s="1"/>
  <c r="J74" i="38"/>
  <c r="N43" i="38"/>
  <c r="Y50" i="38"/>
  <c r="Q50" i="38"/>
  <c r="AA50" i="38" s="1"/>
  <c r="N53" i="38"/>
  <c r="Q34" i="38"/>
  <c r="AA34" i="38" s="1"/>
  <c r="Y34" i="38"/>
  <c r="P77" i="38"/>
  <c r="Z77" i="38" s="1"/>
  <c r="T77" i="38"/>
  <c r="P34" i="38"/>
  <c r="Z34" i="38" s="1"/>
  <c r="T34" i="38"/>
  <c r="X37" i="38"/>
  <c r="L37" i="38"/>
  <c r="V37" i="38" s="1"/>
  <c r="K67" i="38"/>
  <c r="T39" i="38"/>
  <c r="P39" i="38"/>
  <c r="Z39" i="38" s="1"/>
  <c r="J63" i="38"/>
  <c r="K51" i="38"/>
  <c r="K35" i="38"/>
  <c r="T35" i="38"/>
  <c r="P35" i="38"/>
  <c r="Z35" i="38" s="1"/>
  <c r="X26" i="38"/>
  <c r="L26" i="38"/>
  <c r="V26" i="38" s="1"/>
  <c r="N38" i="38"/>
  <c r="O67" i="38"/>
  <c r="X39" i="38"/>
  <c r="L39" i="38"/>
  <c r="V39" i="38" s="1"/>
  <c r="P27" i="38"/>
  <c r="Z27" i="38" s="1"/>
  <c r="T27" i="38"/>
  <c r="U50" i="38"/>
  <c r="M50" i="38"/>
  <c r="W50" i="38" s="1"/>
  <c r="J94" i="38"/>
  <c r="E45" i="39" l="1"/>
  <c r="K44" i="39"/>
  <c r="U30" i="39"/>
  <c r="M30" i="39"/>
  <c r="W30" i="39" s="1"/>
  <c r="G42" i="39"/>
  <c r="O41" i="39"/>
  <c r="M43" i="39"/>
  <c r="W43" i="39" s="1"/>
  <c r="U43" i="39"/>
  <c r="E32" i="39"/>
  <c r="K31" i="39"/>
  <c r="Q32" i="39"/>
  <c r="AA32" i="39" s="1"/>
  <c r="Y32" i="39"/>
  <c r="G34" i="39"/>
  <c r="O33" i="39"/>
  <c r="Y40" i="39"/>
  <c r="Q40" i="39"/>
  <c r="AA40" i="39" s="1"/>
  <c r="L65" i="38"/>
  <c r="V65" i="38" s="1"/>
  <c r="K84" i="38"/>
  <c r="L56" i="38"/>
  <c r="V56" i="38" s="1"/>
  <c r="X56" i="38"/>
  <c r="N74" i="38"/>
  <c r="X57" i="38"/>
  <c r="L57" i="38"/>
  <c r="V57" i="38" s="1"/>
  <c r="N55" i="38"/>
  <c r="K52" i="38"/>
  <c r="N99" i="38"/>
  <c r="Y51" i="38"/>
  <c r="Q51" i="38"/>
  <c r="AA51" i="38" s="1"/>
  <c r="N63" i="38"/>
  <c r="T37" i="38"/>
  <c r="P37" i="38"/>
  <c r="Z37" i="38" s="1"/>
  <c r="J72" i="38"/>
  <c r="X41" i="38"/>
  <c r="L41" i="38"/>
  <c r="V41" i="38" s="1"/>
  <c r="N64" i="38"/>
  <c r="M35" i="38"/>
  <c r="W35" i="38" s="1"/>
  <c r="U35" i="38"/>
  <c r="T74" i="38"/>
  <c r="P74" i="38"/>
  <c r="Z74" i="38" s="1"/>
  <c r="L45" i="38"/>
  <c r="V45" i="38" s="1"/>
  <c r="X45" i="38"/>
  <c r="J59" i="38"/>
  <c r="X38" i="38"/>
  <c r="L38" i="38"/>
  <c r="V38" i="38" s="1"/>
  <c r="K68" i="38"/>
  <c r="P52" i="38"/>
  <c r="Z52" i="38" s="1"/>
  <c r="T52" i="38"/>
  <c r="N62" i="38"/>
  <c r="T42" i="38"/>
  <c r="P42" i="38"/>
  <c r="Z42" i="38" s="1"/>
  <c r="J80" i="38"/>
  <c r="X82" i="38"/>
  <c r="L82" i="38"/>
  <c r="V82" i="38" s="1"/>
  <c r="O52" i="38"/>
  <c r="L46" i="38"/>
  <c r="V46" i="38" s="1"/>
  <c r="X46" i="38"/>
  <c r="J54" i="38"/>
  <c r="P55" i="38"/>
  <c r="Z55" i="38" s="1"/>
  <c r="T55" i="38"/>
  <c r="N58" i="38"/>
  <c r="L47" i="38"/>
  <c r="V47" i="38" s="1"/>
  <c r="X47" i="38"/>
  <c r="J58" i="38"/>
  <c r="T94" i="38"/>
  <c r="P94" i="38"/>
  <c r="Z94" i="38" s="1"/>
  <c r="T63" i="38"/>
  <c r="P63" i="38"/>
  <c r="Z63" i="38" s="1"/>
  <c r="N70" i="38"/>
  <c r="N60" i="38"/>
  <c r="N71" i="38"/>
  <c r="J73" i="38"/>
  <c r="L52" i="38"/>
  <c r="V52" i="38" s="1"/>
  <c r="X52" i="38"/>
  <c r="X34" i="38"/>
  <c r="L34" i="38"/>
  <c r="V34" i="38" s="1"/>
  <c r="J62" i="38"/>
  <c r="P41" i="38"/>
  <c r="Z41" i="38" s="1"/>
  <c r="T41" i="38"/>
  <c r="J111" i="38"/>
  <c r="L53" i="38"/>
  <c r="V53" i="38" s="1"/>
  <c r="X53" i="38"/>
  <c r="L43" i="38"/>
  <c r="V43" i="38" s="1"/>
  <c r="X43" i="38"/>
  <c r="L54" i="38"/>
  <c r="V54" i="38" s="1"/>
  <c r="X54" i="38"/>
  <c r="T56" i="38"/>
  <c r="P56" i="38"/>
  <c r="Z56" i="38" s="1"/>
  <c r="N69" i="38"/>
  <c r="N51" i="38"/>
  <c r="P45" i="38"/>
  <c r="Z45" i="38" s="1"/>
  <c r="T45" i="38"/>
  <c r="O84" i="38"/>
  <c r="J69" i="38"/>
  <c r="P48" i="38"/>
  <c r="Z48" i="38" s="1"/>
  <c r="T48" i="38"/>
  <c r="O68" i="38"/>
  <c r="J68" i="38"/>
  <c r="J61" i="38"/>
  <c r="O36" i="38"/>
  <c r="J53" i="38"/>
  <c r="J66" i="38"/>
  <c r="L49" i="38"/>
  <c r="V49" i="38" s="1"/>
  <c r="X49" i="38"/>
  <c r="P81" i="38"/>
  <c r="Z81" i="38" s="1"/>
  <c r="T81" i="38"/>
  <c r="N59" i="38"/>
  <c r="L78" i="38"/>
  <c r="V78" i="38" s="1"/>
  <c r="X78" i="38"/>
  <c r="J65" i="38"/>
  <c r="U51" i="38"/>
  <c r="M51" i="38"/>
  <c r="W51" i="38" s="1"/>
  <c r="J91" i="38"/>
  <c r="N73" i="38"/>
  <c r="Y67" i="38"/>
  <c r="Q67" i="38"/>
  <c r="AA67" i="38" s="1"/>
  <c r="K36" i="38"/>
  <c r="M67" i="38"/>
  <c r="W67" i="38" s="1"/>
  <c r="U67" i="38"/>
  <c r="P51" i="38"/>
  <c r="Z51" i="38" s="1"/>
  <c r="T51" i="38"/>
  <c r="P44" i="38"/>
  <c r="Z44" i="38" s="1"/>
  <c r="T44" i="38"/>
  <c r="Q35" i="38"/>
  <c r="AA35" i="38" s="1"/>
  <c r="Y35" i="38"/>
  <c r="T36" i="38"/>
  <c r="P36" i="38"/>
  <c r="Z36" i="38" s="1"/>
  <c r="P49" i="38"/>
  <c r="Z49" i="38" s="1"/>
  <c r="T49" i="38"/>
  <c r="N66" i="38"/>
  <c r="J98" i="38"/>
  <c r="L42" i="38"/>
  <c r="V42" i="38" s="1"/>
  <c r="X42" i="38"/>
  <c r="N95" i="38"/>
  <c r="U44" i="39" l="1"/>
  <c r="M44" i="39"/>
  <c r="W44" i="39" s="1"/>
  <c r="Y33" i="39"/>
  <c r="Q33" i="39"/>
  <c r="AA33" i="39" s="1"/>
  <c r="U31" i="39"/>
  <c r="M31" i="39"/>
  <c r="W31" i="39" s="1"/>
  <c r="K32" i="39"/>
  <c r="E33" i="39"/>
  <c r="G35" i="39"/>
  <c r="O34" i="39"/>
  <c r="Y41" i="39"/>
  <c r="Q41" i="39"/>
  <c r="AA41" i="39" s="1"/>
  <c r="E46" i="39"/>
  <c r="K45" i="39"/>
  <c r="G43" i="39"/>
  <c r="O42" i="39"/>
  <c r="J78" i="38"/>
  <c r="N87" i="38"/>
  <c r="J89" i="38"/>
  <c r="T61" i="38"/>
  <c r="P61" i="38"/>
  <c r="Z61" i="38" s="1"/>
  <c r="P62" i="38"/>
  <c r="Z62" i="38" s="1"/>
  <c r="T62" i="38"/>
  <c r="N91" i="38"/>
  <c r="N112" i="38"/>
  <c r="X73" i="38"/>
  <c r="L73" i="38"/>
  <c r="V73" i="38" s="1"/>
  <c r="P66" i="38"/>
  <c r="Z66" i="38" s="1"/>
  <c r="T66" i="38"/>
  <c r="J85" i="38"/>
  <c r="O85" i="38"/>
  <c r="X69" i="38"/>
  <c r="L69" i="38"/>
  <c r="V69" i="38" s="1"/>
  <c r="J79" i="38"/>
  <c r="X58" i="38"/>
  <c r="L58" i="38"/>
  <c r="V58" i="38" s="1"/>
  <c r="O53" i="38"/>
  <c r="K53" i="38"/>
  <c r="L74" i="38"/>
  <c r="V74" i="38" s="1"/>
  <c r="X74" i="38"/>
  <c r="P69" i="38"/>
  <c r="Z69" i="38" s="1"/>
  <c r="T69" i="38"/>
  <c r="N116" i="38"/>
  <c r="J86" i="38"/>
  <c r="N75" i="38"/>
  <c r="U52" i="38"/>
  <c r="M52" i="38"/>
  <c r="W52" i="38" s="1"/>
  <c r="L95" i="38"/>
  <c r="V95" i="38" s="1"/>
  <c r="X95" i="38"/>
  <c r="N90" i="38"/>
  <c r="J83" i="38"/>
  <c r="T68" i="38"/>
  <c r="P68" i="38"/>
  <c r="Z68" i="38" s="1"/>
  <c r="Q84" i="38"/>
  <c r="AA84" i="38" s="1"/>
  <c r="Y84" i="38"/>
  <c r="L71" i="38"/>
  <c r="V71" i="38" s="1"/>
  <c r="X71" i="38"/>
  <c r="N79" i="38"/>
  <c r="J76" i="38"/>
  <c r="L64" i="38"/>
  <c r="V64" i="38" s="1"/>
  <c r="X64" i="38"/>
  <c r="L63" i="38"/>
  <c r="V63" i="38" s="1"/>
  <c r="X63" i="38"/>
  <c r="X55" i="38"/>
  <c r="L55" i="38"/>
  <c r="V55" i="38" s="1"/>
  <c r="K69" i="38"/>
  <c r="P91" i="38"/>
  <c r="Z91" i="38" s="1"/>
  <c r="T91" i="38"/>
  <c r="X59" i="38"/>
  <c r="L59" i="38"/>
  <c r="V59" i="38" s="1"/>
  <c r="J70" i="38"/>
  <c r="O69" i="38"/>
  <c r="O101" i="38"/>
  <c r="N88" i="38"/>
  <c r="X62" i="38"/>
  <c r="L62" i="38"/>
  <c r="V62" i="38" s="1"/>
  <c r="T59" i="38"/>
  <c r="P59" i="38"/>
  <c r="Z59" i="38" s="1"/>
  <c r="N81" i="38"/>
  <c r="N80" i="38"/>
  <c r="N72" i="38"/>
  <c r="J108" i="38"/>
  <c r="N76" i="38"/>
  <c r="P53" i="38"/>
  <c r="Z53" i="38" s="1"/>
  <c r="T53" i="38"/>
  <c r="Y68" i="38"/>
  <c r="Q68" i="38"/>
  <c r="AA68" i="38" s="1"/>
  <c r="T111" i="38"/>
  <c r="P111" i="38"/>
  <c r="Z111" i="38" s="1"/>
  <c r="L60" i="38"/>
  <c r="V60" i="38" s="1"/>
  <c r="X60" i="38"/>
  <c r="P58" i="38"/>
  <c r="Z58" i="38" s="1"/>
  <c r="T58" i="38"/>
  <c r="P54" i="38"/>
  <c r="Z54" i="38" s="1"/>
  <c r="T54" i="38"/>
  <c r="T80" i="38"/>
  <c r="P80" i="38"/>
  <c r="Z80" i="38" s="1"/>
  <c r="U84" i="38"/>
  <c r="M84" i="38"/>
  <c r="W84" i="38" s="1"/>
  <c r="N83" i="38"/>
  <c r="N68" i="38"/>
  <c r="X66" i="38"/>
  <c r="L66" i="38"/>
  <c r="V66" i="38" s="1"/>
  <c r="J115" i="38"/>
  <c r="M36" i="38"/>
  <c r="W36" i="38" s="1"/>
  <c r="U36" i="38"/>
  <c r="O37" i="38"/>
  <c r="J128" i="38"/>
  <c r="N77" i="38"/>
  <c r="J75" i="38"/>
  <c r="J71" i="38"/>
  <c r="J97" i="38"/>
  <c r="K85" i="38"/>
  <c r="J82" i="38"/>
  <c r="J90" i="38"/>
  <c r="T65" i="38"/>
  <c r="P65" i="38"/>
  <c r="Z65" i="38" s="1"/>
  <c r="N86" i="38"/>
  <c r="Y52" i="38"/>
  <c r="Q52" i="38"/>
  <c r="AA52" i="38" s="1"/>
  <c r="T98" i="38"/>
  <c r="P98" i="38"/>
  <c r="Z98" i="38" s="1"/>
  <c r="K37" i="38"/>
  <c r="Q36" i="38"/>
  <c r="AA36" i="38" s="1"/>
  <c r="Y36" i="38"/>
  <c r="L51" i="38"/>
  <c r="V51" i="38" s="1"/>
  <c r="X51" i="38"/>
  <c r="P73" i="38"/>
  <c r="Z73" i="38" s="1"/>
  <c r="T73" i="38"/>
  <c r="X70" i="38"/>
  <c r="L70" i="38"/>
  <c r="V70" i="38" s="1"/>
  <c r="M68" i="38"/>
  <c r="W68" i="38" s="1"/>
  <c r="U68" i="38"/>
  <c r="T72" i="38"/>
  <c r="P72" i="38"/>
  <c r="Z72" i="38" s="1"/>
  <c r="L99" i="38"/>
  <c r="V99" i="38" s="1"/>
  <c r="X99" i="38"/>
  <c r="K101" i="38"/>
  <c r="U45" i="39" l="1"/>
  <c r="M45" i="39"/>
  <c r="W45" i="39" s="1"/>
  <c r="O43" i="39"/>
  <c r="G44" i="39"/>
  <c r="E47" i="39"/>
  <c r="K46" i="39"/>
  <c r="Y34" i="39"/>
  <c r="Q34" i="39"/>
  <c r="AA34" i="39" s="1"/>
  <c r="G36" i="39"/>
  <c r="O36" i="39" s="1"/>
  <c r="O35" i="39"/>
  <c r="E34" i="39"/>
  <c r="K33" i="39"/>
  <c r="U32" i="39"/>
  <c r="M32" i="39"/>
  <c r="W32" i="39" s="1"/>
  <c r="Q42" i="39"/>
  <c r="AA42" i="39" s="1"/>
  <c r="Y42" i="39"/>
  <c r="J99" i="38"/>
  <c r="T71" i="38"/>
  <c r="P71" i="38"/>
  <c r="Z71" i="38" s="1"/>
  <c r="X80" i="38"/>
  <c r="L80" i="38"/>
  <c r="V80" i="38" s="1"/>
  <c r="X88" i="38"/>
  <c r="L88" i="38"/>
  <c r="V88" i="38" s="1"/>
  <c r="N107" i="38"/>
  <c r="T86" i="38"/>
  <c r="P86" i="38"/>
  <c r="Z86" i="38" s="1"/>
  <c r="U53" i="38"/>
  <c r="M53" i="38"/>
  <c r="W53" i="38" s="1"/>
  <c r="L86" i="38"/>
  <c r="V86" i="38" s="1"/>
  <c r="X86" i="38"/>
  <c r="K86" i="38"/>
  <c r="J92" i="38"/>
  <c r="O38" i="38"/>
  <c r="N85" i="38"/>
  <c r="N93" i="38"/>
  <c r="X81" i="38"/>
  <c r="L81" i="38"/>
  <c r="V81" i="38" s="1"/>
  <c r="O102" i="38"/>
  <c r="X90" i="38"/>
  <c r="L90" i="38"/>
  <c r="V90" i="38" s="1"/>
  <c r="J103" i="38"/>
  <c r="K54" i="38"/>
  <c r="K102" i="38"/>
  <c r="N103" i="38"/>
  <c r="X68" i="38"/>
  <c r="L68" i="38"/>
  <c r="V68" i="38" s="1"/>
  <c r="Q85" i="38"/>
  <c r="AA85" i="38" s="1"/>
  <c r="Y85" i="38"/>
  <c r="U101" i="38"/>
  <c r="M101" i="38"/>
  <c r="W101" i="38" s="1"/>
  <c r="M37" i="38"/>
  <c r="W37" i="38" s="1"/>
  <c r="U37" i="38"/>
  <c r="X77" i="38"/>
  <c r="L77" i="38"/>
  <c r="V77" i="38" s="1"/>
  <c r="L83" i="38"/>
  <c r="V83" i="38" s="1"/>
  <c r="X83" i="38"/>
  <c r="P108" i="38"/>
  <c r="Z108" i="38" s="1"/>
  <c r="T108" i="38"/>
  <c r="Q101" i="38"/>
  <c r="AA101" i="38" s="1"/>
  <c r="Y101" i="38"/>
  <c r="N133" i="38"/>
  <c r="O54" i="38"/>
  <c r="O86" i="38"/>
  <c r="N129" i="38"/>
  <c r="J106" i="38"/>
  <c r="U85" i="38"/>
  <c r="M85" i="38"/>
  <c r="W85" i="38" s="1"/>
  <c r="O118" i="38"/>
  <c r="P89" i="38"/>
  <c r="Z89" i="38" s="1"/>
  <c r="T89" i="38"/>
  <c r="K118" i="38"/>
  <c r="K38" i="38"/>
  <c r="N94" i="38"/>
  <c r="N100" i="38"/>
  <c r="J125" i="38"/>
  <c r="O70" i="38"/>
  <c r="U69" i="38"/>
  <c r="M69" i="38"/>
  <c r="W69" i="38" s="1"/>
  <c r="P76" i="38"/>
  <c r="Z76" i="38" s="1"/>
  <c r="T76" i="38"/>
  <c r="T85" i="38"/>
  <c r="P85" i="38"/>
  <c r="Z85" i="38" s="1"/>
  <c r="L91" i="38"/>
  <c r="V91" i="38" s="1"/>
  <c r="X91" i="38"/>
  <c r="X87" i="38"/>
  <c r="L87" i="38"/>
  <c r="V87" i="38" s="1"/>
  <c r="X116" i="38"/>
  <c r="L116" i="38"/>
  <c r="V116" i="38" s="1"/>
  <c r="J107" i="38"/>
  <c r="P97" i="38"/>
  <c r="Z97" i="38" s="1"/>
  <c r="T97" i="38"/>
  <c r="P128" i="38"/>
  <c r="Z128" i="38" s="1"/>
  <c r="T128" i="38"/>
  <c r="T115" i="38"/>
  <c r="P115" i="38"/>
  <c r="Z115" i="38" s="1"/>
  <c r="X72" i="38"/>
  <c r="L72" i="38"/>
  <c r="V72" i="38" s="1"/>
  <c r="Q69" i="38"/>
  <c r="AA69" i="38" s="1"/>
  <c r="Y69" i="38"/>
  <c r="K70" i="38"/>
  <c r="J93" i="38"/>
  <c r="J102" i="38"/>
  <c r="N108" i="38"/>
  <c r="N104" i="38"/>
  <c r="T75" i="38"/>
  <c r="P75" i="38"/>
  <c r="Z75" i="38" s="1"/>
  <c r="N98" i="38"/>
  <c r="Y53" i="38"/>
  <c r="Q53" i="38"/>
  <c r="AA53" i="38" s="1"/>
  <c r="T90" i="38"/>
  <c r="P90" i="38"/>
  <c r="Z90" i="38" s="1"/>
  <c r="J114" i="38"/>
  <c r="J145" i="38"/>
  <c r="J132" i="38"/>
  <c r="N89" i="38"/>
  <c r="J87" i="38"/>
  <c r="L79" i="38"/>
  <c r="V79" i="38" s="1"/>
  <c r="X79" i="38"/>
  <c r="T83" i="38"/>
  <c r="P83" i="38"/>
  <c r="Z83" i="38" s="1"/>
  <c r="L75" i="38"/>
  <c r="V75" i="38" s="1"/>
  <c r="X75" i="38"/>
  <c r="T79" i="38"/>
  <c r="P79" i="38"/>
  <c r="Z79" i="38" s="1"/>
  <c r="T78" i="38"/>
  <c r="P78" i="38"/>
  <c r="Z78" i="38" s="1"/>
  <c r="Q37" i="38"/>
  <c r="AA37" i="38" s="1"/>
  <c r="Y37" i="38"/>
  <c r="X76" i="38"/>
  <c r="L76" i="38"/>
  <c r="V76" i="38" s="1"/>
  <c r="X112" i="38"/>
  <c r="L112" i="38"/>
  <c r="V112" i="38" s="1"/>
  <c r="T82" i="38"/>
  <c r="P82" i="38"/>
  <c r="Z82" i="38" s="1"/>
  <c r="J88" i="38"/>
  <c r="N97" i="38"/>
  <c r="N105" i="38"/>
  <c r="T70" i="38"/>
  <c r="P70" i="38"/>
  <c r="Z70" i="38" s="1"/>
  <c r="N96" i="38"/>
  <c r="J100" i="38"/>
  <c r="N92" i="38"/>
  <c r="J96" i="38"/>
  <c r="J95" i="38"/>
  <c r="Y43" i="39" l="1"/>
  <c r="Q43" i="39"/>
  <c r="AA43" i="39" s="1"/>
  <c r="U33" i="39"/>
  <c r="M33" i="39"/>
  <c r="W33" i="39" s="1"/>
  <c r="K34" i="39"/>
  <c r="E35" i="39"/>
  <c r="Y35" i="39"/>
  <c r="Q35" i="39"/>
  <c r="AA35" i="39" s="1"/>
  <c r="Q36" i="39"/>
  <c r="AA36" i="39" s="1"/>
  <c r="Y36" i="39"/>
  <c r="U46" i="39"/>
  <c r="M46" i="39"/>
  <c r="W46" i="39" s="1"/>
  <c r="E48" i="39"/>
  <c r="K47" i="39"/>
  <c r="G45" i="39"/>
  <c r="O44" i="39"/>
  <c r="U102" i="38"/>
  <c r="M102" i="38"/>
  <c r="W102" i="38" s="1"/>
  <c r="T87" i="38"/>
  <c r="P87" i="38"/>
  <c r="Z87" i="38" s="1"/>
  <c r="J104" i="38"/>
  <c r="P93" i="38"/>
  <c r="Z93" i="38" s="1"/>
  <c r="T93" i="38"/>
  <c r="K119" i="38"/>
  <c r="O55" i="38"/>
  <c r="P95" i="38"/>
  <c r="Z95" i="38" s="1"/>
  <c r="T95" i="38"/>
  <c r="X96" i="38"/>
  <c r="L96" i="38"/>
  <c r="V96" i="38" s="1"/>
  <c r="N106" i="38"/>
  <c r="N121" i="38"/>
  <c r="K71" i="38"/>
  <c r="N111" i="38"/>
  <c r="K135" i="38"/>
  <c r="J123" i="38"/>
  <c r="X133" i="38"/>
  <c r="L133" i="38"/>
  <c r="V133" i="38" s="1"/>
  <c r="U54" i="38"/>
  <c r="M54" i="38"/>
  <c r="W54" i="38" s="1"/>
  <c r="J109" i="38"/>
  <c r="J131" i="38"/>
  <c r="U118" i="38"/>
  <c r="M118" i="38"/>
  <c r="W118" i="38" s="1"/>
  <c r="Y54" i="38"/>
  <c r="Q54" i="38"/>
  <c r="AA54" i="38" s="1"/>
  <c r="N114" i="38"/>
  <c r="T114" i="38"/>
  <c r="P114" i="38"/>
  <c r="Z114" i="38" s="1"/>
  <c r="N117" i="38"/>
  <c r="J112" i="38"/>
  <c r="N113" i="38"/>
  <c r="L89" i="38"/>
  <c r="V89" i="38" s="1"/>
  <c r="X89" i="38"/>
  <c r="X104" i="38"/>
  <c r="L104" i="38"/>
  <c r="V104" i="38" s="1"/>
  <c r="U70" i="38"/>
  <c r="M70" i="38"/>
  <c r="W70" i="38" s="1"/>
  <c r="X94" i="38"/>
  <c r="L94" i="38"/>
  <c r="V94" i="38" s="1"/>
  <c r="T106" i="38"/>
  <c r="P106" i="38"/>
  <c r="Z106" i="38" s="1"/>
  <c r="N150" i="38"/>
  <c r="K55" i="38"/>
  <c r="T92" i="38"/>
  <c r="P92" i="38"/>
  <c r="Z92" i="38" s="1"/>
  <c r="J110" i="38"/>
  <c r="X100" i="38"/>
  <c r="L100" i="38"/>
  <c r="V100" i="38" s="1"/>
  <c r="O39" i="38"/>
  <c r="T100" i="38"/>
  <c r="P100" i="38"/>
  <c r="Z100" i="38" s="1"/>
  <c r="Q38" i="38"/>
  <c r="AA38" i="38" s="1"/>
  <c r="Y38" i="38"/>
  <c r="J113" i="38"/>
  <c r="T88" i="38"/>
  <c r="P88" i="38"/>
  <c r="Z88" i="38" s="1"/>
  <c r="T132" i="38"/>
  <c r="P132" i="38"/>
  <c r="Z132" i="38" s="1"/>
  <c r="X108" i="38"/>
  <c r="L108" i="38"/>
  <c r="V108" i="38" s="1"/>
  <c r="Q70" i="38"/>
  <c r="AA70" i="38" s="1"/>
  <c r="Y70" i="38"/>
  <c r="X129" i="38"/>
  <c r="L129" i="38"/>
  <c r="V129" i="38" s="1"/>
  <c r="P103" i="38"/>
  <c r="Z103" i="38" s="1"/>
  <c r="T103" i="38"/>
  <c r="L93" i="38"/>
  <c r="V93" i="38" s="1"/>
  <c r="X93" i="38"/>
  <c r="M86" i="38"/>
  <c r="W86" i="38" s="1"/>
  <c r="U86" i="38"/>
  <c r="N124" i="38"/>
  <c r="J117" i="38"/>
  <c r="Q102" i="38"/>
  <c r="AA102" i="38" s="1"/>
  <c r="Y102" i="38"/>
  <c r="O103" i="38"/>
  <c r="T96" i="38"/>
  <c r="P96" i="38"/>
  <c r="Z96" i="38" s="1"/>
  <c r="J105" i="38"/>
  <c r="J149" i="38"/>
  <c r="N125" i="38"/>
  <c r="O71" i="38"/>
  <c r="Q118" i="38"/>
  <c r="AA118" i="38" s="1"/>
  <c r="Y118" i="38"/>
  <c r="N146" i="38"/>
  <c r="J120" i="38"/>
  <c r="N110" i="38"/>
  <c r="K87" i="38"/>
  <c r="L107" i="38"/>
  <c r="V107" i="38" s="1"/>
  <c r="X107" i="38"/>
  <c r="L97" i="38"/>
  <c r="V97" i="38" s="1"/>
  <c r="X97" i="38"/>
  <c r="K103" i="38"/>
  <c r="X92" i="38"/>
  <c r="L92" i="38"/>
  <c r="V92" i="38" s="1"/>
  <c r="X105" i="38"/>
  <c r="L105" i="38"/>
  <c r="V105" i="38" s="1"/>
  <c r="T145" i="38"/>
  <c r="P145" i="38"/>
  <c r="Z145" i="38" s="1"/>
  <c r="N115" i="38"/>
  <c r="P102" i="38"/>
  <c r="Z102" i="38" s="1"/>
  <c r="T102" i="38"/>
  <c r="T107" i="38"/>
  <c r="P107" i="38"/>
  <c r="Z107" i="38" s="1"/>
  <c r="J142" i="38"/>
  <c r="M38" i="38"/>
  <c r="W38" i="38" s="1"/>
  <c r="U38" i="38"/>
  <c r="O119" i="38"/>
  <c r="Y86" i="38"/>
  <c r="Q86" i="38"/>
  <c r="AA86" i="38" s="1"/>
  <c r="N120" i="38"/>
  <c r="L85" i="38"/>
  <c r="V85" i="38" s="1"/>
  <c r="X85" i="38"/>
  <c r="P99" i="38"/>
  <c r="Z99" i="38" s="1"/>
  <c r="T99" i="38"/>
  <c r="N109" i="38"/>
  <c r="N122" i="38"/>
  <c r="J162" i="38"/>
  <c r="X98" i="38"/>
  <c r="L98" i="38"/>
  <c r="V98" i="38" s="1"/>
  <c r="J119" i="38"/>
  <c r="J124" i="38"/>
  <c r="T125" i="38"/>
  <c r="P125" i="38"/>
  <c r="Z125" i="38" s="1"/>
  <c r="K39" i="38"/>
  <c r="O135" i="38"/>
  <c r="O87" i="38"/>
  <c r="L103" i="38"/>
  <c r="V103" i="38" s="1"/>
  <c r="X103" i="38"/>
  <c r="N102" i="38"/>
  <c r="J116" i="38"/>
  <c r="O45" i="39" l="1"/>
  <c r="G46" i="39"/>
  <c r="M47" i="39"/>
  <c r="W47" i="39" s="1"/>
  <c r="U47" i="39"/>
  <c r="K48" i="39"/>
  <c r="E49" i="39"/>
  <c r="K49" i="39" s="1"/>
  <c r="E36" i="39"/>
  <c r="K36" i="39" s="1"/>
  <c r="K35" i="39"/>
  <c r="U34" i="39"/>
  <c r="M34" i="39"/>
  <c r="W34" i="39" s="1"/>
  <c r="Q44" i="39"/>
  <c r="AA44" i="39" s="1"/>
  <c r="Y44" i="39"/>
  <c r="K104" i="38"/>
  <c r="Y87" i="38"/>
  <c r="Q87" i="38"/>
  <c r="AA87" i="38" s="1"/>
  <c r="J141" i="38"/>
  <c r="N139" i="38"/>
  <c r="L120" i="38"/>
  <c r="V120" i="38" s="1"/>
  <c r="X120" i="38"/>
  <c r="J159" i="38"/>
  <c r="P120" i="38"/>
  <c r="Z120" i="38" s="1"/>
  <c r="T120" i="38"/>
  <c r="O72" i="38"/>
  <c r="L124" i="38"/>
  <c r="V124" i="38" s="1"/>
  <c r="X124" i="38"/>
  <c r="T131" i="38"/>
  <c r="P131" i="38"/>
  <c r="Z131" i="38" s="1"/>
  <c r="J140" i="38"/>
  <c r="K72" i="38"/>
  <c r="P105" i="38"/>
  <c r="Z105" i="38" s="1"/>
  <c r="T105" i="38"/>
  <c r="P116" i="38"/>
  <c r="Z116" i="38" s="1"/>
  <c r="T116" i="38"/>
  <c r="Q135" i="38"/>
  <c r="AA135" i="38" s="1"/>
  <c r="Y135" i="38"/>
  <c r="P124" i="38"/>
  <c r="Z124" i="38" s="1"/>
  <c r="T124" i="38"/>
  <c r="L122" i="38"/>
  <c r="V122" i="38" s="1"/>
  <c r="X122" i="38"/>
  <c r="N137" i="38"/>
  <c r="T142" i="38"/>
  <c r="P142" i="38"/>
  <c r="Z142" i="38" s="1"/>
  <c r="J137" i="38"/>
  <c r="Y71" i="38"/>
  <c r="Q71" i="38"/>
  <c r="AA71" i="38" s="1"/>
  <c r="N141" i="38"/>
  <c r="J148" i="38"/>
  <c r="T123" i="38"/>
  <c r="P123" i="38"/>
  <c r="Z123" i="38" s="1"/>
  <c r="N138" i="38"/>
  <c r="P104" i="38"/>
  <c r="Z104" i="38" s="1"/>
  <c r="T104" i="38"/>
  <c r="N127" i="38"/>
  <c r="J134" i="38"/>
  <c r="M71" i="38"/>
  <c r="W71" i="38" s="1"/>
  <c r="U71" i="38"/>
  <c r="J133" i="38"/>
  <c r="O152" i="38"/>
  <c r="P119" i="38"/>
  <c r="Z119" i="38" s="1"/>
  <c r="T119" i="38"/>
  <c r="X109" i="38"/>
  <c r="L109" i="38"/>
  <c r="V109" i="38" s="1"/>
  <c r="O24" i="38"/>
  <c r="N142" i="38"/>
  <c r="Q103" i="38"/>
  <c r="AA103" i="38" s="1"/>
  <c r="Y103" i="38"/>
  <c r="O40" i="38"/>
  <c r="K56" i="38"/>
  <c r="N130" i="38"/>
  <c r="L114" i="38"/>
  <c r="V114" i="38" s="1"/>
  <c r="X114" i="38"/>
  <c r="J126" i="38"/>
  <c r="U135" i="38"/>
  <c r="M135" i="38"/>
  <c r="W135" i="38" s="1"/>
  <c r="L121" i="38"/>
  <c r="V121" i="38" s="1"/>
  <c r="X121" i="38"/>
  <c r="J121" i="38"/>
  <c r="X102" i="38"/>
  <c r="L102" i="38"/>
  <c r="V102" i="38" s="1"/>
  <c r="O136" i="38"/>
  <c r="J136" i="38"/>
  <c r="N126" i="38"/>
  <c r="X125" i="38"/>
  <c r="L125" i="38"/>
  <c r="V125" i="38" s="1"/>
  <c r="O104" i="38"/>
  <c r="Q39" i="38"/>
  <c r="AA39" i="38" s="1"/>
  <c r="Y39" i="38"/>
  <c r="U55" i="38"/>
  <c r="M55" i="38"/>
  <c r="W55" i="38" s="1"/>
  <c r="X113" i="38"/>
  <c r="L113" i="38"/>
  <c r="V113" i="38" s="1"/>
  <c r="N131" i="38"/>
  <c r="P109" i="38"/>
  <c r="Z109" i="38" s="1"/>
  <c r="T109" i="38"/>
  <c r="K152" i="38"/>
  <c r="N123" i="38"/>
  <c r="Y55" i="38"/>
  <c r="Q55" i="38"/>
  <c r="AA55" i="38" s="1"/>
  <c r="N119" i="38"/>
  <c r="K40" i="38"/>
  <c r="Y119" i="38"/>
  <c r="Q119" i="38"/>
  <c r="AA119" i="38" s="1"/>
  <c r="M87" i="38"/>
  <c r="W87" i="38" s="1"/>
  <c r="U87" i="38"/>
  <c r="X146" i="38"/>
  <c r="L146" i="38"/>
  <c r="V146" i="38" s="1"/>
  <c r="T149" i="38"/>
  <c r="P149" i="38"/>
  <c r="Z149" i="38" s="1"/>
  <c r="J130" i="38"/>
  <c r="N167" i="38"/>
  <c r="P112" i="38"/>
  <c r="Z112" i="38" s="1"/>
  <c r="T112" i="38"/>
  <c r="K136" i="38"/>
  <c r="L106" i="38"/>
  <c r="V106" i="38" s="1"/>
  <c r="X106" i="38"/>
  <c r="O56" i="38"/>
  <c r="P110" i="38"/>
  <c r="Z110" i="38" s="1"/>
  <c r="T110" i="38"/>
  <c r="M39" i="38"/>
  <c r="W39" i="38" s="1"/>
  <c r="U39" i="38"/>
  <c r="O120" i="38"/>
  <c r="K88" i="38"/>
  <c r="N163" i="38"/>
  <c r="J166" i="38"/>
  <c r="P113" i="38"/>
  <c r="Z113" i="38" s="1"/>
  <c r="T113" i="38"/>
  <c r="X150" i="38"/>
  <c r="L150" i="38"/>
  <c r="V150" i="38" s="1"/>
  <c r="J129" i="38"/>
  <c r="N128" i="38"/>
  <c r="M119" i="38"/>
  <c r="W119" i="38" s="1"/>
  <c r="U119" i="38"/>
  <c r="O88" i="38"/>
  <c r="N132" i="38"/>
  <c r="N134" i="38"/>
  <c r="P162" i="38"/>
  <c r="Z162" i="38" s="1"/>
  <c r="T162" i="38"/>
  <c r="L115" i="38"/>
  <c r="V115" i="38" s="1"/>
  <c r="X115" i="38"/>
  <c r="U103" i="38"/>
  <c r="M103" i="38"/>
  <c r="W103" i="38" s="1"/>
  <c r="L110" i="38"/>
  <c r="V110" i="38" s="1"/>
  <c r="X110" i="38"/>
  <c r="J122" i="38"/>
  <c r="P117" i="38"/>
  <c r="Z117" i="38" s="1"/>
  <c r="T117" i="38"/>
  <c r="J127" i="38"/>
  <c r="X117" i="38"/>
  <c r="L117" i="38"/>
  <c r="V117" i="38" s="1"/>
  <c r="L111" i="38"/>
  <c r="V111" i="38" s="1"/>
  <c r="X111" i="38"/>
  <c r="K120" i="38"/>
  <c r="Y45" i="39" l="1"/>
  <c r="Q45" i="39"/>
  <c r="AA45" i="39" s="1"/>
  <c r="M35" i="39"/>
  <c r="W35" i="39" s="1"/>
  <c r="U35" i="39"/>
  <c r="M36" i="39"/>
  <c r="W36" i="39" s="1"/>
  <c r="U36" i="39"/>
  <c r="U49" i="39"/>
  <c r="M49" i="39"/>
  <c r="W49" i="39" s="1"/>
  <c r="U48" i="39"/>
  <c r="M48" i="39"/>
  <c r="W48" i="39" s="1"/>
  <c r="O46" i="39"/>
  <c r="G47" i="39"/>
  <c r="P129" i="38"/>
  <c r="Z129" i="38" s="1"/>
  <c r="T129" i="38"/>
  <c r="K153" i="38"/>
  <c r="N156" i="38"/>
  <c r="T127" i="38"/>
  <c r="P127" i="38"/>
  <c r="Z127" i="38" s="1"/>
  <c r="N149" i="38"/>
  <c r="J146" i="38"/>
  <c r="N136" i="38"/>
  <c r="N143" i="38"/>
  <c r="P121" i="38"/>
  <c r="Z121" i="38" s="1"/>
  <c r="T121" i="38"/>
  <c r="K24" i="38"/>
  <c r="J157" i="38"/>
  <c r="Y72" i="38"/>
  <c r="Q72" i="38"/>
  <c r="AA72" i="38" s="1"/>
  <c r="L139" i="38"/>
  <c r="V139" i="38" s="1"/>
  <c r="X139" i="38"/>
  <c r="L132" i="38"/>
  <c r="V132" i="38" s="1"/>
  <c r="X132" i="38"/>
  <c r="O73" i="38"/>
  <c r="U120" i="38"/>
  <c r="M120" i="38"/>
  <c r="W120" i="38" s="1"/>
  <c r="Q88" i="38"/>
  <c r="AA88" i="38" s="1"/>
  <c r="Y88" i="38"/>
  <c r="U88" i="38"/>
  <c r="M88" i="38"/>
  <c r="W88" i="38" s="1"/>
  <c r="O57" i="38"/>
  <c r="X167" i="38"/>
  <c r="L167" i="38"/>
  <c r="V167" i="38" s="1"/>
  <c r="L126" i="38"/>
  <c r="V126" i="38" s="1"/>
  <c r="X126" i="38"/>
  <c r="J138" i="38"/>
  <c r="P134" i="38"/>
  <c r="Z134" i="38" s="1"/>
  <c r="T134" i="38"/>
  <c r="L138" i="38"/>
  <c r="V138" i="38" s="1"/>
  <c r="X138" i="38"/>
  <c r="X141" i="38"/>
  <c r="L141" i="38"/>
  <c r="V141" i="38" s="1"/>
  <c r="X137" i="38"/>
  <c r="L137" i="38"/>
  <c r="V137" i="38" s="1"/>
  <c r="P141" i="38"/>
  <c r="Z141" i="38" s="1"/>
  <c r="T141" i="38"/>
  <c r="P140" i="38"/>
  <c r="Z140" i="38" s="1"/>
  <c r="T140" i="38"/>
  <c r="K121" i="38"/>
  <c r="O89" i="38"/>
  <c r="K89" i="38"/>
  <c r="Y56" i="38"/>
  <c r="Q56" i="38"/>
  <c r="AA56" i="38" s="1"/>
  <c r="L131" i="38"/>
  <c r="V131" i="38" s="1"/>
  <c r="X131" i="38"/>
  <c r="Y104" i="38"/>
  <c r="Q104" i="38"/>
  <c r="AA104" i="38" s="1"/>
  <c r="P136" i="38"/>
  <c r="Z136" i="38" s="1"/>
  <c r="T136" i="38"/>
  <c r="L130" i="38"/>
  <c r="V130" i="38" s="1"/>
  <c r="X130" i="38"/>
  <c r="L142" i="38"/>
  <c r="V142" i="38" s="1"/>
  <c r="X142" i="38"/>
  <c r="Q152" i="38"/>
  <c r="AA152" i="38" s="1"/>
  <c r="Y152" i="38"/>
  <c r="J151" i="38"/>
  <c r="N155" i="38"/>
  <c r="N158" i="38"/>
  <c r="N154" i="38"/>
  <c r="J158" i="38"/>
  <c r="P122" i="38"/>
  <c r="Z122" i="38" s="1"/>
  <c r="T122" i="38"/>
  <c r="O121" i="38"/>
  <c r="P130" i="38"/>
  <c r="Z130" i="38" s="1"/>
  <c r="T130" i="38"/>
  <c r="L123" i="38"/>
  <c r="V123" i="38" s="1"/>
  <c r="X123" i="38"/>
  <c r="N148" i="38"/>
  <c r="O105" i="38"/>
  <c r="J170" i="38"/>
  <c r="J153" i="38"/>
  <c r="N147" i="38"/>
  <c r="N159" i="38"/>
  <c r="O153" i="38"/>
  <c r="X127" i="38"/>
  <c r="L127" i="38"/>
  <c r="V127" i="38" s="1"/>
  <c r="X163" i="38"/>
  <c r="L163" i="38"/>
  <c r="V163" i="38" s="1"/>
  <c r="X119" i="38"/>
  <c r="L119" i="38"/>
  <c r="V119" i="38" s="1"/>
  <c r="J143" i="38"/>
  <c r="J139" i="38"/>
  <c r="Y120" i="38"/>
  <c r="Q120" i="38"/>
  <c r="AA120" i="38" s="1"/>
  <c r="J147" i="38"/>
  <c r="N140" i="38"/>
  <c r="Y136" i="38"/>
  <c r="Q136" i="38"/>
  <c r="AA136" i="38" s="1"/>
  <c r="U56" i="38"/>
  <c r="M56" i="38"/>
  <c r="W56" i="38" s="1"/>
  <c r="Q24" i="38"/>
  <c r="AA24" i="38" s="1"/>
  <c r="Y24" i="38"/>
  <c r="O169" i="38"/>
  <c r="N144" i="38"/>
  <c r="T159" i="38"/>
  <c r="P159" i="38"/>
  <c r="Z159" i="38" s="1"/>
  <c r="X134" i="38"/>
  <c r="L134" i="38"/>
  <c r="V134" i="38" s="1"/>
  <c r="N145" i="38"/>
  <c r="P166" i="38"/>
  <c r="Z166" i="38" s="1"/>
  <c r="T166" i="38"/>
  <c r="M136" i="38"/>
  <c r="W136" i="38" s="1"/>
  <c r="U136" i="38"/>
  <c r="K41" i="38"/>
  <c r="U152" i="38"/>
  <c r="M152" i="38"/>
  <c r="W152" i="38" s="1"/>
  <c r="O137" i="38"/>
  <c r="K57" i="38"/>
  <c r="O25" i="38"/>
  <c r="P133" i="38"/>
  <c r="Z133" i="38" s="1"/>
  <c r="T133" i="38"/>
  <c r="J165" i="38"/>
  <c r="P137" i="38"/>
  <c r="Z137" i="38" s="1"/>
  <c r="T137" i="38"/>
  <c r="M72" i="38"/>
  <c r="W72" i="38" s="1"/>
  <c r="U72" i="38"/>
  <c r="K105" i="38"/>
  <c r="J144" i="38"/>
  <c r="O41" i="38"/>
  <c r="N151" i="38"/>
  <c r="L128" i="38"/>
  <c r="V128" i="38" s="1"/>
  <c r="X128" i="38"/>
  <c r="K137" i="38"/>
  <c r="M40" i="38"/>
  <c r="W40" i="38" s="1"/>
  <c r="U40" i="38"/>
  <c r="K169" i="38"/>
  <c r="P126" i="38"/>
  <c r="Z126" i="38" s="1"/>
  <c r="T126" i="38"/>
  <c r="Y40" i="38"/>
  <c r="Q40" i="38"/>
  <c r="AA40" i="38" s="1"/>
  <c r="J150" i="38"/>
  <c r="T148" i="38"/>
  <c r="P148" i="38"/>
  <c r="Z148" i="38" s="1"/>
  <c r="J154" i="38"/>
  <c r="K73" i="38"/>
  <c r="U104" i="38"/>
  <c r="M104" i="38"/>
  <c r="W104" i="38" s="1"/>
  <c r="G48" i="39" l="1"/>
  <c r="O47" i="39"/>
  <c r="Q46" i="39"/>
  <c r="AA46" i="39" s="1"/>
  <c r="Y46" i="39"/>
  <c r="O42" i="38"/>
  <c r="P147" i="38"/>
  <c r="Z147" i="38" s="1"/>
  <c r="T147" i="38"/>
  <c r="T144" i="38"/>
  <c r="P144" i="38"/>
  <c r="Z144" i="38" s="1"/>
  <c r="T165" i="38"/>
  <c r="P165" i="38"/>
  <c r="Z165" i="38" s="1"/>
  <c r="M57" i="38"/>
  <c r="W57" i="38" s="1"/>
  <c r="U57" i="38"/>
  <c r="J164" i="38"/>
  <c r="J160" i="38"/>
  <c r="T170" i="38"/>
  <c r="P170" i="38"/>
  <c r="Z170" i="38" s="1"/>
  <c r="N171" i="38"/>
  <c r="K90" i="38"/>
  <c r="Y57" i="38"/>
  <c r="Q57" i="38"/>
  <c r="AA57" i="38" s="1"/>
  <c r="Q73" i="38"/>
  <c r="AA73" i="38" s="1"/>
  <c r="Y73" i="38"/>
  <c r="X136" i="38"/>
  <c r="L136" i="38"/>
  <c r="V136" i="38" s="1"/>
  <c r="M169" i="38"/>
  <c r="W169" i="38" s="1"/>
  <c r="U169" i="38"/>
  <c r="J161" i="38"/>
  <c r="K58" i="38"/>
  <c r="Q153" i="38"/>
  <c r="AA153" i="38" s="1"/>
  <c r="Y153" i="38"/>
  <c r="O106" i="38"/>
  <c r="Y121" i="38"/>
  <c r="Q121" i="38"/>
  <c r="AA121" i="38" s="1"/>
  <c r="X158" i="38"/>
  <c r="L158" i="38"/>
  <c r="V158" i="38" s="1"/>
  <c r="Y89" i="38"/>
  <c r="Q89" i="38"/>
  <c r="AA89" i="38" s="1"/>
  <c r="J155" i="38"/>
  <c r="K25" i="38"/>
  <c r="L156" i="38"/>
  <c r="V156" i="38" s="1"/>
  <c r="X156" i="38"/>
  <c r="K138" i="38"/>
  <c r="K42" i="38"/>
  <c r="T153" i="38"/>
  <c r="P153" i="38"/>
  <c r="Z153" i="38" s="1"/>
  <c r="U89" i="38"/>
  <c r="M89" i="38"/>
  <c r="W89" i="38" s="1"/>
  <c r="N153" i="38"/>
  <c r="N170" i="38"/>
  <c r="K106" i="38"/>
  <c r="O138" i="38"/>
  <c r="X144" i="38"/>
  <c r="L144" i="38"/>
  <c r="V144" i="38" s="1"/>
  <c r="O154" i="38"/>
  <c r="Y105" i="38"/>
  <c r="Q105" i="38"/>
  <c r="AA105" i="38" s="1"/>
  <c r="O122" i="38"/>
  <c r="O90" i="38"/>
  <c r="P138" i="38"/>
  <c r="Z138" i="38" s="1"/>
  <c r="T138" i="38"/>
  <c r="M24" i="38"/>
  <c r="W24" i="38" s="1"/>
  <c r="U24" i="38"/>
  <c r="T157" i="38"/>
  <c r="P157" i="38"/>
  <c r="Z157" i="38" s="1"/>
  <c r="U73" i="38"/>
  <c r="M73" i="38"/>
  <c r="W73" i="38" s="1"/>
  <c r="T150" i="38"/>
  <c r="P150" i="38"/>
  <c r="Z150" i="38" s="1"/>
  <c r="K170" i="38"/>
  <c r="U105" i="38"/>
  <c r="M105" i="38"/>
  <c r="W105" i="38" s="1"/>
  <c r="Y137" i="38"/>
  <c r="Q137" i="38"/>
  <c r="AA137" i="38" s="1"/>
  <c r="N161" i="38"/>
  <c r="P139" i="38"/>
  <c r="Z139" i="38" s="1"/>
  <c r="T139" i="38"/>
  <c r="X159" i="38"/>
  <c r="L159" i="38"/>
  <c r="V159" i="38" s="1"/>
  <c r="N165" i="38"/>
  <c r="X155" i="38"/>
  <c r="L155" i="38"/>
  <c r="V155" i="38" s="1"/>
  <c r="U121" i="38"/>
  <c r="M121" i="38"/>
  <c r="W121" i="38" s="1"/>
  <c r="T146" i="38"/>
  <c r="P146" i="38"/>
  <c r="Z146" i="38" s="1"/>
  <c r="K154" i="38"/>
  <c r="Y25" i="38"/>
  <c r="Q25" i="38"/>
  <c r="AA25" i="38" s="1"/>
  <c r="T143" i="38"/>
  <c r="P143" i="38"/>
  <c r="Z143" i="38" s="1"/>
  <c r="O74" i="38"/>
  <c r="K74" i="38"/>
  <c r="J167" i="38"/>
  <c r="X151" i="38"/>
  <c r="L151" i="38"/>
  <c r="V151" i="38" s="1"/>
  <c r="X145" i="38"/>
  <c r="L145" i="38"/>
  <c r="V145" i="38" s="1"/>
  <c r="O170" i="38"/>
  <c r="J156" i="38"/>
  <c r="X148" i="38"/>
  <c r="L148" i="38"/>
  <c r="V148" i="38" s="1"/>
  <c r="N172" i="38"/>
  <c r="K122" i="38"/>
  <c r="J163" i="38"/>
  <c r="M153" i="38"/>
  <c r="W153" i="38" s="1"/>
  <c r="U153" i="38"/>
  <c r="X154" i="38"/>
  <c r="L154" i="38"/>
  <c r="V154" i="38" s="1"/>
  <c r="O58" i="38"/>
  <c r="P154" i="38"/>
  <c r="Z154" i="38" s="1"/>
  <c r="T154" i="38"/>
  <c r="N168" i="38"/>
  <c r="N162" i="38"/>
  <c r="Y169" i="38"/>
  <c r="Q169" i="38"/>
  <c r="AA169" i="38" s="1"/>
  <c r="X140" i="38"/>
  <c r="L140" i="38"/>
  <c r="V140" i="38" s="1"/>
  <c r="N164" i="38"/>
  <c r="J168" i="38"/>
  <c r="N160" i="38"/>
  <c r="L149" i="38"/>
  <c r="V149" i="38" s="1"/>
  <c r="X149" i="38"/>
  <c r="J171" i="38"/>
  <c r="M137" i="38"/>
  <c r="W137" i="38" s="1"/>
  <c r="U137" i="38"/>
  <c r="Y41" i="38"/>
  <c r="Q41" i="38"/>
  <c r="AA41" i="38" s="1"/>
  <c r="O26" i="38"/>
  <c r="U41" i="38"/>
  <c r="M41" i="38"/>
  <c r="W41" i="38" s="1"/>
  <c r="N157" i="38"/>
  <c r="X147" i="38"/>
  <c r="L147" i="38"/>
  <c r="V147" i="38" s="1"/>
  <c r="P158" i="38"/>
  <c r="Z158" i="38" s="1"/>
  <c r="T158" i="38"/>
  <c r="P151" i="38"/>
  <c r="Z151" i="38" s="1"/>
  <c r="T151" i="38"/>
  <c r="X143" i="38"/>
  <c r="L143" i="38"/>
  <c r="V143" i="38" s="1"/>
  <c r="N166" i="38"/>
  <c r="G49" i="39" l="1"/>
  <c r="O49" i="39" s="1"/>
  <c r="O48" i="39"/>
  <c r="Q47" i="39"/>
  <c r="AA47" i="39" s="1"/>
  <c r="Y47" i="39"/>
  <c r="P171" i="38"/>
  <c r="Z171" i="38" s="1"/>
  <c r="T171" i="38"/>
  <c r="O59" i="38"/>
  <c r="X166" i="38"/>
  <c r="L166" i="38"/>
  <c r="V166" i="38" s="1"/>
  <c r="Q58" i="38"/>
  <c r="AA58" i="38" s="1"/>
  <c r="Y58" i="38"/>
  <c r="K123" i="38"/>
  <c r="K107" i="38"/>
  <c r="K59" i="38"/>
  <c r="U122" i="38"/>
  <c r="M122" i="38"/>
  <c r="W122" i="38" s="1"/>
  <c r="T160" i="38"/>
  <c r="P160" i="38"/>
  <c r="Z160" i="38" s="1"/>
  <c r="Q26" i="38"/>
  <c r="AA26" i="38" s="1"/>
  <c r="Y26" i="38"/>
  <c r="L164" i="38"/>
  <c r="V164" i="38" s="1"/>
  <c r="X164" i="38"/>
  <c r="X162" i="38"/>
  <c r="L162" i="38"/>
  <c r="V162" i="38" s="1"/>
  <c r="T156" i="38"/>
  <c r="P156" i="38"/>
  <c r="Z156" i="38" s="1"/>
  <c r="T167" i="38"/>
  <c r="P167" i="38"/>
  <c r="Z167" i="38" s="1"/>
  <c r="K171" i="38"/>
  <c r="Q90" i="38"/>
  <c r="AA90" i="38" s="1"/>
  <c r="Y90" i="38"/>
  <c r="O155" i="38"/>
  <c r="U42" i="38"/>
  <c r="M42" i="38"/>
  <c r="W42" i="38" s="1"/>
  <c r="U25" i="38"/>
  <c r="M25" i="38"/>
  <c r="W25" i="38" s="1"/>
  <c r="K91" i="38"/>
  <c r="T164" i="38"/>
  <c r="P164" i="38"/>
  <c r="Z164" i="38" s="1"/>
  <c r="U106" i="38"/>
  <c r="M106" i="38"/>
  <c r="W106" i="38" s="1"/>
  <c r="O27" i="38"/>
  <c r="U170" i="38"/>
  <c r="M170" i="38"/>
  <c r="W170" i="38" s="1"/>
  <c r="O91" i="38"/>
  <c r="Y154" i="38"/>
  <c r="Q154" i="38"/>
  <c r="AA154" i="38" s="1"/>
  <c r="K43" i="38"/>
  <c r="K26" i="38"/>
  <c r="U90" i="38"/>
  <c r="M90" i="38"/>
  <c r="W90" i="38" s="1"/>
  <c r="X157" i="38"/>
  <c r="L157" i="38"/>
  <c r="V157" i="38" s="1"/>
  <c r="L160" i="38"/>
  <c r="V160" i="38" s="1"/>
  <c r="X160" i="38"/>
  <c r="L168" i="38"/>
  <c r="V168" i="38" s="1"/>
  <c r="X168" i="38"/>
  <c r="Y170" i="38"/>
  <c r="Q170" i="38"/>
  <c r="AA170" i="38" s="1"/>
  <c r="K75" i="38"/>
  <c r="K155" i="38"/>
  <c r="L161" i="38"/>
  <c r="V161" i="38" s="1"/>
  <c r="X161" i="38"/>
  <c r="X170" i="38"/>
  <c r="L170" i="38"/>
  <c r="V170" i="38" s="1"/>
  <c r="U138" i="38"/>
  <c r="M138" i="38"/>
  <c r="W138" i="38" s="1"/>
  <c r="J172" i="38"/>
  <c r="O107" i="38"/>
  <c r="T161" i="38"/>
  <c r="P161" i="38"/>
  <c r="Z161" i="38" s="1"/>
  <c r="L171" i="38"/>
  <c r="V171" i="38" s="1"/>
  <c r="X171" i="38"/>
  <c r="U58" i="38"/>
  <c r="M58" i="38"/>
  <c r="W58" i="38" s="1"/>
  <c r="X172" i="38"/>
  <c r="L172" i="38"/>
  <c r="V172" i="38" s="1"/>
  <c r="O171" i="38"/>
  <c r="U74" i="38"/>
  <c r="M74" i="38"/>
  <c r="W74" i="38" s="1"/>
  <c r="M154" i="38"/>
  <c r="W154" i="38" s="1"/>
  <c r="U154" i="38"/>
  <c r="X153" i="38"/>
  <c r="L153" i="38"/>
  <c r="V153" i="38" s="1"/>
  <c r="K139" i="38"/>
  <c r="T155" i="38"/>
  <c r="P155" i="38"/>
  <c r="Z155" i="38" s="1"/>
  <c r="Y106" i="38"/>
  <c r="Q106" i="38"/>
  <c r="AA106" i="38" s="1"/>
  <c r="Y42" i="38"/>
  <c r="Q42" i="38"/>
  <c r="AA42" i="38" s="1"/>
  <c r="T168" i="38"/>
  <c r="P168" i="38"/>
  <c r="Z168" i="38" s="1"/>
  <c r="T163" i="38"/>
  <c r="P163" i="38"/>
  <c r="Z163" i="38" s="1"/>
  <c r="Q74" i="38"/>
  <c r="AA74" i="38" s="1"/>
  <c r="Y74" i="38"/>
  <c r="L165" i="38"/>
  <c r="V165" i="38" s="1"/>
  <c r="X165" i="38"/>
  <c r="Q122" i="38"/>
  <c r="AA122" i="38" s="1"/>
  <c r="Y122" i="38"/>
  <c r="O139" i="38"/>
  <c r="O75" i="38"/>
  <c r="O123" i="38"/>
  <c r="Y138" i="38"/>
  <c r="Q138" i="38"/>
  <c r="AA138" i="38" s="1"/>
  <c r="O43" i="38"/>
  <c r="Q49" i="39" l="1"/>
  <c r="AA49" i="39" s="1"/>
  <c r="Y49" i="39"/>
  <c r="Q48" i="39"/>
  <c r="AA48" i="39" s="1"/>
  <c r="Y48" i="39"/>
  <c r="Y43" i="38"/>
  <c r="Q43" i="38"/>
  <c r="AA43" i="38" s="1"/>
  <c r="U139" i="38"/>
  <c r="M139" i="38"/>
  <c r="W139" i="38" s="1"/>
  <c r="T172" i="38"/>
  <c r="P172" i="38"/>
  <c r="Z172" i="38" s="1"/>
  <c r="M26" i="38"/>
  <c r="W26" i="38" s="1"/>
  <c r="U26" i="38"/>
  <c r="O92" i="38"/>
  <c r="K124" i="38"/>
  <c r="O44" i="38"/>
  <c r="Y75" i="38"/>
  <c r="Q75" i="38"/>
  <c r="AA75" i="38" s="1"/>
  <c r="O140" i="38"/>
  <c r="K140" i="38"/>
  <c r="K27" i="38"/>
  <c r="Y91" i="38"/>
  <c r="Q91" i="38"/>
  <c r="AA91" i="38" s="1"/>
  <c r="M123" i="38"/>
  <c r="W123" i="38" s="1"/>
  <c r="U123" i="38"/>
  <c r="M155" i="38"/>
  <c r="W155" i="38" s="1"/>
  <c r="U155" i="38"/>
  <c r="U43" i="38"/>
  <c r="M43" i="38"/>
  <c r="W43" i="38" s="1"/>
  <c r="K60" i="38"/>
  <c r="Q59" i="38"/>
  <c r="AA59" i="38" s="1"/>
  <c r="Y59" i="38"/>
  <c r="K156" i="38"/>
  <c r="K44" i="38"/>
  <c r="U59" i="38"/>
  <c r="M59" i="38"/>
  <c r="W59" i="38" s="1"/>
  <c r="O60" i="38"/>
  <c r="Y123" i="38"/>
  <c r="Q123" i="38"/>
  <c r="AA123" i="38" s="1"/>
  <c r="O172" i="38"/>
  <c r="M75" i="38"/>
  <c r="W75" i="38" s="1"/>
  <c r="U75" i="38"/>
  <c r="M91" i="38"/>
  <c r="W91" i="38" s="1"/>
  <c r="U91" i="38"/>
  <c r="U171" i="38"/>
  <c r="M171" i="38"/>
  <c r="W171" i="38" s="1"/>
  <c r="U107" i="38"/>
  <c r="M107" i="38"/>
  <c r="W107" i="38" s="1"/>
  <c r="O76" i="38"/>
  <c r="O124" i="38"/>
  <c r="Y171" i="38"/>
  <c r="Q171" i="38"/>
  <c r="AA171" i="38" s="1"/>
  <c r="K76" i="38"/>
  <c r="K92" i="38"/>
  <c r="K172" i="38"/>
  <c r="K108" i="38"/>
  <c r="Y107" i="38"/>
  <c r="Q107" i="38"/>
  <c r="AA107" i="38" s="1"/>
  <c r="O28" i="38"/>
  <c r="O156" i="38"/>
  <c r="Y139" i="38"/>
  <c r="Q139" i="38"/>
  <c r="AA139" i="38" s="1"/>
  <c r="O108" i="38"/>
  <c r="Q27" i="38"/>
  <c r="AA27" i="38" s="1"/>
  <c r="Y27" i="38"/>
  <c r="Q155" i="38"/>
  <c r="AA155" i="38" s="1"/>
  <c r="Y155" i="38"/>
  <c r="Y108" i="38" l="1"/>
  <c r="Q108" i="38"/>
  <c r="AA108" i="38" s="1"/>
  <c r="O109" i="38"/>
  <c r="K45" i="38"/>
  <c r="M140" i="38"/>
  <c r="W140" i="38" s="1"/>
  <c r="U140" i="38"/>
  <c r="K125" i="38"/>
  <c r="K141" i="38"/>
  <c r="K109" i="38"/>
  <c r="Q124" i="38"/>
  <c r="AA124" i="38" s="1"/>
  <c r="Y124" i="38"/>
  <c r="Y60" i="38"/>
  <c r="Q60" i="38"/>
  <c r="AA60" i="38" s="1"/>
  <c r="Y140" i="38"/>
  <c r="Q140" i="38"/>
  <c r="AA140" i="38" s="1"/>
  <c r="U44" i="38"/>
  <c r="M44" i="38"/>
  <c r="W44" i="38" s="1"/>
  <c r="M108" i="38"/>
  <c r="W108" i="38" s="1"/>
  <c r="U108" i="38"/>
  <c r="O125" i="38"/>
  <c r="O61" i="38"/>
  <c r="O141" i="38"/>
  <c r="Q156" i="38"/>
  <c r="AA156" i="38" s="1"/>
  <c r="Y156" i="38"/>
  <c r="M76" i="38"/>
  <c r="W76" i="38" s="1"/>
  <c r="U76" i="38"/>
  <c r="O77" i="38"/>
  <c r="Q172" i="38"/>
  <c r="AA172" i="38" s="1"/>
  <c r="Y172" i="38"/>
  <c r="U156" i="38"/>
  <c r="M156" i="38"/>
  <c r="W156" i="38" s="1"/>
  <c r="M27" i="38"/>
  <c r="W27" i="38" s="1"/>
  <c r="U27" i="38"/>
  <c r="O157" i="38"/>
  <c r="U172" i="38"/>
  <c r="M172" i="38"/>
  <c r="W172" i="38" s="1"/>
  <c r="K77" i="38"/>
  <c r="Q76" i="38"/>
  <c r="AA76" i="38" s="1"/>
  <c r="Y76" i="38"/>
  <c r="K157" i="38"/>
  <c r="K28" i="38"/>
  <c r="M124" i="38"/>
  <c r="W124" i="38" s="1"/>
  <c r="U124" i="38"/>
  <c r="O29" i="38"/>
  <c r="K93" i="38"/>
  <c r="M60" i="38"/>
  <c r="W60" i="38" s="1"/>
  <c r="U60" i="38"/>
  <c r="Y44" i="38"/>
  <c r="Q44" i="38"/>
  <c r="AA44" i="38" s="1"/>
  <c r="O93" i="38"/>
  <c r="Q28" i="38"/>
  <c r="AA28" i="38" s="1"/>
  <c r="Y28" i="38"/>
  <c r="U92" i="38"/>
  <c r="M92" i="38"/>
  <c r="W92" i="38" s="1"/>
  <c r="K61" i="38"/>
  <c r="O45" i="38"/>
  <c r="Q92" i="38"/>
  <c r="AA92" i="38" s="1"/>
  <c r="Y92" i="38"/>
  <c r="Y61" i="38" l="1"/>
  <c r="Q61" i="38"/>
  <c r="AA61" i="38" s="1"/>
  <c r="Y45" i="38"/>
  <c r="Q45" i="38"/>
  <c r="AA45" i="38" s="1"/>
  <c r="M93" i="38"/>
  <c r="W93" i="38" s="1"/>
  <c r="U93" i="38"/>
  <c r="K29" i="38"/>
  <c r="U77" i="38"/>
  <c r="M77" i="38"/>
  <c r="W77" i="38" s="1"/>
  <c r="O126" i="38"/>
  <c r="K110" i="38"/>
  <c r="U45" i="38"/>
  <c r="M45" i="38"/>
  <c r="W45" i="38" s="1"/>
  <c r="M28" i="38"/>
  <c r="W28" i="38" s="1"/>
  <c r="U28" i="38"/>
  <c r="K46" i="38"/>
  <c r="M61" i="38"/>
  <c r="W61" i="38" s="1"/>
  <c r="U61" i="38"/>
  <c r="Q93" i="38"/>
  <c r="AA93" i="38" s="1"/>
  <c r="Y93" i="38"/>
  <c r="K158" i="38"/>
  <c r="K142" i="38"/>
  <c r="Y109" i="38"/>
  <c r="Q109" i="38"/>
  <c r="AA109" i="38" s="1"/>
  <c r="K78" i="38"/>
  <c r="M109" i="38"/>
  <c r="W109" i="38" s="1"/>
  <c r="U109" i="38"/>
  <c r="K62" i="38"/>
  <c r="O94" i="38"/>
  <c r="M157" i="38"/>
  <c r="W157" i="38" s="1"/>
  <c r="U157" i="38"/>
  <c r="M141" i="38"/>
  <c r="W141" i="38" s="1"/>
  <c r="U141" i="38"/>
  <c r="O110" i="38"/>
  <c r="O62" i="38"/>
  <c r="O30" i="38"/>
  <c r="Y157" i="38"/>
  <c r="Q157" i="38"/>
  <c r="AA157" i="38" s="1"/>
  <c r="O78" i="38"/>
  <c r="Y141" i="38"/>
  <c r="Q141" i="38"/>
  <c r="AA141" i="38" s="1"/>
  <c r="U125" i="38"/>
  <c r="M125" i="38"/>
  <c r="W125" i="38" s="1"/>
  <c r="O46" i="38"/>
  <c r="K94" i="38"/>
  <c r="Y125" i="38"/>
  <c r="Q125" i="38"/>
  <c r="AA125" i="38" s="1"/>
  <c r="Q29" i="38"/>
  <c r="AA29" i="38" s="1"/>
  <c r="Y29" i="38"/>
  <c r="O158" i="38"/>
  <c r="Q77" i="38"/>
  <c r="AA77" i="38" s="1"/>
  <c r="Y77" i="38"/>
  <c r="O142" i="38"/>
  <c r="K126" i="38"/>
  <c r="Q110" i="38" l="1"/>
  <c r="AA110" i="38" s="1"/>
  <c r="Y110" i="38"/>
  <c r="K30" i="38"/>
  <c r="Y142" i="38"/>
  <c r="Q142" i="38"/>
  <c r="AA142" i="38" s="1"/>
  <c r="O95" i="38"/>
  <c r="K79" i="38"/>
  <c r="K159" i="38"/>
  <c r="U46" i="38"/>
  <c r="M46" i="38"/>
  <c r="W46" i="38" s="1"/>
  <c r="Q126" i="38"/>
  <c r="AA126" i="38" s="1"/>
  <c r="Y126" i="38"/>
  <c r="O143" i="38"/>
  <c r="Q94" i="38"/>
  <c r="AA94" i="38" s="1"/>
  <c r="Y94" i="38"/>
  <c r="U78" i="38"/>
  <c r="M78" i="38"/>
  <c r="W78" i="38" s="1"/>
  <c r="M158" i="38"/>
  <c r="W158" i="38" s="1"/>
  <c r="U158" i="38"/>
  <c r="K47" i="38"/>
  <c r="O127" i="38"/>
  <c r="K127" i="38"/>
  <c r="O31" i="38"/>
  <c r="O32" i="38"/>
  <c r="Q30" i="38"/>
  <c r="AA30" i="38" s="1"/>
  <c r="Y30" i="38"/>
  <c r="K63" i="38"/>
  <c r="M126" i="38"/>
  <c r="W126" i="38" s="1"/>
  <c r="U126" i="38"/>
  <c r="Y46" i="38"/>
  <c r="Q46" i="38"/>
  <c r="AA46" i="38" s="1"/>
  <c r="O111" i="38"/>
  <c r="U110" i="38"/>
  <c r="M110" i="38"/>
  <c r="W110" i="38" s="1"/>
  <c r="O47" i="38"/>
  <c r="K111" i="38"/>
  <c r="O159" i="38"/>
  <c r="K95" i="38"/>
  <c r="Q78" i="38"/>
  <c r="AA78" i="38" s="1"/>
  <c r="Y78" i="38"/>
  <c r="O63" i="38"/>
  <c r="U142" i="38"/>
  <c r="M142" i="38"/>
  <c r="W142" i="38" s="1"/>
  <c r="M29" i="38"/>
  <c r="W29" i="38" s="1"/>
  <c r="U29" i="38"/>
  <c r="U62" i="38"/>
  <c r="M62" i="38"/>
  <c r="W62" i="38" s="1"/>
  <c r="Y158" i="38"/>
  <c r="Q158" i="38"/>
  <c r="AA158" i="38" s="1"/>
  <c r="U94" i="38"/>
  <c r="M94" i="38"/>
  <c r="W94" i="38" s="1"/>
  <c r="O79" i="38"/>
  <c r="Q62" i="38"/>
  <c r="AA62" i="38" s="1"/>
  <c r="Y62" i="38"/>
  <c r="K143" i="38"/>
  <c r="K144" i="38" l="1"/>
  <c r="Q63" i="38"/>
  <c r="AA63" i="38" s="1"/>
  <c r="Y63" i="38"/>
  <c r="U111" i="38"/>
  <c r="M111" i="38"/>
  <c r="W111" i="38" s="1"/>
  <c r="U143" i="38"/>
  <c r="M143" i="38"/>
  <c r="W143" i="38" s="1"/>
  <c r="O64" i="38"/>
  <c r="K112" i="38"/>
  <c r="O128" i="38"/>
  <c r="K32" i="38"/>
  <c r="K31" i="38"/>
  <c r="Y79" i="38"/>
  <c r="Q79" i="38"/>
  <c r="AA79" i="38" s="1"/>
  <c r="M95" i="38"/>
  <c r="W95" i="38" s="1"/>
  <c r="U95" i="38"/>
  <c r="Q32" i="38"/>
  <c r="AA32" i="38" s="1"/>
  <c r="Y32" i="38"/>
  <c r="U47" i="38"/>
  <c r="M47" i="38"/>
  <c r="W47" i="38" s="1"/>
  <c r="Y143" i="38"/>
  <c r="Q143" i="38"/>
  <c r="AA143" i="38" s="1"/>
  <c r="M79" i="38"/>
  <c r="W79" i="38" s="1"/>
  <c r="U79" i="38"/>
  <c r="Y47" i="38"/>
  <c r="Q47" i="38"/>
  <c r="AA47" i="38" s="1"/>
  <c r="M159" i="38"/>
  <c r="W159" i="38" s="1"/>
  <c r="U159" i="38"/>
  <c r="O80" i="38"/>
  <c r="K96" i="38"/>
  <c r="Q31" i="38"/>
  <c r="AA31" i="38" s="1"/>
  <c r="Y31" i="38"/>
  <c r="K48" i="38"/>
  <c r="K49" i="38"/>
  <c r="O144" i="38"/>
  <c r="K80" i="38"/>
  <c r="M30" i="38"/>
  <c r="W30" i="38" s="1"/>
  <c r="U30" i="38"/>
  <c r="O49" i="38"/>
  <c r="O48" i="38"/>
  <c r="O160" i="38"/>
  <c r="Q111" i="38"/>
  <c r="AA111" i="38" s="1"/>
  <c r="Y111" i="38"/>
  <c r="K64" i="38"/>
  <c r="U127" i="38"/>
  <c r="M127" i="38"/>
  <c r="W127" i="38" s="1"/>
  <c r="Q95" i="38"/>
  <c r="AA95" i="38" s="1"/>
  <c r="Y95" i="38"/>
  <c r="K160" i="38"/>
  <c r="Y127" i="38"/>
  <c r="Q127" i="38"/>
  <c r="AA127" i="38" s="1"/>
  <c r="Q159" i="38"/>
  <c r="AA159" i="38" s="1"/>
  <c r="Y159" i="38"/>
  <c r="O112" i="38"/>
  <c r="U63" i="38"/>
  <c r="M63" i="38"/>
  <c r="W63" i="38" s="1"/>
  <c r="K128" i="38"/>
  <c r="O96" i="38"/>
  <c r="O97" i="38" l="1"/>
  <c r="O161" i="38"/>
  <c r="O145" i="38"/>
  <c r="K97" i="38"/>
  <c r="Y96" i="38"/>
  <c r="Q96" i="38"/>
  <c r="AA96" i="38" s="1"/>
  <c r="Q160" i="38"/>
  <c r="AA160" i="38" s="1"/>
  <c r="Y160" i="38"/>
  <c r="Q144" i="38"/>
  <c r="AA144" i="38" s="1"/>
  <c r="Y144" i="38"/>
  <c r="U96" i="38"/>
  <c r="M96" i="38"/>
  <c r="W96" i="38" s="1"/>
  <c r="Y49" i="38"/>
  <c r="Q49" i="38"/>
  <c r="AA49" i="38" s="1"/>
  <c r="U112" i="38"/>
  <c r="M112" i="38"/>
  <c r="W112" i="38" s="1"/>
  <c r="U160" i="38"/>
  <c r="M160" i="38"/>
  <c r="W160" i="38" s="1"/>
  <c r="M64" i="38"/>
  <c r="W64" i="38" s="1"/>
  <c r="U64" i="38"/>
  <c r="O81" i="38"/>
  <c r="O65" i="38"/>
  <c r="O66" i="38"/>
  <c r="U49" i="38"/>
  <c r="M49" i="38"/>
  <c r="W49" i="38" s="1"/>
  <c r="K161" i="38"/>
  <c r="K66" i="38"/>
  <c r="K65" i="38"/>
  <c r="Y80" i="38"/>
  <c r="Q80" i="38"/>
  <c r="AA80" i="38" s="1"/>
  <c r="Y64" i="38"/>
  <c r="Q64" i="38"/>
  <c r="AA64" i="38" s="1"/>
  <c r="M128" i="38"/>
  <c r="W128" i="38" s="1"/>
  <c r="U128" i="38"/>
  <c r="Y48" i="38"/>
  <c r="Q48" i="38"/>
  <c r="AA48" i="38" s="1"/>
  <c r="K113" i="38"/>
  <c r="K129" i="38"/>
  <c r="U48" i="38"/>
  <c r="M48" i="38"/>
  <c r="W48" i="38" s="1"/>
  <c r="M32" i="38"/>
  <c r="W32" i="38" s="1"/>
  <c r="U32" i="38"/>
  <c r="Y112" i="38"/>
  <c r="Q112" i="38"/>
  <c r="AA112" i="38" s="1"/>
  <c r="M80" i="38"/>
  <c r="W80" i="38" s="1"/>
  <c r="U80" i="38"/>
  <c r="Q128" i="38"/>
  <c r="AA128" i="38" s="1"/>
  <c r="Y128" i="38"/>
  <c r="U144" i="38"/>
  <c r="M144" i="38"/>
  <c r="W144" i="38" s="1"/>
  <c r="M31" i="38"/>
  <c r="W31" i="38" s="1"/>
  <c r="U31" i="38"/>
  <c r="O113" i="38"/>
  <c r="K81" i="38"/>
  <c r="O129" i="38"/>
  <c r="K145" i="38"/>
  <c r="U81" i="38" l="1"/>
  <c r="M81" i="38"/>
  <c r="W81" i="38" s="1"/>
  <c r="O83" i="38"/>
  <c r="O82" i="38"/>
  <c r="M97" i="38"/>
  <c r="W97" i="38" s="1"/>
  <c r="U97" i="38"/>
  <c r="K82" i="38"/>
  <c r="K83" i="38"/>
  <c r="Q81" i="38"/>
  <c r="AA81" i="38" s="1"/>
  <c r="Y81" i="38"/>
  <c r="K98" i="38"/>
  <c r="O114" i="38"/>
  <c r="K146" i="38"/>
  <c r="U129" i="38"/>
  <c r="M129" i="38"/>
  <c r="W129" i="38" s="1"/>
  <c r="M65" i="38"/>
  <c r="W65" i="38" s="1"/>
  <c r="U65" i="38"/>
  <c r="Q66" i="38"/>
  <c r="AA66" i="38" s="1"/>
  <c r="Y66" i="38"/>
  <c r="Q161" i="38"/>
  <c r="AA161" i="38" s="1"/>
  <c r="Y161" i="38"/>
  <c r="Y113" i="38"/>
  <c r="Q113" i="38"/>
  <c r="AA113" i="38" s="1"/>
  <c r="Q145" i="38"/>
  <c r="AA145" i="38" s="1"/>
  <c r="Y145" i="38"/>
  <c r="M145" i="38"/>
  <c r="W145" i="38" s="1"/>
  <c r="U145" i="38"/>
  <c r="K130" i="38"/>
  <c r="U66" i="38"/>
  <c r="M66" i="38"/>
  <c r="W66" i="38" s="1"/>
  <c r="Q65" i="38"/>
  <c r="AA65" i="38" s="1"/>
  <c r="Y65" i="38"/>
  <c r="O162" i="38"/>
  <c r="O130" i="38"/>
  <c r="K114" i="38"/>
  <c r="K162" i="38"/>
  <c r="O98" i="38"/>
  <c r="O146" i="38"/>
  <c r="Y129" i="38"/>
  <c r="Q129" i="38"/>
  <c r="AA129" i="38" s="1"/>
  <c r="U113" i="38"/>
  <c r="M113" i="38"/>
  <c r="W113" i="38" s="1"/>
  <c r="M161" i="38"/>
  <c r="W161" i="38" s="1"/>
  <c r="U161" i="38"/>
  <c r="Q97" i="38"/>
  <c r="AA97" i="38" s="1"/>
  <c r="Y97" i="38"/>
  <c r="O163" i="38" l="1"/>
  <c r="K147" i="38"/>
  <c r="Q82" i="38"/>
  <c r="AA82" i="38" s="1"/>
  <c r="Y82" i="38"/>
  <c r="Y162" i="38"/>
  <c r="Q162" i="38"/>
  <c r="AA162" i="38" s="1"/>
  <c r="M146" i="38"/>
  <c r="W146" i="38" s="1"/>
  <c r="U146" i="38"/>
  <c r="Y83" i="38"/>
  <c r="Q83" i="38"/>
  <c r="AA83" i="38" s="1"/>
  <c r="O147" i="38"/>
  <c r="U114" i="38"/>
  <c r="M114" i="38"/>
  <c r="W114" i="38" s="1"/>
  <c r="K100" i="38"/>
  <c r="K99" i="38"/>
  <c r="M83" i="38"/>
  <c r="W83" i="38" s="1"/>
  <c r="U83" i="38"/>
  <c r="M162" i="38"/>
  <c r="W162" i="38" s="1"/>
  <c r="U162" i="38"/>
  <c r="Q114" i="38"/>
  <c r="AA114" i="38" s="1"/>
  <c r="Y114" i="38"/>
  <c r="Q146" i="38"/>
  <c r="AA146" i="38" s="1"/>
  <c r="Y146" i="38"/>
  <c r="K115" i="38"/>
  <c r="U98" i="38"/>
  <c r="M98" i="38"/>
  <c r="W98" i="38" s="1"/>
  <c r="U82" i="38"/>
  <c r="M82" i="38"/>
  <c r="W82" i="38" s="1"/>
  <c r="K163" i="38"/>
  <c r="O99" i="38"/>
  <c r="O100" i="38"/>
  <c r="Q130" i="38"/>
  <c r="AA130" i="38" s="1"/>
  <c r="Y130" i="38"/>
  <c r="M130" i="38"/>
  <c r="W130" i="38" s="1"/>
  <c r="U130" i="38"/>
  <c r="O115" i="38"/>
  <c r="Y98" i="38"/>
  <c r="Q98" i="38"/>
  <c r="AA98" i="38" s="1"/>
  <c r="O131" i="38"/>
  <c r="K131" i="38"/>
  <c r="U131" i="38" l="1"/>
  <c r="M131" i="38"/>
  <c r="W131" i="38" s="1"/>
  <c r="U115" i="38"/>
  <c r="M115" i="38"/>
  <c r="W115" i="38" s="1"/>
  <c r="O148" i="38"/>
  <c r="K132" i="38"/>
  <c r="K117" i="38"/>
  <c r="K116" i="38"/>
  <c r="Y147" i="38"/>
  <c r="Q147" i="38"/>
  <c r="AA147" i="38" s="1"/>
  <c r="M99" i="38"/>
  <c r="W99" i="38" s="1"/>
  <c r="U99" i="38"/>
  <c r="Y100" i="38"/>
  <c r="Q100" i="38"/>
  <c r="AA100" i="38" s="1"/>
  <c r="O164" i="38"/>
  <c r="Y131" i="38"/>
  <c r="Q131" i="38"/>
  <c r="AA131" i="38" s="1"/>
  <c r="M147" i="38"/>
  <c r="W147" i="38" s="1"/>
  <c r="U147" i="38"/>
  <c r="O132" i="38"/>
  <c r="K148" i="38"/>
  <c r="Q99" i="38"/>
  <c r="AA99" i="38" s="1"/>
  <c r="Y99" i="38"/>
  <c r="Q163" i="38"/>
  <c r="AA163" i="38" s="1"/>
  <c r="Y163" i="38"/>
  <c r="Q115" i="38"/>
  <c r="AA115" i="38" s="1"/>
  <c r="Y115" i="38"/>
  <c r="K164" i="38"/>
  <c r="M100" i="38"/>
  <c r="W100" i="38" s="1"/>
  <c r="U100" i="38"/>
  <c r="O117" i="38"/>
  <c r="O116" i="38"/>
  <c r="U163" i="38"/>
  <c r="M163" i="38"/>
  <c r="W163" i="38" s="1"/>
  <c r="Y116" i="38" l="1"/>
  <c r="Q116" i="38"/>
  <c r="AA116" i="38" s="1"/>
  <c r="O149" i="38"/>
  <c r="Y117" i="38"/>
  <c r="Q117" i="38"/>
  <c r="AA117" i="38" s="1"/>
  <c r="Q148" i="38"/>
  <c r="AA148" i="38" s="1"/>
  <c r="Y148" i="38"/>
  <c r="U148" i="38"/>
  <c r="M148" i="38"/>
  <c r="W148" i="38" s="1"/>
  <c r="M117" i="38"/>
  <c r="W117" i="38" s="1"/>
  <c r="U117" i="38"/>
  <c r="Q132" i="38"/>
  <c r="AA132" i="38" s="1"/>
  <c r="Y132" i="38"/>
  <c r="U164" i="38"/>
  <c r="M164" i="38"/>
  <c r="W164" i="38" s="1"/>
  <c r="O165" i="38"/>
  <c r="O134" i="38"/>
  <c r="O133" i="38"/>
  <c r="K165" i="38"/>
  <c r="K149" i="38"/>
  <c r="U132" i="38"/>
  <c r="M132" i="38"/>
  <c r="W132" i="38" s="1"/>
  <c r="M116" i="38"/>
  <c r="W116" i="38" s="1"/>
  <c r="U116" i="38"/>
  <c r="Q164" i="38"/>
  <c r="AA164" i="38" s="1"/>
  <c r="Y164" i="38"/>
  <c r="K134" i="38"/>
  <c r="K133" i="38"/>
  <c r="M133" i="38" l="1"/>
  <c r="W133" i="38" s="1"/>
  <c r="U133" i="38"/>
  <c r="U149" i="38"/>
  <c r="M149" i="38"/>
  <c r="W149" i="38" s="1"/>
  <c r="Y133" i="38"/>
  <c r="Q133" i="38"/>
  <c r="AA133" i="38" s="1"/>
  <c r="O151" i="38"/>
  <c r="O150" i="38"/>
  <c r="M134" i="38"/>
  <c r="W134" i="38" s="1"/>
  <c r="U134" i="38"/>
  <c r="K150" i="38"/>
  <c r="K151" i="38"/>
  <c r="Y134" i="38"/>
  <c r="Q134" i="38"/>
  <c r="AA134" i="38" s="1"/>
  <c r="Q149" i="38"/>
  <c r="AA149" i="38" s="1"/>
  <c r="Y149" i="38"/>
  <c r="Q165" i="38"/>
  <c r="AA165" i="38" s="1"/>
  <c r="Y165" i="38"/>
  <c r="K166" i="38"/>
  <c r="M165" i="38"/>
  <c r="W165" i="38" s="1"/>
  <c r="U165" i="38"/>
  <c r="O166" i="38"/>
  <c r="O167" i="38" l="1"/>
  <c r="O168" i="38"/>
  <c r="Y150" i="38"/>
  <c r="Q150" i="38"/>
  <c r="AA150" i="38" s="1"/>
  <c r="Y166" i="38"/>
  <c r="Q166" i="38"/>
  <c r="AA166" i="38" s="1"/>
  <c r="Y151" i="38"/>
  <c r="Q151" i="38"/>
  <c r="AA151" i="38" s="1"/>
  <c r="M151" i="38"/>
  <c r="W151" i="38" s="1"/>
  <c r="U151" i="38"/>
  <c r="M166" i="38"/>
  <c r="W166" i="38" s="1"/>
  <c r="U166" i="38"/>
  <c r="M150" i="38"/>
  <c r="W150" i="38" s="1"/>
  <c r="U150" i="38"/>
  <c r="K167" i="38"/>
  <c r="K168" i="38"/>
  <c r="U168" i="38" l="1"/>
  <c r="M168" i="38"/>
  <c r="W168" i="38" s="1"/>
  <c r="U167" i="38"/>
  <c r="M167" i="38"/>
  <c r="W167" i="38" s="1"/>
  <c r="Q168" i="38"/>
  <c r="AA168" i="38" s="1"/>
  <c r="Y168" i="38"/>
  <c r="Q167" i="38"/>
  <c r="AA167" i="38" s="1"/>
  <c r="Y167" i="38"/>
</calcChain>
</file>

<file path=xl/sharedStrings.xml><?xml version="1.0" encoding="utf-8"?>
<sst xmlns="http://schemas.openxmlformats.org/spreadsheetml/2006/main" count="1420" uniqueCount="78">
  <si>
    <t>⇒</t>
    <phoneticPr fontId="1"/>
  </si>
  <si>
    <t>墓所コード</t>
    <rPh sb="0" eb="2">
      <t>ボショ</t>
    </rPh>
    <phoneticPr fontId="1"/>
  </si>
  <si>
    <t>左上Ｘ</t>
    <rPh sb="0" eb="1">
      <t>ヒダリ</t>
    </rPh>
    <rPh sb="1" eb="2">
      <t>ウエ</t>
    </rPh>
    <phoneticPr fontId="1"/>
  </si>
  <si>
    <t>左上Ｙ</t>
    <rPh sb="0" eb="1">
      <t>ヒダリ</t>
    </rPh>
    <rPh sb="1" eb="2">
      <t>ウエ</t>
    </rPh>
    <phoneticPr fontId="1"/>
  </si>
  <si>
    <t>右上Ｘ</t>
    <rPh sb="0" eb="2">
      <t>ミギウエ</t>
    </rPh>
    <phoneticPr fontId="1"/>
  </si>
  <si>
    <t>右上Ｙ</t>
    <rPh sb="0" eb="2">
      <t>ミギウエ</t>
    </rPh>
    <phoneticPr fontId="1"/>
  </si>
  <si>
    <t>右下Ｘ</t>
    <rPh sb="0" eb="2">
      <t>ミギシタ</t>
    </rPh>
    <phoneticPr fontId="1"/>
  </si>
  <si>
    <t>右下Ｙ</t>
    <rPh sb="0" eb="2">
      <t>ミギシタ</t>
    </rPh>
    <phoneticPr fontId="1"/>
  </si>
  <si>
    <t>左下Ｘ</t>
    <rPh sb="0" eb="2">
      <t>ヒダリシタ</t>
    </rPh>
    <phoneticPr fontId="1"/>
  </si>
  <si>
    <t>左下Ｙ</t>
    <rPh sb="0" eb="2">
      <t>ヒダリシタ</t>
    </rPh>
    <phoneticPr fontId="1"/>
  </si>
  <si>
    <t>08-01</t>
  </si>
  <si>
    <t>08-02</t>
  </si>
  <si>
    <t>08-03</t>
  </si>
  <si>
    <t>08-05</t>
  </si>
  <si>
    <t>08-06</t>
  </si>
  <si>
    <t>08-07</t>
  </si>
  <si>
    <t>08-08</t>
  </si>
  <si>
    <t>08-10</t>
  </si>
  <si>
    <t>08-11</t>
  </si>
  <si>
    <t>08-12</t>
  </si>
  <si>
    <t>10-01</t>
  </si>
  <si>
    <t>10-02</t>
  </si>
  <si>
    <t>10-03</t>
  </si>
  <si>
    <t>10-05</t>
  </si>
  <si>
    <t>10-06</t>
  </si>
  <si>
    <t>10-07</t>
  </si>
  <si>
    <t>10-08</t>
  </si>
  <si>
    <t>10-10</t>
  </si>
  <si>
    <t>10-11</t>
  </si>
  <si>
    <t>10-12</t>
  </si>
  <si>
    <t>左上(Ｘ,Y)+右下(X,Y)
カンマ区切り</t>
    <rPh sb="0" eb="1">
      <t>ヒダリ</t>
    </rPh>
    <rPh sb="1" eb="2">
      <t>ウエ</t>
    </rPh>
    <rPh sb="8" eb="10">
      <t>ミギシタ</t>
    </rPh>
    <rPh sb="19" eb="21">
      <t>クギ</t>
    </rPh>
    <phoneticPr fontId="1"/>
  </si>
  <si>
    <t>コード</t>
    <phoneticPr fontId="1"/>
  </si>
  <si>
    <t>分類</t>
    <rPh sb="0" eb="2">
      <t>ブンルイ</t>
    </rPh>
    <phoneticPr fontId="1"/>
  </si>
  <si>
    <t>霊園</t>
    <rPh sb="0" eb="2">
      <t>レイエン</t>
    </rPh>
    <phoneticPr fontId="1"/>
  </si>
  <si>
    <t>エリア</t>
    <phoneticPr fontId="1"/>
  </si>
  <si>
    <t>区画</t>
    <rPh sb="0" eb="2">
      <t>クカク</t>
    </rPh>
    <phoneticPr fontId="1"/>
  </si>
  <si>
    <t>※画像を元に各墓所の座標を調べてください。</t>
    <rPh sb="1" eb="3">
      <t>ガゾウ</t>
    </rPh>
    <rPh sb="4" eb="5">
      <t>モト</t>
    </rPh>
    <rPh sb="6" eb="7">
      <t>カク</t>
    </rPh>
    <rPh sb="7" eb="9">
      <t>ボショ</t>
    </rPh>
    <rPh sb="10" eb="12">
      <t>ザヒョウ</t>
    </rPh>
    <rPh sb="13" eb="14">
      <t>シラ</t>
    </rPh>
    <phoneticPr fontId="1"/>
  </si>
  <si>
    <t>分割1</t>
    <rPh sb="0" eb="2">
      <t>ブンカツ</t>
    </rPh>
    <phoneticPr fontId="1"/>
  </si>
  <si>
    <t>分割2</t>
    <rPh sb="0" eb="2">
      <t>ブンカツ</t>
    </rPh>
    <phoneticPr fontId="1"/>
  </si>
  <si>
    <t>分割3</t>
    <rPh sb="0" eb="2">
      <t>ブンカツ</t>
    </rPh>
    <phoneticPr fontId="1"/>
  </si>
  <si>
    <t>分割4</t>
    <rPh sb="0" eb="2">
      <t>ブンカツ</t>
    </rPh>
    <phoneticPr fontId="1"/>
  </si>
  <si>
    <t>②各墓所の座標を入力してください。（黄色）</t>
    <rPh sb="1" eb="2">
      <t>カク</t>
    </rPh>
    <rPh sb="2" eb="4">
      <t>ボショ</t>
    </rPh>
    <rPh sb="5" eb="7">
      <t>ザヒョウ</t>
    </rPh>
    <rPh sb="8" eb="10">
      <t>ニュウリョク</t>
    </rPh>
    <phoneticPr fontId="1"/>
  </si>
  <si>
    <t>◎４点座標（自動）</t>
    <rPh sb="2" eb="3">
      <t>テン</t>
    </rPh>
    <rPh sb="3" eb="5">
      <t>ザヒョウ</t>
    </rPh>
    <rPh sb="6" eb="8">
      <t>ジドウ</t>
    </rPh>
    <phoneticPr fontId="1"/>
  </si>
  <si>
    <t>◎カンマ分割（自動）</t>
    <rPh sb="4" eb="6">
      <t>ブンカツ</t>
    </rPh>
    <rPh sb="7" eb="9">
      <t>ジドウ</t>
    </rPh>
    <phoneticPr fontId="1"/>
  </si>
  <si>
    <t>◎左下原点変換（自動）</t>
    <rPh sb="1" eb="3">
      <t>ヒダリシタ</t>
    </rPh>
    <rPh sb="3" eb="5">
      <t>ゲンテン</t>
    </rPh>
    <rPh sb="5" eb="7">
      <t>ヘンカン</t>
    </rPh>
    <rPh sb="8" eb="10">
      <t>ジドウ</t>
    </rPh>
    <phoneticPr fontId="1"/>
  </si>
  <si>
    <t>⇒⇒⇒</t>
    <phoneticPr fontId="1"/>
  </si>
  <si>
    <t>画像(高さ)</t>
    <rPh sb="0" eb="2">
      <t>ガゾウ</t>
    </rPh>
    <rPh sb="3" eb="4">
      <t>タカ</t>
    </rPh>
    <phoneticPr fontId="1"/>
  </si>
  <si>
    <t>③「JSONファイル作成」ボタンを押下してください。</t>
    <rPh sb="10" eb="12">
      <t>サクセイ</t>
    </rPh>
    <rPh sb="17" eb="19">
      <t>オウカ</t>
    </rPh>
    <phoneticPr fontId="1"/>
  </si>
  <si>
    <t>Y補正</t>
    <rPh sb="1" eb="3">
      <t>ホセイ</t>
    </rPh>
    <phoneticPr fontId="1"/>
  </si>
  <si>
    <t>08-13</t>
  </si>
  <si>
    <t>08-15</t>
  </si>
  <si>
    <t>10-13</t>
  </si>
  <si>
    <t>10-15</t>
  </si>
  <si>
    <t>※jsonファイルが作成されます。</t>
    <rPh sb="10" eb="12">
      <t>サクセイ</t>
    </rPh>
    <phoneticPr fontId="1"/>
  </si>
  <si>
    <t>displayWidth</t>
    <phoneticPr fontId="1"/>
  </si>
  <si>
    <t>displayHeight</t>
    <phoneticPr fontId="1"/>
  </si>
  <si>
    <t>※500固定</t>
    <rPh sb="4" eb="6">
      <t>コテイ</t>
    </rPh>
    <phoneticPr fontId="1"/>
  </si>
  <si>
    <t>右欄に入力して下さい⇒</t>
    <rPh sb="0" eb="2">
      <t>ウラン</t>
    </rPh>
    <rPh sb="3" eb="5">
      <t>ニュウリョク</t>
    </rPh>
    <rPh sb="7" eb="8">
      <t>クダ</t>
    </rPh>
    <phoneticPr fontId="1"/>
  </si>
  <si>
    <t>※この行（背景灰色）は変更しないで下さい。</t>
    <rPh sb="3" eb="4">
      <t>ギョウ</t>
    </rPh>
    <rPh sb="5" eb="7">
      <t>ハイケイ</t>
    </rPh>
    <rPh sb="7" eb="9">
      <t>ハイイロ</t>
    </rPh>
    <rPh sb="11" eb="13">
      <t>ヘンコウ</t>
    </rPh>
    <rPh sb="17" eb="18">
      <t>クダ</t>
    </rPh>
    <phoneticPr fontId="1"/>
  </si>
  <si>
    <t>①初期情報を入力してください。（背景オレンジ色）</t>
    <rPh sb="1" eb="3">
      <t>ショキ</t>
    </rPh>
    <rPh sb="3" eb="5">
      <t>ジョウホウ</t>
    </rPh>
    <rPh sb="6" eb="8">
      <t>ニュウリョク</t>
    </rPh>
    <rPh sb="16" eb="18">
      <t>ハイケイ</t>
    </rPh>
    <rPh sb="22" eb="23">
      <t>イロ</t>
    </rPh>
    <phoneticPr fontId="1"/>
  </si>
  <si>
    <t>※画像の余白によって変更して下さい。（ex．下部に余白があるので600に変更）</t>
    <rPh sb="1" eb="3">
      <t>ガゾウ</t>
    </rPh>
    <rPh sb="4" eb="6">
      <t>ヨハク</t>
    </rPh>
    <rPh sb="10" eb="12">
      <t>ヘンコウ</t>
    </rPh>
    <rPh sb="14" eb="15">
      <t>クダ</t>
    </rPh>
    <rPh sb="22" eb="24">
      <t>カブ</t>
    </rPh>
    <rPh sb="25" eb="27">
      <t>ヨハク</t>
    </rPh>
    <rPh sb="36" eb="38">
      <t>ヘンコウ</t>
    </rPh>
    <phoneticPr fontId="1"/>
  </si>
  <si>
    <t>※マクロと連動のため、行や列の追加／削除など禁止！</t>
    <rPh sb="5" eb="7">
      <t>レンドウ</t>
    </rPh>
    <rPh sb="11" eb="12">
      <t>ギョウ</t>
    </rPh>
    <rPh sb="13" eb="14">
      <t>レツ</t>
    </rPh>
    <rPh sb="15" eb="17">
      <t>ツイカ</t>
    </rPh>
    <rPh sb="18" eb="20">
      <t>サクジョ</t>
    </rPh>
    <rPh sb="22" eb="24">
      <t>キンシ</t>
    </rPh>
    <phoneticPr fontId="1"/>
  </si>
  <si>
    <t>10-09</t>
  </si>
  <si>
    <t>09-15</t>
  </si>
  <si>
    <t>09-13</t>
  </si>
  <si>
    <t>09-12</t>
  </si>
  <si>
    <t>09-11</t>
  </si>
  <si>
    <t>09-10</t>
  </si>
  <si>
    <t>09-09</t>
  </si>
  <si>
    <t>09-08</t>
  </si>
  <si>
    <t>09-07</t>
  </si>
  <si>
    <t>09-06</t>
  </si>
  <si>
    <t>09-05</t>
  </si>
  <si>
    <t>09-03</t>
  </si>
  <si>
    <t>09-02</t>
  </si>
  <si>
    <t>09-01</t>
  </si>
  <si>
    <t>08-09</t>
  </si>
  <si>
    <t>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</si>
</sst>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b/>
      <u/>
      <sz val="11"/>
      <color theme="1"/>
      <name val="Yu Gothic"/>
      <family val="3"/>
      <charset val="128"/>
      <scheme val="minor"/>
    </font>
    <font>
      <u/>
      <sz val="11"/>
      <color theme="10"/>
      <name val="Yu Gothic"/>
      <family val="2"/>
      <scheme val="minor"/>
    </font>
    <font>
      <sz val="11"/>
      <color rgb="FFFF0000"/>
      <name val="Yu Gothic"/>
      <family val="2"/>
      <scheme val="minor"/>
    </font>
    <font>
      <sz val="11"/>
      <color rgb="FF000000"/>
      <name val="Yu Gothic"/>
      <family val="3"/>
      <charset val="128"/>
    </font>
    <font>
      <sz val="11"/>
      <name val="Yu Gothic"/>
      <family val="2"/>
      <scheme val="minor"/>
    </font>
    <font>
      <sz val="11"/>
      <color rgb="FF0070C0"/>
      <name val="Yu Gothic"/>
      <family val="2"/>
      <scheme val="minor"/>
    </font>
    <font>
      <sz val="11"/>
      <color rgb="FF0070C0"/>
      <name val="Yu Gothic"/>
      <family val="3"/>
      <charset val="128"/>
      <scheme val="minor"/>
    </font>
    <font>
      <sz val="11"/>
      <color rgb="FFFF0000"/>
      <name val="Yu Gothic"/>
      <family val="3"/>
      <charset val="128"/>
      <scheme val="minor"/>
    </font>
    <font>
      <b/>
      <u/>
      <sz val="11"/>
      <color rgb="FFFF0000"/>
      <name val="Yu Gothic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3499862666707357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8">
    <xf numFmtId="0" fontId="0" fillId="0" borderId="0" xfId="0"/>
    <xf numFmtId="49" fontId="2" fillId="0" borderId="0" xfId="0" applyNumberFormat="1" applyFont="1" applyAlignment="1">
      <alignment vertical="top"/>
    </xf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0" fontId="0" fillId="0" borderId="0" xfId="0" applyAlignment="1">
      <alignment horizontal="center" vertical="top"/>
    </xf>
    <xf numFmtId="0" fontId="3" fillId="0" borderId="0" xfId="1" applyAlignment="1">
      <alignment vertical="top"/>
    </xf>
    <xf numFmtId="49" fontId="0" fillId="3" borderId="1" xfId="0" applyNumberFormat="1" applyFill="1" applyBorder="1" applyAlignment="1">
      <alignment horizontal="center" vertical="top"/>
    </xf>
    <xf numFmtId="0" fontId="0" fillId="3" borderId="1" xfId="0" applyFill="1" applyBorder="1" applyAlignment="1">
      <alignment horizontal="center" vertical="top" wrapText="1"/>
    </xf>
    <xf numFmtId="0" fontId="0" fillId="3" borderId="1" xfId="0" applyFill="1" applyBorder="1" applyAlignment="1">
      <alignment horizontal="center" vertical="top"/>
    </xf>
    <xf numFmtId="49" fontId="0" fillId="2" borderId="1" xfId="0" applyNumberFormat="1" applyFill="1" applyBorder="1" applyAlignment="1">
      <alignment horizontal="center" vertical="top"/>
    </xf>
    <xf numFmtId="0" fontId="0" fillId="5" borderId="1" xfId="0" applyFill="1" applyBorder="1" applyAlignment="1">
      <alignment horizontal="center" vertical="top"/>
    </xf>
    <xf numFmtId="0" fontId="0" fillId="3" borderId="2" xfId="0" applyFill="1" applyBorder="1" applyAlignment="1">
      <alignment horizontal="center" vertical="top"/>
    </xf>
    <xf numFmtId="0" fontId="0" fillId="3" borderId="3" xfId="0" applyFill="1" applyBorder="1" applyAlignment="1">
      <alignment horizontal="center" vertical="top"/>
    </xf>
    <xf numFmtId="0" fontId="0" fillId="4" borderId="2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49" fontId="0" fillId="5" borderId="1" xfId="0" applyNumberFormat="1" applyFill="1" applyBorder="1" applyAlignment="1">
      <alignment horizontal="center" vertical="top"/>
    </xf>
    <xf numFmtId="0" fontId="0" fillId="6" borderId="2" xfId="0" applyFill="1" applyBorder="1" applyAlignment="1">
      <alignment horizontal="center" vertical="top"/>
    </xf>
    <xf numFmtId="0" fontId="0" fillId="6" borderId="3" xfId="0" applyFill="1" applyBorder="1" applyAlignment="1">
      <alignment horizontal="center" vertical="top"/>
    </xf>
    <xf numFmtId="0" fontId="0" fillId="7" borderId="1" xfId="0" applyFill="1" applyBorder="1" applyAlignment="1">
      <alignment horizontal="center" vertical="top"/>
    </xf>
    <xf numFmtId="49" fontId="0" fillId="8" borderId="1" xfId="0" applyNumberFormat="1" applyFill="1" applyBorder="1" applyAlignment="1">
      <alignment horizontal="center" vertical="top"/>
    </xf>
    <xf numFmtId="0" fontId="0" fillId="2" borderId="1" xfId="0" applyFill="1" applyBorder="1" applyAlignment="1">
      <alignment horizontal="center" vertical="top"/>
    </xf>
    <xf numFmtId="0" fontId="4" fillId="0" borderId="0" xfId="0" applyFont="1" applyAlignment="1">
      <alignment horizontal="center" vertical="top"/>
    </xf>
    <xf numFmtId="0" fontId="7" fillId="2" borderId="1" xfId="0" applyFont="1" applyFill="1" applyBorder="1" applyAlignment="1">
      <alignment horizontal="center" vertical="top"/>
    </xf>
    <xf numFmtId="0" fontId="4" fillId="2" borderId="1" xfId="0" applyFont="1" applyFill="1" applyBorder="1" applyAlignment="1">
      <alignment horizontal="center" vertical="top"/>
    </xf>
    <xf numFmtId="0" fontId="6" fillId="2" borderId="1" xfId="0" applyFont="1" applyFill="1" applyBorder="1" applyAlignment="1">
      <alignment horizontal="center" vertical="top"/>
    </xf>
    <xf numFmtId="0" fontId="8" fillId="2" borderId="1" xfId="0" applyFont="1" applyFill="1" applyBorder="1" applyAlignment="1">
      <alignment horizontal="center" vertical="top"/>
    </xf>
    <xf numFmtId="49" fontId="9" fillId="2" borderId="1" xfId="0" applyNumberFormat="1" applyFont="1" applyFill="1" applyBorder="1" applyAlignment="1">
      <alignment horizontal="center" vertical="top"/>
    </xf>
    <xf numFmtId="0" fontId="6" fillId="9" borderId="1" xfId="0" applyFont="1" applyFill="1" applyBorder="1" applyAlignment="1">
      <alignment horizontal="center" vertical="top"/>
    </xf>
    <xf numFmtId="0" fontId="0" fillId="9" borderId="1" xfId="0" applyFill="1" applyBorder="1" applyAlignment="1">
      <alignment horizontal="center" vertical="top"/>
    </xf>
    <xf numFmtId="49" fontId="0" fillId="9" borderId="1" xfId="0" applyNumberFormat="1" applyFill="1" applyBorder="1" applyAlignment="1">
      <alignment horizontal="center" vertical="top"/>
    </xf>
    <xf numFmtId="0" fontId="0" fillId="9" borderId="0" xfId="0" applyFill="1" applyAlignment="1">
      <alignment horizontal="center" vertical="top"/>
    </xf>
    <xf numFmtId="0" fontId="0" fillId="9" borderId="0" xfId="0" applyFill="1" applyAlignment="1">
      <alignment vertical="top"/>
    </xf>
    <xf numFmtId="49" fontId="0" fillId="9" borderId="0" xfId="0" applyNumberFormat="1" applyFill="1" applyAlignment="1">
      <alignment vertical="top"/>
    </xf>
    <xf numFmtId="0" fontId="6" fillId="9" borderId="0" xfId="0" applyFont="1" applyFill="1" applyAlignment="1">
      <alignment vertical="top"/>
    </xf>
    <xf numFmtId="0" fontId="10" fillId="0" borderId="0" xfId="0" applyFont="1" applyAlignment="1">
      <alignment vertical="top"/>
    </xf>
    <xf numFmtId="0" fontId="0" fillId="5" borderId="4" xfId="0" applyFill="1" applyBorder="1" applyAlignment="1">
      <alignment horizontal="center" vertical="top"/>
    </xf>
    <xf numFmtId="0" fontId="0" fillId="5" borderId="5" xfId="0" applyFill="1" applyBorder="1" applyAlignment="1">
      <alignment horizontal="center" vertical="top"/>
    </xf>
    <xf numFmtId="0" fontId="0" fillId="5" borderId="6" xfId="0" applyFill="1" applyBorder="1" applyAlignment="1">
      <alignment horizontal="center" vertical="top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39937" name="Button 1" descr="JSONファイル作成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0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504825</xdr:colOff>
          <xdr:row>1</xdr:row>
          <xdr:rowOff>66675</xdr:rowOff>
        </xdr:from>
        <xdr:to>
          <xdr:col>21</xdr:col>
          <xdr:colOff>333375</xdr:colOff>
          <xdr:row>2</xdr:row>
          <xdr:rowOff>171450</xdr:rowOff>
        </xdr:to>
        <xdr:sp macro="" textlink="">
          <xdr:nvSpPr>
            <xdr:cNvPr id="40961" name="Button 1" descr="JSONファイル作成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1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JSONファイル作成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Yu Gothic"/>
                <a:ea typeface="Yu Gothic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C65FB9-3001-4470-BA0E-6F66A5D49AAD}">
  <sheetPr codeName="Sheet23">
    <pageSetUpPr fitToPage="1"/>
  </sheetPr>
  <dimension ref="A1:AB172"/>
  <sheetViews>
    <sheetView workbookViewId="0">
      <pane ySplit="10" topLeftCell="A11" activePane="bottomLeft" state="frozen"/>
      <selection activeCell="A70" sqref="A7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59</v>
      </c>
      <c r="I1" s="34" t="s">
        <v>61</v>
      </c>
      <c r="Q1" s="2"/>
      <c r="S1" s="1" t="s">
        <v>47</v>
      </c>
      <c r="AA1" s="2"/>
    </row>
    <row r="2" spans="1:28">
      <c r="A2" s="6" t="s">
        <v>32</v>
      </c>
      <c r="B2" s="7" t="s">
        <v>31</v>
      </c>
    </row>
    <row r="3" spans="1:28">
      <c r="A3" s="6" t="s">
        <v>33</v>
      </c>
      <c r="B3" s="18">
        <v>11</v>
      </c>
      <c r="C3" s="4" t="s">
        <v>0</v>
      </c>
      <c r="D3" s="35" t="str">
        <f>"SEC_"&amp;B3&amp;"_"&amp;B4&amp;"_"&amp;B5&amp;".json"</f>
        <v>SEC_11_4_11.json</v>
      </c>
      <c r="E3" s="36"/>
      <c r="F3" s="36"/>
      <c r="G3" s="37"/>
      <c r="H3" s="4" t="s">
        <v>0</v>
      </c>
      <c r="I3" s="2" t="s">
        <v>53</v>
      </c>
      <c r="Q3" s="2"/>
      <c r="R3" s="4"/>
      <c r="AA3" s="2"/>
      <c r="AB3" s="4"/>
    </row>
    <row r="4" spans="1:28">
      <c r="A4" s="6" t="s">
        <v>34</v>
      </c>
      <c r="B4" s="18">
        <v>4</v>
      </c>
      <c r="C4" s="4" t="s">
        <v>0</v>
      </c>
      <c r="D4" s="35" t="str">
        <f>"SEC_"&amp;B3&amp;"_"&amp;B4&amp;"_"&amp;B5&amp;".png"</f>
        <v>SEC_11_4_11.png</v>
      </c>
      <c r="E4" s="36"/>
      <c r="F4" s="36"/>
      <c r="G4" s="37"/>
      <c r="H4" s="4" t="s">
        <v>0</v>
      </c>
      <c r="I4" s="2" t="s">
        <v>36</v>
      </c>
      <c r="N4" s="5"/>
      <c r="Q4" s="2"/>
      <c r="R4" s="4"/>
      <c r="AA4" s="2"/>
      <c r="AB4" s="4"/>
    </row>
    <row r="5" spans="1:28">
      <c r="A5" s="6" t="s">
        <v>35</v>
      </c>
      <c r="B5" s="18">
        <v>11</v>
      </c>
    </row>
    <row r="6" spans="1:28">
      <c r="A6" s="29" t="s">
        <v>46</v>
      </c>
      <c r="B6" s="27">
        <v>750</v>
      </c>
      <c r="C6" s="30" t="s">
        <v>0</v>
      </c>
      <c r="D6" s="28" t="s">
        <v>48</v>
      </c>
      <c r="E6" s="27">
        <v>0</v>
      </c>
      <c r="F6" s="30" t="s">
        <v>0</v>
      </c>
      <c r="G6" s="27">
        <f>B6+E6</f>
        <v>750</v>
      </c>
      <c r="H6" s="33"/>
      <c r="I6" s="33" t="s">
        <v>58</v>
      </c>
      <c r="J6" s="31"/>
      <c r="K6" s="31"/>
      <c r="L6" s="31"/>
      <c r="M6" s="31"/>
      <c r="N6" s="31"/>
      <c r="O6" s="31"/>
      <c r="P6" s="31"/>
      <c r="Q6" s="32"/>
      <c r="R6" s="31"/>
      <c r="S6" s="30" t="s">
        <v>45</v>
      </c>
      <c r="T6" s="30" t="s">
        <v>0</v>
      </c>
      <c r="U6" s="27">
        <f>G6</f>
        <v>750</v>
      </c>
      <c r="V6" s="30" t="s">
        <v>0</v>
      </c>
      <c r="W6" s="27">
        <f>G6</f>
        <v>750</v>
      </c>
      <c r="X6" s="30" t="s">
        <v>0</v>
      </c>
      <c r="Y6" s="27">
        <f>G6</f>
        <v>750</v>
      </c>
      <c r="Z6" s="30" t="s">
        <v>0</v>
      </c>
      <c r="AA6" s="27">
        <f>G6</f>
        <v>750</v>
      </c>
    </row>
    <row r="7" spans="1:28" ht="18.75" customHeight="1">
      <c r="A7" s="6" t="s">
        <v>54</v>
      </c>
      <c r="B7" s="18">
        <v>500</v>
      </c>
      <c r="C7" s="2" t="s">
        <v>56</v>
      </c>
    </row>
    <row r="8" spans="1:28" ht="18.75" customHeight="1">
      <c r="A8" s="6" t="s">
        <v>55</v>
      </c>
      <c r="B8" s="18">
        <v>750</v>
      </c>
      <c r="C8" s="2" t="s">
        <v>60</v>
      </c>
    </row>
    <row r="9" spans="1:28">
      <c r="A9" s="1" t="s">
        <v>41</v>
      </c>
      <c r="D9" s="2" t="s">
        <v>43</v>
      </c>
      <c r="I9" s="2" t="s">
        <v>42</v>
      </c>
      <c r="Q9" s="1"/>
      <c r="S9" s="2" t="s">
        <v>44</v>
      </c>
      <c r="AA9" s="1"/>
    </row>
    <row r="10" spans="1:28" ht="37.5">
      <c r="A10" s="6" t="s">
        <v>1</v>
      </c>
      <c r="B10" s="7" t="s">
        <v>30</v>
      </c>
      <c r="C10" s="4" t="s">
        <v>0</v>
      </c>
      <c r="D10" s="8" t="s">
        <v>37</v>
      </c>
      <c r="E10" s="8" t="s">
        <v>38</v>
      </c>
      <c r="F10" s="8" t="s">
        <v>39</v>
      </c>
      <c r="G10" s="8" t="s">
        <v>40</v>
      </c>
      <c r="H10" s="4" t="s">
        <v>0</v>
      </c>
      <c r="I10" s="8" t="s">
        <v>1</v>
      </c>
      <c r="J10" s="11" t="s">
        <v>2</v>
      </c>
      <c r="K10" s="12" t="s">
        <v>3</v>
      </c>
      <c r="L10" s="11" t="s">
        <v>4</v>
      </c>
      <c r="M10" s="12" t="s">
        <v>5</v>
      </c>
      <c r="N10" s="11" t="s">
        <v>6</v>
      </c>
      <c r="O10" s="12" t="s">
        <v>7</v>
      </c>
      <c r="P10" s="11" t="s">
        <v>8</v>
      </c>
      <c r="Q10" s="12" t="s">
        <v>9</v>
      </c>
      <c r="R10" s="4" t="s">
        <v>0</v>
      </c>
      <c r="S10" s="8" t="s">
        <v>1</v>
      </c>
      <c r="T10" s="11" t="s">
        <v>2</v>
      </c>
      <c r="U10" s="12" t="s">
        <v>3</v>
      </c>
      <c r="V10" s="11" t="s">
        <v>4</v>
      </c>
      <c r="W10" s="12" t="s">
        <v>5</v>
      </c>
      <c r="X10" s="11" t="s">
        <v>6</v>
      </c>
      <c r="Y10" s="12" t="s">
        <v>7</v>
      </c>
      <c r="Z10" s="11" t="s">
        <v>8</v>
      </c>
      <c r="AA10" s="12" t="s">
        <v>9</v>
      </c>
      <c r="AB10" s="4" t="s">
        <v>0</v>
      </c>
    </row>
    <row r="11" spans="1:28">
      <c r="A11" s="9" t="s">
        <v>52</v>
      </c>
      <c r="B11" s="26" t="s">
        <v>57</v>
      </c>
      <c r="C11" s="4" t="s">
        <v>0</v>
      </c>
      <c r="D11" s="22">
        <v>36</v>
      </c>
      <c r="E11" s="25">
        <v>105</v>
      </c>
      <c r="F11" s="25">
        <v>68</v>
      </c>
      <c r="G11" s="25">
        <v>138</v>
      </c>
      <c r="H11" s="4" t="s">
        <v>0</v>
      </c>
      <c r="I11" s="15" t="str">
        <f t="shared" ref="I11:I172" si="0">A11</f>
        <v>10-15</v>
      </c>
      <c r="J11" s="13">
        <f>IF(D11&lt;&gt;"",D11,0)</f>
        <v>36</v>
      </c>
      <c r="K11" s="14">
        <f>IF(E11&lt;&gt;"",E11,0)</f>
        <v>105</v>
      </c>
      <c r="L11" s="16">
        <f>N11</f>
        <v>68</v>
      </c>
      <c r="M11" s="17">
        <f>K11</f>
        <v>105</v>
      </c>
      <c r="N11" s="13">
        <f>IF(F11&lt;&gt;"",F11,0)</f>
        <v>68</v>
      </c>
      <c r="O11" s="14">
        <f>IF(G11&lt;&gt;"",G11,0)</f>
        <v>138</v>
      </c>
      <c r="P11" s="16">
        <f>J11</f>
        <v>36</v>
      </c>
      <c r="Q11" s="17">
        <f>O11</f>
        <v>138</v>
      </c>
      <c r="R11" s="4" t="s">
        <v>0</v>
      </c>
      <c r="S11" s="15" t="str">
        <f>I11</f>
        <v>10-15</v>
      </c>
      <c r="T11" s="13">
        <f>IF(J11&lt;&gt;"",J11,"")</f>
        <v>36</v>
      </c>
      <c r="U11" s="17">
        <f>IF(K11&lt;&gt;"",U$6-K11,"")</f>
        <v>645</v>
      </c>
      <c r="V11" s="13">
        <f t="shared" ref="V11:Z23" si="1">IF(L11&lt;&gt;"",L11,"")</f>
        <v>68</v>
      </c>
      <c r="W11" s="17">
        <f>IF(M11&lt;&gt;"",W$6-M11,"")</f>
        <v>645</v>
      </c>
      <c r="X11" s="13">
        <f t="shared" si="1"/>
        <v>68</v>
      </c>
      <c r="Y11" s="17">
        <f>IF(O11&lt;&gt;"",Y$6-O11,"")</f>
        <v>612</v>
      </c>
      <c r="Z11" s="13">
        <f t="shared" si="1"/>
        <v>36</v>
      </c>
      <c r="AA11" s="17">
        <f>IF(Q11&lt;&gt;"",AA$6-Q11,"")</f>
        <v>612</v>
      </c>
      <c r="AB11" s="4" t="s">
        <v>0</v>
      </c>
    </row>
    <row r="12" spans="1:28">
      <c r="A12" s="9" t="s">
        <v>51</v>
      </c>
      <c r="B12" s="19"/>
      <c r="C12" s="21">
        <v>1</v>
      </c>
      <c r="D12" s="23">
        <f>ROUND(D$11+32*$C12, 0)</f>
        <v>68</v>
      </c>
      <c r="E12" s="24">
        <f>E$11</f>
        <v>105</v>
      </c>
      <c r="F12" s="23">
        <f>ROUND(F$11+32*$C12, 0)</f>
        <v>100</v>
      </c>
      <c r="G12" s="24">
        <f>G$11</f>
        <v>138</v>
      </c>
      <c r="H12" s="4" t="s">
        <v>0</v>
      </c>
      <c r="I12" s="15" t="str">
        <f t="shared" si="0"/>
        <v>10-13</v>
      </c>
      <c r="J12" s="13">
        <f t="shared" ref="J12:K127" si="2">IF(D12&lt;&gt;"",D12,0)</f>
        <v>68</v>
      </c>
      <c r="K12" s="14">
        <f t="shared" si="2"/>
        <v>105</v>
      </c>
      <c r="L12" s="16">
        <f t="shared" ref="L12:L172" si="3">N12</f>
        <v>100</v>
      </c>
      <c r="M12" s="17">
        <f t="shared" ref="M12:M172" si="4">K12</f>
        <v>105</v>
      </c>
      <c r="N12" s="13">
        <f t="shared" ref="N12:O127" si="5">IF(F12&lt;&gt;"",F12,0)</f>
        <v>100</v>
      </c>
      <c r="O12" s="14">
        <f t="shared" si="5"/>
        <v>138</v>
      </c>
      <c r="P12" s="16">
        <f t="shared" ref="P12:P172" si="6">J12</f>
        <v>68</v>
      </c>
      <c r="Q12" s="17">
        <f t="shared" ref="Q12:Q172" si="7">O12</f>
        <v>138</v>
      </c>
      <c r="R12" s="4" t="s">
        <v>0</v>
      </c>
      <c r="S12" s="15" t="str">
        <f t="shared" ref="S12:S172" si="8">I12</f>
        <v>10-13</v>
      </c>
      <c r="T12" s="13">
        <f t="shared" ref="T12:T172" si="9">IF(J12&lt;&gt;"",J12,"")</f>
        <v>68</v>
      </c>
      <c r="U12" s="17">
        <f t="shared" ref="U12:U172" si="10">IF(K12&lt;&gt;"",U$6-K12,"")</f>
        <v>645</v>
      </c>
      <c r="V12" s="13">
        <f t="shared" si="1"/>
        <v>100</v>
      </c>
      <c r="W12" s="17">
        <f t="shared" ref="W12:W172" si="11">IF(M12&lt;&gt;"",W$6-M12,"")</f>
        <v>645</v>
      </c>
      <c r="X12" s="13">
        <f t="shared" si="1"/>
        <v>100</v>
      </c>
      <c r="Y12" s="17">
        <f t="shared" ref="Y12:Y172" si="12">IF(O12&lt;&gt;"",Y$6-O12,"")</f>
        <v>612</v>
      </c>
      <c r="Z12" s="13">
        <f t="shared" si="1"/>
        <v>68</v>
      </c>
      <c r="AA12" s="17">
        <f t="shared" ref="AA12:AA172" si="13">IF(Q12&lt;&gt;"",AA$6-Q12,"")</f>
        <v>612</v>
      </c>
      <c r="AB12" s="4" t="s">
        <v>0</v>
      </c>
    </row>
    <row r="13" spans="1:28">
      <c r="A13" s="9" t="s">
        <v>29</v>
      </c>
      <c r="B13" s="19"/>
      <c r="C13" s="21">
        <v>2</v>
      </c>
      <c r="D13" s="23">
        <f t="shared" ref="D13:D23" si="14">ROUND(D$11+32*$C13, 0)</f>
        <v>100</v>
      </c>
      <c r="E13" s="24">
        <f t="shared" ref="E13:E23" si="15">E$11</f>
        <v>105</v>
      </c>
      <c r="F13" s="23">
        <f t="shared" ref="F13:F23" si="16">ROUND(F$11+32*$C13, 0)</f>
        <v>132</v>
      </c>
      <c r="G13" s="24">
        <f t="shared" ref="G13:G23" si="17">G$11</f>
        <v>138</v>
      </c>
      <c r="H13" s="4" t="s">
        <v>0</v>
      </c>
      <c r="I13" s="15" t="str">
        <f t="shared" si="0"/>
        <v>10-12</v>
      </c>
      <c r="J13" s="13">
        <f t="shared" si="2"/>
        <v>100</v>
      </c>
      <c r="K13" s="14">
        <f t="shared" si="2"/>
        <v>105</v>
      </c>
      <c r="L13" s="16">
        <f t="shared" si="3"/>
        <v>132</v>
      </c>
      <c r="M13" s="17">
        <f t="shared" si="4"/>
        <v>105</v>
      </c>
      <c r="N13" s="13">
        <f t="shared" si="5"/>
        <v>132</v>
      </c>
      <c r="O13" s="14">
        <f t="shared" si="5"/>
        <v>138</v>
      </c>
      <c r="P13" s="16">
        <f t="shared" si="6"/>
        <v>100</v>
      </c>
      <c r="Q13" s="17">
        <f t="shared" si="7"/>
        <v>138</v>
      </c>
      <c r="R13" s="4" t="s">
        <v>0</v>
      </c>
      <c r="S13" s="15" t="str">
        <f t="shared" si="8"/>
        <v>10-12</v>
      </c>
      <c r="T13" s="13">
        <f t="shared" si="9"/>
        <v>100</v>
      </c>
      <c r="U13" s="17">
        <f t="shared" si="10"/>
        <v>645</v>
      </c>
      <c r="V13" s="13">
        <f t="shared" si="1"/>
        <v>132</v>
      </c>
      <c r="W13" s="17">
        <f t="shared" si="11"/>
        <v>645</v>
      </c>
      <c r="X13" s="13">
        <f t="shared" si="1"/>
        <v>132</v>
      </c>
      <c r="Y13" s="17">
        <f t="shared" si="12"/>
        <v>612</v>
      </c>
      <c r="Z13" s="13">
        <f t="shared" si="1"/>
        <v>100</v>
      </c>
      <c r="AA13" s="17">
        <f t="shared" si="13"/>
        <v>612</v>
      </c>
      <c r="AB13" s="4" t="s">
        <v>0</v>
      </c>
    </row>
    <row r="14" spans="1:28">
      <c r="A14" s="9" t="s">
        <v>28</v>
      </c>
      <c r="B14" s="19"/>
      <c r="C14" s="21">
        <v>3</v>
      </c>
      <c r="D14" s="23">
        <f t="shared" si="14"/>
        <v>132</v>
      </c>
      <c r="E14" s="24">
        <f t="shared" si="15"/>
        <v>105</v>
      </c>
      <c r="F14" s="23">
        <f t="shared" si="16"/>
        <v>164</v>
      </c>
      <c r="G14" s="24">
        <f t="shared" si="17"/>
        <v>138</v>
      </c>
      <c r="H14" s="4" t="s">
        <v>0</v>
      </c>
      <c r="I14" s="15" t="str">
        <f t="shared" si="0"/>
        <v>10-11</v>
      </c>
      <c r="J14" s="13">
        <f t="shared" si="2"/>
        <v>132</v>
      </c>
      <c r="K14" s="14">
        <f t="shared" si="2"/>
        <v>105</v>
      </c>
      <c r="L14" s="16">
        <f t="shared" si="3"/>
        <v>164</v>
      </c>
      <c r="M14" s="17">
        <f t="shared" si="4"/>
        <v>105</v>
      </c>
      <c r="N14" s="13">
        <f t="shared" si="5"/>
        <v>164</v>
      </c>
      <c r="O14" s="14">
        <f t="shared" si="5"/>
        <v>138</v>
      </c>
      <c r="P14" s="16">
        <f t="shared" si="6"/>
        <v>132</v>
      </c>
      <c r="Q14" s="17">
        <f t="shared" si="7"/>
        <v>138</v>
      </c>
      <c r="R14" s="4" t="s">
        <v>0</v>
      </c>
      <c r="S14" s="15" t="str">
        <f t="shared" si="8"/>
        <v>10-11</v>
      </c>
      <c r="T14" s="13">
        <f t="shared" si="9"/>
        <v>132</v>
      </c>
      <c r="U14" s="17">
        <f t="shared" si="10"/>
        <v>645</v>
      </c>
      <c r="V14" s="13">
        <f t="shared" si="1"/>
        <v>164</v>
      </c>
      <c r="W14" s="17">
        <f t="shared" si="11"/>
        <v>645</v>
      </c>
      <c r="X14" s="13">
        <f t="shared" si="1"/>
        <v>164</v>
      </c>
      <c r="Y14" s="17">
        <f t="shared" si="12"/>
        <v>612</v>
      </c>
      <c r="Z14" s="13">
        <f t="shared" si="1"/>
        <v>132</v>
      </c>
      <c r="AA14" s="17">
        <f t="shared" si="13"/>
        <v>612</v>
      </c>
      <c r="AB14" s="4" t="s">
        <v>0</v>
      </c>
    </row>
    <row r="15" spans="1:28">
      <c r="A15" s="9" t="s">
        <v>27</v>
      </c>
      <c r="B15" s="19"/>
      <c r="C15" s="21">
        <v>4</v>
      </c>
      <c r="D15" s="23">
        <f t="shared" si="14"/>
        <v>164</v>
      </c>
      <c r="E15" s="24">
        <f t="shared" si="15"/>
        <v>105</v>
      </c>
      <c r="F15" s="23">
        <f t="shared" si="16"/>
        <v>196</v>
      </c>
      <c r="G15" s="24">
        <f t="shared" si="17"/>
        <v>138</v>
      </c>
      <c r="H15" s="4" t="s">
        <v>0</v>
      </c>
      <c r="I15" s="15" t="str">
        <f t="shared" si="0"/>
        <v>10-10</v>
      </c>
      <c r="J15" s="13">
        <f t="shared" si="2"/>
        <v>164</v>
      </c>
      <c r="K15" s="14">
        <f t="shared" si="2"/>
        <v>105</v>
      </c>
      <c r="L15" s="16">
        <f t="shared" si="3"/>
        <v>196</v>
      </c>
      <c r="M15" s="17">
        <f t="shared" si="4"/>
        <v>105</v>
      </c>
      <c r="N15" s="13">
        <f t="shared" si="5"/>
        <v>196</v>
      </c>
      <c r="O15" s="14">
        <f t="shared" si="5"/>
        <v>138</v>
      </c>
      <c r="P15" s="16">
        <f t="shared" si="6"/>
        <v>164</v>
      </c>
      <c r="Q15" s="17">
        <f t="shared" si="7"/>
        <v>138</v>
      </c>
      <c r="R15" s="4" t="s">
        <v>0</v>
      </c>
      <c r="S15" s="15" t="str">
        <f t="shared" si="8"/>
        <v>10-10</v>
      </c>
      <c r="T15" s="13">
        <f t="shared" si="9"/>
        <v>164</v>
      </c>
      <c r="U15" s="17">
        <f t="shared" si="10"/>
        <v>645</v>
      </c>
      <c r="V15" s="13">
        <f t="shared" si="1"/>
        <v>196</v>
      </c>
      <c r="W15" s="17">
        <f t="shared" si="11"/>
        <v>645</v>
      </c>
      <c r="X15" s="13">
        <f t="shared" si="1"/>
        <v>196</v>
      </c>
      <c r="Y15" s="17">
        <f t="shared" si="12"/>
        <v>612</v>
      </c>
      <c r="Z15" s="13">
        <f t="shared" si="1"/>
        <v>164</v>
      </c>
      <c r="AA15" s="17">
        <f t="shared" si="13"/>
        <v>612</v>
      </c>
      <c r="AB15" s="4" t="s">
        <v>0</v>
      </c>
    </row>
    <row r="16" spans="1:28">
      <c r="A16" s="9" t="s">
        <v>62</v>
      </c>
      <c r="B16" s="19"/>
      <c r="C16" s="21">
        <v>5</v>
      </c>
      <c r="D16" s="23">
        <f t="shared" si="14"/>
        <v>196</v>
      </c>
      <c r="E16" s="24">
        <f t="shared" si="15"/>
        <v>105</v>
      </c>
      <c r="F16" s="23">
        <f t="shared" si="16"/>
        <v>228</v>
      </c>
      <c r="G16" s="24">
        <f t="shared" si="17"/>
        <v>138</v>
      </c>
      <c r="H16" s="4" t="s">
        <v>0</v>
      </c>
      <c r="I16" s="15" t="str">
        <f t="shared" ref="I16:I19" si="18">A16</f>
        <v>10-09</v>
      </c>
      <c r="J16" s="13">
        <f t="shared" ref="J16:J19" si="19">IF(D16&lt;&gt;"",D16,0)</f>
        <v>196</v>
      </c>
      <c r="K16" s="14">
        <f t="shared" ref="K16:K19" si="20">IF(E16&lt;&gt;"",E16,0)</f>
        <v>105</v>
      </c>
      <c r="L16" s="16">
        <f t="shared" ref="L16:L19" si="21">N16</f>
        <v>228</v>
      </c>
      <c r="M16" s="17">
        <f t="shared" ref="M16:M19" si="22">K16</f>
        <v>105</v>
      </c>
      <c r="N16" s="13">
        <f t="shared" ref="N16:N19" si="23">IF(F16&lt;&gt;"",F16,0)</f>
        <v>228</v>
      </c>
      <c r="O16" s="14">
        <f t="shared" ref="O16:O19" si="24">IF(G16&lt;&gt;"",G16,0)</f>
        <v>138</v>
      </c>
      <c r="P16" s="16">
        <f t="shared" ref="P16:P19" si="25">J16</f>
        <v>196</v>
      </c>
      <c r="Q16" s="17">
        <f t="shared" ref="Q16:Q19" si="26">O16</f>
        <v>138</v>
      </c>
      <c r="R16" s="4" t="s">
        <v>0</v>
      </c>
      <c r="S16" s="15" t="str">
        <f t="shared" ref="S16:S19" si="27">I16</f>
        <v>10-09</v>
      </c>
      <c r="T16" s="13">
        <f t="shared" ref="T16:T19" si="28">IF(J16&lt;&gt;"",J16,"")</f>
        <v>196</v>
      </c>
      <c r="U16" s="17">
        <f t="shared" ref="U16:U19" si="29">IF(K16&lt;&gt;"",U$6-K16,"")</f>
        <v>645</v>
      </c>
      <c r="V16" s="13">
        <f t="shared" ref="V16:V19" si="30">IF(L16&lt;&gt;"",L16,"")</f>
        <v>228</v>
      </c>
      <c r="W16" s="17">
        <f t="shared" ref="W16:W19" si="31">IF(M16&lt;&gt;"",W$6-M16,"")</f>
        <v>645</v>
      </c>
      <c r="X16" s="13">
        <f t="shared" ref="X16:X19" si="32">IF(N16&lt;&gt;"",N16,"")</f>
        <v>228</v>
      </c>
      <c r="Y16" s="17">
        <f t="shared" ref="Y16:Y19" si="33">IF(O16&lt;&gt;"",Y$6-O16,"")</f>
        <v>612</v>
      </c>
      <c r="Z16" s="13">
        <f t="shared" ref="Z16:Z19" si="34">IF(P16&lt;&gt;"",P16,"")</f>
        <v>196</v>
      </c>
      <c r="AA16" s="17">
        <f t="shared" ref="AA16:AA19" si="35">IF(Q16&lt;&gt;"",AA$6-Q16,"")</f>
        <v>612</v>
      </c>
      <c r="AB16" s="4" t="s">
        <v>0</v>
      </c>
    </row>
    <row r="17" spans="1:28">
      <c r="A17" s="9" t="s">
        <v>26</v>
      </c>
      <c r="B17" s="19"/>
      <c r="C17" s="21">
        <v>6</v>
      </c>
      <c r="D17" s="23">
        <f t="shared" si="14"/>
        <v>228</v>
      </c>
      <c r="E17" s="24">
        <f t="shared" si="15"/>
        <v>105</v>
      </c>
      <c r="F17" s="23">
        <f t="shared" si="16"/>
        <v>260</v>
      </c>
      <c r="G17" s="24">
        <f t="shared" si="17"/>
        <v>138</v>
      </c>
      <c r="H17" s="4" t="s">
        <v>0</v>
      </c>
      <c r="I17" s="15" t="str">
        <f t="shared" si="18"/>
        <v>10-08</v>
      </c>
      <c r="J17" s="13">
        <f t="shared" si="19"/>
        <v>228</v>
      </c>
      <c r="K17" s="14">
        <f t="shared" si="20"/>
        <v>105</v>
      </c>
      <c r="L17" s="16">
        <f t="shared" si="21"/>
        <v>260</v>
      </c>
      <c r="M17" s="17">
        <f t="shared" si="22"/>
        <v>105</v>
      </c>
      <c r="N17" s="13">
        <f t="shared" si="23"/>
        <v>260</v>
      </c>
      <c r="O17" s="14">
        <f t="shared" si="24"/>
        <v>138</v>
      </c>
      <c r="P17" s="16">
        <f t="shared" si="25"/>
        <v>228</v>
      </c>
      <c r="Q17" s="17">
        <f t="shared" si="26"/>
        <v>138</v>
      </c>
      <c r="R17" s="4" t="s">
        <v>0</v>
      </c>
      <c r="S17" s="15" t="str">
        <f t="shared" si="27"/>
        <v>10-08</v>
      </c>
      <c r="T17" s="13">
        <f t="shared" si="28"/>
        <v>228</v>
      </c>
      <c r="U17" s="17">
        <f t="shared" si="29"/>
        <v>645</v>
      </c>
      <c r="V17" s="13">
        <f t="shared" si="30"/>
        <v>260</v>
      </c>
      <c r="W17" s="17">
        <f t="shared" si="31"/>
        <v>645</v>
      </c>
      <c r="X17" s="13">
        <f t="shared" si="32"/>
        <v>260</v>
      </c>
      <c r="Y17" s="17">
        <f t="shared" si="33"/>
        <v>612</v>
      </c>
      <c r="Z17" s="13">
        <f t="shared" si="34"/>
        <v>228</v>
      </c>
      <c r="AA17" s="17">
        <f t="shared" si="35"/>
        <v>612</v>
      </c>
      <c r="AB17" s="4" t="s">
        <v>0</v>
      </c>
    </row>
    <row r="18" spans="1:28">
      <c r="A18" s="9" t="s">
        <v>25</v>
      </c>
      <c r="B18" s="19"/>
      <c r="C18" s="21">
        <v>7</v>
      </c>
      <c r="D18" s="23">
        <f t="shared" si="14"/>
        <v>260</v>
      </c>
      <c r="E18" s="24">
        <f t="shared" si="15"/>
        <v>105</v>
      </c>
      <c r="F18" s="23">
        <f t="shared" si="16"/>
        <v>292</v>
      </c>
      <c r="G18" s="24">
        <f t="shared" si="17"/>
        <v>138</v>
      </c>
      <c r="H18" s="4" t="s">
        <v>0</v>
      </c>
      <c r="I18" s="15" t="str">
        <f t="shared" si="18"/>
        <v>10-07</v>
      </c>
      <c r="J18" s="13">
        <f t="shared" si="19"/>
        <v>260</v>
      </c>
      <c r="K18" s="14">
        <f t="shared" si="20"/>
        <v>105</v>
      </c>
      <c r="L18" s="16">
        <f t="shared" si="21"/>
        <v>292</v>
      </c>
      <c r="M18" s="17">
        <f t="shared" si="22"/>
        <v>105</v>
      </c>
      <c r="N18" s="13">
        <f t="shared" si="23"/>
        <v>292</v>
      </c>
      <c r="O18" s="14">
        <f t="shared" si="24"/>
        <v>138</v>
      </c>
      <c r="P18" s="16">
        <f t="shared" si="25"/>
        <v>260</v>
      </c>
      <c r="Q18" s="17">
        <f t="shared" si="26"/>
        <v>138</v>
      </c>
      <c r="R18" s="4" t="s">
        <v>0</v>
      </c>
      <c r="S18" s="15" t="str">
        <f t="shared" si="27"/>
        <v>10-07</v>
      </c>
      <c r="T18" s="13">
        <f t="shared" si="28"/>
        <v>260</v>
      </c>
      <c r="U18" s="17">
        <f t="shared" si="29"/>
        <v>645</v>
      </c>
      <c r="V18" s="13">
        <f t="shared" si="30"/>
        <v>292</v>
      </c>
      <c r="W18" s="17">
        <f t="shared" si="31"/>
        <v>645</v>
      </c>
      <c r="X18" s="13">
        <f t="shared" si="32"/>
        <v>292</v>
      </c>
      <c r="Y18" s="17">
        <f t="shared" si="33"/>
        <v>612</v>
      </c>
      <c r="Z18" s="13">
        <f t="shared" si="34"/>
        <v>260</v>
      </c>
      <c r="AA18" s="17">
        <f t="shared" si="35"/>
        <v>612</v>
      </c>
      <c r="AB18" s="4" t="s">
        <v>0</v>
      </c>
    </row>
    <row r="19" spans="1:28">
      <c r="A19" s="9" t="s">
        <v>24</v>
      </c>
      <c r="B19" s="19"/>
      <c r="C19" s="21">
        <v>8</v>
      </c>
      <c r="D19" s="23">
        <f t="shared" si="14"/>
        <v>292</v>
      </c>
      <c r="E19" s="24">
        <f t="shared" si="15"/>
        <v>105</v>
      </c>
      <c r="F19" s="23">
        <f t="shared" si="16"/>
        <v>324</v>
      </c>
      <c r="G19" s="24">
        <f t="shared" si="17"/>
        <v>138</v>
      </c>
      <c r="H19" s="4" t="s">
        <v>0</v>
      </c>
      <c r="I19" s="15" t="str">
        <f t="shared" si="18"/>
        <v>10-06</v>
      </c>
      <c r="J19" s="13">
        <f t="shared" si="19"/>
        <v>292</v>
      </c>
      <c r="K19" s="14">
        <f t="shared" si="20"/>
        <v>105</v>
      </c>
      <c r="L19" s="16">
        <f t="shared" si="21"/>
        <v>324</v>
      </c>
      <c r="M19" s="17">
        <f t="shared" si="22"/>
        <v>105</v>
      </c>
      <c r="N19" s="13">
        <f t="shared" si="23"/>
        <v>324</v>
      </c>
      <c r="O19" s="14">
        <f t="shared" si="24"/>
        <v>138</v>
      </c>
      <c r="P19" s="16">
        <f t="shared" si="25"/>
        <v>292</v>
      </c>
      <c r="Q19" s="17">
        <f t="shared" si="26"/>
        <v>138</v>
      </c>
      <c r="R19" s="4" t="s">
        <v>0</v>
      </c>
      <c r="S19" s="15" t="str">
        <f t="shared" si="27"/>
        <v>10-06</v>
      </c>
      <c r="T19" s="13">
        <f t="shared" si="28"/>
        <v>292</v>
      </c>
      <c r="U19" s="17">
        <f t="shared" si="29"/>
        <v>645</v>
      </c>
      <c r="V19" s="13">
        <f t="shared" si="30"/>
        <v>324</v>
      </c>
      <c r="W19" s="17">
        <f t="shared" si="31"/>
        <v>645</v>
      </c>
      <c r="X19" s="13">
        <f t="shared" si="32"/>
        <v>324</v>
      </c>
      <c r="Y19" s="17">
        <f t="shared" si="33"/>
        <v>612</v>
      </c>
      <c r="Z19" s="13">
        <f t="shared" si="34"/>
        <v>292</v>
      </c>
      <c r="AA19" s="17">
        <f t="shared" si="35"/>
        <v>612</v>
      </c>
      <c r="AB19" s="4" t="s">
        <v>0</v>
      </c>
    </row>
    <row r="20" spans="1:28">
      <c r="A20" s="9" t="s">
        <v>23</v>
      </c>
      <c r="B20" s="19"/>
      <c r="C20" s="21">
        <v>9</v>
      </c>
      <c r="D20" s="23">
        <f t="shared" si="14"/>
        <v>324</v>
      </c>
      <c r="E20" s="24">
        <f t="shared" si="15"/>
        <v>105</v>
      </c>
      <c r="F20" s="23">
        <f t="shared" si="16"/>
        <v>356</v>
      </c>
      <c r="G20" s="24">
        <f t="shared" si="17"/>
        <v>138</v>
      </c>
      <c r="H20" s="4" t="s">
        <v>0</v>
      </c>
      <c r="I20" s="15" t="str">
        <f t="shared" si="0"/>
        <v>10-05</v>
      </c>
      <c r="J20" s="13">
        <f t="shared" si="2"/>
        <v>324</v>
      </c>
      <c r="K20" s="14">
        <f t="shared" si="2"/>
        <v>105</v>
      </c>
      <c r="L20" s="16">
        <f t="shared" si="3"/>
        <v>356</v>
      </c>
      <c r="M20" s="17">
        <f t="shared" si="4"/>
        <v>105</v>
      </c>
      <c r="N20" s="13">
        <f t="shared" si="5"/>
        <v>356</v>
      </c>
      <c r="O20" s="14">
        <f t="shared" si="5"/>
        <v>138</v>
      </c>
      <c r="P20" s="16">
        <f t="shared" si="6"/>
        <v>324</v>
      </c>
      <c r="Q20" s="17">
        <f t="shared" si="7"/>
        <v>138</v>
      </c>
      <c r="R20" s="4" t="s">
        <v>0</v>
      </c>
      <c r="S20" s="15" t="str">
        <f t="shared" si="8"/>
        <v>10-05</v>
      </c>
      <c r="T20" s="13">
        <f t="shared" si="9"/>
        <v>324</v>
      </c>
      <c r="U20" s="17">
        <f t="shared" si="10"/>
        <v>645</v>
      </c>
      <c r="V20" s="13">
        <f t="shared" si="1"/>
        <v>356</v>
      </c>
      <c r="W20" s="17">
        <f t="shared" si="11"/>
        <v>645</v>
      </c>
      <c r="X20" s="13">
        <f t="shared" si="1"/>
        <v>356</v>
      </c>
      <c r="Y20" s="17">
        <f t="shared" si="12"/>
        <v>612</v>
      </c>
      <c r="Z20" s="13">
        <f t="shared" si="1"/>
        <v>324</v>
      </c>
      <c r="AA20" s="17">
        <f t="shared" si="13"/>
        <v>612</v>
      </c>
      <c r="AB20" s="4" t="s">
        <v>0</v>
      </c>
    </row>
    <row r="21" spans="1:28">
      <c r="A21" s="9" t="s">
        <v>22</v>
      </c>
      <c r="B21" s="19"/>
      <c r="C21" s="21">
        <v>10</v>
      </c>
      <c r="D21" s="23">
        <f t="shared" si="14"/>
        <v>356</v>
      </c>
      <c r="E21" s="24">
        <f t="shared" si="15"/>
        <v>105</v>
      </c>
      <c r="F21" s="23">
        <f t="shared" si="16"/>
        <v>388</v>
      </c>
      <c r="G21" s="24">
        <f t="shared" si="17"/>
        <v>138</v>
      </c>
      <c r="H21" s="4" t="s">
        <v>0</v>
      </c>
      <c r="I21" s="15" t="str">
        <f t="shared" si="0"/>
        <v>10-03</v>
      </c>
      <c r="J21" s="13">
        <f t="shared" si="2"/>
        <v>356</v>
      </c>
      <c r="K21" s="14">
        <f t="shared" si="2"/>
        <v>105</v>
      </c>
      <c r="L21" s="16">
        <f t="shared" si="3"/>
        <v>388</v>
      </c>
      <c r="M21" s="17">
        <f t="shared" si="4"/>
        <v>105</v>
      </c>
      <c r="N21" s="13">
        <f t="shared" si="5"/>
        <v>388</v>
      </c>
      <c r="O21" s="14">
        <f t="shared" si="5"/>
        <v>138</v>
      </c>
      <c r="P21" s="16">
        <f t="shared" si="6"/>
        <v>356</v>
      </c>
      <c r="Q21" s="17">
        <f t="shared" si="7"/>
        <v>138</v>
      </c>
      <c r="R21" s="4" t="s">
        <v>0</v>
      </c>
      <c r="S21" s="15" t="str">
        <f t="shared" si="8"/>
        <v>10-03</v>
      </c>
      <c r="T21" s="13">
        <f t="shared" si="9"/>
        <v>356</v>
      </c>
      <c r="U21" s="17">
        <f t="shared" si="10"/>
        <v>645</v>
      </c>
      <c r="V21" s="13">
        <f t="shared" si="1"/>
        <v>388</v>
      </c>
      <c r="W21" s="17">
        <f t="shared" si="11"/>
        <v>645</v>
      </c>
      <c r="X21" s="13">
        <f t="shared" si="1"/>
        <v>388</v>
      </c>
      <c r="Y21" s="17">
        <f t="shared" si="12"/>
        <v>612</v>
      </c>
      <c r="Z21" s="13">
        <f t="shared" si="1"/>
        <v>356</v>
      </c>
      <c r="AA21" s="17">
        <f t="shared" si="13"/>
        <v>612</v>
      </c>
      <c r="AB21" s="4" t="s">
        <v>0</v>
      </c>
    </row>
    <row r="22" spans="1:28">
      <c r="A22" s="9" t="s">
        <v>21</v>
      </c>
      <c r="B22" s="19"/>
      <c r="C22" s="21">
        <v>11</v>
      </c>
      <c r="D22" s="23">
        <f t="shared" si="14"/>
        <v>388</v>
      </c>
      <c r="E22" s="24">
        <f t="shared" si="15"/>
        <v>105</v>
      </c>
      <c r="F22" s="23">
        <f t="shared" si="16"/>
        <v>420</v>
      </c>
      <c r="G22" s="24">
        <f t="shared" si="17"/>
        <v>138</v>
      </c>
      <c r="H22" s="4" t="s">
        <v>0</v>
      </c>
      <c r="I22" s="15" t="str">
        <f t="shared" si="0"/>
        <v>10-02</v>
      </c>
      <c r="J22" s="13">
        <f t="shared" si="2"/>
        <v>388</v>
      </c>
      <c r="K22" s="14">
        <f t="shared" si="2"/>
        <v>105</v>
      </c>
      <c r="L22" s="16">
        <f t="shared" si="3"/>
        <v>420</v>
      </c>
      <c r="M22" s="17">
        <f t="shared" si="4"/>
        <v>105</v>
      </c>
      <c r="N22" s="13">
        <f t="shared" si="5"/>
        <v>420</v>
      </c>
      <c r="O22" s="14">
        <f t="shared" si="5"/>
        <v>138</v>
      </c>
      <c r="P22" s="16">
        <f t="shared" si="6"/>
        <v>388</v>
      </c>
      <c r="Q22" s="17">
        <f t="shared" si="7"/>
        <v>138</v>
      </c>
      <c r="R22" s="4" t="s">
        <v>0</v>
      </c>
      <c r="S22" s="15" t="str">
        <f t="shared" si="8"/>
        <v>10-02</v>
      </c>
      <c r="T22" s="13">
        <f t="shared" si="9"/>
        <v>388</v>
      </c>
      <c r="U22" s="17">
        <f t="shared" si="10"/>
        <v>645</v>
      </c>
      <c r="V22" s="13">
        <f t="shared" si="1"/>
        <v>420</v>
      </c>
      <c r="W22" s="17">
        <f t="shared" si="11"/>
        <v>645</v>
      </c>
      <c r="X22" s="13">
        <f t="shared" si="1"/>
        <v>420</v>
      </c>
      <c r="Y22" s="17">
        <f t="shared" si="12"/>
        <v>612</v>
      </c>
      <c r="Z22" s="13">
        <f t="shared" si="1"/>
        <v>388</v>
      </c>
      <c r="AA22" s="17">
        <f t="shared" si="13"/>
        <v>612</v>
      </c>
      <c r="AB22" s="4" t="s">
        <v>0</v>
      </c>
    </row>
    <row r="23" spans="1:28">
      <c r="A23" s="9" t="s">
        <v>20</v>
      </c>
      <c r="B23" s="19"/>
      <c r="C23" s="21">
        <v>12</v>
      </c>
      <c r="D23" s="23">
        <f t="shared" si="14"/>
        <v>420</v>
      </c>
      <c r="E23" s="24">
        <f t="shared" si="15"/>
        <v>105</v>
      </c>
      <c r="F23" s="23">
        <f t="shared" si="16"/>
        <v>452</v>
      </c>
      <c r="G23" s="24">
        <f t="shared" si="17"/>
        <v>138</v>
      </c>
      <c r="H23" s="4" t="s">
        <v>0</v>
      </c>
      <c r="I23" s="15" t="str">
        <f t="shared" si="0"/>
        <v>10-01</v>
      </c>
      <c r="J23" s="13">
        <f t="shared" si="2"/>
        <v>420</v>
      </c>
      <c r="K23" s="14">
        <f t="shared" si="2"/>
        <v>105</v>
      </c>
      <c r="L23" s="16">
        <f t="shared" si="3"/>
        <v>452</v>
      </c>
      <c r="M23" s="17">
        <f t="shared" si="4"/>
        <v>105</v>
      </c>
      <c r="N23" s="13">
        <f t="shared" si="5"/>
        <v>452</v>
      </c>
      <c r="O23" s="14">
        <f t="shared" si="5"/>
        <v>138</v>
      </c>
      <c r="P23" s="16">
        <f t="shared" si="6"/>
        <v>420</v>
      </c>
      <c r="Q23" s="17">
        <f t="shared" si="7"/>
        <v>138</v>
      </c>
      <c r="R23" s="4" t="s">
        <v>0</v>
      </c>
      <c r="S23" s="15" t="str">
        <f t="shared" si="8"/>
        <v>10-01</v>
      </c>
      <c r="T23" s="13">
        <f t="shared" si="9"/>
        <v>420</v>
      </c>
      <c r="U23" s="17">
        <f t="shared" si="10"/>
        <v>645</v>
      </c>
      <c r="V23" s="13">
        <f t="shared" si="1"/>
        <v>452</v>
      </c>
      <c r="W23" s="17">
        <f t="shared" si="11"/>
        <v>645</v>
      </c>
      <c r="X23" s="13">
        <f t="shared" si="1"/>
        <v>452</v>
      </c>
      <c r="Y23" s="17">
        <f t="shared" si="12"/>
        <v>612</v>
      </c>
      <c r="Z23" s="13">
        <f t="shared" si="1"/>
        <v>420</v>
      </c>
      <c r="AA23" s="17">
        <f t="shared" si="13"/>
        <v>612</v>
      </c>
      <c r="AB23" s="4" t="s">
        <v>0</v>
      </c>
    </row>
    <row r="24" spans="1:28">
      <c r="A24" s="9" t="s">
        <v>63</v>
      </c>
      <c r="B24" s="19"/>
      <c r="C24" s="21">
        <v>1</v>
      </c>
      <c r="D24" s="20">
        <f>D11</f>
        <v>36</v>
      </c>
      <c r="E24" s="23">
        <f>ROUND(E$11+47*$C24, 0)</f>
        <v>152</v>
      </c>
      <c r="F24" s="20">
        <f>F11</f>
        <v>68</v>
      </c>
      <c r="G24" s="23">
        <f>ROUND(G$11+47*$C24, 0)</f>
        <v>185</v>
      </c>
      <c r="H24" s="4" t="s">
        <v>0</v>
      </c>
      <c r="I24" s="15" t="str">
        <f t="shared" si="0"/>
        <v>09-15</v>
      </c>
      <c r="J24" s="13">
        <f>IF(D24&lt;&gt;"",D24,0)</f>
        <v>36</v>
      </c>
      <c r="K24" s="14">
        <f t="shared" si="2"/>
        <v>152</v>
      </c>
      <c r="L24" s="16">
        <f t="shared" si="3"/>
        <v>68</v>
      </c>
      <c r="M24" s="17">
        <f t="shared" si="4"/>
        <v>152</v>
      </c>
      <c r="N24" s="13">
        <f>IF(F24&lt;&gt;"",F24,0)</f>
        <v>68</v>
      </c>
      <c r="O24" s="14">
        <f t="shared" si="5"/>
        <v>185</v>
      </c>
      <c r="P24" s="16">
        <f t="shared" si="6"/>
        <v>36</v>
      </c>
      <c r="Q24" s="17">
        <f t="shared" si="7"/>
        <v>185</v>
      </c>
      <c r="R24" s="4" t="s">
        <v>0</v>
      </c>
      <c r="S24" s="15" t="str">
        <f t="shared" si="8"/>
        <v>09-15</v>
      </c>
      <c r="T24" s="13">
        <f t="shared" si="9"/>
        <v>36</v>
      </c>
      <c r="U24" s="17">
        <f t="shared" si="10"/>
        <v>598</v>
      </c>
      <c r="V24" s="13">
        <f t="shared" ref="V24:V78" si="36">IF(L24&lt;&gt;"",L24,"")</f>
        <v>68</v>
      </c>
      <c r="W24" s="17">
        <f t="shared" si="11"/>
        <v>598</v>
      </c>
      <c r="X24" s="13">
        <f t="shared" ref="X24:X78" si="37">IF(N24&lt;&gt;"",N24,"")</f>
        <v>68</v>
      </c>
      <c r="Y24" s="17">
        <f t="shared" si="12"/>
        <v>565</v>
      </c>
      <c r="Z24" s="13">
        <f t="shared" ref="Z24:Z78" si="38">IF(P24&lt;&gt;"",P24,"")</f>
        <v>36</v>
      </c>
      <c r="AA24" s="17">
        <f t="shared" si="13"/>
        <v>565</v>
      </c>
      <c r="AB24" s="4" t="s">
        <v>0</v>
      </c>
    </row>
    <row r="25" spans="1:28">
      <c r="A25" s="9" t="s">
        <v>64</v>
      </c>
      <c r="B25" s="19"/>
      <c r="C25" s="21"/>
      <c r="D25" s="20">
        <f t="shared" ref="D25:D49" si="39">D12</f>
        <v>68</v>
      </c>
      <c r="E25" s="24">
        <f t="shared" ref="E25:G25" si="40">E24</f>
        <v>152</v>
      </c>
      <c r="F25" s="20">
        <f t="shared" ref="F25:F49" si="41">F12</f>
        <v>100</v>
      </c>
      <c r="G25" s="24">
        <f t="shared" si="40"/>
        <v>185</v>
      </c>
      <c r="H25" s="4" t="s">
        <v>0</v>
      </c>
      <c r="I25" s="15" t="str">
        <f t="shared" si="0"/>
        <v>09-13</v>
      </c>
      <c r="J25" s="13">
        <f>IF(D25&lt;&gt;"",D25,0)</f>
        <v>68</v>
      </c>
      <c r="K25" s="14">
        <f t="shared" si="2"/>
        <v>152</v>
      </c>
      <c r="L25" s="16">
        <f t="shared" si="3"/>
        <v>100</v>
      </c>
      <c r="M25" s="17">
        <f t="shared" si="4"/>
        <v>152</v>
      </c>
      <c r="N25" s="13">
        <f>IF(F25&lt;&gt;"",F25,0)</f>
        <v>100</v>
      </c>
      <c r="O25" s="14">
        <f t="shared" si="5"/>
        <v>185</v>
      </c>
      <c r="P25" s="16">
        <f t="shared" si="6"/>
        <v>68</v>
      </c>
      <c r="Q25" s="17">
        <f t="shared" si="7"/>
        <v>185</v>
      </c>
      <c r="R25" s="4" t="s">
        <v>0</v>
      </c>
      <c r="S25" s="15" t="str">
        <f t="shared" si="8"/>
        <v>09-13</v>
      </c>
      <c r="T25" s="13">
        <f t="shared" si="9"/>
        <v>68</v>
      </c>
      <c r="U25" s="17">
        <f t="shared" si="10"/>
        <v>598</v>
      </c>
      <c r="V25" s="13">
        <f t="shared" si="36"/>
        <v>100</v>
      </c>
      <c r="W25" s="17">
        <f t="shared" si="11"/>
        <v>598</v>
      </c>
      <c r="X25" s="13">
        <f t="shared" si="37"/>
        <v>100</v>
      </c>
      <c r="Y25" s="17">
        <f t="shared" si="12"/>
        <v>565</v>
      </c>
      <c r="Z25" s="13">
        <f t="shared" si="38"/>
        <v>68</v>
      </c>
      <c r="AA25" s="17">
        <f t="shared" si="13"/>
        <v>565</v>
      </c>
      <c r="AB25" s="4" t="s">
        <v>0</v>
      </c>
    </row>
    <row r="26" spans="1:28">
      <c r="A26" s="9" t="s">
        <v>65</v>
      </c>
      <c r="B26" s="19"/>
      <c r="C26" s="4"/>
      <c r="D26" s="20">
        <f t="shared" si="39"/>
        <v>100</v>
      </c>
      <c r="E26" s="24">
        <f t="shared" ref="E26" si="42">E25</f>
        <v>152</v>
      </c>
      <c r="F26" s="20">
        <f t="shared" si="41"/>
        <v>132</v>
      </c>
      <c r="G26" s="24">
        <f t="shared" ref="G26" si="43">G25</f>
        <v>185</v>
      </c>
      <c r="H26" s="4" t="s">
        <v>0</v>
      </c>
      <c r="I26" s="15" t="str">
        <f t="shared" si="0"/>
        <v>09-12</v>
      </c>
      <c r="J26" s="13">
        <f t="shared" si="2"/>
        <v>100</v>
      </c>
      <c r="K26" s="14">
        <f t="shared" si="2"/>
        <v>152</v>
      </c>
      <c r="L26" s="16">
        <f t="shared" si="3"/>
        <v>132</v>
      </c>
      <c r="M26" s="17">
        <f t="shared" si="4"/>
        <v>152</v>
      </c>
      <c r="N26" s="13">
        <f t="shared" si="5"/>
        <v>132</v>
      </c>
      <c r="O26" s="14">
        <f t="shared" si="5"/>
        <v>185</v>
      </c>
      <c r="P26" s="16">
        <f t="shared" si="6"/>
        <v>100</v>
      </c>
      <c r="Q26" s="17">
        <f t="shared" si="7"/>
        <v>185</v>
      </c>
      <c r="R26" s="4" t="s">
        <v>0</v>
      </c>
      <c r="S26" s="15" t="str">
        <f t="shared" si="8"/>
        <v>09-12</v>
      </c>
      <c r="T26" s="13">
        <f t="shared" si="9"/>
        <v>100</v>
      </c>
      <c r="U26" s="17">
        <f t="shared" si="10"/>
        <v>598</v>
      </c>
      <c r="V26" s="13">
        <f t="shared" si="36"/>
        <v>132</v>
      </c>
      <c r="W26" s="17">
        <f t="shared" si="11"/>
        <v>598</v>
      </c>
      <c r="X26" s="13">
        <f t="shared" si="37"/>
        <v>132</v>
      </c>
      <c r="Y26" s="17">
        <f t="shared" si="12"/>
        <v>565</v>
      </c>
      <c r="Z26" s="13">
        <f t="shared" si="38"/>
        <v>100</v>
      </c>
      <c r="AA26" s="17">
        <f t="shared" si="13"/>
        <v>565</v>
      </c>
      <c r="AB26" s="4" t="s">
        <v>0</v>
      </c>
    </row>
    <row r="27" spans="1:28">
      <c r="A27" s="9" t="s">
        <v>66</v>
      </c>
      <c r="B27" s="19"/>
      <c r="C27" s="4"/>
      <c r="D27" s="20">
        <f t="shared" si="39"/>
        <v>132</v>
      </c>
      <c r="E27" s="24">
        <f t="shared" ref="E27" si="44">E26</f>
        <v>152</v>
      </c>
      <c r="F27" s="20">
        <f t="shared" si="41"/>
        <v>164</v>
      </c>
      <c r="G27" s="24">
        <f t="shared" ref="G27" si="45">G26</f>
        <v>185</v>
      </c>
      <c r="H27" s="4" t="s">
        <v>0</v>
      </c>
      <c r="I27" s="15" t="str">
        <f t="shared" si="0"/>
        <v>09-11</v>
      </c>
      <c r="J27" s="13">
        <f t="shared" si="2"/>
        <v>132</v>
      </c>
      <c r="K27" s="14">
        <f t="shared" si="2"/>
        <v>152</v>
      </c>
      <c r="L27" s="16">
        <f t="shared" si="3"/>
        <v>164</v>
      </c>
      <c r="M27" s="17">
        <f t="shared" si="4"/>
        <v>152</v>
      </c>
      <c r="N27" s="13">
        <f t="shared" si="5"/>
        <v>164</v>
      </c>
      <c r="O27" s="14">
        <f t="shared" si="5"/>
        <v>185</v>
      </c>
      <c r="P27" s="16">
        <f t="shared" si="6"/>
        <v>132</v>
      </c>
      <c r="Q27" s="17">
        <f t="shared" si="7"/>
        <v>185</v>
      </c>
      <c r="R27" s="4" t="s">
        <v>0</v>
      </c>
      <c r="S27" s="15" t="str">
        <f t="shared" si="8"/>
        <v>09-11</v>
      </c>
      <c r="T27" s="13">
        <f t="shared" si="9"/>
        <v>132</v>
      </c>
      <c r="U27" s="17">
        <f t="shared" si="10"/>
        <v>598</v>
      </c>
      <c r="V27" s="13">
        <f t="shared" si="36"/>
        <v>164</v>
      </c>
      <c r="W27" s="17">
        <f t="shared" si="11"/>
        <v>598</v>
      </c>
      <c r="X27" s="13">
        <f t="shared" si="37"/>
        <v>164</v>
      </c>
      <c r="Y27" s="17">
        <f t="shared" si="12"/>
        <v>565</v>
      </c>
      <c r="Z27" s="13">
        <f t="shared" si="38"/>
        <v>132</v>
      </c>
      <c r="AA27" s="17">
        <f t="shared" si="13"/>
        <v>565</v>
      </c>
      <c r="AB27" s="4" t="s">
        <v>0</v>
      </c>
    </row>
    <row r="28" spans="1:28">
      <c r="A28" s="9" t="s">
        <v>67</v>
      </c>
      <c r="B28" s="19"/>
      <c r="C28" s="4"/>
      <c r="D28" s="20">
        <f t="shared" si="39"/>
        <v>164</v>
      </c>
      <c r="E28" s="24">
        <f t="shared" ref="E28" si="46">E27</f>
        <v>152</v>
      </c>
      <c r="F28" s="20">
        <f t="shared" si="41"/>
        <v>196</v>
      </c>
      <c r="G28" s="24">
        <f t="shared" ref="G28" si="47">G27</f>
        <v>185</v>
      </c>
      <c r="H28" s="4" t="s">
        <v>0</v>
      </c>
      <c r="I28" s="15" t="str">
        <f t="shared" si="0"/>
        <v>09-10</v>
      </c>
      <c r="J28" s="13">
        <f t="shared" si="2"/>
        <v>164</v>
      </c>
      <c r="K28" s="14">
        <f t="shared" si="2"/>
        <v>152</v>
      </c>
      <c r="L28" s="16">
        <f t="shared" si="3"/>
        <v>196</v>
      </c>
      <c r="M28" s="17">
        <f t="shared" si="4"/>
        <v>152</v>
      </c>
      <c r="N28" s="13">
        <f t="shared" si="5"/>
        <v>196</v>
      </c>
      <c r="O28" s="14">
        <f t="shared" si="5"/>
        <v>185</v>
      </c>
      <c r="P28" s="16">
        <f t="shared" si="6"/>
        <v>164</v>
      </c>
      <c r="Q28" s="17">
        <f t="shared" si="7"/>
        <v>185</v>
      </c>
      <c r="R28" s="4" t="s">
        <v>0</v>
      </c>
      <c r="S28" s="15" t="str">
        <f t="shared" si="8"/>
        <v>09-10</v>
      </c>
      <c r="T28" s="13">
        <f t="shared" si="9"/>
        <v>164</v>
      </c>
      <c r="U28" s="17">
        <f t="shared" si="10"/>
        <v>598</v>
      </c>
      <c r="V28" s="13">
        <f t="shared" si="36"/>
        <v>196</v>
      </c>
      <c r="W28" s="17">
        <f t="shared" si="11"/>
        <v>598</v>
      </c>
      <c r="X28" s="13">
        <f t="shared" si="37"/>
        <v>196</v>
      </c>
      <c r="Y28" s="17">
        <f t="shared" si="12"/>
        <v>565</v>
      </c>
      <c r="Z28" s="13">
        <f t="shared" si="38"/>
        <v>164</v>
      </c>
      <c r="AA28" s="17">
        <f t="shared" si="13"/>
        <v>565</v>
      </c>
      <c r="AB28" s="4" t="s">
        <v>0</v>
      </c>
    </row>
    <row r="29" spans="1:28">
      <c r="A29" s="9" t="s">
        <v>68</v>
      </c>
      <c r="B29" s="19"/>
      <c r="C29" s="4"/>
      <c r="D29" s="20">
        <f t="shared" si="39"/>
        <v>196</v>
      </c>
      <c r="E29" s="24">
        <f t="shared" ref="E29" si="48">E28</f>
        <v>152</v>
      </c>
      <c r="F29" s="20">
        <f t="shared" si="41"/>
        <v>228</v>
      </c>
      <c r="G29" s="24">
        <f t="shared" ref="G29" si="49">G28</f>
        <v>185</v>
      </c>
      <c r="H29" s="4" t="s">
        <v>0</v>
      </c>
      <c r="I29" s="15" t="str">
        <f t="shared" si="0"/>
        <v>09-09</v>
      </c>
      <c r="J29" s="13">
        <f t="shared" si="2"/>
        <v>196</v>
      </c>
      <c r="K29" s="14">
        <f t="shared" si="2"/>
        <v>152</v>
      </c>
      <c r="L29" s="16">
        <f t="shared" si="3"/>
        <v>228</v>
      </c>
      <c r="M29" s="17">
        <f t="shared" si="4"/>
        <v>152</v>
      </c>
      <c r="N29" s="13">
        <f t="shared" si="5"/>
        <v>228</v>
      </c>
      <c r="O29" s="14">
        <f t="shared" si="5"/>
        <v>185</v>
      </c>
      <c r="P29" s="16">
        <f t="shared" si="6"/>
        <v>196</v>
      </c>
      <c r="Q29" s="17">
        <f t="shared" si="7"/>
        <v>185</v>
      </c>
      <c r="R29" s="4" t="s">
        <v>0</v>
      </c>
      <c r="S29" s="15" t="str">
        <f t="shared" si="8"/>
        <v>09-09</v>
      </c>
      <c r="T29" s="13">
        <f t="shared" si="9"/>
        <v>196</v>
      </c>
      <c r="U29" s="17">
        <f t="shared" si="10"/>
        <v>598</v>
      </c>
      <c r="V29" s="13">
        <f t="shared" si="36"/>
        <v>228</v>
      </c>
      <c r="W29" s="17">
        <f t="shared" si="11"/>
        <v>598</v>
      </c>
      <c r="X29" s="13">
        <f t="shared" si="37"/>
        <v>228</v>
      </c>
      <c r="Y29" s="17">
        <f t="shared" si="12"/>
        <v>565</v>
      </c>
      <c r="Z29" s="13">
        <f t="shared" si="38"/>
        <v>196</v>
      </c>
      <c r="AA29" s="17">
        <f t="shared" si="13"/>
        <v>565</v>
      </c>
      <c r="AB29" s="4" t="s">
        <v>0</v>
      </c>
    </row>
    <row r="30" spans="1:28">
      <c r="A30" s="9" t="s">
        <v>69</v>
      </c>
      <c r="B30" s="19"/>
      <c r="C30" s="4"/>
      <c r="D30" s="20">
        <f t="shared" si="39"/>
        <v>228</v>
      </c>
      <c r="E30" s="24">
        <f t="shared" ref="E30" si="50">E29</f>
        <v>152</v>
      </c>
      <c r="F30" s="20">
        <f t="shared" si="41"/>
        <v>260</v>
      </c>
      <c r="G30" s="24">
        <f t="shared" ref="G30" si="51">G29</f>
        <v>185</v>
      </c>
      <c r="H30" s="4" t="s">
        <v>0</v>
      </c>
      <c r="I30" s="15" t="str">
        <f t="shared" si="0"/>
        <v>09-08</v>
      </c>
      <c r="J30" s="13">
        <f t="shared" si="2"/>
        <v>228</v>
      </c>
      <c r="K30" s="14">
        <f t="shared" si="2"/>
        <v>152</v>
      </c>
      <c r="L30" s="16">
        <f t="shared" si="3"/>
        <v>260</v>
      </c>
      <c r="M30" s="17">
        <f t="shared" si="4"/>
        <v>152</v>
      </c>
      <c r="N30" s="13">
        <f t="shared" si="5"/>
        <v>260</v>
      </c>
      <c r="O30" s="14">
        <f t="shared" si="5"/>
        <v>185</v>
      </c>
      <c r="P30" s="16">
        <f t="shared" si="6"/>
        <v>228</v>
      </c>
      <c r="Q30" s="17">
        <f t="shared" si="7"/>
        <v>185</v>
      </c>
      <c r="R30" s="4" t="s">
        <v>0</v>
      </c>
      <c r="S30" s="15" t="str">
        <f t="shared" si="8"/>
        <v>09-08</v>
      </c>
      <c r="T30" s="13">
        <f t="shared" si="9"/>
        <v>228</v>
      </c>
      <c r="U30" s="17">
        <f t="shared" si="10"/>
        <v>598</v>
      </c>
      <c r="V30" s="13">
        <f t="shared" si="36"/>
        <v>260</v>
      </c>
      <c r="W30" s="17">
        <f t="shared" si="11"/>
        <v>598</v>
      </c>
      <c r="X30" s="13">
        <f t="shared" si="37"/>
        <v>260</v>
      </c>
      <c r="Y30" s="17">
        <f t="shared" si="12"/>
        <v>565</v>
      </c>
      <c r="Z30" s="13">
        <f t="shared" si="38"/>
        <v>228</v>
      </c>
      <c r="AA30" s="17">
        <f t="shared" si="13"/>
        <v>565</v>
      </c>
      <c r="AB30" s="4" t="s">
        <v>0</v>
      </c>
    </row>
    <row r="31" spans="1:28">
      <c r="A31" s="9" t="s">
        <v>70</v>
      </c>
      <c r="B31" s="19"/>
      <c r="C31" s="4"/>
      <c r="D31" s="20">
        <f t="shared" si="39"/>
        <v>260</v>
      </c>
      <c r="E31" s="24">
        <f t="shared" ref="E31" si="52">E30</f>
        <v>152</v>
      </c>
      <c r="F31" s="20">
        <f t="shared" si="41"/>
        <v>292</v>
      </c>
      <c r="G31" s="24">
        <f t="shared" ref="G31" si="53">G30</f>
        <v>185</v>
      </c>
      <c r="H31" s="4" t="s">
        <v>0</v>
      </c>
      <c r="I31" s="15" t="str">
        <f t="shared" si="0"/>
        <v>09-07</v>
      </c>
      <c r="J31" s="13">
        <f t="shared" si="2"/>
        <v>260</v>
      </c>
      <c r="K31" s="14">
        <f t="shared" si="2"/>
        <v>152</v>
      </c>
      <c r="L31" s="16">
        <f t="shared" si="3"/>
        <v>292</v>
      </c>
      <c r="M31" s="17">
        <f t="shared" si="4"/>
        <v>152</v>
      </c>
      <c r="N31" s="13">
        <f t="shared" si="5"/>
        <v>292</v>
      </c>
      <c r="O31" s="14">
        <f t="shared" si="5"/>
        <v>185</v>
      </c>
      <c r="P31" s="16">
        <f t="shared" si="6"/>
        <v>260</v>
      </c>
      <c r="Q31" s="17">
        <f t="shared" si="7"/>
        <v>185</v>
      </c>
      <c r="R31" s="4" t="s">
        <v>0</v>
      </c>
      <c r="S31" s="15" t="str">
        <f t="shared" si="8"/>
        <v>09-07</v>
      </c>
      <c r="T31" s="13">
        <f t="shared" si="9"/>
        <v>260</v>
      </c>
      <c r="U31" s="17">
        <f t="shared" si="10"/>
        <v>598</v>
      </c>
      <c r="V31" s="13">
        <f t="shared" si="36"/>
        <v>292</v>
      </c>
      <c r="W31" s="17">
        <f t="shared" si="11"/>
        <v>598</v>
      </c>
      <c r="X31" s="13">
        <f t="shared" si="37"/>
        <v>292</v>
      </c>
      <c r="Y31" s="17">
        <f t="shared" si="12"/>
        <v>565</v>
      </c>
      <c r="Z31" s="13">
        <f t="shared" si="38"/>
        <v>260</v>
      </c>
      <c r="AA31" s="17">
        <f t="shared" si="13"/>
        <v>565</v>
      </c>
      <c r="AB31" s="4" t="s">
        <v>0</v>
      </c>
    </row>
    <row r="32" spans="1:28">
      <c r="A32" s="9" t="s">
        <v>71</v>
      </c>
      <c r="B32" s="19"/>
      <c r="C32" s="4"/>
      <c r="D32" s="20">
        <f t="shared" si="39"/>
        <v>292</v>
      </c>
      <c r="E32" s="24">
        <f t="shared" ref="E32" si="54">E31</f>
        <v>152</v>
      </c>
      <c r="F32" s="20">
        <f t="shared" si="41"/>
        <v>324</v>
      </c>
      <c r="G32" s="24">
        <f t="shared" ref="G32" si="55">G31</f>
        <v>185</v>
      </c>
      <c r="H32" s="4" t="s">
        <v>0</v>
      </c>
      <c r="I32" s="15" t="str">
        <f t="shared" si="0"/>
        <v>09-06</v>
      </c>
      <c r="J32" s="13">
        <f t="shared" si="2"/>
        <v>292</v>
      </c>
      <c r="K32" s="14">
        <f t="shared" si="2"/>
        <v>152</v>
      </c>
      <c r="L32" s="16">
        <f t="shared" si="3"/>
        <v>324</v>
      </c>
      <c r="M32" s="17">
        <f t="shared" si="4"/>
        <v>152</v>
      </c>
      <c r="N32" s="13">
        <f t="shared" si="5"/>
        <v>324</v>
      </c>
      <c r="O32" s="14">
        <f t="shared" si="5"/>
        <v>185</v>
      </c>
      <c r="P32" s="16">
        <f t="shared" si="6"/>
        <v>292</v>
      </c>
      <c r="Q32" s="17">
        <f t="shared" si="7"/>
        <v>185</v>
      </c>
      <c r="R32" s="4" t="s">
        <v>0</v>
      </c>
      <c r="S32" s="15" t="str">
        <f t="shared" si="8"/>
        <v>09-06</v>
      </c>
      <c r="T32" s="13">
        <f t="shared" si="9"/>
        <v>292</v>
      </c>
      <c r="U32" s="17">
        <f t="shared" si="10"/>
        <v>598</v>
      </c>
      <c r="V32" s="13">
        <f t="shared" si="36"/>
        <v>324</v>
      </c>
      <c r="W32" s="17">
        <f t="shared" si="11"/>
        <v>598</v>
      </c>
      <c r="X32" s="13">
        <f t="shared" si="37"/>
        <v>324</v>
      </c>
      <c r="Y32" s="17">
        <f t="shared" si="12"/>
        <v>565</v>
      </c>
      <c r="Z32" s="13">
        <f t="shared" si="38"/>
        <v>292</v>
      </c>
      <c r="AA32" s="17">
        <f t="shared" si="13"/>
        <v>565</v>
      </c>
      <c r="AB32" s="4" t="s">
        <v>0</v>
      </c>
    </row>
    <row r="33" spans="1:28">
      <c r="A33" s="9" t="s">
        <v>72</v>
      </c>
      <c r="B33" s="19"/>
      <c r="C33" s="4"/>
      <c r="D33" s="20">
        <f t="shared" si="39"/>
        <v>324</v>
      </c>
      <c r="E33" s="24">
        <f t="shared" ref="E33" si="56">E32</f>
        <v>152</v>
      </c>
      <c r="F33" s="20">
        <f t="shared" si="41"/>
        <v>356</v>
      </c>
      <c r="G33" s="24">
        <f t="shared" ref="G33" si="57">G32</f>
        <v>185</v>
      </c>
      <c r="H33" s="4" t="s">
        <v>0</v>
      </c>
      <c r="I33" s="15" t="str">
        <f t="shared" si="0"/>
        <v>09-05</v>
      </c>
      <c r="J33" s="13">
        <f t="shared" si="2"/>
        <v>324</v>
      </c>
      <c r="K33" s="14">
        <f t="shared" si="2"/>
        <v>152</v>
      </c>
      <c r="L33" s="16">
        <f t="shared" si="3"/>
        <v>356</v>
      </c>
      <c r="M33" s="17">
        <f t="shared" si="4"/>
        <v>152</v>
      </c>
      <c r="N33" s="13">
        <f t="shared" si="5"/>
        <v>356</v>
      </c>
      <c r="O33" s="14">
        <f t="shared" si="5"/>
        <v>185</v>
      </c>
      <c r="P33" s="16">
        <f t="shared" si="6"/>
        <v>324</v>
      </c>
      <c r="Q33" s="17">
        <f t="shared" si="7"/>
        <v>185</v>
      </c>
      <c r="R33" s="4" t="s">
        <v>0</v>
      </c>
      <c r="S33" s="15" t="str">
        <f t="shared" si="8"/>
        <v>09-05</v>
      </c>
      <c r="T33" s="13">
        <f t="shared" si="9"/>
        <v>324</v>
      </c>
      <c r="U33" s="17">
        <f t="shared" si="10"/>
        <v>598</v>
      </c>
      <c r="V33" s="13">
        <f t="shared" si="36"/>
        <v>356</v>
      </c>
      <c r="W33" s="17">
        <f t="shared" si="11"/>
        <v>598</v>
      </c>
      <c r="X33" s="13">
        <f t="shared" si="37"/>
        <v>356</v>
      </c>
      <c r="Y33" s="17">
        <f t="shared" si="12"/>
        <v>565</v>
      </c>
      <c r="Z33" s="13">
        <f t="shared" si="38"/>
        <v>324</v>
      </c>
      <c r="AA33" s="17">
        <f t="shared" si="13"/>
        <v>565</v>
      </c>
      <c r="AB33" s="4" t="s">
        <v>0</v>
      </c>
    </row>
    <row r="34" spans="1:28">
      <c r="A34" s="9" t="s">
        <v>73</v>
      </c>
      <c r="B34" s="19"/>
      <c r="C34" s="4"/>
      <c r="D34" s="20">
        <f t="shared" si="39"/>
        <v>356</v>
      </c>
      <c r="E34" s="24">
        <f t="shared" ref="E34" si="58">E33</f>
        <v>152</v>
      </c>
      <c r="F34" s="20">
        <f t="shared" si="41"/>
        <v>388</v>
      </c>
      <c r="G34" s="24">
        <f t="shared" ref="G34" si="59">G33</f>
        <v>185</v>
      </c>
      <c r="H34" s="4" t="s">
        <v>0</v>
      </c>
      <c r="I34" s="15" t="str">
        <f t="shared" si="0"/>
        <v>09-03</v>
      </c>
      <c r="J34" s="13">
        <f t="shared" si="2"/>
        <v>356</v>
      </c>
      <c r="K34" s="14">
        <f t="shared" si="2"/>
        <v>152</v>
      </c>
      <c r="L34" s="16">
        <f t="shared" si="3"/>
        <v>388</v>
      </c>
      <c r="M34" s="17">
        <f t="shared" si="4"/>
        <v>152</v>
      </c>
      <c r="N34" s="13">
        <f t="shared" si="5"/>
        <v>388</v>
      </c>
      <c r="O34" s="14">
        <f t="shared" si="5"/>
        <v>185</v>
      </c>
      <c r="P34" s="16">
        <f t="shared" si="6"/>
        <v>356</v>
      </c>
      <c r="Q34" s="17">
        <f t="shared" si="7"/>
        <v>185</v>
      </c>
      <c r="R34" s="4" t="s">
        <v>0</v>
      </c>
      <c r="S34" s="15" t="str">
        <f t="shared" si="8"/>
        <v>09-03</v>
      </c>
      <c r="T34" s="13">
        <f t="shared" si="9"/>
        <v>356</v>
      </c>
      <c r="U34" s="17">
        <f t="shared" si="10"/>
        <v>598</v>
      </c>
      <c r="V34" s="13">
        <f t="shared" si="36"/>
        <v>388</v>
      </c>
      <c r="W34" s="17">
        <f t="shared" si="11"/>
        <v>598</v>
      </c>
      <c r="X34" s="13">
        <f t="shared" si="37"/>
        <v>388</v>
      </c>
      <c r="Y34" s="17">
        <f t="shared" si="12"/>
        <v>565</v>
      </c>
      <c r="Z34" s="13">
        <f t="shared" si="38"/>
        <v>356</v>
      </c>
      <c r="AA34" s="17">
        <f t="shared" si="13"/>
        <v>565</v>
      </c>
      <c r="AB34" s="4" t="s">
        <v>0</v>
      </c>
    </row>
    <row r="35" spans="1:28">
      <c r="A35" s="9" t="s">
        <v>74</v>
      </c>
      <c r="B35" s="19"/>
      <c r="C35" s="4"/>
      <c r="D35" s="20">
        <f t="shared" si="39"/>
        <v>388</v>
      </c>
      <c r="E35" s="24">
        <f t="shared" ref="E35" si="60">E34</f>
        <v>152</v>
      </c>
      <c r="F35" s="20">
        <f t="shared" si="41"/>
        <v>420</v>
      </c>
      <c r="G35" s="24">
        <f t="shared" ref="G35" si="61">G34</f>
        <v>185</v>
      </c>
      <c r="H35" s="4" t="s">
        <v>0</v>
      </c>
      <c r="I35" s="15" t="str">
        <f t="shared" si="0"/>
        <v>09-02</v>
      </c>
      <c r="J35" s="13">
        <f t="shared" si="2"/>
        <v>388</v>
      </c>
      <c r="K35" s="14">
        <f t="shared" si="2"/>
        <v>152</v>
      </c>
      <c r="L35" s="16">
        <f t="shared" si="3"/>
        <v>420</v>
      </c>
      <c r="M35" s="17">
        <f t="shared" si="4"/>
        <v>152</v>
      </c>
      <c r="N35" s="13">
        <f t="shared" si="5"/>
        <v>420</v>
      </c>
      <c r="O35" s="14">
        <f t="shared" si="5"/>
        <v>185</v>
      </c>
      <c r="P35" s="16">
        <f t="shared" si="6"/>
        <v>388</v>
      </c>
      <c r="Q35" s="17">
        <f t="shared" si="7"/>
        <v>185</v>
      </c>
      <c r="R35" s="4" t="s">
        <v>0</v>
      </c>
      <c r="S35" s="15" t="str">
        <f t="shared" si="8"/>
        <v>09-02</v>
      </c>
      <c r="T35" s="13">
        <f t="shared" si="9"/>
        <v>388</v>
      </c>
      <c r="U35" s="17">
        <f t="shared" si="10"/>
        <v>598</v>
      </c>
      <c r="V35" s="13">
        <f t="shared" si="36"/>
        <v>420</v>
      </c>
      <c r="W35" s="17">
        <f t="shared" si="11"/>
        <v>598</v>
      </c>
      <c r="X35" s="13">
        <f t="shared" si="37"/>
        <v>420</v>
      </c>
      <c r="Y35" s="17">
        <f t="shared" si="12"/>
        <v>565</v>
      </c>
      <c r="Z35" s="13">
        <f t="shared" si="38"/>
        <v>388</v>
      </c>
      <c r="AA35" s="17">
        <f t="shared" si="13"/>
        <v>565</v>
      </c>
      <c r="AB35" s="4" t="s">
        <v>0</v>
      </c>
    </row>
    <row r="36" spans="1:28">
      <c r="A36" s="9" t="s">
        <v>75</v>
      </c>
      <c r="B36" s="19"/>
      <c r="C36" s="4"/>
      <c r="D36" s="20">
        <f t="shared" si="39"/>
        <v>420</v>
      </c>
      <c r="E36" s="24">
        <f t="shared" ref="E36" si="62">E35</f>
        <v>152</v>
      </c>
      <c r="F36" s="20">
        <f t="shared" si="41"/>
        <v>452</v>
      </c>
      <c r="G36" s="24">
        <f t="shared" ref="G36" si="63">G35</f>
        <v>185</v>
      </c>
      <c r="H36" s="4" t="s">
        <v>0</v>
      </c>
      <c r="I36" s="15" t="str">
        <f t="shared" si="0"/>
        <v>09-01</v>
      </c>
      <c r="J36" s="13">
        <f t="shared" si="2"/>
        <v>420</v>
      </c>
      <c r="K36" s="14">
        <f t="shared" si="2"/>
        <v>152</v>
      </c>
      <c r="L36" s="16">
        <f t="shared" si="3"/>
        <v>452</v>
      </c>
      <c r="M36" s="17">
        <f t="shared" si="4"/>
        <v>152</v>
      </c>
      <c r="N36" s="13">
        <f t="shared" si="5"/>
        <v>452</v>
      </c>
      <c r="O36" s="14">
        <f t="shared" si="5"/>
        <v>185</v>
      </c>
      <c r="P36" s="16">
        <f t="shared" si="6"/>
        <v>420</v>
      </c>
      <c r="Q36" s="17">
        <f t="shared" si="7"/>
        <v>185</v>
      </c>
      <c r="R36" s="4" t="s">
        <v>0</v>
      </c>
      <c r="S36" s="15" t="str">
        <f t="shared" si="8"/>
        <v>09-01</v>
      </c>
      <c r="T36" s="13">
        <f t="shared" si="9"/>
        <v>420</v>
      </c>
      <c r="U36" s="17">
        <f t="shared" si="10"/>
        <v>598</v>
      </c>
      <c r="V36" s="13">
        <f t="shared" si="36"/>
        <v>452</v>
      </c>
      <c r="W36" s="17">
        <f t="shared" si="11"/>
        <v>598</v>
      </c>
      <c r="X36" s="13">
        <f t="shared" si="37"/>
        <v>452</v>
      </c>
      <c r="Y36" s="17">
        <f t="shared" si="12"/>
        <v>565</v>
      </c>
      <c r="Z36" s="13">
        <f t="shared" si="38"/>
        <v>420</v>
      </c>
      <c r="AA36" s="17">
        <f t="shared" si="13"/>
        <v>565</v>
      </c>
      <c r="AB36" s="4" t="s">
        <v>0</v>
      </c>
    </row>
    <row r="37" spans="1:28">
      <c r="A37" s="9" t="s">
        <v>50</v>
      </c>
      <c r="B37" s="19"/>
      <c r="C37" s="21">
        <v>2</v>
      </c>
      <c r="D37" s="20">
        <f>D24</f>
        <v>36</v>
      </c>
      <c r="E37" s="23">
        <f>ROUND(E$11+47*$C37, 0)</f>
        <v>199</v>
      </c>
      <c r="F37" s="20">
        <f>F24</f>
        <v>68</v>
      </c>
      <c r="G37" s="23">
        <f>ROUND(G$11+47*$C37, 0)</f>
        <v>232</v>
      </c>
      <c r="H37" s="4" t="s">
        <v>0</v>
      </c>
      <c r="I37" s="15" t="str">
        <f t="shared" si="0"/>
        <v>08-15</v>
      </c>
      <c r="J37" s="13">
        <f t="shared" si="2"/>
        <v>36</v>
      </c>
      <c r="K37" s="14">
        <f t="shared" si="2"/>
        <v>199</v>
      </c>
      <c r="L37" s="16">
        <f t="shared" si="3"/>
        <v>68</v>
      </c>
      <c r="M37" s="17">
        <f t="shared" si="4"/>
        <v>199</v>
      </c>
      <c r="N37" s="13">
        <f t="shared" si="5"/>
        <v>68</v>
      </c>
      <c r="O37" s="14">
        <f t="shared" si="5"/>
        <v>232</v>
      </c>
      <c r="P37" s="16">
        <f t="shared" si="6"/>
        <v>36</v>
      </c>
      <c r="Q37" s="17">
        <f t="shared" si="7"/>
        <v>232</v>
      </c>
      <c r="R37" s="4" t="s">
        <v>0</v>
      </c>
      <c r="S37" s="15" t="str">
        <f t="shared" si="8"/>
        <v>08-15</v>
      </c>
      <c r="T37" s="13">
        <f t="shared" si="9"/>
        <v>36</v>
      </c>
      <c r="U37" s="17">
        <f t="shared" si="10"/>
        <v>551</v>
      </c>
      <c r="V37" s="13">
        <f t="shared" si="36"/>
        <v>68</v>
      </c>
      <c r="W37" s="17">
        <f t="shared" si="11"/>
        <v>551</v>
      </c>
      <c r="X37" s="13">
        <f t="shared" si="37"/>
        <v>68</v>
      </c>
      <c r="Y37" s="17">
        <f t="shared" si="12"/>
        <v>518</v>
      </c>
      <c r="Z37" s="13">
        <f t="shared" si="38"/>
        <v>36</v>
      </c>
      <c r="AA37" s="17">
        <f t="shared" si="13"/>
        <v>518</v>
      </c>
      <c r="AB37" s="4" t="s">
        <v>0</v>
      </c>
    </row>
    <row r="38" spans="1:28">
      <c r="A38" s="9" t="s">
        <v>49</v>
      </c>
      <c r="B38" s="19"/>
      <c r="C38" s="4"/>
      <c r="D38" s="20">
        <f t="shared" si="39"/>
        <v>68</v>
      </c>
      <c r="E38" s="24">
        <f t="shared" ref="E38:E49" si="64">E37</f>
        <v>199</v>
      </c>
      <c r="F38" s="20">
        <f t="shared" si="41"/>
        <v>100</v>
      </c>
      <c r="G38" s="24">
        <f t="shared" ref="G38:G49" si="65">G37</f>
        <v>232</v>
      </c>
      <c r="H38" s="4" t="s">
        <v>0</v>
      </c>
      <c r="I38" s="15" t="str">
        <f t="shared" si="0"/>
        <v>08-13</v>
      </c>
      <c r="J38" s="13">
        <f t="shared" si="2"/>
        <v>68</v>
      </c>
      <c r="K38" s="14">
        <f t="shared" si="2"/>
        <v>199</v>
      </c>
      <c r="L38" s="16">
        <f t="shared" si="3"/>
        <v>100</v>
      </c>
      <c r="M38" s="17">
        <f t="shared" si="4"/>
        <v>199</v>
      </c>
      <c r="N38" s="13">
        <f t="shared" si="5"/>
        <v>100</v>
      </c>
      <c r="O38" s="14">
        <f t="shared" si="5"/>
        <v>232</v>
      </c>
      <c r="P38" s="16">
        <f t="shared" si="6"/>
        <v>68</v>
      </c>
      <c r="Q38" s="17">
        <f t="shared" si="7"/>
        <v>232</v>
      </c>
      <c r="R38" s="4" t="s">
        <v>0</v>
      </c>
      <c r="S38" s="15" t="str">
        <f t="shared" si="8"/>
        <v>08-13</v>
      </c>
      <c r="T38" s="13">
        <f t="shared" si="9"/>
        <v>68</v>
      </c>
      <c r="U38" s="17">
        <f t="shared" si="10"/>
        <v>551</v>
      </c>
      <c r="V38" s="13">
        <f t="shared" si="36"/>
        <v>100</v>
      </c>
      <c r="W38" s="17">
        <f t="shared" si="11"/>
        <v>551</v>
      </c>
      <c r="X38" s="13">
        <f t="shared" si="37"/>
        <v>100</v>
      </c>
      <c r="Y38" s="17">
        <f t="shared" si="12"/>
        <v>518</v>
      </c>
      <c r="Z38" s="13">
        <f t="shared" si="38"/>
        <v>68</v>
      </c>
      <c r="AA38" s="17">
        <f t="shared" si="13"/>
        <v>518</v>
      </c>
      <c r="AB38" s="4" t="s">
        <v>0</v>
      </c>
    </row>
    <row r="39" spans="1:28">
      <c r="A39" s="9" t="s">
        <v>19</v>
      </c>
      <c r="B39" s="19"/>
      <c r="C39" s="4"/>
      <c r="D39" s="20">
        <f t="shared" si="39"/>
        <v>100</v>
      </c>
      <c r="E39" s="24">
        <f t="shared" si="64"/>
        <v>199</v>
      </c>
      <c r="F39" s="20">
        <f t="shared" si="41"/>
        <v>132</v>
      </c>
      <c r="G39" s="24">
        <f t="shared" si="65"/>
        <v>232</v>
      </c>
      <c r="H39" s="4" t="s">
        <v>0</v>
      </c>
      <c r="I39" s="15" t="str">
        <f t="shared" si="0"/>
        <v>08-12</v>
      </c>
      <c r="J39" s="13">
        <f t="shared" si="2"/>
        <v>100</v>
      </c>
      <c r="K39" s="14">
        <f t="shared" si="2"/>
        <v>199</v>
      </c>
      <c r="L39" s="16">
        <f t="shared" si="3"/>
        <v>132</v>
      </c>
      <c r="M39" s="17">
        <f t="shared" si="4"/>
        <v>199</v>
      </c>
      <c r="N39" s="13">
        <f t="shared" si="5"/>
        <v>132</v>
      </c>
      <c r="O39" s="14">
        <f t="shared" si="5"/>
        <v>232</v>
      </c>
      <c r="P39" s="16">
        <f t="shared" si="6"/>
        <v>100</v>
      </c>
      <c r="Q39" s="17">
        <f t="shared" si="7"/>
        <v>232</v>
      </c>
      <c r="R39" s="4" t="s">
        <v>0</v>
      </c>
      <c r="S39" s="15" t="str">
        <f t="shared" si="8"/>
        <v>08-12</v>
      </c>
      <c r="T39" s="13">
        <f t="shared" si="9"/>
        <v>100</v>
      </c>
      <c r="U39" s="17">
        <f t="shared" si="10"/>
        <v>551</v>
      </c>
      <c r="V39" s="13">
        <f t="shared" si="36"/>
        <v>132</v>
      </c>
      <c r="W39" s="17">
        <f t="shared" si="11"/>
        <v>551</v>
      </c>
      <c r="X39" s="13">
        <f t="shared" si="37"/>
        <v>132</v>
      </c>
      <c r="Y39" s="17">
        <f t="shared" si="12"/>
        <v>518</v>
      </c>
      <c r="Z39" s="13">
        <f t="shared" si="38"/>
        <v>100</v>
      </c>
      <c r="AA39" s="17">
        <f t="shared" si="13"/>
        <v>518</v>
      </c>
      <c r="AB39" s="4" t="s">
        <v>0</v>
      </c>
    </row>
    <row r="40" spans="1:28">
      <c r="A40" s="9" t="s">
        <v>18</v>
      </c>
      <c r="B40" s="19"/>
      <c r="C40" s="21"/>
      <c r="D40" s="20">
        <f t="shared" si="39"/>
        <v>132</v>
      </c>
      <c r="E40" s="24">
        <f t="shared" si="64"/>
        <v>199</v>
      </c>
      <c r="F40" s="20">
        <f t="shared" si="41"/>
        <v>164</v>
      </c>
      <c r="G40" s="24">
        <f t="shared" si="65"/>
        <v>232</v>
      </c>
      <c r="H40" s="4" t="s">
        <v>0</v>
      </c>
      <c r="I40" s="15" t="str">
        <f t="shared" si="0"/>
        <v>08-11</v>
      </c>
      <c r="J40" s="13">
        <f t="shared" si="2"/>
        <v>132</v>
      </c>
      <c r="K40" s="14">
        <f t="shared" si="2"/>
        <v>199</v>
      </c>
      <c r="L40" s="16">
        <f t="shared" si="3"/>
        <v>164</v>
      </c>
      <c r="M40" s="17">
        <f t="shared" si="4"/>
        <v>199</v>
      </c>
      <c r="N40" s="13">
        <f t="shared" si="5"/>
        <v>164</v>
      </c>
      <c r="O40" s="14">
        <f t="shared" si="5"/>
        <v>232</v>
      </c>
      <c r="P40" s="16">
        <f t="shared" si="6"/>
        <v>132</v>
      </c>
      <c r="Q40" s="17">
        <f t="shared" si="7"/>
        <v>232</v>
      </c>
      <c r="R40" s="4" t="s">
        <v>0</v>
      </c>
      <c r="S40" s="15" t="str">
        <f t="shared" si="8"/>
        <v>08-11</v>
      </c>
      <c r="T40" s="13">
        <f t="shared" si="9"/>
        <v>132</v>
      </c>
      <c r="U40" s="17">
        <f t="shared" si="10"/>
        <v>551</v>
      </c>
      <c r="V40" s="13">
        <f t="shared" si="36"/>
        <v>164</v>
      </c>
      <c r="W40" s="17">
        <f t="shared" si="11"/>
        <v>551</v>
      </c>
      <c r="X40" s="13">
        <f t="shared" si="37"/>
        <v>164</v>
      </c>
      <c r="Y40" s="17">
        <f t="shared" si="12"/>
        <v>518</v>
      </c>
      <c r="Z40" s="13">
        <f t="shared" si="38"/>
        <v>132</v>
      </c>
      <c r="AA40" s="17">
        <f t="shared" si="13"/>
        <v>518</v>
      </c>
      <c r="AB40" s="4" t="s">
        <v>0</v>
      </c>
    </row>
    <row r="41" spans="1:28">
      <c r="A41" s="9" t="s">
        <v>17</v>
      </c>
      <c r="B41" s="19"/>
      <c r="C41" s="4"/>
      <c r="D41" s="20">
        <f t="shared" si="39"/>
        <v>164</v>
      </c>
      <c r="E41" s="24">
        <f t="shared" si="64"/>
        <v>199</v>
      </c>
      <c r="F41" s="20">
        <f t="shared" si="41"/>
        <v>196</v>
      </c>
      <c r="G41" s="24">
        <f t="shared" si="65"/>
        <v>232</v>
      </c>
      <c r="H41" s="4" t="s">
        <v>0</v>
      </c>
      <c r="I41" s="15" t="str">
        <f t="shared" si="0"/>
        <v>08-10</v>
      </c>
      <c r="J41" s="13">
        <f t="shared" si="2"/>
        <v>164</v>
      </c>
      <c r="K41" s="14">
        <f t="shared" si="2"/>
        <v>199</v>
      </c>
      <c r="L41" s="16">
        <f t="shared" si="3"/>
        <v>196</v>
      </c>
      <c r="M41" s="17">
        <f t="shared" si="4"/>
        <v>199</v>
      </c>
      <c r="N41" s="13">
        <f t="shared" si="5"/>
        <v>196</v>
      </c>
      <c r="O41" s="14">
        <f t="shared" si="5"/>
        <v>232</v>
      </c>
      <c r="P41" s="16">
        <f t="shared" si="6"/>
        <v>164</v>
      </c>
      <c r="Q41" s="17">
        <f t="shared" si="7"/>
        <v>232</v>
      </c>
      <c r="R41" s="4" t="s">
        <v>0</v>
      </c>
      <c r="S41" s="15" t="str">
        <f t="shared" si="8"/>
        <v>08-10</v>
      </c>
      <c r="T41" s="13">
        <f t="shared" si="9"/>
        <v>164</v>
      </c>
      <c r="U41" s="17">
        <f t="shared" si="10"/>
        <v>551</v>
      </c>
      <c r="V41" s="13">
        <f t="shared" si="36"/>
        <v>196</v>
      </c>
      <c r="W41" s="17">
        <f t="shared" si="11"/>
        <v>551</v>
      </c>
      <c r="X41" s="13">
        <f t="shared" si="37"/>
        <v>196</v>
      </c>
      <c r="Y41" s="17">
        <f t="shared" si="12"/>
        <v>518</v>
      </c>
      <c r="Z41" s="13">
        <f t="shared" si="38"/>
        <v>164</v>
      </c>
      <c r="AA41" s="17">
        <f t="shared" si="13"/>
        <v>518</v>
      </c>
      <c r="AB41" s="4" t="s">
        <v>0</v>
      </c>
    </row>
    <row r="42" spans="1:28">
      <c r="A42" s="9" t="s">
        <v>76</v>
      </c>
      <c r="B42" s="19"/>
      <c r="C42" s="4"/>
      <c r="D42" s="20">
        <f t="shared" si="39"/>
        <v>196</v>
      </c>
      <c r="E42" s="24">
        <f t="shared" si="64"/>
        <v>199</v>
      </c>
      <c r="F42" s="20">
        <f t="shared" si="41"/>
        <v>228</v>
      </c>
      <c r="G42" s="24">
        <f t="shared" si="65"/>
        <v>232</v>
      </c>
      <c r="H42" s="4" t="s">
        <v>0</v>
      </c>
      <c r="I42" s="15" t="str">
        <f t="shared" si="0"/>
        <v>08-09</v>
      </c>
      <c r="J42" s="13">
        <f t="shared" si="2"/>
        <v>196</v>
      </c>
      <c r="K42" s="14">
        <f t="shared" si="2"/>
        <v>199</v>
      </c>
      <c r="L42" s="16">
        <f t="shared" si="3"/>
        <v>228</v>
      </c>
      <c r="M42" s="17">
        <f t="shared" si="4"/>
        <v>199</v>
      </c>
      <c r="N42" s="13">
        <f t="shared" si="5"/>
        <v>228</v>
      </c>
      <c r="O42" s="14">
        <f t="shared" si="5"/>
        <v>232</v>
      </c>
      <c r="P42" s="16">
        <f t="shared" si="6"/>
        <v>196</v>
      </c>
      <c r="Q42" s="17">
        <f t="shared" si="7"/>
        <v>232</v>
      </c>
      <c r="R42" s="4" t="s">
        <v>0</v>
      </c>
      <c r="S42" s="15" t="str">
        <f t="shared" si="8"/>
        <v>08-09</v>
      </c>
      <c r="T42" s="13">
        <f t="shared" si="9"/>
        <v>196</v>
      </c>
      <c r="U42" s="17">
        <f t="shared" si="10"/>
        <v>551</v>
      </c>
      <c r="V42" s="13">
        <f t="shared" si="36"/>
        <v>228</v>
      </c>
      <c r="W42" s="17">
        <f t="shared" si="11"/>
        <v>551</v>
      </c>
      <c r="X42" s="13">
        <f t="shared" si="37"/>
        <v>228</v>
      </c>
      <c r="Y42" s="17">
        <f t="shared" si="12"/>
        <v>518</v>
      </c>
      <c r="Z42" s="13">
        <f t="shared" si="38"/>
        <v>196</v>
      </c>
      <c r="AA42" s="17">
        <f t="shared" si="13"/>
        <v>518</v>
      </c>
      <c r="AB42" s="4" t="s">
        <v>0</v>
      </c>
    </row>
    <row r="43" spans="1:28">
      <c r="A43" s="9" t="s">
        <v>16</v>
      </c>
      <c r="B43" s="19"/>
      <c r="C43" s="4"/>
      <c r="D43" s="20">
        <f t="shared" si="39"/>
        <v>228</v>
      </c>
      <c r="E43" s="24">
        <f t="shared" si="64"/>
        <v>199</v>
      </c>
      <c r="F43" s="20">
        <f t="shared" si="41"/>
        <v>260</v>
      </c>
      <c r="G43" s="24">
        <f t="shared" si="65"/>
        <v>232</v>
      </c>
      <c r="H43" s="4" t="s">
        <v>0</v>
      </c>
      <c r="I43" s="15" t="str">
        <f t="shared" si="0"/>
        <v>08-08</v>
      </c>
      <c r="J43" s="13">
        <f t="shared" si="2"/>
        <v>228</v>
      </c>
      <c r="K43" s="14">
        <f t="shared" si="2"/>
        <v>199</v>
      </c>
      <c r="L43" s="16">
        <f t="shared" si="3"/>
        <v>260</v>
      </c>
      <c r="M43" s="17">
        <f t="shared" si="4"/>
        <v>199</v>
      </c>
      <c r="N43" s="13">
        <f t="shared" si="5"/>
        <v>260</v>
      </c>
      <c r="O43" s="14">
        <f t="shared" si="5"/>
        <v>232</v>
      </c>
      <c r="P43" s="16">
        <f t="shared" si="6"/>
        <v>228</v>
      </c>
      <c r="Q43" s="17">
        <f t="shared" si="7"/>
        <v>232</v>
      </c>
      <c r="R43" s="4" t="s">
        <v>0</v>
      </c>
      <c r="S43" s="15" t="str">
        <f t="shared" si="8"/>
        <v>08-08</v>
      </c>
      <c r="T43" s="13">
        <f t="shared" si="9"/>
        <v>228</v>
      </c>
      <c r="U43" s="17">
        <f t="shared" si="10"/>
        <v>551</v>
      </c>
      <c r="V43" s="13">
        <f t="shared" si="36"/>
        <v>260</v>
      </c>
      <c r="W43" s="17">
        <f t="shared" si="11"/>
        <v>551</v>
      </c>
      <c r="X43" s="13">
        <f t="shared" si="37"/>
        <v>260</v>
      </c>
      <c r="Y43" s="17">
        <f t="shared" si="12"/>
        <v>518</v>
      </c>
      <c r="Z43" s="13">
        <f t="shared" si="38"/>
        <v>228</v>
      </c>
      <c r="AA43" s="17">
        <f t="shared" si="13"/>
        <v>518</v>
      </c>
      <c r="AB43" s="4" t="s">
        <v>0</v>
      </c>
    </row>
    <row r="44" spans="1:28">
      <c r="A44" s="9" t="s">
        <v>15</v>
      </c>
      <c r="B44" s="19"/>
      <c r="C44" s="4"/>
      <c r="D44" s="20">
        <f t="shared" si="39"/>
        <v>260</v>
      </c>
      <c r="E44" s="24">
        <f t="shared" si="64"/>
        <v>199</v>
      </c>
      <c r="F44" s="20">
        <f t="shared" si="41"/>
        <v>292</v>
      </c>
      <c r="G44" s="24">
        <f t="shared" si="65"/>
        <v>232</v>
      </c>
      <c r="H44" s="4" t="s">
        <v>0</v>
      </c>
      <c r="I44" s="15" t="str">
        <f t="shared" si="0"/>
        <v>08-07</v>
      </c>
      <c r="J44" s="13">
        <f t="shared" si="2"/>
        <v>260</v>
      </c>
      <c r="K44" s="14">
        <f t="shared" si="2"/>
        <v>199</v>
      </c>
      <c r="L44" s="16">
        <f t="shared" si="3"/>
        <v>292</v>
      </c>
      <c r="M44" s="17">
        <f t="shared" si="4"/>
        <v>199</v>
      </c>
      <c r="N44" s="13">
        <f t="shared" si="5"/>
        <v>292</v>
      </c>
      <c r="O44" s="14">
        <f t="shared" si="5"/>
        <v>232</v>
      </c>
      <c r="P44" s="16">
        <f t="shared" si="6"/>
        <v>260</v>
      </c>
      <c r="Q44" s="17">
        <f t="shared" si="7"/>
        <v>232</v>
      </c>
      <c r="R44" s="4" t="s">
        <v>0</v>
      </c>
      <c r="S44" s="15" t="str">
        <f t="shared" si="8"/>
        <v>08-07</v>
      </c>
      <c r="T44" s="13">
        <f t="shared" si="9"/>
        <v>260</v>
      </c>
      <c r="U44" s="17">
        <f t="shared" si="10"/>
        <v>551</v>
      </c>
      <c r="V44" s="13">
        <f t="shared" si="36"/>
        <v>292</v>
      </c>
      <c r="W44" s="17">
        <f t="shared" si="11"/>
        <v>551</v>
      </c>
      <c r="X44" s="13">
        <f t="shared" si="37"/>
        <v>292</v>
      </c>
      <c r="Y44" s="17">
        <f t="shared" si="12"/>
        <v>518</v>
      </c>
      <c r="Z44" s="13">
        <f t="shared" si="38"/>
        <v>260</v>
      </c>
      <c r="AA44" s="17">
        <f t="shared" si="13"/>
        <v>518</v>
      </c>
      <c r="AB44" s="4" t="s">
        <v>0</v>
      </c>
    </row>
    <row r="45" spans="1:28">
      <c r="A45" s="9" t="s">
        <v>14</v>
      </c>
      <c r="B45" s="19"/>
      <c r="C45" s="4"/>
      <c r="D45" s="20">
        <f t="shared" si="39"/>
        <v>292</v>
      </c>
      <c r="E45" s="24">
        <f t="shared" si="64"/>
        <v>199</v>
      </c>
      <c r="F45" s="20">
        <f t="shared" si="41"/>
        <v>324</v>
      </c>
      <c r="G45" s="24">
        <f t="shared" si="65"/>
        <v>232</v>
      </c>
      <c r="H45" s="4" t="s">
        <v>0</v>
      </c>
      <c r="I45" s="15" t="str">
        <f t="shared" si="0"/>
        <v>08-06</v>
      </c>
      <c r="J45" s="13">
        <f t="shared" si="2"/>
        <v>292</v>
      </c>
      <c r="K45" s="14">
        <f t="shared" si="2"/>
        <v>199</v>
      </c>
      <c r="L45" s="16">
        <f t="shared" si="3"/>
        <v>324</v>
      </c>
      <c r="M45" s="17">
        <f t="shared" si="4"/>
        <v>199</v>
      </c>
      <c r="N45" s="13">
        <f t="shared" si="5"/>
        <v>324</v>
      </c>
      <c r="O45" s="14">
        <f t="shared" si="5"/>
        <v>232</v>
      </c>
      <c r="P45" s="16">
        <f t="shared" si="6"/>
        <v>292</v>
      </c>
      <c r="Q45" s="17">
        <f t="shared" si="7"/>
        <v>232</v>
      </c>
      <c r="R45" s="4" t="s">
        <v>0</v>
      </c>
      <c r="S45" s="15" t="str">
        <f t="shared" si="8"/>
        <v>08-06</v>
      </c>
      <c r="T45" s="13">
        <f t="shared" si="9"/>
        <v>292</v>
      </c>
      <c r="U45" s="17">
        <f t="shared" si="10"/>
        <v>551</v>
      </c>
      <c r="V45" s="13">
        <f t="shared" si="36"/>
        <v>324</v>
      </c>
      <c r="W45" s="17">
        <f t="shared" si="11"/>
        <v>551</v>
      </c>
      <c r="X45" s="13">
        <f t="shared" si="37"/>
        <v>324</v>
      </c>
      <c r="Y45" s="17">
        <f t="shared" si="12"/>
        <v>518</v>
      </c>
      <c r="Z45" s="13">
        <f t="shared" si="38"/>
        <v>292</v>
      </c>
      <c r="AA45" s="17">
        <f t="shared" si="13"/>
        <v>518</v>
      </c>
      <c r="AB45" s="4" t="s">
        <v>0</v>
      </c>
    </row>
    <row r="46" spans="1:28">
      <c r="A46" s="9" t="s">
        <v>13</v>
      </c>
      <c r="B46" s="19"/>
      <c r="C46" s="4"/>
      <c r="D46" s="20">
        <f t="shared" si="39"/>
        <v>324</v>
      </c>
      <c r="E46" s="24">
        <f t="shared" si="64"/>
        <v>199</v>
      </c>
      <c r="F46" s="20">
        <f t="shared" si="41"/>
        <v>356</v>
      </c>
      <c r="G46" s="24">
        <f t="shared" si="65"/>
        <v>232</v>
      </c>
      <c r="H46" s="4" t="s">
        <v>0</v>
      </c>
      <c r="I46" s="15" t="str">
        <f t="shared" si="0"/>
        <v>08-05</v>
      </c>
      <c r="J46" s="13">
        <f t="shared" si="2"/>
        <v>324</v>
      </c>
      <c r="K46" s="14">
        <f t="shared" si="2"/>
        <v>199</v>
      </c>
      <c r="L46" s="16">
        <f t="shared" si="3"/>
        <v>356</v>
      </c>
      <c r="M46" s="17">
        <f t="shared" si="4"/>
        <v>199</v>
      </c>
      <c r="N46" s="13">
        <f t="shared" si="5"/>
        <v>356</v>
      </c>
      <c r="O46" s="14">
        <f t="shared" si="5"/>
        <v>232</v>
      </c>
      <c r="P46" s="16">
        <f t="shared" si="6"/>
        <v>324</v>
      </c>
      <c r="Q46" s="17">
        <f t="shared" si="7"/>
        <v>232</v>
      </c>
      <c r="R46" s="4" t="s">
        <v>0</v>
      </c>
      <c r="S46" s="15" t="str">
        <f t="shared" si="8"/>
        <v>08-05</v>
      </c>
      <c r="T46" s="13">
        <f t="shared" si="9"/>
        <v>324</v>
      </c>
      <c r="U46" s="17">
        <f t="shared" si="10"/>
        <v>551</v>
      </c>
      <c r="V46" s="13">
        <f t="shared" si="36"/>
        <v>356</v>
      </c>
      <c r="W46" s="17">
        <f t="shared" si="11"/>
        <v>551</v>
      </c>
      <c r="X46" s="13">
        <f t="shared" si="37"/>
        <v>356</v>
      </c>
      <c r="Y46" s="17">
        <f t="shared" si="12"/>
        <v>518</v>
      </c>
      <c r="Z46" s="13">
        <f t="shared" si="38"/>
        <v>324</v>
      </c>
      <c r="AA46" s="17">
        <f t="shared" si="13"/>
        <v>518</v>
      </c>
      <c r="AB46" s="4" t="s">
        <v>0</v>
      </c>
    </row>
    <row r="47" spans="1:28">
      <c r="A47" s="9" t="s">
        <v>12</v>
      </c>
      <c r="B47" s="19"/>
      <c r="C47" s="4"/>
      <c r="D47" s="20">
        <f t="shared" si="39"/>
        <v>356</v>
      </c>
      <c r="E47" s="24">
        <f t="shared" si="64"/>
        <v>199</v>
      </c>
      <c r="F47" s="20">
        <f t="shared" si="41"/>
        <v>388</v>
      </c>
      <c r="G47" s="24">
        <f t="shared" si="65"/>
        <v>232</v>
      </c>
      <c r="H47" s="4" t="s">
        <v>0</v>
      </c>
      <c r="I47" s="15" t="str">
        <f t="shared" si="0"/>
        <v>08-03</v>
      </c>
      <c r="J47" s="13">
        <f t="shared" si="2"/>
        <v>356</v>
      </c>
      <c r="K47" s="14">
        <f t="shared" si="2"/>
        <v>199</v>
      </c>
      <c r="L47" s="16">
        <f t="shared" si="3"/>
        <v>388</v>
      </c>
      <c r="M47" s="17">
        <f t="shared" si="4"/>
        <v>199</v>
      </c>
      <c r="N47" s="13">
        <f t="shared" si="5"/>
        <v>388</v>
      </c>
      <c r="O47" s="14">
        <f t="shared" si="5"/>
        <v>232</v>
      </c>
      <c r="P47" s="16">
        <f t="shared" si="6"/>
        <v>356</v>
      </c>
      <c r="Q47" s="17">
        <f t="shared" si="7"/>
        <v>232</v>
      </c>
      <c r="R47" s="4" t="s">
        <v>0</v>
      </c>
      <c r="S47" s="15" t="str">
        <f t="shared" si="8"/>
        <v>08-03</v>
      </c>
      <c r="T47" s="13">
        <f t="shared" si="9"/>
        <v>356</v>
      </c>
      <c r="U47" s="17">
        <f t="shared" si="10"/>
        <v>551</v>
      </c>
      <c r="V47" s="13">
        <f t="shared" si="36"/>
        <v>388</v>
      </c>
      <c r="W47" s="17">
        <f t="shared" si="11"/>
        <v>551</v>
      </c>
      <c r="X47" s="13">
        <f t="shared" si="37"/>
        <v>388</v>
      </c>
      <c r="Y47" s="17">
        <f t="shared" si="12"/>
        <v>518</v>
      </c>
      <c r="Z47" s="13">
        <f t="shared" si="38"/>
        <v>356</v>
      </c>
      <c r="AA47" s="17">
        <f t="shared" si="13"/>
        <v>518</v>
      </c>
      <c r="AB47" s="4" t="s">
        <v>0</v>
      </c>
    </row>
    <row r="48" spans="1:28">
      <c r="A48" s="9" t="s">
        <v>11</v>
      </c>
      <c r="B48" s="19"/>
      <c r="C48" s="4"/>
      <c r="D48" s="20">
        <f t="shared" si="39"/>
        <v>388</v>
      </c>
      <c r="E48" s="24">
        <f t="shared" si="64"/>
        <v>199</v>
      </c>
      <c r="F48" s="20">
        <f t="shared" si="41"/>
        <v>420</v>
      </c>
      <c r="G48" s="24">
        <f t="shared" si="65"/>
        <v>232</v>
      </c>
      <c r="H48" s="4" t="s">
        <v>0</v>
      </c>
      <c r="I48" s="15" t="str">
        <f t="shared" si="0"/>
        <v>08-02</v>
      </c>
      <c r="J48" s="13">
        <f t="shared" si="2"/>
        <v>388</v>
      </c>
      <c r="K48" s="14">
        <f t="shared" si="2"/>
        <v>199</v>
      </c>
      <c r="L48" s="16">
        <f t="shared" si="3"/>
        <v>420</v>
      </c>
      <c r="M48" s="17">
        <f t="shared" si="4"/>
        <v>199</v>
      </c>
      <c r="N48" s="13">
        <f t="shared" si="5"/>
        <v>420</v>
      </c>
      <c r="O48" s="14">
        <f t="shared" si="5"/>
        <v>232</v>
      </c>
      <c r="P48" s="16">
        <f t="shared" si="6"/>
        <v>388</v>
      </c>
      <c r="Q48" s="17">
        <f t="shared" si="7"/>
        <v>232</v>
      </c>
      <c r="R48" s="4" t="s">
        <v>0</v>
      </c>
      <c r="S48" s="15" t="str">
        <f t="shared" si="8"/>
        <v>08-02</v>
      </c>
      <c r="T48" s="13">
        <f t="shared" si="9"/>
        <v>388</v>
      </c>
      <c r="U48" s="17">
        <f t="shared" si="10"/>
        <v>551</v>
      </c>
      <c r="V48" s="13">
        <f t="shared" si="36"/>
        <v>420</v>
      </c>
      <c r="W48" s="17">
        <f t="shared" si="11"/>
        <v>551</v>
      </c>
      <c r="X48" s="13">
        <f t="shared" si="37"/>
        <v>420</v>
      </c>
      <c r="Y48" s="17">
        <f t="shared" si="12"/>
        <v>518</v>
      </c>
      <c r="Z48" s="13">
        <f t="shared" si="38"/>
        <v>388</v>
      </c>
      <c r="AA48" s="17">
        <f t="shared" si="13"/>
        <v>518</v>
      </c>
      <c r="AB48" s="4" t="s">
        <v>0</v>
      </c>
    </row>
    <row r="49" spans="1:28">
      <c r="A49" s="9" t="s">
        <v>10</v>
      </c>
      <c r="B49" s="19"/>
      <c r="C49" s="4"/>
      <c r="D49" s="20">
        <f t="shared" si="39"/>
        <v>420</v>
      </c>
      <c r="E49" s="24">
        <f t="shared" si="64"/>
        <v>199</v>
      </c>
      <c r="F49" s="20">
        <f t="shared" si="41"/>
        <v>452</v>
      </c>
      <c r="G49" s="24">
        <f t="shared" si="65"/>
        <v>232</v>
      </c>
      <c r="H49" s="4" t="s">
        <v>0</v>
      </c>
      <c r="I49" s="15" t="str">
        <f t="shared" si="0"/>
        <v>08-01</v>
      </c>
      <c r="J49" s="13">
        <f t="shared" si="2"/>
        <v>420</v>
      </c>
      <c r="K49" s="14">
        <f t="shared" si="2"/>
        <v>199</v>
      </c>
      <c r="L49" s="16">
        <f t="shared" si="3"/>
        <v>452</v>
      </c>
      <c r="M49" s="17">
        <f t="shared" si="4"/>
        <v>199</v>
      </c>
      <c r="N49" s="13">
        <f t="shared" si="5"/>
        <v>452</v>
      </c>
      <c r="O49" s="14">
        <f t="shared" si="5"/>
        <v>232</v>
      </c>
      <c r="P49" s="16">
        <f t="shared" si="6"/>
        <v>420</v>
      </c>
      <c r="Q49" s="17">
        <f t="shared" si="7"/>
        <v>232</v>
      </c>
      <c r="R49" s="4" t="s">
        <v>0</v>
      </c>
      <c r="S49" s="15" t="str">
        <f t="shared" si="8"/>
        <v>08-01</v>
      </c>
      <c r="T49" s="13">
        <f t="shared" si="9"/>
        <v>420</v>
      </c>
      <c r="U49" s="17">
        <f t="shared" si="10"/>
        <v>551</v>
      </c>
      <c r="V49" s="13">
        <f t="shared" si="36"/>
        <v>452</v>
      </c>
      <c r="W49" s="17">
        <f t="shared" si="11"/>
        <v>551</v>
      </c>
      <c r="X49" s="13">
        <f t="shared" si="37"/>
        <v>452</v>
      </c>
      <c r="Y49" s="17">
        <f t="shared" si="12"/>
        <v>518</v>
      </c>
      <c r="Z49" s="13">
        <f t="shared" si="38"/>
        <v>420</v>
      </c>
      <c r="AA49" s="17">
        <f t="shared" si="13"/>
        <v>518</v>
      </c>
      <c r="AB49" s="4" t="s">
        <v>0</v>
      </c>
    </row>
    <row r="50" spans="1:28">
      <c r="A50" s="9" t="s">
        <v>77</v>
      </c>
      <c r="B50" s="19"/>
      <c r="C50" s="4"/>
      <c r="D50" s="20"/>
      <c r="E50" s="24"/>
      <c r="F50" s="20"/>
      <c r="G50" s="24"/>
      <c r="H50" s="4" t="s">
        <v>0</v>
      </c>
      <c r="I50" s="15" t="str">
        <f t="shared" si="0"/>
        <v>-</v>
      </c>
      <c r="J50" s="13">
        <f t="shared" si="2"/>
        <v>0</v>
      </c>
      <c r="K50" s="14">
        <f t="shared" si="2"/>
        <v>0</v>
      </c>
      <c r="L50" s="16">
        <f t="shared" si="3"/>
        <v>0</v>
      </c>
      <c r="M50" s="17">
        <f t="shared" si="4"/>
        <v>0</v>
      </c>
      <c r="N50" s="13">
        <f t="shared" si="5"/>
        <v>0</v>
      </c>
      <c r="O50" s="14">
        <f t="shared" si="5"/>
        <v>0</v>
      </c>
      <c r="P50" s="16">
        <f t="shared" si="6"/>
        <v>0</v>
      </c>
      <c r="Q50" s="17">
        <f t="shared" si="7"/>
        <v>0</v>
      </c>
      <c r="R50" s="4" t="s">
        <v>0</v>
      </c>
      <c r="S50" s="15" t="str">
        <f t="shared" si="8"/>
        <v>-</v>
      </c>
      <c r="T50" s="13">
        <f t="shared" si="9"/>
        <v>0</v>
      </c>
      <c r="U50" s="17">
        <f t="shared" si="10"/>
        <v>750</v>
      </c>
      <c r="V50" s="13">
        <f t="shared" si="36"/>
        <v>0</v>
      </c>
      <c r="W50" s="17">
        <f t="shared" si="11"/>
        <v>750</v>
      </c>
      <c r="X50" s="13">
        <f t="shared" si="37"/>
        <v>0</v>
      </c>
      <c r="Y50" s="17">
        <f t="shared" si="12"/>
        <v>750</v>
      </c>
      <c r="Z50" s="13">
        <f t="shared" si="38"/>
        <v>0</v>
      </c>
      <c r="AA50" s="17">
        <f t="shared" si="13"/>
        <v>750</v>
      </c>
      <c r="AB50" s="4" t="s">
        <v>0</v>
      </c>
    </row>
    <row r="51" spans="1:28">
      <c r="A51" s="9" t="s">
        <v>77</v>
      </c>
      <c r="B51" s="19"/>
      <c r="C51" s="4"/>
      <c r="D51" s="20"/>
      <c r="E51" s="24"/>
      <c r="F51" s="20"/>
      <c r="G51" s="24"/>
      <c r="H51" s="4" t="s">
        <v>0</v>
      </c>
      <c r="I51" s="15" t="str">
        <f t="shared" si="0"/>
        <v>-</v>
      </c>
      <c r="J51" s="13">
        <f t="shared" si="2"/>
        <v>0</v>
      </c>
      <c r="K51" s="14">
        <f t="shared" si="2"/>
        <v>0</v>
      </c>
      <c r="L51" s="16">
        <f t="shared" si="3"/>
        <v>0</v>
      </c>
      <c r="M51" s="17">
        <f t="shared" si="4"/>
        <v>0</v>
      </c>
      <c r="N51" s="13">
        <f t="shared" si="5"/>
        <v>0</v>
      </c>
      <c r="O51" s="14">
        <f t="shared" si="5"/>
        <v>0</v>
      </c>
      <c r="P51" s="16">
        <f t="shared" si="6"/>
        <v>0</v>
      </c>
      <c r="Q51" s="17">
        <f t="shared" si="7"/>
        <v>0</v>
      </c>
      <c r="R51" s="4" t="s">
        <v>0</v>
      </c>
      <c r="S51" s="15" t="str">
        <f t="shared" si="8"/>
        <v>-</v>
      </c>
      <c r="T51" s="13">
        <f t="shared" si="9"/>
        <v>0</v>
      </c>
      <c r="U51" s="17">
        <f t="shared" si="10"/>
        <v>750</v>
      </c>
      <c r="V51" s="13">
        <f t="shared" si="36"/>
        <v>0</v>
      </c>
      <c r="W51" s="17">
        <f t="shared" si="11"/>
        <v>750</v>
      </c>
      <c r="X51" s="13">
        <f t="shared" si="37"/>
        <v>0</v>
      </c>
      <c r="Y51" s="17">
        <f t="shared" si="12"/>
        <v>750</v>
      </c>
      <c r="Z51" s="13">
        <f t="shared" si="38"/>
        <v>0</v>
      </c>
      <c r="AA51" s="17">
        <f t="shared" si="13"/>
        <v>750</v>
      </c>
      <c r="AB51" s="4" t="s">
        <v>0</v>
      </c>
    </row>
    <row r="52" spans="1:28">
      <c r="A52" s="9" t="s">
        <v>77</v>
      </c>
      <c r="B52" s="19"/>
      <c r="C52" s="4"/>
      <c r="D52" s="20"/>
      <c r="E52" s="24"/>
      <c r="F52" s="20"/>
      <c r="G52" s="24"/>
      <c r="H52" s="4" t="s">
        <v>0</v>
      </c>
      <c r="I52" s="15" t="str">
        <f t="shared" si="0"/>
        <v>-</v>
      </c>
      <c r="J52" s="13">
        <f t="shared" si="2"/>
        <v>0</v>
      </c>
      <c r="K52" s="14">
        <f t="shared" si="2"/>
        <v>0</v>
      </c>
      <c r="L52" s="16">
        <f t="shared" si="3"/>
        <v>0</v>
      </c>
      <c r="M52" s="17">
        <f t="shared" si="4"/>
        <v>0</v>
      </c>
      <c r="N52" s="13">
        <f t="shared" si="5"/>
        <v>0</v>
      </c>
      <c r="O52" s="14">
        <f t="shared" si="5"/>
        <v>0</v>
      </c>
      <c r="P52" s="16">
        <f t="shared" si="6"/>
        <v>0</v>
      </c>
      <c r="Q52" s="17">
        <f t="shared" si="7"/>
        <v>0</v>
      </c>
      <c r="R52" s="4" t="s">
        <v>0</v>
      </c>
      <c r="S52" s="15" t="str">
        <f t="shared" si="8"/>
        <v>-</v>
      </c>
      <c r="T52" s="13">
        <f t="shared" si="9"/>
        <v>0</v>
      </c>
      <c r="U52" s="17">
        <f t="shared" si="10"/>
        <v>750</v>
      </c>
      <c r="V52" s="13">
        <f t="shared" si="36"/>
        <v>0</v>
      </c>
      <c r="W52" s="17">
        <f t="shared" si="11"/>
        <v>750</v>
      </c>
      <c r="X52" s="13">
        <f t="shared" si="37"/>
        <v>0</v>
      </c>
      <c r="Y52" s="17">
        <f t="shared" si="12"/>
        <v>750</v>
      </c>
      <c r="Z52" s="13">
        <f t="shared" si="38"/>
        <v>0</v>
      </c>
      <c r="AA52" s="17">
        <f t="shared" si="13"/>
        <v>750</v>
      </c>
      <c r="AB52" s="4" t="s">
        <v>0</v>
      </c>
    </row>
    <row r="53" spans="1:28">
      <c r="A53" s="9" t="s">
        <v>77</v>
      </c>
      <c r="B53" s="19"/>
      <c r="C53" s="4"/>
      <c r="D53" s="20"/>
      <c r="E53" s="24"/>
      <c r="F53" s="20"/>
      <c r="G53" s="24"/>
      <c r="H53" s="4" t="s">
        <v>0</v>
      </c>
      <c r="I53" s="15" t="str">
        <f t="shared" si="0"/>
        <v>-</v>
      </c>
      <c r="J53" s="13">
        <f t="shared" si="2"/>
        <v>0</v>
      </c>
      <c r="K53" s="14">
        <f t="shared" si="2"/>
        <v>0</v>
      </c>
      <c r="L53" s="16">
        <f t="shared" si="3"/>
        <v>0</v>
      </c>
      <c r="M53" s="17">
        <f t="shared" si="4"/>
        <v>0</v>
      </c>
      <c r="N53" s="13">
        <f t="shared" si="5"/>
        <v>0</v>
      </c>
      <c r="O53" s="14">
        <f t="shared" si="5"/>
        <v>0</v>
      </c>
      <c r="P53" s="16">
        <f t="shared" si="6"/>
        <v>0</v>
      </c>
      <c r="Q53" s="17">
        <f t="shared" si="7"/>
        <v>0</v>
      </c>
      <c r="R53" s="4" t="s">
        <v>0</v>
      </c>
      <c r="S53" s="15" t="str">
        <f t="shared" si="8"/>
        <v>-</v>
      </c>
      <c r="T53" s="13">
        <f t="shared" si="9"/>
        <v>0</v>
      </c>
      <c r="U53" s="17">
        <f t="shared" si="10"/>
        <v>750</v>
      </c>
      <c r="V53" s="13">
        <f t="shared" si="36"/>
        <v>0</v>
      </c>
      <c r="W53" s="17">
        <f t="shared" si="11"/>
        <v>750</v>
      </c>
      <c r="X53" s="13">
        <f t="shared" si="37"/>
        <v>0</v>
      </c>
      <c r="Y53" s="17">
        <f t="shared" si="12"/>
        <v>750</v>
      </c>
      <c r="Z53" s="13">
        <f t="shared" si="38"/>
        <v>0</v>
      </c>
      <c r="AA53" s="17">
        <f t="shared" si="13"/>
        <v>750</v>
      </c>
      <c r="AB53" s="4" t="s">
        <v>0</v>
      </c>
    </row>
    <row r="54" spans="1:28">
      <c r="A54" s="9" t="s">
        <v>77</v>
      </c>
      <c r="B54" s="19"/>
      <c r="C54" s="21"/>
      <c r="D54" s="20"/>
      <c r="E54" s="23"/>
      <c r="F54" s="20"/>
      <c r="G54" s="23"/>
      <c r="H54" s="4" t="s">
        <v>0</v>
      </c>
      <c r="I54" s="15" t="str">
        <f t="shared" si="0"/>
        <v>-</v>
      </c>
      <c r="J54" s="13">
        <f t="shared" si="2"/>
        <v>0</v>
      </c>
      <c r="K54" s="14">
        <f t="shared" si="2"/>
        <v>0</v>
      </c>
      <c r="L54" s="16">
        <f t="shared" si="3"/>
        <v>0</v>
      </c>
      <c r="M54" s="17">
        <f t="shared" si="4"/>
        <v>0</v>
      </c>
      <c r="N54" s="13">
        <f t="shared" si="5"/>
        <v>0</v>
      </c>
      <c r="O54" s="14">
        <f t="shared" si="5"/>
        <v>0</v>
      </c>
      <c r="P54" s="16">
        <f t="shared" si="6"/>
        <v>0</v>
      </c>
      <c r="Q54" s="17">
        <f t="shared" si="7"/>
        <v>0</v>
      </c>
      <c r="R54" s="4" t="s">
        <v>0</v>
      </c>
      <c r="S54" s="15" t="str">
        <f t="shared" si="8"/>
        <v>-</v>
      </c>
      <c r="T54" s="13">
        <f t="shared" si="9"/>
        <v>0</v>
      </c>
      <c r="U54" s="17">
        <f t="shared" si="10"/>
        <v>750</v>
      </c>
      <c r="V54" s="13">
        <f t="shared" si="36"/>
        <v>0</v>
      </c>
      <c r="W54" s="17">
        <f t="shared" si="11"/>
        <v>750</v>
      </c>
      <c r="X54" s="13">
        <f t="shared" si="37"/>
        <v>0</v>
      </c>
      <c r="Y54" s="17">
        <f t="shared" si="12"/>
        <v>750</v>
      </c>
      <c r="Z54" s="13">
        <f t="shared" si="38"/>
        <v>0</v>
      </c>
      <c r="AA54" s="17">
        <f t="shared" si="13"/>
        <v>750</v>
      </c>
      <c r="AB54" s="4" t="s">
        <v>0</v>
      </c>
    </row>
    <row r="55" spans="1:28">
      <c r="A55" s="9" t="s">
        <v>77</v>
      </c>
      <c r="B55" s="19"/>
      <c r="C55" s="21"/>
      <c r="D55" s="20"/>
      <c r="E55" s="24"/>
      <c r="F55" s="20"/>
      <c r="G55" s="24"/>
      <c r="H55" s="4" t="s">
        <v>0</v>
      </c>
      <c r="I55" s="15" t="str">
        <f t="shared" si="0"/>
        <v>-</v>
      </c>
      <c r="J55" s="13">
        <f t="shared" si="2"/>
        <v>0</v>
      </c>
      <c r="K55" s="14">
        <f t="shared" si="2"/>
        <v>0</v>
      </c>
      <c r="L55" s="16">
        <f t="shared" si="3"/>
        <v>0</v>
      </c>
      <c r="M55" s="17">
        <f t="shared" si="4"/>
        <v>0</v>
      </c>
      <c r="N55" s="13">
        <f t="shared" si="5"/>
        <v>0</v>
      </c>
      <c r="O55" s="14">
        <f t="shared" si="5"/>
        <v>0</v>
      </c>
      <c r="P55" s="16">
        <f t="shared" si="6"/>
        <v>0</v>
      </c>
      <c r="Q55" s="17">
        <f t="shared" si="7"/>
        <v>0</v>
      </c>
      <c r="R55" s="4" t="s">
        <v>0</v>
      </c>
      <c r="S55" s="15" t="str">
        <f t="shared" si="8"/>
        <v>-</v>
      </c>
      <c r="T55" s="13">
        <f t="shared" si="9"/>
        <v>0</v>
      </c>
      <c r="U55" s="17">
        <f t="shared" si="10"/>
        <v>750</v>
      </c>
      <c r="V55" s="13">
        <f t="shared" si="36"/>
        <v>0</v>
      </c>
      <c r="W55" s="17">
        <f t="shared" si="11"/>
        <v>750</v>
      </c>
      <c r="X55" s="13">
        <f t="shared" si="37"/>
        <v>0</v>
      </c>
      <c r="Y55" s="17">
        <f t="shared" si="12"/>
        <v>750</v>
      </c>
      <c r="Z55" s="13">
        <f t="shared" si="38"/>
        <v>0</v>
      </c>
      <c r="AA55" s="17">
        <f t="shared" si="13"/>
        <v>750</v>
      </c>
      <c r="AB55" s="4" t="s">
        <v>0</v>
      </c>
    </row>
    <row r="56" spans="1:28">
      <c r="A56" s="9" t="s">
        <v>77</v>
      </c>
      <c r="B56" s="19"/>
      <c r="C56" s="4"/>
      <c r="D56" s="20"/>
      <c r="E56" s="24"/>
      <c r="F56" s="20"/>
      <c r="G56" s="24"/>
      <c r="H56" s="4" t="s">
        <v>0</v>
      </c>
      <c r="I56" s="15" t="str">
        <f t="shared" si="0"/>
        <v>-</v>
      </c>
      <c r="J56" s="13">
        <f t="shared" si="2"/>
        <v>0</v>
      </c>
      <c r="K56" s="14">
        <f t="shared" si="2"/>
        <v>0</v>
      </c>
      <c r="L56" s="16">
        <f t="shared" si="3"/>
        <v>0</v>
      </c>
      <c r="M56" s="17">
        <f t="shared" si="4"/>
        <v>0</v>
      </c>
      <c r="N56" s="13">
        <f t="shared" si="5"/>
        <v>0</v>
      </c>
      <c r="O56" s="14">
        <f t="shared" si="5"/>
        <v>0</v>
      </c>
      <c r="P56" s="16">
        <f t="shared" si="6"/>
        <v>0</v>
      </c>
      <c r="Q56" s="17">
        <f t="shared" si="7"/>
        <v>0</v>
      </c>
      <c r="R56" s="4" t="s">
        <v>0</v>
      </c>
      <c r="S56" s="15" t="str">
        <f t="shared" si="8"/>
        <v>-</v>
      </c>
      <c r="T56" s="13">
        <f t="shared" si="9"/>
        <v>0</v>
      </c>
      <c r="U56" s="17">
        <f t="shared" si="10"/>
        <v>750</v>
      </c>
      <c r="V56" s="13">
        <f t="shared" si="36"/>
        <v>0</v>
      </c>
      <c r="W56" s="17">
        <f t="shared" si="11"/>
        <v>750</v>
      </c>
      <c r="X56" s="13">
        <f t="shared" si="37"/>
        <v>0</v>
      </c>
      <c r="Y56" s="17">
        <f t="shared" si="12"/>
        <v>750</v>
      </c>
      <c r="Z56" s="13">
        <f t="shared" si="38"/>
        <v>0</v>
      </c>
      <c r="AA56" s="17">
        <f t="shared" si="13"/>
        <v>750</v>
      </c>
      <c r="AB56" s="4" t="s">
        <v>0</v>
      </c>
    </row>
    <row r="57" spans="1:28">
      <c r="A57" s="9" t="s">
        <v>77</v>
      </c>
      <c r="B57" s="19"/>
      <c r="C57" s="4"/>
      <c r="D57" s="20"/>
      <c r="E57" s="24"/>
      <c r="F57" s="20"/>
      <c r="G57" s="24"/>
      <c r="H57" s="4" t="s">
        <v>0</v>
      </c>
      <c r="I57" s="15" t="str">
        <f t="shared" si="0"/>
        <v>-</v>
      </c>
      <c r="J57" s="13">
        <f t="shared" si="2"/>
        <v>0</v>
      </c>
      <c r="K57" s="14">
        <f t="shared" si="2"/>
        <v>0</v>
      </c>
      <c r="L57" s="16">
        <f t="shared" si="3"/>
        <v>0</v>
      </c>
      <c r="M57" s="17">
        <f t="shared" si="4"/>
        <v>0</v>
      </c>
      <c r="N57" s="13">
        <f t="shared" si="5"/>
        <v>0</v>
      </c>
      <c r="O57" s="14">
        <f t="shared" si="5"/>
        <v>0</v>
      </c>
      <c r="P57" s="16">
        <f t="shared" si="6"/>
        <v>0</v>
      </c>
      <c r="Q57" s="17">
        <f t="shared" si="7"/>
        <v>0</v>
      </c>
      <c r="R57" s="4" t="s">
        <v>0</v>
      </c>
      <c r="S57" s="15" t="str">
        <f t="shared" si="8"/>
        <v>-</v>
      </c>
      <c r="T57" s="13">
        <f t="shared" si="9"/>
        <v>0</v>
      </c>
      <c r="U57" s="17">
        <f t="shared" si="10"/>
        <v>750</v>
      </c>
      <c r="V57" s="13">
        <f t="shared" si="36"/>
        <v>0</v>
      </c>
      <c r="W57" s="17">
        <f t="shared" si="11"/>
        <v>750</v>
      </c>
      <c r="X57" s="13">
        <f t="shared" si="37"/>
        <v>0</v>
      </c>
      <c r="Y57" s="17">
        <f t="shared" si="12"/>
        <v>750</v>
      </c>
      <c r="Z57" s="13">
        <f t="shared" si="38"/>
        <v>0</v>
      </c>
      <c r="AA57" s="17">
        <f t="shared" si="13"/>
        <v>750</v>
      </c>
      <c r="AB57" s="4" t="s">
        <v>0</v>
      </c>
    </row>
    <row r="58" spans="1:28">
      <c r="A58" s="9" t="s">
        <v>77</v>
      </c>
      <c r="B58" s="19"/>
      <c r="C58" s="4"/>
      <c r="D58" s="20"/>
      <c r="E58" s="24"/>
      <c r="F58" s="20"/>
      <c r="G58" s="24"/>
      <c r="H58" s="4" t="s">
        <v>0</v>
      </c>
      <c r="I58" s="15" t="str">
        <f t="shared" si="0"/>
        <v>-</v>
      </c>
      <c r="J58" s="13">
        <f t="shared" si="2"/>
        <v>0</v>
      </c>
      <c r="K58" s="14">
        <f t="shared" si="2"/>
        <v>0</v>
      </c>
      <c r="L58" s="16">
        <f t="shared" si="3"/>
        <v>0</v>
      </c>
      <c r="M58" s="17">
        <f t="shared" si="4"/>
        <v>0</v>
      </c>
      <c r="N58" s="13">
        <f t="shared" si="5"/>
        <v>0</v>
      </c>
      <c r="O58" s="14">
        <f t="shared" si="5"/>
        <v>0</v>
      </c>
      <c r="P58" s="16">
        <f t="shared" si="6"/>
        <v>0</v>
      </c>
      <c r="Q58" s="17">
        <f t="shared" si="7"/>
        <v>0</v>
      </c>
      <c r="R58" s="4" t="s">
        <v>0</v>
      </c>
      <c r="S58" s="15" t="str">
        <f t="shared" si="8"/>
        <v>-</v>
      </c>
      <c r="T58" s="13">
        <f t="shared" si="9"/>
        <v>0</v>
      </c>
      <c r="U58" s="17">
        <f t="shared" si="10"/>
        <v>750</v>
      </c>
      <c r="V58" s="13">
        <f t="shared" si="36"/>
        <v>0</v>
      </c>
      <c r="W58" s="17">
        <f t="shared" si="11"/>
        <v>750</v>
      </c>
      <c r="X58" s="13">
        <f t="shared" si="37"/>
        <v>0</v>
      </c>
      <c r="Y58" s="17">
        <f t="shared" si="12"/>
        <v>750</v>
      </c>
      <c r="Z58" s="13">
        <f t="shared" si="38"/>
        <v>0</v>
      </c>
      <c r="AA58" s="17">
        <f t="shared" si="13"/>
        <v>750</v>
      </c>
      <c r="AB58" s="4" t="s">
        <v>0</v>
      </c>
    </row>
    <row r="59" spans="1:28">
      <c r="A59" s="9" t="s">
        <v>77</v>
      </c>
      <c r="B59" s="19"/>
      <c r="C59" s="4"/>
      <c r="D59" s="20"/>
      <c r="E59" s="24"/>
      <c r="F59" s="20"/>
      <c r="G59" s="24"/>
      <c r="H59" s="4" t="s">
        <v>0</v>
      </c>
      <c r="I59" s="15" t="str">
        <f t="shared" si="0"/>
        <v>-</v>
      </c>
      <c r="J59" s="13">
        <f t="shared" si="2"/>
        <v>0</v>
      </c>
      <c r="K59" s="14">
        <f t="shared" si="2"/>
        <v>0</v>
      </c>
      <c r="L59" s="16">
        <f t="shared" si="3"/>
        <v>0</v>
      </c>
      <c r="M59" s="17">
        <f t="shared" si="4"/>
        <v>0</v>
      </c>
      <c r="N59" s="13">
        <f t="shared" si="5"/>
        <v>0</v>
      </c>
      <c r="O59" s="14">
        <f t="shared" si="5"/>
        <v>0</v>
      </c>
      <c r="P59" s="16">
        <f t="shared" si="6"/>
        <v>0</v>
      </c>
      <c r="Q59" s="17">
        <f t="shared" si="7"/>
        <v>0</v>
      </c>
      <c r="R59" s="4" t="s">
        <v>0</v>
      </c>
      <c r="S59" s="15" t="str">
        <f t="shared" si="8"/>
        <v>-</v>
      </c>
      <c r="T59" s="13">
        <f t="shared" si="9"/>
        <v>0</v>
      </c>
      <c r="U59" s="17">
        <f t="shared" si="10"/>
        <v>750</v>
      </c>
      <c r="V59" s="13">
        <f t="shared" si="36"/>
        <v>0</v>
      </c>
      <c r="W59" s="17">
        <f t="shared" si="11"/>
        <v>750</v>
      </c>
      <c r="X59" s="13">
        <f t="shared" si="37"/>
        <v>0</v>
      </c>
      <c r="Y59" s="17">
        <f t="shared" si="12"/>
        <v>750</v>
      </c>
      <c r="Z59" s="13">
        <f t="shared" si="38"/>
        <v>0</v>
      </c>
      <c r="AA59" s="17">
        <f t="shared" si="13"/>
        <v>750</v>
      </c>
      <c r="AB59" s="4" t="s">
        <v>0</v>
      </c>
    </row>
    <row r="60" spans="1:28">
      <c r="A60" s="9" t="s">
        <v>77</v>
      </c>
      <c r="B60" s="19"/>
      <c r="C60" s="4"/>
      <c r="D60" s="20"/>
      <c r="E60" s="24"/>
      <c r="F60" s="20"/>
      <c r="G60" s="24"/>
      <c r="H60" s="4" t="s">
        <v>0</v>
      </c>
      <c r="I60" s="15" t="str">
        <f t="shared" si="0"/>
        <v>-</v>
      </c>
      <c r="J60" s="13">
        <f t="shared" si="2"/>
        <v>0</v>
      </c>
      <c r="K60" s="14">
        <f t="shared" si="2"/>
        <v>0</v>
      </c>
      <c r="L60" s="16">
        <f t="shared" si="3"/>
        <v>0</v>
      </c>
      <c r="M60" s="17">
        <f t="shared" si="4"/>
        <v>0</v>
      </c>
      <c r="N60" s="13">
        <f t="shared" si="5"/>
        <v>0</v>
      </c>
      <c r="O60" s="14">
        <f t="shared" si="5"/>
        <v>0</v>
      </c>
      <c r="P60" s="16">
        <f t="shared" si="6"/>
        <v>0</v>
      </c>
      <c r="Q60" s="17">
        <f t="shared" si="7"/>
        <v>0</v>
      </c>
      <c r="R60" s="4" t="s">
        <v>0</v>
      </c>
      <c r="S60" s="15" t="str">
        <f t="shared" si="8"/>
        <v>-</v>
      </c>
      <c r="T60" s="13">
        <f t="shared" si="9"/>
        <v>0</v>
      </c>
      <c r="U60" s="17">
        <f t="shared" si="10"/>
        <v>750</v>
      </c>
      <c r="V60" s="13">
        <f t="shared" si="36"/>
        <v>0</v>
      </c>
      <c r="W60" s="17">
        <f t="shared" si="11"/>
        <v>750</v>
      </c>
      <c r="X60" s="13">
        <f t="shared" si="37"/>
        <v>0</v>
      </c>
      <c r="Y60" s="17">
        <f t="shared" si="12"/>
        <v>750</v>
      </c>
      <c r="Z60" s="13">
        <f t="shared" si="38"/>
        <v>0</v>
      </c>
      <c r="AA60" s="17">
        <f t="shared" si="13"/>
        <v>750</v>
      </c>
      <c r="AB60" s="4" t="s">
        <v>0</v>
      </c>
    </row>
    <row r="61" spans="1:28">
      <c r="A61" s="9" t="s">
        <v>77</v>
      </c>
      <c r="B61" s="19"/>
      <c r="C61" s="4"/>
      <c r="D61" s="20"/>
      <c r="E61" s="24"/>
      <c r="F61" s="20"/>
      <c r="G61" s="24"/>
      <c r="H61" s="4" t="s">
        <v>0</v>
      </c>
      <c r="I61" s="15" t="str">
        <f t="shared" si="0"/>
        <v>-</v>
      </c>
      <c r="J61" s="13">
        <f t="shared" si="2"/>
        <v>0</v>
      </c>
      <c r="K61" s="14">
        <f t="shared" si="2"/>
        <v>0</v>
      </c>
      <c r="L61" s="16">
        <f t="shared" si="3"/>
        <v>0</v>
      </c>
      <c r="M61" s="17">
        <f t="shared" si="4"/>
        <v>0</v>
      </c>
      <c r="N61" s="13">
        <f t="shared" si="5"/>
        <v>0</v>
      </c>
      <c r="O61" s="14">
        <f t="shared" si="5"/>
        <v>0</v>
      </c>
      <c r="P61" s="16">
        <f t="shared" si="6"/>
        <v>0</v>
      </c>
      <c r="Q61" s="17">
        <f t="shared" si="7"/>
        <v>0</v>
      </c>
      <c r="R61" s="4" t="s">
        <v>0</v>
      </c>
      <c r="S61" s="15" t="str">
        <f t="shared" si="8"/>
        <v>-</v>
      </c>
      <c r="T61" s="13">
        <f t="shared" si="9"/>
        <v>0</v>
      </c>
      <c r="U61" s="17">
        <f t="shared" si="10"/>
        <v>750</v>
      </c>
      <c r="V61" s="13">
        <f t="shared" si="36"/>
        <v>0</v>
      </c>
      <c r="W61" s="17">
        <f t="shared" si="11"/>
        <v>750</v>
      </c>
      <c r="X61" s="13">
        <f t="shared" si="37"/>
        <v>0</v>
      </c>
      <c r="Y61" s="17">
        <f t="shared" si="12"/>
        <v>750</v>
      </c>
      <c r="Z61" s="13">
        <f t="shared" si="38"/>
        <v>0</v>
      </c>
      <c r="AA61" s="17">
        <f t="shared" si="13"/>
        <v>750</v>
      </c>
      <c r="AB61" s="4" t="s">
        <v>0</v>
      </c>
    </row>
    <row r="62" spans="1:28">
      <c r="A62" s="9" t="s">
        <v>77</v>
      </c>
      <c r="B62" s="19"/>
      <c r="C62" s="4"/>
      <c r="D62" s="20"/>
      <c r="E62" s="24"/>
      <c r="F62" s="20"/>
      <c r="G62" s="24"/>
      <c r="H62" s="4" t="s">
        <v>0</v>
      </c>
      <c r="I62" s="15" t="str">
        <f t="shared" si="0"/>
        <v>-</v>
      </c>
      <c r="J62" s="13">
        <f t="shared" si="2"/>
        <v>0</v>
      </c>
      <c r="K62" s="14">
        <f t="shared" si="2"/>
        <v>0</v>
      </c>
      <c r="L62" s="16">
        <f t="shared" si="3"/>
        <v>0</v>
      </c>
      <c r="M62" s="17">
        <f t="shared" si="4"/>
        <v>0</v>
      </c>
      <c r="N62" s="13">
        <f t="shared" si="5"/>
        <v>0</v>
      </c>
      <c r="O62" s="14">
        <f t="shared" si="5"/>
        <v>0</v>
      </c>
      <c r="P62" s="16">
        <f t="shared" si="6"/>
        <v>0</v>
      </c>
      <c r="Q62" s="17">
        <f t="shared" si="7"/>
        <v>0</v>
      </c>
      <c r="R62" s="4" t="s">
        <v>0</v>
      </c>
      <c r="S62" s="15" t="str">
        <f t="shared" si="8"/>
        <v>-</v>
      </c>
      <c r="T62" s="13">
        <f t="shared" si="9"/>
        <v>0</v>
      </c>
      <c r="U62" s="17">
        <f t="shared" si="10"/>
        <v>750</v>
      </c>
      <c r="V62" s="13">
        <f t="shared" si="36"/>
        <v>0</v>
      </c>
      <c r="W62" s="17">
        <f t="shared" si="11"/>
        <v>750</v>
      </c>
      <c r="X62" s="13">
        <f t="shared" si="37"/>
        <v>0</v>
      </c>
      <c r="Y62" s="17">
        <f t="shared" si="12"/>
        <v>750</v>
      </c>
      <c r="Z62" s="13">
        <f t="shared" si="38"/>
        <v>0</v>
      </c>
      <c r="AA62" s="17">
        <f t="shared" si="13"/>
        <v>750</v>
      </c>
      <c r="AB62" s="4" t="s">
        <v>0</v>
      </c>
    </row>
    <row r="63" spans="1:28">
      <c r="A63" s="9" t="s">
        <v>77</v>
      </c>
      <c r="B63" s="19"/>
      <c r="C63" s="4"/>
      <c r="D63" s="20"/>
      <c r="E63" s="24"/>
      <c r="F63" s="20"/>
      <c r="G63" s="24"/>
      <c r="H63" s="4" t="s">
        <v>0</v>
      </c>
      <c r="I63" s="15" t="str">
        <f t="shared" si="0"/>
        <v>-</v>
      </c>
      <c r="J63" s="13">
        <f t="shared" si="2"/>
        <v>0</v>
      </c>
      <c r="K63" s="14">
        <f t="shared" si="2"/>
        <v>0</v>
      </c>
      <c r="L63" s="16">
        <f t="shared" si="3"/>
        <v>0</v>
      </c>
      <c r="M63" s="17">
        <f t="shared" si="4"/>
        <v>0</v>
      </c>
      <c r="N63" s="13">
        <f t="shared" si="5"/>
        <v>0</v>
      </c>
      <c r="O63" s="14">
        <f t="shared" si="5"/>
        <v>0</v>
      </c>
      <c r="P63" s="16">
        <f t="shared" si="6"/>
        <v>0</v>
      </c>
      <c r="Q63" s="17">
        <f t="shared" si="7"/>
        <v>0</v>
      </c>
      <c r="R63" s="4" t="s">
        <v>0</v>
      </c>
      <c r="S63" s="15" t="str">
        <f t="shared" si="8"/>
        <v>-</v>
      </c>
      <c r="T63" s="13">
        <f t="shared" si="9"/>
        <v>0</v>
      </c>
      <c r="U63" s="17">
        <f t="shared" si="10"/>
        <v>750</v>
      </c>
      <c r="V63" s="13">
        <f t="shared" si="36"/>
        <v>0</v>
      </c>
      <c r="W63" s="17">
        <f t="shared" si="11"/>
        <v>750</v>
      </c>
      <c r="X63" s="13">
        <f t="shared" si="37"/>
        <v>0</v>
      </c>
      <c r="Y63" s="17">
        <f t="shared" si="12"/>
        <v>750</v>
      </c>
      <c r="Z63" s="13">
        <f t="shared" si="38"/>
        <v>0</v>
      </c>
      <c r="AA63" s="17">
        <f t="shared" si="13"/>
        <v>750</v>
      </c>
      <c r="AB63" s="4" t="s">
        <v>0</v>
      </c>
    </row>
    <row r="64" spans="1:28">
      <c r="A64" s="9" t="s">
        <v>77</v>
      </c>
      <c r="B64" s="19"/>
      <c r="C64" s="4"/>
      <c r="D64" s="20"/>
      <c r="E64" s="24"/>
      <c r="F64" s="20"/>
      <c r="G64" s="24"/>
      <c r="H64" s="4" t="s">
        <v>0</v>
      </c>
      <c r="I64" s="15" t="str">
        <f t="shared" si="0"/>
        <v>-</v>
      </c>
      <c r="J64" s="13">
        <f t="shared" si="2"/>
        <v>0</v>
      </c>
      <c r="K64" s="14">
        <f t="shared" si="2"/>
        <v>0</v>
      </c>
      <c r="L64" s="16">
        <f t="shared" si="3"/>
        <v>0</v>
      </c>
      <c r="M64" s="17">
        <f t="shared" si="4"/>
        <v>0</v>
      </c>
      <c r="N64" s="13">
        <f t="shared" si="5"/>
        <v>0</v>
      </c>
      <c r="O64" s="14">
        <f t="shared" si="5"/>
        <v>0</v>
      </c>
      <c r="P64" s="16">
        <f t="shared" si="6"/>
        <v>0</v>
      </c>
      <c r="Q64" s="17">
        <f t="shared" si="7"/>
        <v>0</v>
      </c>
      <c r="R64" s="4" t="s">
        <v>0</v>
      </c>
      <c r="S64" s="15" t="str">
        <f t="shared" si="8"/>
        <v>-</v>
      </c>
      <c r="T64" s="13">
        <f t="shared" si="9"/>
        <v>0</v>
      </c>
      <c r="U64" s="17">
        <f t="shared" si="10"/>
        <v>750</v>
      </c>
      <c r="V64" s="13">
        <f t="shared" si="36"/>
        <v>0</v>
      </c>
      <c r="W64" s="17">
        <f t="shared" si="11"/>
        <v>750</v>
      </c>
      <c r="X64" s="13">
        <f t="shared" si="37"/>
        <v>0</v>
      </c>
      <c r="Y64" s="17">
        <f t="shared" si="12"/>
        <v>750</v>
      </c>
      <c r="Z64" s="13">
        <f t="shared" si="38"/>
        <v>0</v>
      </c>
      <c r="AA64" s="17">
        <f t="shared" si="13"/>
        <v>750</v>
      </c>
      <c r="AB64" s="4" t="s">
        <v>0</v>
      </c>
    </row>
    <row r="65" spans="1:28">
      <c r="A65" s="9" t="s">
        <v>77</v>
      </c>
      <c r="B65" s="19"/>
      <c r="C65" s="4"/>
      <c r="D65" s="20"/>
      <c r="E65" s="24"/>
      <c r="F65" s="20"/>
      <c r="G65" s="24"/>
      <c r="H65" s="4" t="s">
        <v>0</v>
      </c>
      <c r="I65" s="15" t="str">
        <f t="shared" si="0"/>
        <v>-</v>
      </c>
      <c r="J65" s="13">
        <f t="shared" si="2"/>
        <v>0</v>
      </c>
      <c r="K65" s="14">
        <f t="shared" si="2"/>
        <v>0</v>
      </c>
      <c r="L65" s="16">
        <f t="shared" si="3"/>
        <v>0</v>
      </c>
      <c r="M65" s="17">
        <f t="shared" si="4"/>
        <v>0</v>
      </c>
      <c r="N65" s="13">
        <f t="shared" si="5"/>
        <v>0</v>
      </c>
      <c r="O65" s="14">
        <f t="shared" si="5"/>
        <v>0</v>
      </c>
      <c r="P65" s="16">
        <f t="shared" si="6"/>
        <v>0</v>
      </c>
      <c r="Q65" s="17">
        <f t="shared" si="7"/>
        <v>0</v>
      </c>
      <c r="R65" s="4" t="s">
        <v>0</v>
      </c>
      <c r="S65" s="15" t="str">
        <f t="shared" si="8"/>
        <v>-</v>
      </c>
      <c r="T65" s="13">
        <f t="shared" si="9"/>
        <v>0</v>
      </c>
      <c r="U65" s="17">
        <f t="shared" si="10"/>
        <v>750</v>
      </c>
      <c r="V65" s="13">
        <f t="shared" si="36"/>
        <v>0</v>
      </c>
      <c r="W65" s="17">
        <f t="shared" si="11"/>
        <v>750</v>
      </c>
      <c r="X65" s="13">
        <f t="shared" si="37"/>
        <v>0</v>
      </c>
      <c r="Y65" s="17">
        <f t="shared" si="12"/>
        <v>750</v>
      </c>
      <c r="Z65" s="13">
        <f t="shared" si="38"/>
        <v>0</v>
      </c>
      <c r="AA65" s="17">
        <f t="shared" si="13"/>
        <v>750</v>
      </c>
      <c r="AB65" s="4" t="s">
        <v>0</v>
      </c>
    </row>
    <row r="66" spans="1:28">
      <c r="A66" s="9" t="s">
        <v>77</v>
      </c>
      <c r="B66" s="19"/>
      <c r="C66" s="4"/>
      <c r="D66" s="20"/>
      <c r="E66" s="24"/>
      <c r="F66" s="20"/>
      <c r="G66" s="24"/>
      <c r="H66" s="4" t="s">
        <v>0</v>
      </c>
      <c r="I66" s="15" t="str">
        <f t="shared" si="0"/>
        <v>-</v>
      </c>
      <c r="J66" s="13">
        <f t="shared" si="2"/>
        <v>0</v>
      </c>
      <c r="K66" s="14">
        <f t="shared" si="2"/>
        <v>0</v>
      </c>
      <c r="L66" s="16">
        <f t="shared" si="3"/>
        <v>0</v>
      </c>
      <c r="M66" s="17">
        <f t="shared" si="4"/>
        <v>0</v>
      </c>
      <c r="N66" s="13">
        <f t="shared" si="5"/>
        <v>0</v>
      </c>
      <c r="O66" s="14">
        <f t="shared" si="5"/>
        <v>0</v>
      </c>
      <c r="P66" s="16">
        <f t="shared" si="6"/>
        <v>0</v>
      </c>
      <c r="Q66" s="17">
        <f t="shared" si="7"/>
        <v>0</v>
      </c>
      <c r="R66" s="4" t="s">
        <v>0</v>
      </c>
      <c r="S66" s="15" t="str">
        <f t="shared" si="8"/>
        <v>-</v>
      </c>
      <c r="T66" s="13">
        <f t="shared" si="9"/>
        <v>0</v>
      </c>
      <c r="U66" s="17">
        <f t="shared" si="10"/>
        <v>750</v>
      </c>
      <c r="V66" s="13">
        <f t="shared" si="36"/>
        <v>0</v>
      </c>
      <c r="W66" s="17">
        <f t="shared" si="11"/>
        <v>750</v>
      </c>
      <c r="X66" s="13">
        <f t="shared" si="37"/>
        <v>0</v>
      </c>
      <c r="Y66" s="17">
        <f t="shared" si="12"/>
        <v>750</v>
      </c>
      <c r="Z66" s="13">
        <f t="shared" si="38"/>
        <v>0</v>
      </c>
      <c r="AA66" s="17">
        <f t="shared" si="13"/>
        <v>750</v>
      </c>
      <c r="AB66" s="4" t="s">
        <v>0</v>
      </c>
    </row>
    <row r="67" spans="1:28">
      <c r="A67" s="9" t="s">
        <v>77</v>
      </c>
      <c r="B67" s="19"/>
      <c r="C67" s="4"/>
      <c r="D67" s="20"/>
      <c r="E67" s="24"/>
      <c r="F67" s="20"/>
      <c r="G67" s="24"/>
      <c r="H67" s="4" t="s">
        <v>0</v>
      </c>
      <c r="I67" s="15" t="str">
        <f t="shared" si="0"/>
        <v>-</v>
      </c>
      <c r="J67" s="13">
        <f t="shared" si="2"/>
        <v>0</v>
      </c>
      <c r="K67" s="14">
        <f t="shared" si="2"/>
        <v>0</v>
      </c>
      <c r="L67" s="16">
        <f t="shared" si="3"/>
        <v>0</v>
      </c>
      <c r="M67" s="17">
        <f t="shared" si="4"/>
        <v>0</v>
      </c>
      <c r="N67" s="13">
        <f t="shared" si="5"/>
        <v>0</v>
      </c>
      <c r="O67" s="14">
        <f t="shared" si="5"/>
        <v>0</v>
      </c>
      <c r="P67" s="16">
        <f t="shared" si="6"/>
        <v>0</v>
      </c>
      <c r="Q67" s="17">
        <f t="shared" si="7"/>
        <v>0</v>
      </c>
      <c r="R67" s="4" t="s">
        <v>0</v>
      </c>
      <c r="S67" s="15" t="str">
        <f t="shared" si="8"/>
        <v>-</v>
      </c>
      <c r="T67" s="13">
        <f t="shared" si="9"/>
        <v>0</v>
      </c>
      <c r="U67" s="17">
        <f t="shared" si="10"/>
        <v>750</v>
      </c>
      <c r="V67" s="13">
        <f t="shared" si="36"/>
        <v>0</v>
      </c>
      <c r="W67" s="17">
        <f t="shared" si="11"/>
        <v>750</v>
      </c>
      <c r="X67" s="13">
        <f t="shared" si="37"/>
        <v>0</v>
      </c>
      <c r="Y67" s="17">
        <f t="shared" si="12"/>
        <v>750</v>
      </c>
      <c r="Z67" s="13">
        <f t="shared" si="38"/>
        <v>0</v>
      </c>
      <c r="AA67" s="17">
        <f t="shared" si="13"/>
        <v>750</v>
      </c>
      <c r="AB67" s="4" t="s">
        <v>0</v>
      </c>
    </row>
    <row r="68" spans="1:28">
      <c r="A68" s="9" t="s">
        <v>77</v>
      </c>
      <c r="B68" s="19"/>
      <c r="C68" s="4"/>
      <c r="D68" s="20"/>
      <c r="E68" s="24"/>
      <c r="F68" s="20"/>
      <c r="G68" s="24"/>
      <c r="H68" s="4" t="s">
        <v>0</v>
      </c>
      <c r="I68" s="15" t="str">
        <f t="shared" si="0"/>
        <v>-</v>
      </c>
      <c r="J68" s="13">
        <f t="shared" si="2"/>
        <v>0</v>
      </c>
      <c r="K68" s="14">
        <f t="shared" si="2"/>
        <v>0</v>
      </c>
      <c r="L68" s="16">
        <f t="shared" si="3"/>
        <v>0</v>
      </c>
      <c r="M68" s="17">
        <f t="shared" si="4"/>
        <v>0</v>
      </c>
      <c r="N68" s="13">
        <f t="shared" si="5"/>
        <v>0</v>
      </c>
      <c r="O68" s="14">
        <f t="shared" si="5"/>
        <v>0</v>
      </c>
      <c r="P68" s="16">
        <f t="shared" si="6"/>
        <v>0</v>
      </c>
      <c r="Q68" s="17">
        <f t="shared" si="7"/>
        <v>0</v>
      </c>
      <c r="R68" s="4" t="s">
        <v>0</v>
      </c>
      <c r="S68" s="15" t="str">
        <f t="shared" si="8"/>
        <v>-</v>
      </c>
      <c r="T68" s="13">
        <f t="shared" si="9"/>
        <v>0</v>
      </c>
      <c r="U68" s="17">
        <f t="shared" si="10"/>
        <v>750</v>
      </c>
      <c r="V68" s="13">
        <f t="shared" si="36"/>
        <v>0</v>
      </c>
      <c r="W68" s="17">
        <f t="shared" si="11"/>
        <v>750</v>
      </c>
      <c r="X68" s="13">
        <f t="shared" si="37"/>
        <v>0</v>
      </c>
      <c r="Y68" s="17">
        <f t="shared" si="12"/>
        <v>750</v>
      </c>
      <c r="Z68" s="13">
        <f t="shared" si="38"/>
        <v>0</v>
      </c>
      <c r="AA68" s="17">
        <f t="shared" si="13"/>
        <v>750</v>
      </c>
      <c r="AB68" s="4" t="s">
        <v>0</v>
      </c>
    </row>
    <row r="69" spans="1:28">
      <c r="A69" s="9" t="s">
        <v>77</v>
      </c>
      <c r="B69" s="19"/>
      <c r="C69" s="21"/>
      <c r="D69" s="20"/>
      <c r="E69" s="23"/>
      <c r="F69" s="20"/>
      <c r="G69" s="23"/>
      <c r="H69" s="4" t="s">
        <v>0</v>
      </c>
      <c r="I69" s="15" t="str">
        <f t="shared" si="0"/>
        <v>-</v>
      </c>
      <c r="J69" s="13">
        <f t="shared" si="2"/>
        <v>0</v>
      </c>
      <c r="K69" s="14">
        <f t="shared" si="2"/>
        <v>0</v>
      </c>
      <c r="L69" s="16">
        <f t="shared" si="3"/>
        <v>0</v>
      </c>
      <c r="M69" s="17">
        <f t="shared" si="4"/>
        <v>0</v>
      </c>
      <c r="N69" s="13">
        <f t="shared" si="5"/>
        <v>0</v>
      </c>
      <c r="O69" s="14">
        <f t="shared" si="5"/>
        <v>0</v>
      </c>
      <c r="P69" s="16">
        <f t="shared" si="6"/>
        <v>0</v>
      </c>
      <c r="Q69" s="17">
        <f t="shared" si="7"/>
        <v>0</v>
      </c>
      <c r="R69" s="4" t="s">
        <v>0</v>
      </c>
      <c r="S69" s="15" t="str">
        <f t="shared" si="8"/>
        <v>-</v>
      </c>
      <c r="T69" s="13">
        <f t="shared" si="9"/>
        <v>0</v>
      </c>
      <c r="U69" s="17">
        <f t="shared" si="10"/>
        <v>750</v>
      </c>
      <c r="V69" s="13">
        <f t="shared" si="36"/>
        <v>0</v>
      </c>
      <c r="W69" s="17">
        <f t="shared" si="11"/>
        <v>750</v>
      </c>
      <c r="X69" s="13">
        <f t="shared" si="37"/>
        <v>0</v>
      </c>
      <c r="Y69" s="17">
        <f t="shared" si="12"/>
        <v>750</v>
      </c>
      <c r="Z69" s="13">
        <f t="shared" si="38"/>
        <v>0</v>
      </c>
      <c r="AA69" s="17">
        <f t="shared" si="13"/>
        <v>750</v>
      </c>
      <c r="AB69" s="4" t="s">
        <v>0</v>
      </c>
    </row>
    <row r="70" spans="1:28">
      <c r="A70" s="9" t="s">
        <v>77</v>
      </c>
      <c r="B70" s="19"/>
      <c r="C70" s="21"/>
      <c r="D70" s="20"/>
      <c r="E70" s="24"/>
      <c r="F70" s="20"/>
      <c r="G70" s="24"/>
      <c r="H70" s="4" t="s">
        <v>0</v>
      </c>
      <c r="I70" s="15" t="str">
        <f t="shared" si="0"/>
        <v>-</v>
      </c>
      <c r="J70" s="13">
        <f t="shared" si="2"/>
        <v>0</v>
      </c>
      <c r="K70" s="14">
        <f t="shared" si="2"/>
        <v>0</v>
      </c>
      <c r="L70" s="16">
        <f t="shared" si="3"/>
        <v>0</v>
      </c>
      <c r="M70" s="17">
        <f t="shared" si="4"/>
        <v>0</v>
      </c>
      <c r="N70" s="13">
        <f t="shared" si="5"/>
        <v>0</v>
      </c>
      <c r="O70" s="14">
        <f t="shared" si="5"/>
        <v>0</v>
      </c>
      <c r="P70" s="16">
        <f t="shared" si="6"/>
        <v>0</v>
      </c>
      <c r="Q70" s="17">
        <f t="shared" si="7"/>
        <v>0</v>
      </c>
      <c r="R70" s="4" t="s">
        <v>0</v>
      </c>
      <c r="S70" s="15" t="str">
        <f t="shared" si="8"/>
        <v>-</v>
      </c>
      <c r="T70" s="13">
        <f t="shared" si="9"/>
        <v>0</v>
      </c>
      <c r="U70" s="17">
        <f t="shared" si="10"/>
        <v>750</v>
      </c>
      <c r="V70" s="13">
        <f t="shared" si="36"/>
        <v>0</v>
      </c>
      <c r="W70" s="17">
        <f t="shared" si="11"/>
        <v>750</v>
      </c>
      <c r="X70" s="13">
        <f t="shared" si="37"/>
        <v>0</v>
      </c>
      <c r="Y70" s="17">
        <f t="shared" si="12"/>
        <v>750</v>
      </c>
      <c r="Z70" s="13">
        <f t="shared" si="38"/>
        <v>0</v>
      </c>
      <c r="AA70" s="17">
        <f t="shared" si="13"/>
        <v>750</v>
      </c>
      <c r="AB70" s="4" t="s">
        <v>0</v>
      </c>
    </row>
    <row r="71" spans="1:28">
      <c r="A71" s="9" t="s">
        <v>77</v>
      </c>
      <c r="B71" s="19"/>
      <c r="C71" s="4"/>
      <c r="D71" s="20"/>
      <c r="E71" s="24"/>
      <c r="F71" s="20"/>
      <c r="G71" s="24"/>
      <c r="H71" s="4" t="s">
        <v>0</v>
      </c>
      <c r="I71" s="15" t="str">
        <f t="shared" si="0"/>
        <v>-</v>
      </c>
      <c r="J71" s="13">
        <f t="shared" si="2"/>
        <v>0</v>
      </c>
      <c r="K71" s="14">
        <f t="shared" si="2"/>
        <v>0</v>
      </c>
      <c r="L71" s="16">
        <f t="shared" si="3"/>
        <v>0</v>
      </c>
      <c r="M71" s="17">
        <f t="shared" si="4"/>
        <v>0</v>
      </c>
      <c r="N71" s="13">
        <f t="shared" si="5"/>
        <v>0</v>
      </c>
      <c r="O71" s="14">
        <f t="shared" si="5"/>
        <v>0</v>
      </c>
      <c r="P71" s="16">
        <f t="shared" si="6"/>
        <v>0</v>
      </c>
      <c r="Q71" s="17">
        <f t="shared" si="7"/>
        <v>0</v>
      </c>
      <c r="R71" s="4" t="s">
        <v>0</v>
      </c>
      <c r="S71" s="15" t="str">
        <f t="shared" si="8"/>
        <v>-</v>
      </c>
      <c r="T71" s="13">
        <f t="shared" si="9"/>
        <v>0</v>
      </c>
      <c r="U71" s="17">
        <f t="shared" si="10"/>
        <v>750</v>
      </c>
      <c r="V71" s="13">
        <f t="shared" si="36"/>
        <v>0</v>
      </c>
      <c r="W71" s="17">
        <f t="shared" si="11"/>
        <v>750</v>
      </c>
      <c r="X71" s="13">
        <f t="shared" si="37"/>
        <v>0</v>
      </c>
      <c r="Y71" s="17">
        <f t="shared" si="12"/>
        <v>750</v>
      </c>
      <c r="Z71" s="13">
        <f t="shared" si="38"/>
        <v>0</v>
      </c>
      <c r="AA71" s="17">
        <f t="shared" si="13"/>
        <v>750</v>
      </c>
      <c r="AB71" s="4" t="s">
        <v>0</v>
      </c>
    </row>
    <row r="72" spans="1:28">
      <c r="A72" s="9" t="s">
        <v>77</v>
      </c>
      <c r="B72" s="19"/>
      <c r="C72" s="4"/>
      <c r="D72" s="20"/>
      <c r="E72" s="24"/>
      <c r="F72" s="20"/>
      <c r="G72" s="24"/>
      <c r="H72" s="4" t="s">
        <v>0</v>
      </c>
      <c r="I72" s="15" t="str">
        <f t="shared" si="0"/>
        <v>-</v>
      </c>
      <c r="J72" s="13">
        <f t="shared" si="2"/>
        <v>0</v>
      </c>
      <c r="K72" s="14">
        <f t="shared" si="2"/>
        <v>0</v>
      </c>
      <c r="L72" s="16">
        <f t="shared" si="3"/>
        <v>0</v>
      </c>
      <c r="M72" s="17">
        <f t="shared" si="4"/>
        <v>0</v>
      </c>
      <c r="N72" s="13">
        <f t="shared" si="5"/>
        <v>0</v>
      </c>
      <c r="O72" s="14">
        <f t="shared" si="5"/>
        <v>0</v>
      </c>
      <c r="P72" s="16">
        <f t="shared" si="6"/>
        <v>0</v>
      </c>
      <c r="Q72" s="17">
        <f t="shared" si="7"/>
        <v>0</v>
      </c>
      <c r="R72" s="4" t="s">
        <v>0</v>
      </c>
      <c r="S72" s="15" t="str">
        <f t="shared" si="8"/>
        <v>-</v>
      </c>
      <c r="T72" s="13">
        <f t="shared" si="9"/>
        <v>0</v>
      </c>
      <c r="U72" s="17">
        <f t="shared" si="10"/>
        <v>750</v>
      </c>
      <c r="V72" s="13">
        <f t="shared" si="36"/>
        <v>0</v>
      </c>
      <c r="W72" s="17">
        <f t="shared" si="11"/>
        <v>750</v>
      </c>
      <c r="X72" s="13">
        <f t="shared" si="37"/>
        <v>0</v>
      </c>
      <c r="Y72" s="17">
        <f t="shared" si="12"/>
        <v>750</v>
      </c>
      <c r="Z72" s="13">
        <f t="shared" si="38"/>
        <v>0</v>
      </c>
      <c r="AA72" s="17">
        <f t="shared" si="13"/>
        <v>750</v>
      </c>
      <c r="AB72" s="4" t="s">
        <v>0</v>
      </c>
    </row>
    <row r="73" spans="1:28">
      <c r="A73" s="9" t="s">
        <v>77</v>
      </c>
      <c r="B73" s="19"/>
      <c r="C73" s="4"/>
      <c r="D73" s="20"/>
      <c r="E73" s="24"/>
      <c r="F73" s="20"/>
      <c r="G73" s="24"/>
      <c r="H73" s="4" t="s">
        <v>0</v>
      </c>
      <c r="I73" s="15" t="str">
        <f t="shared" si="0"/>
        <v>-</v>
      </c>
      <c r="J73" s="13">
        <f t="shared" si="2"/>
        <v>0</v>
      </c>
      <c r="K73" s="14">
        <f t="shared" si="2"/>
        <v>0</v>
      </c>
      <c r="L73" s="16">
        <f t="shared" si="3"/>
        <v>0</v>
      </c>
      <c r="M73" s="17">
        <f t="shared" si="4"/>
        <v>0</v>
      </c>
      <c r="N73" s="13">
        <f t="shared" si="5"/>
        <v>0</v>
      </c>
      <c r="O73" s="14">
        <f t="shared" si="5"/>
        <v>0</v>
      </c>
      <c r="P73" s="16">
        <f t="shared" si="6"/>
        <v>0</v>
      </c>
      <c r="Q73" s="17">
        <f t="shared" si="7"/>
        <v>0</v>
      </c>
      <c r="R73" s="4" t="s">
        <v>0</v>
      </c>
      <c r="S73" s="15" t="str">
        <f t="shared" si="8"/>
        <v>-</v>
      </c>
      <c r="T73" s="13">
        <f t="shared" si="9"/>
        <v>0</v>
      </c>
      <c r="U73" s="17">
        <f t="shared" si="10"/>
        <v>750</v>
      </c>
      <c r="V73" s="13">
        <f t="shared" si="36"/>
        <v>0</v>
      </c>
      <c r="W73" s="17">
        <f t="shared" si="11"/>
        <v>750</v>
      </c>
      <c r="X73" s="13">
        <f t="shared" si="37"/>
        <v>0</v>
      </c>
      <c r="Y73" s="17">
        <f t="shared" si="12"/>
        <v>750</v>
      </c>
      <c r="Z73" s="13">
        <f t="shared" si="38"/>
        <v>0</v>
      </c>
      <c r="AA73" s="17">
        <f t="shared" si="13"/>
        <v>750</v>
      </c>
      <c r="AB73" s="4" t="s">
        <v>0</v>
      </c>
    </row>
    <row r="74" spans="1:28">
      <c r="A74" s="9" t="s">
        <v>77</v>
      </c>
      <c r="B74" s="19"/>
      <c r="C74" s="4"/>
      <c r="D74" s="20"/>
      <c r="E74" s="24"/>
      <c r="F74" s="20"/>
      <c r="G74" s="24"/>
      <c r="H74" s="4" t="s">
        <v>0</v>
      </c>
      <c r="I74" s="15" t="str">
        <f t="shared" si="0"/>
        <v>-</v>
      </c>
      <c r="J74" s="13">
        <f t="shared" si="2"/>
        <v>0</v>
      </c>
      <c r="K74" s="14">
        <f t="shared" si="2"/>
        <v>0</v>
      </c>
      <c r="L74" s="16">
        <f t="shared" si="3"/>
        <v>0</v>
      </c>
      <c r="M74" s="17">
        <f t="shared" si="4"/>
        <v>0</v>
      </c>
      <c r="N74" s="13">
        <f t="shared" si="5"/>
        <v>0</v>
      </c>
      <c r="O74" s="14">
        <f t="shared" si="5"/>
        <v>0</v>
      </c>
      <c r="P74" s="16">
        <f t="shared" si="6"/>
        <v>0</v>
      </c>
      <c r="Q74" s="17">
        <f t="shared" si="7"/>
        <v>0</v>
      </c>
      <c r="R74" s="4" t="s">
        <v>0</v>
      </c>
      <c r="S74" s="15" t="str">
        <f t="shared" si="8"/>
        <v>-</v>
      </c>
      <c r="T74" s="13">
        <f t="shared" si="9"/>
        <v>0</v>
      </c>
      <c r="U74" s="17">
        <f t="shared" si="10"/>
        <v>750</v>
      </c>
      <c r="V74" s="13">
        <f t="shared" si="36"/>
        <v>0</v>
      </c>
      <c r="W74" s="17">
        <f t="shared" si="11"/>
        <v>750</v>
      </c>
      <c r="X74" s="13">
        <f t="shared" si="37"/>
        <v>0</v>
      </c>
      <c r="Y74" s="17">
        <f t="shared" si="12"/>
        <v>750</v>
      </c>
      <c r="Z74" s="13">
        <f t="shared" si="38"/>
        <v>0</v>
      </c>
      <c r="AA74" s="17">
        <f t="shared" si="13"/>
        <v>750</v>
      </c>
      <c r="AB74" s="4" t="s">
        <v>0</v>
      </c>
    </row>
    <row r="75" spans="1:28">
      <c r="A75" s="9" t="s">
        <v>77</v>
      </c>
      <c r="B75" s="19"/>
      <c r="C75" s="4"/>
      <c r="D75" s="20"/>
      <c r="E75" s="24"/>
      <c r="F75" s="20"/>
      <c r="G75" s="24"/>
      <c r="H75" s="4" t="s">
        <v>0</v>
      </c>
      <c r="I75" s="15" t="str">
        <f t="shared" si="0"/>
        <v>-</v>
      </c>
      <c r="J75" s="13">
        <f t="shared" si="2"/>
        <v>0</v>
      </c>
      <c r="K75" s="14">
        <f t="shared" si="2"/>
        <v>0</v>
      </c>
      <c r="L75" s="16">
        <f t="shared" si="3"/>
        <v>0</v>
      </c>
      <c r="M75" s="17">
        <f t="shared" si="4"/>
        <v>0</v>
      </c>
      <c r="N75" s="13">
        <f t="shared" si="5"/>
        <v>0</v>
      </c>
      <c r="O75" s="14">
        <f t="shared" si="5"/>
        <v>0</v>
      </c>
      <c r="P75" s="16">
        <f t="shared" si="6"/>
        <v>0</v>
      </c>
      <c r="Q75" s="17">
        <f t="shared" si="7"/>
        <v>0</v>
      </c>
      <c r="R75" s="4" t="s">
        <v>0</v>
      </c>
      <c r="S75" s="15" t="str">
        <f t="shared" si="8"/>
        <v>-</v>
      </c>
      <c r="T75" s="13">
        <f t="shared" si="9"/>
        <v>0</v>
      </c>
      <c r="U75" s="17">
        <f t="shared" si="10"/>
        <v>750</v>
      </c>
      <c r="V75" s="13">
        <f t="shared" si="36"/>
        <v>0</v>
      </c>
      <c r="W75" s="17">
        <f t="shared" si="11"/>
        <v>750</v>
      </c>
      <c r="X75" s="13">
        <f t="shared" si="37"/>
        <v>0</v>
      </c>
      <c r="Y75" s="17">
        <f t="shared" si="12"/>
        <v>750</v>
      </c>
      <c r="Z75" s="13">
        <f t="shared" si="38"/>
        <v>0</v>
      </c>
      <c r="AA75" s="17">
        <f t="shared" si="13"/>
        <v>750</v>
      </c>
      <c r="AB75" s="4" t="s">
        <v>0</v>
      </c>
    </row>
    <row r="76" spans="1:28">
      <c r="A76" s="9" t="s">
        <v>77</v>
      </c>
      <c r="B76" s="19"/>
      <c r="C76" s="4"/>
      <c r="D76" s="20"/>
      <c r="E76" s="24"/>
      <c r="F76" s="20"/>
      <c r="G76" s="24"/>
      <c r="H76" s="4" t="s">
        <v>0</v>
      </c>
      <c r="I76" s="15" t="str">
        <f t="shared" si="0"/>
        <v>-</v>
      </c>
      <c r="J76" s="13">
        <f t="shared" si="2"/>
        <v>0</v>
      </c>
      <c r="K76" s="14">
        <f t="shared" si="2"/>
        <v>0</v>
      </c>
      <c r="L76" s="16">
        <f t="shared" si="3"/>
        <v>0</v>
      </c>
      <c r="M76" s="17">
        <f t="shared" si="4"/>
        <v>0</v>
      </c>
      <c r="N76" s="13">
        <f t="shared" si="5"/>
        <v>0</v>
      </c>
      <c r="O76" s="14">
        <f t="shared" si="5"/>
        <v>0</v>
      </c>
      <c r="P76" s="16">
        <f t="shared" si="6"/>
        <v>0</v>
      </c>
      <c r="Q76" s="17">
        <f t="shared" si="7"/>
        <v>0</v>
      </c>
      <c r="R76" s="4" t="s">
        <v>0</v>
      </c>
      <c r="S76" s="15" t="str">
        <f t="shared" si="8"/>
        <v>-</v>
      </c>
      <c r="T76" s="13">
        <f t="shared" si="9"/>
        <v>0</v>
      </c>
      <c r="U76" s="17">
        <f t="shared" si="10"/>
        <v>750</v>
      </c>
      <c r="V76" s="13">
        <f t="shared" si="36"/>
        <v>0</v>
      </c>
      <c r="W76" s="17">
        <f t="shared" si="11"/>
        <v>750</v>
      </c>
      <c r="X76" s="13">
        <f t="shared" si="37"/>
        <v>0</v>
      </c>
      <c r="Y76" s="17">
        <f t="shared" si="12"/>
        <v>750</v>
      </c>
      <c r="Z76" s="13">
        <f t="shared" si="38"/>
        <v>0</v>
      </c>
      <c r="AA76" s="17">
        <f t="shared" si="13"/>
        <v>750</v>
      </c>
      <c r="AB76" s="4" t="s">
        <v>0</v>
      </c>
    </row>
    <row r="77" spans="1:28">
      <c r="A77" s="9" t="s">
        <v>77</v>
      </c>
      <c r="B77" s="19"/>
      <c r="C77" s="4"/>
      <c r="D77" s="20"/>
      <c r="E77" s="24"/>
      <c r="F77" s="20"/>
      <c r="G77" s="24"/>
      <c r="H77" s="4" t="s">
        <v>0</v>
      </c>
      <c r="I77" s="15" t="str">
        <f t="shared" si="0"/>
        <v>-</v>
      </c>
      <c r="J77" s="13">
        <f t="shared" si="2"/>
        <v>0</v>
      </c>
      <c r="K77" s="14">
        <f t="shared" si="2"/>
        <v>0</v>
      </c>
      <c r="L77" s="16">
        <f t="shared" si="3"/>
        <v>0</v>
      </c>
      <c r="M77" s="17">
        <f t="shared" si="4"/>
        <v>0</v>
      </c>
      <c r="N77" s="13">
        <f t="shared" si="5"/>
        <v>0</v>
      </c>
      <c r="O77" s="14">
        <f t="shared" si="5"/>
        <v>0</v>
      </c>
      <c r="P77" s="16">
        <f t="shared" si="6"/>
        <v>0</v>
      </c>
      <c r="Q77" s="17">
        <f t="shared" si="7"/>
        <v>0</v>
      </c>
      <c r="R77" s="4" t="s">
        <v>0</v>
      </c>
      <c r="S77" s="15" t="str">
        <f t="shared" si="8"/>
        <v>-</v>
      </c>
      <c r="T77" s="13">
        <f t="shared" si="9"/>
        <v>0</v>
      </c>
      <c r="U77" s="17">
        <f t="shared" si="10"/>
        <v>750</v>
      </c>
      <c r="V77" s="13">
        <f t="shared" si="36"/>
        <v>0</v>
      </c>
      <c r="W77" s="17">
        <f t="shared" si="11"/>
        <v>750</v>
      </c>
      <c r="X77" s="13">
        <f t="shared" si="37"/>
        <v>0</v>
      </c>
      <c r="Y77" s="17">
        <f t="shared" si="12"/>
        <v>750</v>
      </c>
      <c r="Z77" s="13">
        <f t="shared" si="38"/>
        <v>0</v>
      </c>
      <c r="AA77" s="17">
        <f t="shared" si="13"/>
        <v>750</v>
      </c>
      <c r="AB77" s="4" t="s">
        <v>0</v>
      </c>
    </row>
    <row r="78" spans="1:28">
      <c r="A78" s="9" t="s">
        <v>77</v>
      </c>
      <c r="B78" s="19"/>
      <c r="C78" s="4"/>
      <c r="D78" s="20"/>
      <c r="E78" s="24"/>
      <c r="F78" s="20"/>
      <c r="G78" s="24"/>
      <c r="H78" s="4" t="s">
        <v>0</v>
      </c>
      <c r="I78" s="15" t="str">
        <f t="shared" si="0"/>
        <v>-</v>
      </c>
      <c r="J78" s="13">
        <f t="shared" si="2"/>
        <v>0</v>
      </c>
      <c r="K78" s="14">
        <f t="shared" si="2"/>
        <v>0</v>
      </c>
      <c r="L78" s="16">
        <f t="shared" si="3"/>
        <v>0</v>
      </c>
      <c r="M78" s="17">
        <f t="shared" si="4"/>
        <v>0</v>
      </c>
      <c r="N78" s="13">
        <f t="shared" si="5"/>
        <v>0</v>
      </c>
      <c r="O78" s="14">
        <f t="shared" si="5"/>
        <v>0</v>
      </c>
      <c r="P78" s="16">
        <f t="shared" si="6"/>
        <v>0</v>
      </c>
      <c r="Q78" s="17">
        <f t="shared" si="7"/>
        <v>0</v>
      </c>
      <c r="R78" s="4" t="s">
        <v>0</v>
      </c>
      <c r="S78" s="15" t="str">
        <f t="shared" si="8"/>
        <v>-</v>
      </c>
      <c r="T78" s="13">
        <f t="shared" si="9"/>
        <v>0</v>
      </c>
      <c r="U78" s="17">
        <f t="shared" si="10"/>
        <v>750</v>
      </c>
      <c r="V78" s="13">
        <f t="shared" si="36"/>
        <v>0</v>
      </c>
      <c r="W78" s="17">
        <f t="shared" si="11"/>
        <v>750</v>
      </c>
      <c r="X78" s="13">
        <f t="shared" si="37"/>
        <v>0</v>
      </c>
      <c r="Y78" s="17">
        <f t="shared" si="12"/>
        <v>750</v>
      </c>
      <c r="Z78" s="13">
        <f t="shared" si="38"/>
        <v>0</v>
      </c>
      <c r="AA78" s="17">
        <f t="shared" si="13"/>
        <v>750</v>
      </c>
      <c r="AB78" s="4" t="s">
        <v>0</v>
      </c>
    </row>
    <row r="79" spans="1:28">
      <c r="A79" s="9" t="s">
        <v>77</v>
      </c>
      <c r="B79" s="19"/>
      <c r="C79" s="4"/>
      <c r="D79" s="20"/>
      <c r="E79" s="24"/>
      <c r="F79" s="20"/>
      <c r="G79" s="24"/>
      <c r="H79" s="4" t="s">
        <v>0</v>
      </c>
      <c r="I79" s="15" t="str">
        <f t="shared" si="0"/>
        <v>-</v>
      </c>
      <c r="J79" s="13">
        <f t="shared" si="2"/>
        <v>0</v>
      </c>
      <c r="K79" s="14">
        <f t="shared" si="2"/>
        <v>0</v>
      </c>
      <c r="L79" s="16">
        <f t="shared" si="3"/>
        <v>0</v>
      </c>
      <c r="M79" s="17">
        <f t="shared" si="4"/>
        <v>0</v>
      </c>
      <c r="N79" s="13">
        <f t="shared" si="5"/>
        <v>0</v>
      </c>
      <c r="O79" s="14">
        <f t="shared" si="5"/>
        <v>0</v>
      </c>
      <c r="P79" s="16">
        <f t="shared" si="6"/>
        <v>0</v>
      </c>
      <c r="Q79" s="17">
        <f t="shared" si="7"/>
        <v>0</v>
      </c>
      <c r="R79" s="4" t="s">
        <v>0</v>
      </c>
      <c r="S79" s="15" t="str">
        <f t="shared" si="8"/>
        <v>-</v>
      </c>
      <c r="T79" s="13">
        <f t="shared" si="9"/>
        <v>0</v>
      </c>
      <c r="U79" s="17">
        <f t="shared" si="10"/>
        <v>750</v>
      </c>
      <c r="V79" s="13">
        <f t="shared" ref="V79:V142" si="66">IF(L79&lt;&gt;"",L79,"")</f>
        <v>0</v>
      </c>
      <c r="W79" s="17">
        <f t="shared" si="11"/>
        <v>750</v>
      </c>
      <c r="X79" s="13">
        <f t="shared" ref="X79:X142" si="67">IF(N79&lt;&gt;"",N79,"")</f>
        <v>0</v>
      </c>
      <c r="Y79" s="17">
        <f t="shared" si="12"/>
        <v>750</v>
      </c>
      <c r="Z79" s="13">
        <f t="shared" ref="Z79:Z142" si="68">IF(P79&lt;&gt;"",P79,"")</f>
        <v>0</v>
      </c>
      <c r="AA79" s="17">
        <f t="shared" si="13"/>
        <v>750</v>
      </c>
      <c r="AB79" s="4" t="s">
        <v>0</v>
      </c>
    </row>
    <row r="80" spans="1:28">
      <c r="A80" s="9" t="s">
        <v>77</v>
      </c>
      <c r="B80" s="19"/>
      <c r="C80" s="4"/>
      <c r="D80" s="20"/>
      <c r="E80" s="24"/>
      <c r="F80" s="20"/>
      <c r="G80" s="24"/>
      <c r="H80" s="4" t="s">
        <v>0</v>
      </c>
      <c r="I80" s="15" t="str">
        <f t="shared" si="0"/>
        <v>-</v>
      </c>
      <c r="J80" s="13">
        <f t="shared" si="2"/>
        <v>0</v>
      </c>
      <c r="K80" s="14">
        <f t="shared" si="2"/>
        <v>0</v>
      </c>
      <c r="L80" s="16">
        <f t="shared" si="3"/>
        <v>0</v>
      </c>
      <c r="M80" s="17">
        <f t="shared" si="4"/>
        <v>0</v>
      </c>
      <c r="N80" s="13">
        <f t="shared" si="5"/>
        <v>0</v>
      </c>
      <c r="O80" s="14">
        <f t="shared" si="5"/>
        <v>0</v>
      </c>
      <c r="P80" s="16">
        <f t="shared" si="6"/>
        <v>0</v>
      </c>
      <c r="Q80" s="17">
        <f t="shared" si="7"/>
        <v>0</v>
      </c>
      <c r="R80" s="4" t="s">
        <v>0</v>
      </c>
      <c r="S80" s="15" t="str">
        <f t="shared" si="8"/>
        <v>-</v>
      </c>
      <c r="T80" s="13">
        <f t="shared" si="9"/>
        <v>0</v>
      </c>
      <c r="U80" s="17">
        <f t="shared" si="10"/>
        <v>750</v>
      </c>
      <c r="V80" s="13">
        <f t="shared" si="66"/>
        <v>0</v>
      </c>
      <c r="W80" s="17">
        <f t="shared" si="11"/>
        <v>750</v>
      </c>
      <c r="X80" s="13">
        <f t="shared" si="67"/>
        <v>0</v>
      </c>
      <c r="Y80" s="17">
        <f t="shared" si="12"/>
        <v>750</v>
      </c>
      <c r="Z80" s="13">
        <f t="shared" si="68"/>
        <v>0</v>
      </c>
      <c r="AA80" s="17">
        <f t="shared" si="13"/>
        <v>750</v>
      </c>
      <c r="AB80" s="4" t="s">
        <v>0</v>
      </c>
    </row>
    <row r="81" spans="1:28">
      <c r="A81" s="9" t="s">
        <v>77</v>
      </c>
      <c r="B81" s="19"/>
      <c r="C81" s="4"/>
      <c r="D81" s="20"/>
      <c r="E81" s="24"/>
      <c r="F81" s="20"/>
      <c r="G81" s="24"/>
      <c r="H81" s="4" t="s">
        <v>0</v>
      </c>
      <c r="I81" s="15" t="str">
        <f t="shared" si="0"/>
        <v>-</v>
      </c>
      <c r="J81" s="13">
        <f t="shared" si="2"/>
        <v>0</v>
      </c>
      <c r="K81" s="14">
        <f t="shared" si="2"/>
        <v>0</v>
      </c>
      <c r="L81" s="16">
        <f t="shared" si="3"/>
        <v>0</v>
      </c>
      <c r="M81" s="17">
        <f t="shared" si="4"/>
        <v>0</v>
      </c>
      <c r="N81" s="13">
        <f t="shared" si="5"/>
        <v>0</v>
      </c>
      <c r="O81" s="14">
        <f t="shared" si="5"/>
        <v>0</v>
      </c>
      <c r="P81" s="16">
        <f t="shared" si="6"/>
        <v>0</v>
      </c>
      <c r="Q81" s="17">
        <f t="shared" si="7"/>
        <v>0</v>
      </c>
      <c r="R81" s="4" t="s">
        <v>0</v>
      </c>
      <c r="S81" s="15" t="str">
        <f t="shared" si="8"/>
        <v>-</v>
      </c>
      <c r="T81" s="13">
        <f t="shared" si="9"/>
        <v>0</v>
      </c>
      <c r="U81" s="17">
        <f t="shared" si="10"/>
        <v>750</v>
      </c>
      <c r="V81" s="13">
        <f t="shared" si="66"/>
        <v>0</v>
      </c>
      <c r="W81" s="17">
        <f t="shared" si="11"/>
        <v>750</v>
      </c>
      <c r="X81" s="13">
        <f t="shared" si="67"/>
        <v>0</v>
      </c>
      <c r="Y81" s="17">
        <f t="shared" si="12"/>
        <v>750</v>
      </c>
      <c r="Z81" s="13">
        <f t="shared" si="68"/>
        <v>0</v>
      </c>
      <c r="AA81" s="17">
        <f t="shared" si="13"/>
        <v>750</v>
      </c>
      <c r="AB81" s="4" t="s">
        <v>0</v>
      </c>
    </row>
    <row r="82" spans="1:28">
      <c r="A82" s="9" t="s">
        <v>77</v>
      </c>
      <c r="B82" s="19"/>
      <c r="C82" s="4"/>
      <c r="D82" s="20"/>
      <c r="E82" s="24"/>
      <c r="F82" s="20"/>
      <c r="G82" s="24"/>
      <c r="H82" s="4" t="s">
        <v>0</v>
      </c>
      <c r="I82" s="15" t="str">
        <f t="shared" si="0"/>
        <v>-</v>
      </c>
      <c r="J82" s="13">
        <f t="shared" si="2"/>
        <v>0</v>
      </c>
      <c r="K82" s="14">
        <f t="shared" si="2"/>
        <v>0</v>
      </c>
      <c r="L82" s="16">
        <f t="shared" si="3"/>
        <v>0</v>
      </c>
      <c r="M82" s="17">
        <f t="shared" si="4"/>
        <v>0</v>
      </c>
      <c r="N82" s="13">
        <f t="shared" si="5"/>
        <v>0</v>
      </c>
      <c r="O82" s="14">
        <f t="shared" si="5"/>
        <v>0</v>
      </c>
      <c r="P82" s="16">
        <f t="shared" si="6"/>
        <v>0</v>
      </c>
      <c r="Q82" s="17">
        <f t="shared" si="7"/>
        <v>0</v>
      </c>
      <c r="R82" s="4" t="s">
        <v>0</v>
      </c>
      <c r="S82" s="15" t="str">
        <f t="shared" si="8"/>
        <v>-</v>
      </c>
      <c r="T82" s="13">
        <f t="shared" si="9"/>
        <v>0</v>
      </c>
      <c r="U82" s="17">
        <f t="shared" si="10"/>
        <v>750</v>
      </c>
      <c r="V82" s="13">
        <f t="shared" si="66"/>
        <v>0</v>
      </c>
      <c r="W82" s="17">
        <f t="shared" si="11"/>
        <v>750</v>
      </c>
      <c r="X82" s="13">
        <f t="shared" si="67"/>
        <v>0</v>
      </c>
      <c r="Y82" s="17">
        <f t="shared" si="12"/>
        <v>750</v>
      </c>
      <c r="Z82" s="13">
        <f t="shared" si="68"/>
        <v>0</v>
      </c>
      <c r="AA82" s="17">
        <f t="shared" si="13"/>
        <v>750</v>
      </c>
      <c r="AB82" s="4" t="s">
        <v>0</v>
      </c>
    </row>
    <row r="83" spans="1:28">
      <c r="A83" s="9" t="s">
        <v>77</v>
      </c>
      <c r="B83" s="19"/>
      <c r="C83" s="4"/>
      <c r="D83" s="20"/>
      <c r="E83" s="24"/>
      <c r="F83" s="20"/>
      <c r="G83" s="24"/>
      <c r="H83" s="4" t="s">
        <v>0</v>
      </c>
      <c r="I83" s="15" t="str">
        <f t="shared" si="0"/>
        <v>-</v>
      </c>
      <c r="J83" s="13">
        <f t="shared" si="2"/>
        <v>0</v>
      </c>
      <c r="K83" s="14">
        <f t="shared" si="2"/>
        <v>0</v>
      </c>
      <c r="L83" s="16">
        <f t="shared" si="3"/>
        <v>0</v>
      </c>
      <c r="M83" s="17">
        <f t="shared" si="4"/>
        <v>0</v>
      </c>
      <c r="N83" s="13">
        <f t="shared" si="5"/>
        <v>0</v>
      </c>
      <c r="O83" s="14">
        <f t="shared" si="5"/>
        <v>0</v>
      </c>
      <c r="P83" s="16">
        <f t="shared" si="6"/>
        <v>0</v>
      </c>
      <c r="Q83" s="17">
        <f t="shared" si="7"/>
        <v>0</v>
      </c>
      <c r="R83" s="4" t="s">
        <v>0</v>
      </c>
      <c r="S83" s="15" t="str">
        <f t="shared" si="8"/>
        <v>-</v>
      </c>
      <c r="T83" s="13">
        <f t="shared" si="9"/>
        <v>0</v>
      </c>
      <c r="U83" s="17">
        <f t="shared" si="10"/>
        <v>750</v>
      </c>
      <c r="V83" s="13">
        <f t="shared" si="66"/>
        <v>0</v>
      </c>
      <c r="W83" s="17">
        <f t="shared" si="11"/>
        <v>750</v>
      </c>
      <c r="X83" s="13">
        <f t="shared" si="67"/>
        <v>0</v>
      </c>
      <c r="Y83" s="17">
        <f t="shared" si="12"/>
        <v>750</v>
      </c>
      <c r="Z83" s="13">
        <f t="shared" si="68"/>
        <v>0</v>
      </c>
      <c r="AA83" s="17">
        <f t="shared" si="13"/>
        <v>750</v>
      </c>
      <c r="AB83" s="4" t="s">
        <v>0</v>
      </c>
    </row>
    <row r="84" spans="1:28">
      <c r="A84" s="9" t="s">
        <v>77</v>
      </c>
      <c r="B84" s="19"/>
      <c r="C84" s="21"/>
      <c r="D84" s="20"/>
      <c r="E84" s="23"/>
      <c r="F84" s="20"/>
      <c r="G84" s="23"/>
      <c r="H84" s="4" t="s">
        <v>0</v>
      </c>
      <c r="I84" s="15" t="str">
        <f t="shared" si="0"/>
        <v>-</v>
      </c>
      <c r="J84" s="13">
        <f t="shared" si="2"/>
        <v>0</v>
      </c>
      <c r="K84" s="14">
        <f t="shared" si="2"/>
        <v>0</v>
      </c>
      <c r="L84" s="16">
        <f t="shared" si="3"/>
        <v>0</v>
      </c>
      <c r="M84" s="17">
        <f t="shared" si="4"/>
        <v>0</v>
      </c>
      <c r="N84" s="13">
        <f t="shared" si="5"/>
        <v>0</v>
      </c>
      <c r="O84" s="14">
        <f t="shared" si="5"/>
        <v>0</v>
      </c>
      <c r="P84" s="16">
        <f t="shared" si="6"/>
        <v>0</v>
      </c>
      <c r="Q84" s="17">
        <f t="shared" si="7"/>
        <v>0</v>
      </c>
      <c r="R84" s="4" t="s">
        <v>0</v>
      </c>
      <c r="S84" s="15" t="str">
        <f t="shared" si="8"/>
        <v>-</v>
      </c>
      <c r="T84" s="13">
        <f t="shared" si="9"/>
        <v>0</v>
      </c>
      <c r="U84" s="17">
        <f t="shared" si="10"/>
        <v>750</v>
      </c>
      <c r="V84" s="13">
        <f t="shared" si="66"/>
        <v>0</v>
      </c>
      <c r="W84" s="17">
        <f t="shared" si="11"/>
        <v>750</v>
      </c>
      <c r="X84" s="13">
        <f t="shared" si="67"/>
        <v>0</v>
      </c>
      <c r="Y84" s="17">
        <f t="shared" si="12"/>
        <v>750</v>
      </c>
      <c r="Z84" s="13">
        <f t="shared" si="68"/>
        <v>0</v>
      </c>
      <c r="AA84" s="17">
        <f t="shared" si="13"/>
        <v>750</v>
      </c>
      <c r="AB84" s="4" t="s">
        <v>0</v>
      </c>
    </row>
    <row r="85" spans="1:28">
      <c r="A85" s="9" t="s">
        <v>77</v>
      </c>
      <c r="B85" s="19"/>
      <c r="C85" s="21"/>
      <c r="D85" s="20"/>
      <c r="E85" s="24"/>
      <c r="F85" s="20"/>
      <c r="G85" s="24"/>
      <c r="H85" s="4" t="s">
        <v>0</v>
      </c>
      <c r="I85" s="15" t="str">
        <f t="shared" si="0"/>
        <v>-</v>
      </c>
      <c r="J85" s="13">
        <f t="shared" si="2"/>
        <v>0</v>
      </c>
      <c r="K85" s="14">
        <f t="shared" si="2"/>
        <v>0</v>
      </c>
      <c r="L85" s="16">
        <f t="shared" si="3"/>
        <v>0</v>
      </c>
      <c r="M85" s="17">
        <f t="shared" si="4"/>
        <v>0</v>
      </c>
      <c r="N85" s="13">
        <f t="shared" si="5"/>
        <v>0</v>
      </c>
      <c r="O85" s="14">
        <f t="shared" si="5"/>
        <v>0</v>
      </c>
      <c r="P85" s="16">
        <f t="shared" si="6"/>
        <v>0</v>
      </c>
      <c r="Q85" s="17">
        <f t="shared" si="7"/>
        <v>0</v>
      </c>
      <c r="R85" s="4" t="s">
        <v>0</v>
      </c>
      <c r="S85" s="15" t="str">
        <f t="shared" si="8"/>
        <v>-</v>
      </c>
      <c r="T85" s="13">
        <f t="shared" si="9"/>
        <v>0</v>
      </c>
      <c r="U85" s="17">
        <f t="shared" si="10"/>
        <v>750</v>
      </c>
      <c r="V85" s="13">
        <f t="shared" si="66"/>
        <v>0</v>
      </c>
      <c r="W85" s="17">
        <f t="shared" si="11"/>
        <v>750</v>
      </c>
      <c r="X85" s="13">
        <f t="shared" si="67"/>
        <v>0</v>
      </c>
      <c r="Y85" s="17">
        <f t="shared" si="12"/>
        <v>750</v>
      </c>
      <c r="Z85" s="13">
        <f t="shared" si="68"/>
        <v>0</v>
      </c>
      <c r="AA85" s="17">
        <f t="shared" si="13"/>
        <v>750</v>
      </c>
      <c r="AB85" s="4" t="s">
        <v>0</v>
      </c>
    </row>
    <row r="86" spans="1:28">
      <c r="A86" s="9" t="s">
        <v>77</v>
      </c>
      <c r="B86" s="19"/>
      <c r="C86" s="4"/>
      <c r="D86" s="20"/>
      <c r="E86" s="24"/>
      <c r="F86" s="20"/>
      <c r="G86" s="24"/>
      <c r="H86" s="4" t="s">
        <v>0</v>
      </c>
      <c r="I86" s="15" t="str">
        <f t="shared" si="0"/>
        <v>-</v>
      </c>
      <c r="J86" s="13">
        <f t="shared" si="2"/>
        <v>0</v>
      </c>
      <c r="K86" s="14">
        <f t="shared" si="2"/>
        <v>0</v>
      </c>
      <c r="L86" s="16">
        <f t="shared" si="3"/>
        <v>0</v>
      </c>
      <c r="M86" s="17">
        <f t="shared" si="4"/>
        <v>0</v>
      </c>
      <c r="N86" s="13">
        <f t="shared" si="5"/>
        <v>0</v>
      </c>
      <c r="O86" s="14">
        <f t="shared" si="5"/>
        <v>0</v>
      </c>
      <c r="P86" s="16">
        <f t="shared" si="6"/>
        <v>0</v>
      </c>
      <c r="Q86" s="17">
        <f t="shared" si="7"/>
        <v>0</v>
      </c>
      <c r="R86" s="4" t="s">
        <v>0</v>
      </c>
      <c r="S86" s="15" t="str">
        <f t="shared" si="8"/>
        <v>-</v>
      </c>
      <c r="T86" s="13">
        <f t="shared" si="9"/>
        <v>0</v>
      </c>
      <c r="U86" s="17">
        <f t="shared" si="10"/>
        <v>750</v>
      </c>
      <c r="V86" s="13">
        <f t="shared" si="66"/>
        <v>0</v>
      </c>
      <c r="W86" s="17">
        <f t="shared" si="11"/>
        <v>750</v>
      </c>
      <c r="X86" s="13">
        <f t="shared" si="67"/>
        <v>0</v>
      </c>
      <c r="Y86" s="17">
        <f t="shared" si="12"/>
        <v>750</v>
      </c>
      <c r="Z86" s="13">
        <f t="shared" si="68"/>
        <v>0</v>
      </c>
      <c r="AA86" s="17">
        <f t="shared" si="13"/>
        <v>750</v>
      </c>
      <c r="AB86" s="4" t="s">
        <v>0</v>
      </c>
    </row>
    <row r="87" spans="1:28">
      <c r="A87" s="9" t="s">
        <v>77</v>
      </c>
      <c r="B87" s="19"/>
      <c r="C87" s="4"/>
      <c r="D87" s="20"/>
      <c r="E87" s="24"/>
      <c r="F87" s="20"/>
      <c r="G87" s="24"/>
      <c r="H87" s="4" t="s">
        <v>0</v>
      </c>
      <c r="I87" s="15" t="str">
        <f t="shared" si="0"/>
        <v>-</v>
      </c>
      <c r="J87" s="13">
        <f t="shared" si="2"/>
        <v>0</v>
      </c>
      <c r="K87" s="14">
        <f t="shared" si="2"/>
        <v>0</v>
      </c>
      <c r="L87" s="16">
        <f t="shared" si="3"/>
        <v>0</v>
      </c>
      <c r="M87" s="17">
        <f t="shared" si="4"/>
        <v>0</v>
      </c>
      <c r="N87" s="13">
        <f t="shared" si="5"/>
        <v>0</v>
      </c>
      <c r="O87" s="14">
        <f t="shared" si="5"/>
        <v>0</v>
      </c>
      <c r="P87" s="16">
        <f t="shared" si="6"/>
        <v>0</v>
      </c>
      <c r="Q87" s="17">
        <f t="shared" si="7"/>
        <v>0</v>
      </c>
      <c r="R87" s="4" t="s">
        <v>0</v>
      </c>
      <c r="S87" s="15" t="str">
        <f t="shared" si="8"/>
        <v>-</v>
      </c>
      <c r="T87" s="13">
        <f t="shared" si="9"/>
        <v>0</v>
      </c>
      <c r="U87" s="17">
        <f t="shared" si="10"/>
        <v>750</v>
      </c>
      <c r="V87" s="13">
        <f t="shared" si="66"/>
        <v>0</v>
      </c>
      <c r="W87" s="17">
        <f t="shared" si="11"/>
        <v>750</v>
      </c>
      <c r="X87" s="13">
        <f t="shared" si="67"/>
        <v>0</v>
      </c>
      <c r="Y87" s="17">
        <f t="shared" si="12"/>
        <v>750</v>
      </c>
      <c r="Z87" s="13">
        <f t="shared" si="68"/>
        <v>0</v>
      </c>
      <c r="AA87" s="17">
        <f t="shared" si="13"/>
        <v>750</v>
      </c>
      <c r="AB87" s="4" t="s">
        <v>0</v>
      </c>
    </row>
    <row r="88" spans="1:28">
      <c r="A88" s="9" t="s">
        <v>77</v>
      </c>
      <c r="B88" s="19"/>
      <c r="C88" s="4"/>
      <c r="D88" s="20"/>
      <c r="E88" s="24"/>
      <c r="F88" s="20"/>
      <c r="G88" s="24"/>
      <c r="H88" s="4" t="s">
        <v>0</v>
      </c>
      <c r="I88" s="15" t="str">
        <f t="shared" si="0"/>
        <v>-</v>
      </c>
      <c r="J88" s="13">
        <f t="shared" si="2"/>
        <v>0</v>
      </c>
      <c r="K88" s="14">
        <f t="shared" si="2"/>
        <v>0</v>
      </c>
      <c r="L88" s="16">
        <f t="shared" si="3"/>
        <v>0</v>
      </c>
      <c r="M88" s="17">
        <f t="shared" si="4"/>
        <v>0</v>
      </c>
      <c r="N88" s="13">
        <f t="shared" si="5"/>
        <v>0</v>
      </c>
      <c r="O88" s="14">
        <f t="shared" si="5"/>
        <v>0</v>
      </c>
      <c r="P88" s="16">
        <f t="shared" si="6"/>
        <v>0</v>
      </c>
      <c r="Q88" s="17">
        <f t="shared" si="7"/>
        <v>0</v>
      </c>
      <c r="R88" s="4" t="s">
        <v>0</v>
      </c>
      <c r="S88" s="15" t="str">
        <f t="shared" si="8"/>
        <v>-</v>
      </c>
      <c r="T88" s="13">
        <f t="shared" si="9"/>
        <v>0</v>
      </c>
      <c r="U88" s="17">
        <f t="shared" si="10"/>
        <v>750</v>
      </c>
      <c r="V88" s="13">
        <f t="shared" si="66"/>
        <v>0</v>
      </c>
      <c r="W88" s="17">
        <f t="shared" si="11"/>
        <v>750</v>
      </c>
      <c r="X88" s="13">
        <f t="shared" si="67"/>
        <v>0</v>
      </c>
      <c r="Y88" s="17">
        <f t="shared" si="12"/>
        <v>750</v>
      </c>
      <c r="Z88" s="13">
        <f t="shared" si="68"/>
        <v>0</v>
      </c>
      <c r="AA88" s="17">
        <f t="shared" si="13"/>
        <v>750</v>
      </c>
      <c r="AB88" s="4" t="s">
        <v>0</v>
      </c>
    </row>
    <row r="89" spans="1:28">
      <c r="A89" s="9" t="s">
        <v>77</v>
      </c>
      <c r="B89" s="19"/>
      <c r="C89" s="4"/>
      <c r="D89" s="20"/>
      <c r="E89" s="24"/>
      <c r="F89" s="20"/>
      <c r="G89" s="24"/>
      <c r="H89" s="4" t="s">
        <v>0</v>
      </c>
      <c r="I89" s="15" t="str">
        <f t="shared" si="0"/>
        <v>-</v>
      </c>
      <c r="J89" s="13">
        <f t="shared" si="2"/>
        <v>0</v>
      </c>
      <c r="K89" s="14">
        <f t="shared" si="2"/>
        <v>0</v>
      </c>
      <c r="L89" s="16">
        <f t="shared" si="3"/>
        <v>0</v>
      </c>
      <c r="M89" s="17">
        <f t="shared" si="4"/>
        <v>0</v>
      </c>
      <c r="N89" s="13">
        <f t="shared" si="5"/>
        <v>0</v>
      </c>
      <c r="O89" s="14">
        <f t="shared" si="5"/>
        <v>0</v>
      </c>
      <c r="P89" s="16">
        <f t="shared" si="6"/>
        <v>0</v>
      </c>
      <c r="Q89" s="17">
        <f t="shared" si="7"/>
        <v>0</v>
      </c>
      <c r="R89" s="4" t="s">
        <v>0</v>
      </c>
      <c r="S89" s="15" t="str">
        <f t="shared" si="8"/>
        <v>-</v>
      </c>
      <c r="T89" s="13">
        <f t="shared" si="9"/>
        <v>0</v>
      </c>
      <c r="U89" s="17">
        <f t="shared" si="10"/>
        <v>750</v>
      </c>
      <c r="V89" s="13">
        <f t="shared" si="66"/>
        <v>0</v>
      </c>
      <c r="W89" s="17">
        <f t="shared" si="11"/>
        <v>750</v>
      </c>
      <c r="X89" s="13">
        <f t="shared" si="67"/>
        <v>0</v>
      </c>
      <c r="Y89" s="17">
        <f t="shared" si="12"/>
        <v>750</v>
      </c>
      <c r="Z89" s="13">
        <f t="shared" si="68"/>
        <v>0</v>
      </c>
      <c r="AA89" s="17">
        <f t="shared" si="13"/>
        <v>750</v>
      </c>
      <c r="AB89" s="4" t="s">
        <v>0</v>
      </c>
    </row>
    <row r="90" spans="1:28">
      <c r="A90" s="9" t="s">
        <v>77</v>
      </c>
      <c r="B90" s="19"/>
      <c r="C90" s="4"/>
      <c r="D90" s="20"/>
      <c r="E90" s="24"/>
      <c r="F90" s="20"/>
      <c r="G90" s="24"/>
      <c r="H90" s="4" t="s">
        <v>0</v>
      </c>
      <c r="I90" s="15" t="str">
        <f t="shared" si="0"/>
        <v>-</v>
      </c>
      <c r="J90" s="13">
        <f t="shared" si="2"/>
        <v>0</v>
      </c>
      <c r="K90" s="14">
        <f t="shared" si="2"/>
        <v>0</v>
      </c>
      <c r="L90" s="16">
        <f t="shared" si="3"/>
        <v>0</v>
      </c>
      <c r="M90" s="17">
        <f t="shared" si="4"/>
        <v>0</v>
      </c>
      <c r="N90" s="13">
        <f t="shared" si="5"/>
        <v>0</v>
      </c>
      <c r="O90" s="14">
        <f t="shared" si="5"/>
        <v>0</v>
      </c>
      <c r="P90" s="16">
        <f t="shared" si="6"/>
        <v>0</v>
      </c>
      <c r="Q90" s="17">
        <f t="shared" si="7"/>
        <v>0</v>
      </c>
      <c r="R90" s="4" t="s">
        <v>0</v>
      </c>
      <c r="S90" s="15" t="str">
        <f t="shared" si="8"/>
        <v>-</v>
      </c>
      <c r="T90" s="13">
        <f t="shared" si="9"/>
        <v>0</v>
      </c>
      <c r="U90" s="17">
        <f t="shared" si="10"/>
        <v>750</v>
      </c>
      <c r="V90" s="13">
        <f t="shared" si="66"/>
        <v>0</v>
      </c>
      <c r="W90" s="17">
        <f t="shared" si="11"/>
        <v>750</v>
      </c>
      <c r="X90" s="13">
        <f t="shared" si="67"/>
        <v>0</v>
      </c>
      <c r="Y90" s="17">
        <f t="shared" si="12"/>
        <v>750</v>
      </c>
      <c r="Z90" s="13">
        <f t="shared" si="68"/>
        <v>0</v>
      </c>
      <c r="AA90" s="17">
        <f t="shared" si="13"/>
        <v>750</v>
      </c>
      <c r="AB90" s="4" t="s">
        <v>0</v>
      </c>
    </row>
    <row r="91" spans="1:28">
      <c r="A91" s="9" t="s">
        <v>77</v>
      </c>
      <c r="B91" s="19"/>
      <c r="C91" s="4"/>
      <c r="D91" s="20"/>
      <c r="E91" s="24"/>
      <c r="F91" s="20"/>
      <c r="G91" s="24"/>
      <c r="H91" s="4" t="s">
        <v>0</v>
      </c>
      <c r="I91" s="15" t="str">
        <f t="shared" si="0"/>
        <v>-</v>
      </c>
      <c r="J91" s="13">
        <f t="shared" si="2"/>
        <v>0</v>
      </c>
      <c r="K91" s="14">
        <f t="shared" si="2"/>
        <v>0</v>
      </c>
      <c r="L91" s="16">
        <f t="shared" si="3"/>
        <v>0</v>
      </c>
      <c r="M91" s="17">
        <f t="shared" si="4"/>
        <v>0</v>
      </c>
      <c r="N91" s="13">
        <f t="shared" si="5"/>
        <v>0</v>
      </c>
      <c r="O91" s="14">
        <f t="shared" si="5"/>
        <v>0</v>
      </c>
      <c r="P91" s="16">
        <f t="shared" si="6"/>
        <v>0</v>
      </c>
      <c r="Q91" s="17">
        <f t="shared" si="7"/>
        <v>0</v>
      </c>
      <c r="R91" s="4" t="s">
        <v>0</v>
      </c>
      <c r="S91" s="15" t="str">
        <f t="shared" si="8"/>
        <v>-</v>
      </c>
      <c r="T91" s="13">
        <f t="shared" si="9"/>
        <v>0</v>
      </c>
      <c r="U91" s="17">
        <f t="shared" si="10"/>
        <v>750</v>
      </c>
      <c r="V91" s="13">
        <f t="shared" si="66"/>
        <v>0</v>
      </c>
      <c r="W91" s="17">
        <f t="shared" si="11"/>
        <v>750</v>
      </c>
      <c r="X91" s="13">
        <f t="shared" si="67"/>
        <v>0</v>
      </c>
      <c r="Y91" s="17">
        <f t="shared" si="12"/>
        <v>750</v>
      </c>
      <c r="Z91" s="13">
        <f t="shared" si="68"/>
        <v>0</v>
      </c>
      <c r="AA91" s="17">
        <f t="shared" si="13"/>
        <v>750</v>
      </c>
      <c r="AB91" s="4" t="s">
        <v>0</v>
      </c>
    </row>
    <row r="92" spans="1:28">
      <c r="A92" s="9" t="s">
        <v>77</v>
      </c>
      <c r="B92" s="19"/>
      <c r="C92" s="4"/>
      <c r="D92" s="20"/>
      <c r="E92" s="24"/>
      <c r="F92" s="20"/>
      <c r="G92" s="24"/>
      <c r="H92" s="4" t="s">
        <v>0</v>
      </c>
      <c r="I92" s="15" t="str">
        <f t="shared" si="0"/>
        <v>-</v>
      </c>
      <c r="J92" s="13">
        <f t="shared" si="2"/>
        <v>0</v>
      </c>
      <c r="K92" s="14">
        <f t="shared" si="2"/>
        <v>0</v>
      </c>
      <c r="L92" s="16">
        <f t="shared" si="3"/>
        <v>0</v>
      </c>
      <c r="M92" s="17">
        <f t="shared" si="4"/>
        <v>0</v>
      </c>
      <c r="N92" s="13">
        <f t="shared" si="5"/>
        <v>0</v>
      </c>
      <c r="O92" s="14">
        <f t="shared" si="5"/>
        <v>0</v>
      </c>
      <c r="P92" s="16">
        <f t="shared" si="6"/>
        <v>0</v>
      </c>
      <c r="Q92" s="17">
        <f t="shared" si="7"/>
        <v>0</v>
      </c>
      <c r="R92" s="4" t="s">
        <v>0</v>
      </c>
      <c r="S92" s="15" t="str">
        <f t="shared" si="8"/>
        <v>-</v>
      </c>
      <c r="T92" s="13">
        <f t="shared" si="9"/>
        <v>0</v>
      </c>
      <c r="U92" s="17">
        <f t="shared" si="10"/>
        <v>750</v>
      </c>
      <c r="V92" s="13">
        <f t="shared" si="66"/>
        <v>0</v>
      </c>
      <c r="W92" s="17">
        <f t="shared" si="11"/>
        <v>750</v>
      </c>
      <c r="X92" s="13">
        <f t="shared" si="67"/>
        <v>0</v>
      </c>
      <c r="Y92" s="17">
        <f t="shared" si="12"/>
        <v>750</v>
      </c>
      <c r="Z92" s="13">
        <f t="shared" si="68"/>
        <v>0</v>
      </c>
      <c r="AA92" s="17">
        <f t="shared" si="13"/>
        <v>750</v>
      </c>
      <c r="AB92" s="4" t="s">
        <v>0</v>
      </c>
    </row>
    <row r="93" spans="1:28">
      <c r="A93" s="9" t="s">
        <v>77</v>
      </c>
      <c r="B93" s="19"/>
      <c r="C93" s="4"/>
      <c r="D93" s="20"/>
      <c r="E93" s="24"/>
      <c r="F93" s="20"/>
      <c r="G93" s="24"/>
      <c r="H93" s="4" t="s">
        <v>0</v>
      </c>
      <c r="I93" s="15" t="str">
        <f t="shared" si="0"/>
        <v>-</v>
      </c>
      <c r="J93" s="13">
        <f t="shared" si="2"/>
        <v>0</v>
      </c>
      <c r="K93" s="14">
        <f t="shared" si="2"/>
        <v>0</v>
      </c>
      <c r="L93" s="16">
        <f t="shared" si="3"/>
        <v>0</v>
      </c>
      <c r="M93" s="17">
        <f t="shared" si="4"/>
        <v>0</v>
      </c>
      <c r="N93" s="13">
        <f t="shared" si="5"/>
        <v>0</v>
      </c>
      <c r="O93" s="14">
        <f t="shared" si="5"/>
        <v>0</v>
      </c>
      <c r="P93" s="16">
        <f t="shared" si="6"/>
        <v>0</v>
      </c>
      <c r="Q93" s="17">
        <f t="shared" si="7"/>
        <v>0</v>
      </c>
      <c r="R93" s="4" t="s">
        <v>0</v>
      </c>
      <c r="S93" s="15" t="str">
        <f t="shared" si="8"/>
        <v>-</v>
      </c>
      <c r="T93" s="13">
        <f t="shared" si="9"/>
        <v>0</v>
      </c>
      <c r="U93" s="17">
        <f t="shared" si="10"/>
        <v>750</v>
      </c>
      <c r="V93" s="13">
        <f t="shared" si="66"/>
        <v>0</v>
      </c>
      <c r="W93" s="17">
        <f t="shared" si="11"/>
        <v>750</v>
      </c>
      <c r="X93" s="13">
        <f t="shared" si="67"/>
        <v>0</v>
      </c>
      <c r="Y93" s="17">
        <f t="shared" si="12"/>
        <v>750</v>
      </c>
      <c r="Z93" s="13">
        <f t="shared" si="68"/>
        <v>0</v>
      </c>
      <c r="AA93" s="17">
        <f t="shared" si="13"/>
        <v>750</v>
      </c>
      <c r="AB93" s="4" t="s">
        <v>0</v>
      </c>
    </row>
    <row r="94" spans="1:28">
      <c r="A94" s="9" t="s">
        <v>77</v>
      </c>
      <c r="B94" s="19"/>
      <c r="C94" s="4"/>
      <c r="D94" s="20"/>
      <c r="E94" s="24"/>
      <c r="F94" s="20"/>
      <c r="G94" s="24"/>
      <c r="H94" s="4" t="s">
        <v>0</v>
      </c>
      <c r="I94" s="15" t="str">
        <f t="shared" si="0"/>
        <v>-</v>
      </c>
      <c r="J94" s="13">
        <f t="shared" si="2"/>
        <v>0</v>
      </c>
      <c r="K94" s="14">
        <f t="shared" si="2"/>
        <v>0</v>
      </c>
      <c r="L94" s="16">
        <f t="shared" si="3"/>
        <v>0</v>
      </c>
      <c r="M94" s="17">
        <f t="shared" si="4"/>
        <v>0</v>
      </c>
      <c r="N94" s="13">
        <f t="shared" si="5"/>
        <v>0</v>
      </c>
      <c r="O94" s="14">
        <f t="shared" si="5"/>
        <v>0</v>
      </c>
      <c r="P94" s="16">
        <f t="shared" si="6"/>
        <v>0</v>
      </c>
      <c r="Q94" s="17">
        <f t="shared" si="7"/>
        <v>0</v>
      </c>
      <c r="R94" s="4" t="s">
        <v>0</v>
      </c>
      <c r="S94" s="15" t="str">
        <f t="shared" si="8"/>
        <v>-</v>
      </c>
      <c r="T94" s="13">
        <f t="shared" si="9"/>
        <v>0</v>
      </c>
      <c r="U94" s="17">
        <f t="shared" si="10"/>
        <v>750</v>
      </c>
      <c r="V94" s="13">
        <f t="shared" si="66"/>
        <v>0</v>
      </c>
      <c r="W94" s="17">
        <f t="shared" si="11"/>
        <v>750</v>
      </c>
      <c r="X94" s="13">
        <f t="shared" si="67"/>
        <v>0</v>
      </c>
      <c r="Y94" s="17">
        <f t="shared" si="12"/>
        <v>750</v>
      </c>
      <c r="Z94" s="13">
        <f t="shared" si="68"/>
        <v>0</v>
      </c>
      <c r="AA94" s="17">
        <f t="shared" si="13"/>
        <v>750</v>
      </c>
      <c r="AB94" s="4" t="s">
        <v>0</v>
      </c>
    </row>
    <row r="95" spans="1:28">
      <c r="A95" s="9" t="s">
        <v>77</v>
      </c>
      <c r="B95" s="19"/>
      <c r="C95" s="4"/>
      <c r="D95" s="20"/>
      <c r="E95" s="24"/>
      <c r="F95" s="20"/>
      <c r="G95" s="24"/>
      <c r="H95" s="4" t="s">
        <v>0</v>
      </c>
      <c r="I95" s="15" t="str">
        <f t="shared" si="0"/>
        <v>-</v>
      </c>
      <c r="J95" s="13">
        <f t="shared" si="2"/>
        <v>0</v>
      </c>
      <c r="K95" s="14">
        <f t="shared" si="2"/>
        <v>0</v>
      </c>
      <c r="L95" s="16">
        <f t="shared" si="3"/>
        <v>0</v>
      </c>
      <c r="M95" s="17">
        <f t="shared" si="4"/>
        <v>0</v>
      </c>
      <c r="N95" s="13">
        <f t="shared" si="5"/>
        <v>0</v>
      </c>
      <c r="O95" s="14">
        <f t="shared" si="5"/>
        <v>0</v>
      </c>
      <c r="P95" s="16">
        <f t="shared" si="6"/>
        <v>0</v>
      </c>
      <c r="Q95" s="17">
        <f t="shared" si="7"/>
        <v>0</v>
      </c>
      <c r="R95" s="4" t="s">
        <v>0</v>
      </c>
      <c r="S95" s="15" t="str">
        <f t="shared" si="8"/>
        <v>-</v>
      </c>
      <c r="T95" s="13">
        <f t="shared" si="9"/>
        <v>0</v>
      </c>
      <c r="U95" s="17">
        <f t="shared" si="10"/>
        <v>750</v>
      </c>
      <c r="V95" s="13">
        <f t="shared" si="66"/>
        <v>0</v>
      </c>
      <c r="W95" s="17">
        <f t="shared" si="11"/>
        <v>750</v>
      </c>
      <c r="X95" s="13">
        <f t="shared" si="67"/>
        <v>0</v>
      </c>
      <c r="Y95" s="17">
        <f t="shared" si="12"/>
        <v>750</v>
      </c>
      <c r="Z95" s="13">
        <f t="shared" si="68"/>
        <v>0</v>
      </c>
      <c r="AA95" s="17">
        <f t="shared" si="13"/>
        <v>750</v>
      </c>
      <c r="AB95" s="4" t="s">
        <v>0</v>
      </c>
    </row>
    <row r="96" spans="1:28">
      <c r="A96" s="9" t="s">
        <v>77</v>
      </c>
      <c r="B96" s="19"/>
      <c r="C96" s="4"/>
      <c r="D96" s="20"/>
      <c r="E96" s="24"/>
      <c r="F96" s="20"/>
      <c r="G96" s="24"/>
      <c r="H96" s="4" t="s">
        <v>0</v>
      </c>
      <c r="I96" s="15" t="str">
        <f t="shared" si="0"/>
        <v>-</v>
      </c>
      <c r="J96" s="13">
        <f t="shared" si="2"/>
        <v>0</v>
      </c>
      <c r="K96" s="14">
        <f t="shared" si="2"/>
        <v>0</v>
      </c>
      <c r="L96" s="16">
        <f t="shared" si="3"/>
        <v>0</v>
      </c>
      <c r="M96" s="17">
        <f t="shared" si="4"/>
        <v>0</v>
      </c>
      <c r="N96" s="13">
        <f t="shared" si="5"/>
        <v>0</v>
      </c>
      <c r="O96" s="14">
        <f t="shared" si="5"/>
        <v>0</v>
      </c>
      <c r="P96" s="16">
        <f t="shared" si="6"/>
        <v>0</v>
      </c>
      <c r="Q96" s="17">
        <f t="shared" si="7"/>
        <v>0</v>
      </c>
      <c r="R96" s="4" t="s">
        <v>0</v>
      </c>
      <c r="S96" s="15" t="str">
        <f t="shared" si="8"/>
        <v>-</v>
      </c>
      <c r="T96" s="13">
        <f t="shared" si="9"/>
        <v>0</v>
      </c>
      <c r="U96" s="17">
        <f t="shared" si="10"/>
        <v>750</v>
      </c>
      <c r="V96" s="13">
        <f t="shared" si="66"/>
        <v>0</v>
      </c>
      <c r="W96" s="17">
        <f t="shared" si="11"/>
        <v>750</v>
      </c>
      <c r="X96" s="13">
        <f t="shared" si="67"/>
        <v>0</v>
      </c>
      <c r="Y96" s="17">
        <f t="shared" si="12"/>
        <v>750</v>
      </c>
      <c r="Z96" s="13">
        <f t="shared" si="68"/>
        <v>0</v>
      </c>
      <c r="AA96" s="17">
        <f t="shared" si="13"/>
        <v>750</v>
      </c>
      <c r="AB96" s="4" t="s">
        <v>0</v>
      </c>
    </row>
    <row r="97" spans="1:28">
      <c r="A97" s="9" t="s">
        <v>77</v>
      </c>
      <c r="B97" s="19"/>
      <c r="C97" s="4"/>
      <c r="D97" s="20"/>
      <c r="E97" s="24"/>
      <c r="F97" s="20"/>
      <c r="G97" s="24"/>
      <c r="H97" s="4" t="s">
        <v>0</v>
      </c>
      <c r="I97" s="15" t="str">
        <f t="shared" si="0"/>
        <v>-</v>
      </c>
      <c r="J97" s="13">
        <f t="shared" si="2"/>
        <v>0</v>
      </c>
      <c r="K97" s="14">
        <f t="shared" si="2"/>
        <v>0</v>
      </c>
      <c r="L97" s="16">
        <f t="shared" si="3"/>
        <v>0</v>
      </c>
      <c r="M97" s="17">
        <f t="shared" si="4"/>
        <v>0</v>
      </c>
      <c r="N97" s="13">
        <f t="shared" si="5"/>
        <v>0</v>
      </c>
      <c r="O97" s="14">
        <f t="shared" si="5"/>
        <v>0</v>
      </c>
      <c r="P97" s="16">
        <f t="shared" si="6"/>
        <v>0</v>
      </c>
      <c r="Q97" s="17">
        <f t="shared" si="7"/>
        <v>0</v>
      </c>
      <c r="R97" s="4" t="s">
        <v>0</v>
      </c>
      <c r="S97" s="15" t="str">
        <f t="shared" si="8"/>
        <v>-</v>
      </c>
      <c r="T97" s="13">
        <f t="shared" si="9"/>
        <v>0</v>
      </c>
      <c r="U97" s="17">
        <f t="shared" si="10"/>
        <v>750</v>
      </c>
      <c r="V97" s="13">
        <f t="shared" si="66"/>
        <v>0</v>
      </c>
      <c r="W97" s="17">
        <f t="shared" si="11"/>
        <v>750</v>
      </c>
      <c r="X97" s="13">
        <f t="shared" si="67"/>
        <v>0</v>
      </c>
      <c r="Y97" s="17">
        <f t="shared" si="12"/>
        <v>750</v>
      </c>
      <c r="Z97" s="13">
        <f t="shared" si="68"/>
        <v>0</v>
      </c>
      <c r="AA97" s="17">
        <f t="shared" si="13"/>
        <v>750</v>
      </c>
      <c r="AB97" s="4" t="s">
        <v>0</v>
      </c>
    </row>
    <row r="98" spans="1:28">
      <c r="A98" s="9" t="s">
        <v>77</v>
      </c>
      <c r="B98" s="19"/>
      <c r="C98" s="4"/>
      <c r="D98" s="20"/>
      <c r="E98" s="24"/>
      <c r="F98" s="20"/>
      <c r="G98" s="24"/>
      <c r="H98" s="4" t="s">
        <v>0</v>
      </c>
      <c r="I98" s="15" t="str">
        <f t="shared" si="0"/>
        <v>-</v>
      </c>
      <c r="J98" s="13">
        <f t="shared" si="2"/>
        <v>0</v>
      </c>
      <c r="K98" s="14">
        <f t="shared" si="2"/>
        <v>0</v>
      </c>
      <c r="L98" s="16">
        <f t="shared" si="3"/>
        <v>0</v>
      </c>
      <c r="M98" s="17">
        <f t="shared" si="4"/>
        <v>0</v>
      </c>
      <c r="N98" s="13">
        <f t="shared" si="5"/>
        <v>0</v>
      </c>
      <c r="O98" s="14">
        <f t="shared" si="5"/>
        <v>0</v>
      </c>
      <c r="P98" s="16">
        <f t="shared" si="6"/>
        <v>0</v>
      </c>
      <c r="Q98" s="17">
        <f t="shared" si="7"/>
        <v>0</v>
      </c>
      <c r="R98" s="4" t="s">
        <v>0</v>
      </c>
      <c r="S98" s="15" t="str">
        <f t="shared" si="8"/>
        <v>-</v>
      </c>
      <c r="T98" s="13">
        <f t="shared" si="9"/>
        <v>0</v>
      </c>
      <c r="U98" s="17">
        <f t="shared" si="10"/>
        <v>750</v>
      </c>
      <c r="V98" s="13">
        <f t="shared" si="66"/>
        <v>0</v>
      </c>
      <c r="W98" s="17">
        <f t="shared" si="11"/>
        <v>750</v>
      </c>
      <c r="X98" s="13">
        <f t="shared" si="67"/>
        <v>0</v>
      </c>
      <c r="Y98" s="17">
        <f t="shared" si="12"/>
        <v>750</v>
      </c>
      <c r="Z98" s="13">
        <f t="shared" si="68"/>
        <v>0</v>
      </c>
      <c r="AA98" s="17">
        <f t="shared" si="13"/>
        <v>750</v>
      </c>
      <c r="AB98" s="4" t="s">
        <v>0</v>
      </c>
    </row>
    <row r="99" spans="1:28">
      <c r="A99" s="9" t="s">
        <v>77</v>
      </c>
      <c r="B99" s="19"/>
      <c r="C99" s="21"/>
      <c r="D99" s="20"/>
      <c r="E99" s="23"/>
      <c r="F99" s="20"/>
      <c r="G99" s="23"/>
      <c r="H99" s="4" t="s">
        <v>0</v>
      </c>
      <c r="I99" s="15" t="str">
        <f t="shared" si="0"/>
        <v>-</v>
      </c>
      <c r="J99" s="13">
        <f t="shared" si="2"/>
        <v>0</v>
      </c>
      <c r="K99" s="14">
        <f t="shared" si="2"/>
        <v>0</v>
      </c>
      <c r="L99" s="16">
        <f t="shared" si="3"/>
        <v>0</v>
      </c>
      <c r="M99" s="17">
        <f t="shared" si="4"/>
        <v>0</v>
      </c>
      <c r="N99" s="13">
        <f t="shared" si="5"/>
        <v>0</v>
      </c>
      <c r="O99" s="14">
        <f t="shared" si="5"/>
        <v>0</v>
      </c>
      <c r="P99" s="16">
        <f t="shared" si="6"/>
        <v>0</v>
      </c>
      <c r="Q99" s="17">
        <f t="shared" si="7"/>
        <v>0</v>
      </c>
      <c r="R99" s="4" t="s">
        <v>0</v>
      </c>
      <c r="S99" s="15" t="str">
        <f t="shared" si="8"/>
        <v>-</v>
      </c>
      <c r="T99" s="13">
        <f t="shared" si="9"/>
        <v>0</v>
      </c>
      <c r="U99" s="17">
        <f t="shared" si="10"/>
        <v>750</v>
      </c>
      <c r="V99" s="13">
        <f t="shared" si="66"/>
        <v>0</v>
      </c>
      <c r="W99" s="17">
        <f t="shared" si="11"/>
        <v>750</v>
      </c>
      <c r="X99" s="13">
        <f t="shared" si="67"/>
        <v>0</v>
      </c>
      <c r="Y99" s="17">
        <f t="shared" si="12"/>
        <v>750</v>
      </c>
      <c r="Z99" s="13">
        <f t="shared" si="68"/>
        <v>0</v>
      </c>
      <c r="AA99" s="17">
        <f t="shared" si="13"/>
        <v>750</v>
      </c>
      <c r="AB99" s="4" t="s">
        <v>0</v>
      </c>
    </row>
    <row r="100" spans="1:28">
      <c r="A100" s="9" t="s">
        <v>77</v>
      </c>
      <c r="B100" s="19"/>
      <c r="C100" s="21"/>
      <c r="D100" s="20"/>
      <c r="E100" s="24"/>
      <c r="F100" s="20"/>
      <c r="G100" s="24"/>
      <c r="H100" s="4" t="s">
        <v>0</v>
      </c>
      <c r="I100" s="15" t="str">
        <f t="shared" si="0"/>
        <v>-</v>
      </c>
      <c r="J100" s="13">
        <f t="shared" si="2"/>
        <v>0</v>
      </c>
      <c r="K100" s="14">
        <f t="shared" si="2"/>
        <v>0</v>
      </c>
      <c r="L100" s="16">
        <f t="shared" si="3"/>
        <v>0</v>
      </c>
      <c r="M100" s="17">
        <f t="shared" si="4"/>
        <v>0</v>
      </c>
      <c r="N100" s="13">
        <f t="shared" si="5"/>
        <v>0</v>
      </c>
      <c r="O100" s="14">
        <f t="shared" si="5"/>
        <v>0</v>
      </c>
      <c r="P100" s="16">
        <f t="shared" si="6"/>
        <v>0</v>
      </c>
      <c r="Q100" s="17">
        <f t="shared" si="7"/>
        <v>0</v>
      </c>
      <c r="R100" s="4" t="s">
        <v>0</v>
      </c>
      <c r="S100" s="15" t="str">
        <f t="shared" si="8"/>
        <v>-</v>
      </c>
      <c r="T100" s="13">
        <f t="shared" si="9"/>
        <v>0</v>
      </c>
      <c r="U100" s="17">
        <f t="shared" si="10"/>
        <v>750</v>
      </c>
      <c r="V100" s="13">
        <f t="shared" si="66"/>
        <v>0</v>
      </c>
      <c r="W100" s="17">
        <f t="shared" si="11"/>
        <v>750</v>
      </c>
      <c r="X100" s="13">
        <f t="shared" si="67"/>
        <v>0</v>
      </c>
      <c r="Y100" s="17">
        <f t="shared" si="12"/>
        <v>750</v>
      </c>
      <c r="Z100" s="13">
        <f t="shared" si="68"/>
        <v>0</v>
      </c>
      <c r="AA100" s="17">
        <f t="shared" si="13"/>
        <v>750</v>
      </c>
      <c r="AB100" s="4" t="s">
        <v>0</v>
      </c>
    </row>
    <row r="101" spans="1:28">
      <c r="A101" s="9" t="s">
        <v>77</v>
      </c>
      <c r="B101" s="19"/>
      <c r="C101" s="4"/>
      <c r="D101" s="20"/>
      <c r="E101" s="24"/>
      <c r="F101" s="20"/>
      <c r="G101" s="24"/>
      <c r="H101" s="4" t="s">
        <v>0</v>
      </c>
      <c r="I101" s="15" t="str">
        <f t="shared" si="0"/>
        <v>-</v>
      </c>
      <c r="J101" s="13">
        <f t="shared" si="2"/>
        <v>0</v>
      </c>
      <c r="K101" s="14">
        <f t="shared" si="2"/>
        <v>0</v>
      </c>
      <c r="L101" s="16">
        <f t="shared" si="3"/>
        <v>0</v>
      </c>
      <c r="M101" s="17">
        <f t="shared" si="4"/>
        <v>0</v>
      </c>
      <c r="N101" s="13">
        <f t="shared" si="5"/>
        <v>0</v>
      </c>
      <c r="O101" s="14">
        <f t="shared" si="5"/>
        <v>0</v>
      </c>
      <c r="P101" s="16">
        <f t="shared" si="6"/>
        <v>0</v>
      </c>
      <c r="Q101" s="17">
        <f t="shared" si="7"/>
        <v>0</v>
      </c>
      <c r="R101" s="4" t="s">
        <v>0</v>
      </c>
      <c r="S101" s="15" t="str">
        <f t="shared" si="8"/>
        <v>-</v>
      </c>
      <c r="T101" s="13">
        <f t="shared" si="9"/>
        <v>0</v>
      </c>
      <c r="U101" s="17">
        <f t="shared" si="10"/>
        <v>750</v>
      </c>
      <c r="V101" s="13">
        <f t="shared" si="66"/>
        <v>0</v>
      </c>
      <c r="W101" s="17">
        <f t="shared" si="11"/>
        <v>750</v>
      </c>
      <c r="X101" s="13">
        <f t="shared" si="67"/>
        <v>0</v>
      </c>
      <c r="Y101" s="17">
        <f t="shared" si="12"/>
        <v>750</v>
      </c>
      <c r="Z101" s="13">
        <f t="shared" si="68"/>
        <v>0</v>
      </c>
      <c r="AA101" s="17">
        <f t="shared" si="13"/>
        <v>750</v>
      </c>
      <c r="AB101" s="4" t="s">
        <v>0</v>
      </c>
    </row>
    <row r="102" spans="1:28">
      <c r="A102" s="9" t="s">
        <v>77</v>
      </c>
      <c r="B102" s="19"/>
      <c r="C102" s="4"/>
      <c r="D102" s="20"/>
      <c r="E102" s="24"/>
      <c r="F102" s="20"/>
      <c r="G102" s="24"/>
      <c r="H102" s="4" t="s">
        <v>0</v>
      </c>
      <c r="I102" s="15" t="str">
        <f t="shared" si="0"/>
        <v>-</v>
      </c>
      <c r="J102" s="13">
        <f t="shared" si="2"/>
        <v>0</v>
      </c>
      <c r="K102" s="14">
        <f t="shared" si="2"/>
        <v>0</v>
      </c>
      <c r="L102" s="16">
        <f t="shared" si="3"/>
        <v>0</v>
      </c>
      <c r="M102" s="17">
        <f t="shared" si="4"/>
        <v>0</v>
      </c>
      <c r="N102" s="13">
        <f t="shared" si="5"/>
        <v>0</v>
      </c>
      <c r="O102" s="14">
        <f t="shared" si="5"/>
        <v>0</v>
      </c>
      <c r="P102" s="16">
        <f t="shared" si="6"/>
        <v>0</v>
      </c>
      <c r="Q102" s="17">
        <f t="shared" si="7"/>
        <v>0</v>
      </c>
      <c r="R102" s="4" t="s">
        <v>0</v>
      </c>
      <c r="S102" s="15" t="str">
        <f t="shared" si="8"/>
        <v>-</v>
      </c>
      <c r="T102" s="13">
        <f t="shared" si="9"/>
        <v>0</v>
      </c>
      <c r="U102" s="17">
        <f t="shared" si="10"/>
        <v>750</v>
      </c>
      <c r="V102" s="13">
        <f t="shared" si="66"/>
        <v>0</v>
      </c>
      <c r="W102" s="17">
        <f t="shared" si="11"/>
        <v>750</v>
      </c>
      <c r="X102" s="13">
        <f t="shared" si="67"/>
        <v>0</v>
      </c>
      <c r="Y102" s="17">
        <f t="shared" si="12"/>
        <v>750</v>
      </c>
      <c r="Z102" s="13">
        <f t="shared" si="68"/>
        <v>0</v>
      </c>
      <c r="AA102" s="17">
        <f t="shared" si="13"/>
        <v>750</v>
      </c>
      <c r="AB102" s="4" t="s">
        <v>0</v>
      </c>
    </row>
    <row r="103" spans="1:28">
      <c r="A103" s="9" t="s">
        <v>77</v>
      </c>
      <c r="B103" s="19"/>
      <c r="C103" s="4"/>
      <c r="D103" s="20"/>
      <c r="E103" s="24"/>
      <c r="F103" s="20"/>
      <c r="G103" s="24"/>
      <c r="H103" s="4" t="s">
        <v>0</v>
      </c>
      <c r="I103" s="15" t="str">
        <f t="shared" si="0"/>
        <v>-</v>
      </c>
      <c r="J103" s="13">
        <f t="shared" si="2"/>
        <v>0</v>
      </c>
      <c r="K103" s="14">
        <f t="shared" si="2"/>
        <v>0</v>
      </c>
      <c r="L103" s="16">
        <f t="shared" si="3"/>
        <v>0</v>
      </c>
      <c r="M103" s="17">
        <f t="shared" si="4"/>
        <v>0</v>
      </c>
      <c r="N103" s="13">
        <f t="shared" si="5"/>
        <v>0</v>
      </c>
      <c r="O103" s="14">
        <f t="shared" si="5"/>
        <v>0</v>
      </c>
      <c r="P103" s="16">
        <f t="shared" si="6"/>
        <v>0</v>
      </c>
      <c r="Q103" s="17">
        <f t="shared" si="7"/>
        <v>0</v>
      </c>
      <c r="R103" s="4" t="s">
        <v>0</v>
      </c>
      <c r="S103" s="15" t="str">
        <f t="shared" si="8"/>
        <v>-</v>
      </c>
      <c r="T103" s="13">
        <f t="shared" si="9"/>
        <v>0</v>
      </c>
      <c r="U103" s="17">
        <f t="shared" si="10"/>
        <v>750</v>
      </c>
      <c r="V103" s="13">
        <f t="shared" si="66"/>
        <v>0</v>
      </c>
      <c r="W103" s="17">
        <f t="shared" si="11"/>
        <v>750</v>
      </c>
      <c r="X103" s="13">
        <f t="shared" si="67"/>
        <v>0</v>
      </c>
      <c r="Y103" s="17">
        <f t="shared" si="12"/>
        <v>750</v>
      </c>
      <c r="Z103" s="13">
        <f t="shared" si="68"/>
        <v>0</v>
      </c>
      <c r="AA103" s="17">
        <f t="shared" si="13"/>
        <v>750</v>
      </c>
      <c r="AB103" s="4" t="s">
        <v>0</v>
      </c>
    </row>
    <row r="104" spans="1:28">
      <c r="A104" s="9" t="s">
        <v>77</v>
      </c>
      <c r="B104" s="19"/>
      <c r="C104" s="4"/>
      <c r="D104" s="20"/>
      <c r="E104" s="24"/>
      <c r="F104" s="20"/>
      <c r="G104" s="24"/>
      <c r="H104" s="4" t="s">
        <v>0</v>
      </c>
      <c r="I104" s="15" t="str">
        <f t="shared" si="0"/>
        <v>-</v>
      </c>
      <c r="J104" s="13">
        <f t="shared" si="2"/>
        <v>0</v>
      </c>
      <c r="K104" s="14">
        <f t="shared" si="2"/>
        <v>0</v>
      </c>
      <c r="L104" s="16">
        <f t="shared" si="3"/>
        <v>0</v>
      </c>
      <c r="M104" s="17">
        <f t="shared" si="4"/>
        <v>0</v>
      </c>
      <c r="N104" s="13">
        <f t="shared" si="5"/>
        <v>0</v>
      </c>
      <c r="O104" s="14">
        <f t="shared" si="5"/>
        <v>0</v>
      </c>
      <c r="P104" s="16">
        <f t="shared" si="6"/>
        <v>0</v>
      </c>
      <c r="Q104" s="17">
        <f t="shared" si="7"/>
        <v>0</v>
      </c>
      <c r="R104" s="4" t="s">
        <v>0</v>
      </c>
      <c r="S104" s="15" t="str">
        <f t="shared" si="8"/>
        <v>-</v>
      </c>
      <c r="T104" s="13">
        <f t="shared" si="9"/>
        <v>0</v>
      </c>
      <c r="U104" s="17">
        <f t="shared" si="10"/>
        <v>750</v>
      </c>
      <c r="V104" s="13">
        <f t="shared" si="66"/>
        <v>0</v>
      </c>
      <c r="W104" s="17">
        <f t="shared" si="11"/>
        <v>750</v>
      </c>
      <c r="X104" s="13">
        <f t="shared" si="67"/>
        <v>0</v>
      </c>
      <c r="Y104" s="17">
        <f t="shared" si="12"/>
        <v>750</v>
      </c>
      <c r="Z104" s="13">
        <f t="shared" si="68"/>
        <v>0</v>
      </c>
      <c r="AA104" s="17">
        <f t="shared" si="13"/>
        <v>750</v>
      </c>
      <c r="AB104" s="4" t="s">
        <v>0</v>
      </c>
    </row>
    <row r="105" spans="1:28">
      <c r="A105" s="9" t="s">
        <v>77</v>
      </c>
      <c r="B105" s="19"/>
      <c r="C105" s="4"/>
      <c r="D105" s="20"/>
      <c r="E105" s="24"/>
      <c r="F105" s="20"/>
      <c r="G105" s="24"/>
      <c r="H105" s="4" t="s">
        <v>0</v>
      </c>
      <c r="I105" s="15" t="str">
        <f t="shared" si="0"/>
        <v>-</v>
      </c>
      <c r="J105" s="13">
        <f t="shared" si="2"/>
        <v>0</v>
      </c>
      <c r="K105" s="14">
        <f t="shared" si="2"/>
        <v>0</v>
      </c>
      <c r="L105" s="16">
        <f t="shared" si="3"/>
        <v>0</v>
      </c>
      <c r="M105" s="17">
        <f t="shared" si="4"/>
        <v>0</v>
      </c>
      <c r="N105" s="13">
        <f t="shared" si="5"/>
        <v>0</v>
      </c>
      <c r="O105" s="14">
        <f t="shared" si="5"/>
        <v>0</v>
      </c>
      <c r="P105" s="16">
        <f t="shared" si="6"/>
        <v>0</v>
      </c>
      <c r="Q105" s="17">
        <f t="shared" si="7"/>
        <v>0</v>
      </c>
      <c r="R105" s="4" t="s">
        <v>0</v>
      </c>
      <c r="S105" s="15" t="str">
        <f t="shared" si="8"/>
        <v>-</v>
      </c>
      <c r="T105" s="13">
        <f t="shared" si="9"/>
        <v>0</v>
      </c>
      <c r="U105" s="17">
        <f t="shared" si="10"/>
        <v>750</v>
      </c>
      <c r="V105" s="13">
        <f t="shared" si="66"/>
        <v>0</v>
      </c>
      <c r="W105" s="17">
        <f t="shared" si="11"/>
        <v>750</v>
      </c>
      <c r="X105" s="13">
        <f t="shared" si="67"/>
        <v>0</v>
      </c>
      <c r="Y105" s="17">
        <f t="shared" si="12"/>
        <v>750</v>
      </c>
      <c r="Z105" s="13">
        <f t="shared" si="68"/>
        <v>0</v>
      </c>
      <c r="AA105" s="17">
        <f t="shared" si="13"/>
        <v>750</v>
      </c>
      <c r="AB105" s="4" t="s">
        <v>0</v>
      </c>
    </row>
    <row r="106" spans="1:28">
      <c r="A106" s="9" t="s">
        <v>77</v>
      </c>
      <c r="B106" s="19"/>
      <c r="C106" s="4"/>
      <c r="D106" s="20"/>
      <c r="E106" s="24"/>
      <c r="F106" s="20"/>
      <c r="G106" s="24"/>
      <c r="H106" s="4" t="s">
        <v>0</v>
      </c>
      <c r="I106" s="15" t="str">
        <f t="shared" si="0"/>
        <v>-</v>
      </c>
      <c r="J106" s="13">
        <f t="shared" si="2"/>
        <v>0</v>
      </c>
      <c r="K106" s="14">
        <f t="shared" si="2"/>
        <v>0</v>
      </c>
      <c r="L106" s="16">
        <f t="shared" si="3"/>
        <v>0</v>
      </c>
      <c r="M106" s="17">
        <f t="shared" si="4"/>
        <v>0</v>
      </c>
      <c r="N106" s="13">
        <f t="shared" si="5"/>
        <v>0</v>
      </c>
      <c r="O106" s="14">
        <f t="shared" si="5"/>
        <v>0</v>
      </c>
      <c r="P106" s="16">
        <f t="shared" si="6"/>
        <v>0</v>
      </c>
      <c r="Q106" s="17">
        <f t="shared" si="7"/>
        <v>0</v>
      </c>
      <c r="R106" s="4" t="s">
        <v>0</v>
      </c>
      <c r="S106" s="15" t="str">
        <f t="shared" si="8"/>
        <v>-</v>
      </c>
      <c r="T106" s="13">
        <f t="shared" si="9"/>
        <v>0</v>
      </c>
      <c r="U106" s="17">
        <f t="shared" si="10"/>
        <v>750</v>
      </c>
      <c r="V106" s="13">
        <f t="shared" si="66"/>
        <v>0</v>
      </c>
      <c r="W106" s="17">
        <f t="shared" si="11"/>
        <v>750</v>
      </c>
      <c r="X106" s="13">
        <f t="shared" si="67"/>
        <v>0</v>
      </c>
      <c r="Y106" s="17">
        <f t="shared" si="12"/>
        <v>750</v>
      </c>
      <c r="Z106" s="13">
        <f t="shared" si="68"/>
        <v>0</v>
      </c>
      <c r="AA106" s="17">
        <f t="shared" si="13"/>
        <v>750</v>
      </c>
      <c r="AB106" s="4" t="s">
        <v>0</v>
      </c>
    </row>
    <row r="107" spans="1:28">
      <c r="A107" s="9" t="s">
        <v>77</v>
      </c>
      <c r="B107" s="19"/>
      <c r="C107" s="4"/>
      <c r="D107" s="20"/>
      <c r="E107" s="24"/>
      <c r="F107" s="20"/>
      <c r="G107" s="24"/>
      <c r="H107" s="4" t="s">
        <v>0</v>
      </c>
      <c r="I107" s="15" t="str">
        <f t="shared" si="0"/>
        <v>-</v>
      </c>
      <c r="J107" s="13">
        <f t="shared" si="2"/>
        <v>0</v>
      </c>
      <c r="K107" s="14">
        <f t="shared" si="2"/>
        <v>0</v>
      </c>
      <c r="L107" s="16">
        <f t="shared" si="3"/>
        <v>0</v>
      </c>
      <c r="M107" s="17">
        <f t="shared" si="4"/>
        <v>0</v>
      </c>
      <c r="N107" s="13">
        <f t="shared" si="5"/>
        <v>0</v>
      </c>
      <c r="O107" s="14">
        <f t="shared" si="5"/>
        <v>0</v>
      </c>
      <c r="P107" s="16">
        <f t="shared" si="6"/>
        <v>0</v>
      </c>
      <c r="Q107" s="17">
        <f t="shared" si="7"/>
        <v>0</v>
      </c>
      <c r="R107" s="4" t="s">
        <v>0</v>
      </c>
      <c r="S107" s="15" t="str">
        <f t="shared" si="8"/>
        <v>-</v>
      </c>
      <c r="T107" s="13">
        <f t="shared" si="9"/>
        <v>0</v>
      </c>
      <c r="U107" s="17">
        <f t="shared" si="10"/>
        <v>750</v>
      </c>
      <c r="V107" s="13">
        <f t="shared" si="66"/>
        <v>0</v>
      </c>
      <c r="W107" s="17">
        <f t="shared" si="11"/>
        <v>750</v>
      </c>
      <c r="X107" s="13">
        <f t="shared" si="67"/>
        <v>0</v>
      </c>
      <c r="Y107" s="17">
        <f t="shared" si="12"/>
        <v>750</v>
      </c>
      <c r="Z107" s="13">
        <f t="shared" si="68"/>
        <v>0</v>
      </c>
      <c r="AA107" s="17">
        <f t="shared" si="13"/>
        <v>750</v>
      </c>
      <c r="AB107" s="4" t="s">
        <v>0</v>
      </c>
    </row>
    <row r="108" spans="1:28">
      <c r="A108" s="9" t="s">
        <v>77</v>
      </c>
      <c r="B108" s="19"/>
      <c r="C108" s="4"/>
      <c r="D108" s="20"/>
      <c r="E108" s="24"/>
      <c r="F108" s="20"/>
      <c r="G108" s="24"/>
      <c r="H108" s="4" t="s">
        <v>0</v>
      </c>
      <c r="I108" s="15" t="str">
        <f t="shared" si="0"/>
        <v>-</v>
      </c>
      <c r="J108" s="13">
        <f t="shared" si="2"/>
        <v>0</v>
      </c>
      <c r="K108" s="14">
        <f t="shared" si="2"/>
        <v>0</v>
      </c>
      <c r="L108" s="16">
        <f t="shared" si="3"/>
        <v>0</v>
      </c>
      <c r="M108" s="17">
        <f t="shared" si="4"/>
        <v>0</v>
      </c>
      <c r="N108" s="13">
        <f t="shared" si="5"/>
        <v>0</v>
      </c>
      <c r="O108" s="14">
        <f t="shared" si="5"/>
        <v>0</v>
      </c>
      <c r="P108" s="16">
        <f t="shared" si="6"/>
        <v>0</v>
      </c>
      <c r="Q108" s="17">
        <f t="shared" si="7"/>
        <v>0</v>
      </c>
      <c r="R108" s="4" t="s">
        <v>0</v>
      </c>
      <c r="S108" s="15" t="str">
        <f t="shared" si="8"/>
        <v>-</v>
      </c>
      <c r="T108" s="13">
        <f t="shared" si="9"/>
        <v>0</v>
      </c>
      <c r="U108" s="17">
        <f t="shared" si="10"/>
        <v>750</v>
      </c>
      <c r="V108" s="13">
        <f t="shared" si="66"/>
        <v>0</v>
      </c>
      <c r="W108" s="17">
        <f t="shared" si="11"/>
        <v>750</v>
      </c>
      <c r="X108" s="13">
        <f t="shared" si="67"/>
        <v>0</v>
      </c>
      <c r="Y108" s="17">
        <f t="shared" si="12"/>
        <v>750</v>
      </c>
      <c r="Z108" s="13">
        <f t="shared" si="68"/>
        <v>0</v>
      </c>
      <c r="AA108" s="17">
        <f t="shared" si="13"/>
        <v>750</v>
      </c>
      <c r="AB108" s="4" t="s">
        <v>0</v>
      </c>
    </row>
    <row r="109" spans="1:28">
      <c r="A109" s="9" t="s">
        <v>77</v>
      </c>
      <c r="B109" s="19"/>
      <c r="C109" s="4"/>
      <c r="D109" s="20"/>
      <c r="E109" s="24"/>
      <c r="F109" s="20"/>
      <c r="G109" s="24"/>
      <c r="H109" s="4" t="s">
        <v>0</v>
      </c>
      <c r="I109" s="15" t="str">
        <f t="shared" si="0"/>
        <v>-</v>
      </c>
      <c r="J109" s="13">
        <f t="shared" si="2"/>
        <v>0</v>
      </c>
      <c r="K109" s="14">
        <f t="shared" si="2"/>
        <v>0</v>
      </c>
      <c r="L109" s="16">
        <f t="shared" si="3"/>
        <v>0</v>
      </c>
      <c r="M109" s="17">
        <f t="shared" si="4"/>
        <v>0</v>
      </c>
      <c r="N109" s="13">
        <f t="shared" si="5"/>
        <v>0</v>
      </c>
      <c r="O109" s="14">
        <f t="shared" si="5"/>
        <v>0</v>
      </c>
      <c r="P109" s="16">
        <f t="shared" si="6"/>
        <v>0</v>
      </c>
      <c r="Q109" s="17">
        <f t="shared" si="7"/>
        <v>0</v>
      </c>
      <c r="R109" s="4" t="s">
        <v>0</v>
      </c>
      <c r="S109" s="15" t="str">
        <f t="shared" si="8"/>
        <v>-</v>
      </c>
      <c r="T109" s="13">
        <f t="shared" si="9"/>
        <v>0</v>
      </c>
      <c r="U109" s="17">
        <f t="shared" si="10"/>
        <v>750</v>
      </c>
      <c r="V109" s="13">
        <f t="shared" si="66"/>
        <v>0</v>
      </c>
      <c r="W109" s="17">
        <f t="shared" si="11"/>
        <v>750</v>
      </c>
      <c r="X109" s="13">
        <f t="shared" si="67"/>
        <v>0</v>
      </c>
      <c r="Y109" s="17">
        <f t="shared" si="12"/>
        <v>750</v>
      </c>
      <c r="Z109" s="13">
        <f t="shared" si="68"/>
        <v>0</v>
      </c>
      <c r="AA109" s="17">
        <f t="shared" si="13"/>
        <v>750</v>
      </c>
      <c r="AB109" s="4" t="s">
        <v>0</v>
      </c>
    </row>
    <row r="110" spans="1:28">
      <c r="A110" s="9" t="s">
        <v>77</v>
      </c>
      <c r="B110" s="19"/>
      <c r="C110" s="4"/>
      <c r="D110" s="20"/>
      <c r="E110" s="24"/>
      <c r="F110" s="20"/>
      <c r="G110" s="24"/>
      <c r="H110" s="4" t="s">
        <v>0</v>
      </c>
      <c r="I110" s="15" t="str">
        <f t="shared" si="0"/>
        <v>-</v>
      </c>
      <c r="J110" s="13">
        <f t="shared" si="2"/>
        <v>0</v>
      </c>
      <c r="K110" s="14">
        <f t="shared" si="2"/>
        <v>0</v>
      </c>
      <c r="L110" s="16">
        <f t="shared" si="3"/>
        <v>0</v>
      </c>
      <c r="M110" s="17">
        <f t="shared" si="4"/>
        <v>0</v>
      </c>
      <c r="N110" s="13">
        <f t="shared" si="5"/>
        <v>0</v>
      </c>
      <c r="O110" s="14">
        <f t="shared" si="5"/>
        <v>0</v>
      </c>
      <c r="P110" s="16">
        <f t="shared" si="6"/>
        <v>0</v>
      </c>
      <c r="Q110" s="17">
        <f t="shared" si="7"/>
        <v>0</v>
      </c>
      <c r="R110" s="4" t="s">
        <v>0</v>
      </c>
      <c r="S110" s="15" t="str">
        <f t="shared" si="8"/>
        <v>-</v>
      </c>
      <c r="T110" s="13">
        <f t="shared" si="9"/>
        <v>0</v>
      </c>
      <c r="U110" s="17">
        <f t="shared" si="10"/>
        <v>750</v>
      </c>
      <c r="V110" s="13">
        <f t="shared" si="66"/>
        <v>0</v>
      </c>
      <c r="W110" s="17">
        <f t="shared" si="11"/>
        <v>750</v>
      </c>
      <c r="X110" s="13">
        <f t="shared" si="67"/>
        <v>0</v>
      </c>
      <c r="Y110" s="17">
        <f t="shared" si="12"/>
        <v>750</v>
      </c>
      <c r="Z110" s="13">
        <f t="shared" si="68"/>
        <v>0</v>
      </c>
      <c r="AA110" s="17">
        <f t="shared" si="13"/>
        <v>750</v>
      </c>
      <c r="AB110" s="4" t="s">
        <v>0</v>
      </c>
    </row>
    <row r="111" spans="1:28">
      <c r="A111" s="9" t="s">
        <v>77</v>
      </c>
      <c r="B111" s="19"/>
      <c r="C111" s="4"/>
      <c r="D111" s="20"/>
      <c r="E111" s="24"/>
      <c r="F111" s="20"/>
      <c r="G111" s="24"/>
      <c r="H111" s="4" t="s">
        <v>0</v>
      </c>
      <c r="I111" s="15" t="str">
        <f t="shared" si="0"/>
        <v>-</v>
      </c>
      <c r="J111" s="13">
        <f t="shared" si="2"/>
        <v>0</v>
      </c>
      <c r="K111" s="14">
        <f t="shared" si="2"/>
        <v>0</v>
      </c>
      <c r="L111" s="16">
        <f t="shared" si="3"/>
        <v>0</v>
      </c>
      <c r="M111" s="17">
        <f t="shared" si="4"/>
        <v>0</v>
      </c>
      <c r="N111" s="13">
        <f t="shared" si="5"/>
        <v>0</v>
      </c>
      <c r="O111" s="14">
        <f t="shared" si="5"/>
        <v>0</v>
      </c>
      <c r="P111" s="16">
        <f t="shared" si="6"/>
        <v>0</v>
      </c>
      <c r="Q111" s="17">
        <f t="shared" si="7"/>
        <v>0</v>
      </c>
      <c r="R111" s="4" t="s">
        <v>0</v>
      </c>
      <c r="S111" s="15" t="str">
        <f t="shared" si="8"/>
        <v>-</v>
      </c>
      <c r="T111" s="13">
        <f t="shared" si="9"/>
        <v>0</v>
      </c>
      <c r="U111" s="17">
        <f t="shared" si="10"/>
        <v>750</v>
      </c>
      <c r="V111" s="13">
        <f t="shared" si="66"/>
        <v>0</v>
      </c>
      <c r="W111" s="17">
        <f t="shared" si="11"/>
        <v>750</v>
      </c>
      <c r="X111" s="13">
        <f t="shared" si="67"/>
        <v>0</v>
      </c>
      <c r="Y111" s="17">
        <f t="shared" si="12"/>
        <v>750</v>
      </c>
      <c r="Z111" s="13">
        <f t="shared" si="68"/>
        <v>0</v>
      </c>
      <c r="AA111" s="17">
        <f t="shared" si="13"/>
        <v>750</v>
      </c>
      <c r="AB111" s="4" t="s">
        <v>0</v>
      </c>
    </row>
    <row r="112" spans="1:28">
      <c r="A112" s="9" t="s">
        <v>77</v>
      </c>
      <c r="B112" s="19"/>
      <c r="C112" s="4"/>
      <c r="D112" s="20"/>
      <c r="E112" s="24"/>
      <c r="F112" s="20"/>
      <c r="G112" s="24"/>
      <c r="H112" s="4" t="s">
        <v>0</v>
      </c>
      <c r="I112" s="15" t="str">
        <f t="shared" si="0"/>
        <v>-</v>
      </c>
      <c r="J112" s="13">
        <f t="shared" si="2"/>
        <v>0</v>
      </c>
      <c r="K112" s="14">
        <f t="shared" si="2"/>
        <v>0</v>
      </c>
      <c r="L112" s="16">
        <f t="shared" si="3"/>
        <v>0</v>
      </c>
      <c r="M112" s="17">
        <f t="shared" si="4"/>
        <v>0</v>
      </c>
      <c r="N112" s="13">
        <f t="shared" si="5"/>
        <v>0</v>
      </c>
      <c r="O112" s="14">
        <f t="shared" si="5"/>
        <v>0</v>
      </c>
      <c r="P112" s="16">
        <f t="shared" si="6"/>
        <v>0</v>
      </c>
      <c r="Q112" s="17">
        <f t="shared" si="7"/>
        <v>0</v>
      </c>
      <c r="R112" s="4" t="s">
        <v>0</v>
      </c>
      <c r="S112" s="15" t="str">
        <f t="shared" si="8"/>
        <v>-</v>
      </c>
      <c r="T112" s="13">
        <f t="shared" si="9"/>
        <v>0</v>
      </c>
      <c r="U112" s="17">
        <f t="shared" si="10"/>
        <v>750</v>
      </c>
      <c r="V112" s="13">
        <f t="shared" si="66"/>
        <v>0</v>
      </c>
      <c r="W112" s="17">
        <f t="shared" si="11"/>
        <v>750</v>
      </c>
      <c r="X112" s="13">
        <f t="shared" si="67"/>
        <v>0</v>
      </c>
      <c r="Y112" s="17">
        <f t="shared" si="12"/>
        <v>750</v>
      </c>
      <c r="Z112" s="13">
        <f t="shared" si="68"/>
        <v>0</v>
      </c>
      <c r="AA112" s="17">
        <f t="shared" si="13"/>
        <v>750</v>
      </c>
      <c r="AB112" s="4" t="s">
        <v>0</v>
      </c>
    </row>
    <row r="113" spans="1:28">
      <c r="A113" s="9" t="s">
        <v>77</v>
      </c>
      <c r="B113" s="19"/>
      <c r="C113" s="4"/>
      <c r="D113" s="20"/>
      <c r="E113" s="24"/>
      <c r="F113" s="20"/>
      <c r="G113" s="24"/>
      <c r="H113" s="4" t="s">
        <v>0</v>
      </c>
      <c r="I113" s="15" t="str">
        <f t="shared" si="0"/>
        <v>-</v>
      </c>
      <c r="J113" s="13">
        <f t="shared" si="2"/>
        <v>0</v>
      </c>
      <c r="K113" s="14">
        <f t="shared" si="2"/>
        <v>0</v>
      </c>
      <c r="L113" s="16">
        <f t="shared" si="3"/>
        <v>0</v>
      </c>
      <c r="M113" s="17">
        <f t="shared" si="4"/>
        <v>0</v>
      </c>
      <c r="N113" s="13">
        <f t="shared" si="5"/>
        <v>0</v>
      </c>
      <c r="O113" s="14">
        <f t="shared" si="5"/>
        <v>0</v>
      </c>
      <c r="P113" s="16">
        <f t="shared" si="6"/>
        <v>0</v>
      </c>
      <c r="Q113" s="17">
        <f t="shared" si="7"/>
        <v>0</v>
      </c>
      <c r="R113" s="4" t="s">
        <v>0</v>
      </c>
      <c r="S113" s="15" t="str">
        <f t="shared" si="8"/>
        <v>-</v>
      </c>
      <c r="T113" s="13">
        <f t="shared" si="9"/>
        <v>0</v>
      </c>
      <c r="U113" s="17">
        <f t="shared" si="10"/>
        <v>750</v>
      </c>
      <c r="V113" s="13">
        <f t="shared" si="66"/>
        <v>0</v>
      </c>
      <c r="W113" s="17">
        <f t="shared" si="11"/>
        <v>750</v>
      </c>
      <c r="X113" s="13">
        <f t="shared" si="67"/>
        <v>0</v>
      </c>
      <c r="Y113" s="17">
        <f t="shared" si="12"/>
        <v>750</v>
      </c>
      <c r="Z113" s="13">
        <f t="shared" si="68"/>
        <v>0</v>
      </c>
      <c r="AA113" s="17">
        <f t="shared" si="13"/>
        <v>750</v>
      </c>
      <c r="AB113" s="4" t="s">
        <v>0</v>
      </c>
    </row>
    <row r="114" spans="1:28">
      <c r="A114" s="9" t="s">
        <v>77</v>
      </c>
      <c r="B114" s="19"/>
      <c r="C114" s="21"/>
      <c r="D114" s="20"/>
      <c r="E114" s="23"/>
      <c r="F114" s="20"/>
      <c r="G114" s="23"/>
      <c r="H114" s="4" t="s">
        <v>0</v>
      </c>
      <c r="I114" s="15" t="str">
        <f t="shared" si="0"/>
        <v>-</v>
      </c>
      <c r="J114" s="13">
        <f t="shared" si="2"/>
        <v>0</v>
      </c>
      <c r="K114" s="14">
        <f t="shared" si="2"/>
        <v>0</v>
      </c>
      <c r="L114" s="16">
        <f t="shared" si="3"/>
        <v>0</v>
      </c>
      <c r="M114" s="17">
        <f t="shared" si="4"/>
        <v>0</v>
      </c>
      <c r="N114" s="13">
        <f t="shared" si="5"/>
        <v>0</v>
      </c>
      <c r="O114" s="14">
        <f t="shared" si="5"/>
        <v>0</v>
      </c>
      <c r="P114" s="16">
        <f t="shared" si="6"/>
        <v>0</v>
      </c>
      <c r="Q114" s="17">
        <f t="shared" si="7"/>
        <v>0</v>
      </c>
      <c r="R114" s="4" t="s">
        <v>0</v>
      </c>
      <c r="S114" s="15" t="str">
        <f t="shared" si="8"/>
        <v>-</v>
      </c>
      <c r="T114" s="13">
        <f t="shared" si="9"/>
        <v>0</v>
      </c>
      <c r="U114" s="17">
        <f t="shared" si="10"/>
        <v>750</v>
      </c>
      <c r="V114" s="13">
        <f t="shared" si="66"/>
        <v>0</v>
      </c>
      <c r="W114" s="17">
        <f t="shared" si="11"/>
        <v>750</v>
      </c>
      <c r="X114" s="13">
        <f t="shared" si="67"/>
        <v>0</v>
      </c>
      <c r="Y114" s="17">
        <f t="shared" si="12"/>
        <v>750</v>
      </c>
      <c r="Z114" s="13">
        <f t="shared" si="68"/>
        <v>0</v>
      </c>
      <c r="AA114" s="17">
        <f t="shared" si="13"/>
        <v>750</v>
      </c>
      <c r="AB114" s="4" t="s">
        <v>0</v>
      </c>
    </row>
    <row r="115" spans="1:28">
      <c r="A115" s="9" t="s">
        <v>77</v>
      </c>
      <c r="B115" s="19"/>
      <c r="C115" s="21"/>
      <c r="D115" s="20"/>
      <c r="E115" s="24"/>
      <c r="F115" s="20"/>
      <c r="G115" s="24"/>
      <c r="H115" s="4" t="s">
        <v>0</v>
      </c>
      <c r="I115" s="15" t="str">
        <f t="shared" si="0"/>
        <v>-</v>
      </c>
      <c r="J115" s="13">
        <f t="shared" si="2"/>
        <v>0</v>
      </c>
      <c r="K115" s="14">
        <f t="shared" si="2"/>
        <v>0</v>
      </c>
      <c r="L115" s="16">
        <f t="shared" si="3"/>
        <v>0</v>
      </c>
      <c r="M115" s="17">
        <f t="shared" si="4"/>
        <v>0</v>
      </c>
      <c r="N115" s="13">
        <f t="shared" si="5"/>
        <v>0</v>
      </c>
      <c r="O115" s="14">
        <f t="shared" si="5"/>
        <v>0</v>
      </c>
      <c r="P115" s="16">
        <f t="shared" si="6"/>
        <v>0</v>
      </c>
      <c r="Q115" s="17">
        <f t="shared" si="7"/>
        <v>0</v>
      </c>
      <c r="R115" s="4" t="s">
        <v>0</v>
      </c>
      <c r="S115" s="15" t="str">
        <f t="shared" si="8"/>
        <v>-</v>
      </c>
      <c r="T115" s="13">
        <f t="shared" si="9"/>
        <v>0</v>
      </c>
      <c r="U115" s="17">
        <f t="shared" si="10"/>
        <v>750</v>
      </c>
      <c r="V115" s="13">
        <f t="shared" si="66"/>
        <v>0</v>
      </c>
      <c r="W115" s="17">
        <f t="shared" si="11"/>
        <v>750</v>
      </c>
      <c r="X115" s="13">
        <f t="shared" si="67"/>
        <v>0</v>
      </c>
      <c r="Y115" s="17">
        <f t="shared" si="12"/>
        <v>750</v>
      </c>
      <c r="Z115" s="13">
        <f t="shared" si="68"/>
        <v>0</v>
      </c>
      <c r="AA115" s="17">
        <f t="shared" si="13"/>
        <v>750</v>
      </c>
      <c r="AB115" s="4" t="s">
        <v>0</v>
      </c>
    </row>
    <row r="116" spans="1:28">
      <c r="A116" s="9" t="s">
        <v>77</v>
      </c>
      <c r="B116" s="19"/>
      <c r="C116" s="4"/>
      <c r="D116" s="20"/>
      <c r="E116" s="24"/>
      <c r="F116" s="20"/>
      <c r="G116" s="24"/>
      <c r="H116" s="4" t="s">
        <v>0</v>
      </c>
      <c r="I116" s="15" t="str">
        <f t="shared" si="0"/>
        <v>-</v>
      </c>
      <c r="J116" s="13">
        <f t="shared" si="2"/>
        <v>0</v>
      </c>
      <c r="K116" s="14">
        <f t="shared" si="2"/>
        <v>0</v>
      </c>
      <c r="L116" s="16">
        <f t="shared" si="3"/>
        <v>0</v>
      </c>
      <c r="M116" s="17">
        <f t="shared" si="4"/>
        <v>0</v>
      </c>
      <c r="N116" s="13">
        <f t="shared" si="5"/>
        <v>0</v>
      </c>
      <c r="O116" s="14">
        <f t="shared" si="5"/>
        <v>0</v>
      </c>
      <c r="P116" s="16">
        <f t="shared" si="6"/>
        <v>0</v>
      </c>
      <c r="Q116" s="17">
        <f t="shared" si="7"/>
        <v>0</v>
      </c>
      <c r="R116" s="4" t="s">
        <v>0</v>
      </c>
      <c r="S116" s="15" t="str">
        <f t="shared" si="8"/>
        <v>-</v>
      </c>
      <c r="T116" s="13">
        <f t="shared" si="9"/>
        <v>0</v>
      </c>
      <c r="U116" s="17">
        <f t="shared" si="10"/>
        <v>750</v>
      </c>
      <c r="V116" s="13">
        <f t="shared" si="66"/>
        <v>0</v>
      </c>
      <c r="W116" s="17">
        <f t="shared" si="11"/>
        <v>750</v>
      </c>
      <c r="X116" s="13">
        <f t="shared" si="67"/>
        <v>0</v>
      </c>
      <c r="Y116" s="17">
        <f t="shared" si="12"/>
        <v>750</v>
      </c>
      <c r="Z116" s="13">
        <f t="shared" si="68"/>
        <v>0</v>
      </c>
      <c r="AA116" s="17">
        <f t="shared" si="13"/>
        <v>750</v>
      </c>
      <c r="AB116" s="4" t="s">
        <v>0</v>
      </c>
    </row>
    <row r="117" spans="1:28">
      <c r="A117" s="9" t="s">
        <v>77</v>
      </c>
      <c r="B117" s="19"/>
      <c r="C117" s="4"/>
      <c r="D117" s="20"/>
      <c r="E117" s="24"/>
      <c r="F117" s="20"/>
      <c r="G117" s="24"/>
      <c r="H117" s="4" t="s">
        <v>0</v>
      </c>
      <c r="I117" s="15" t="str">
        <f t="shared" si="0"/>
        <v>-</v>
      </c>
      <c r="J117" s="13">
        <f t="shared" si="2"/>
        <v>0</v>
      </c>
      <c r="K117" s="14">
        <f t="shared" si="2"/>
        <v>0</v>
      </c>
      <c r="L117" s="16">
        <f t="shared" si="3"/>
        <v>0</v>
      </c>
      <c r="M117" s="17">
        <f t="shared" si="4"/>
        <v>0</v>
      </c>
      <c r="N117" s="13">
        <f t="shared" si="5"/>
        <v>0</v>
      </c>
      <c r="O117" s="14">
        <f t="shared" si="5"/>
        <v>0</v>
      </c>
      <c r="P117" s="16">
        <f t="shared" si="6"/>
        <v>0</v>
      </c>
      <c r="Q117" s="17">
        <f t="shared" si="7"/>
        <v>0</v>
      </c>
      <c r="R117" s="4" t="s">
        <v>0</v>
      </c>
      <c r="S117" s="15" t="str">
        <f t="shared" si="8"/>
        <v>-</v>
      </c>
      <c r="T117" s="13">
        <f t="shared" si="9"/>
        <v>0</v>
      </c>
      <c r="U117" s="17">
        <f t="shared" si="10"/>
        <v>750</v>
      </c>
      <c r="V117" s="13">
        <f t="shared" si="66"/>
        <v>0</v>
      </c>
      <c r="W117" s="17">
        <f t="shared" si="11"/>
        <v>750</v>
      </c>
      <c r="X117" s="13">
        <f t="shared" si="67"/>
        <v>0</v>
      </c>
      <c r="Y117" s="17">
        <f t="shared" si="12"/>
        <v>750</v>
      </c>
      <c r="Z117" s="13">
        <f t="shared" si="68"/>
        <v>0</v>
      </c>
      <c r="AA117" s="17">
        <f t="shared" si="13"/>
        <v>750</v>
      </c>
      <c r="AB117" s="4" t="s">
        <v>0</v>
      </c>
    </row>
    <row r="118" spans="1:28">
      <c r="A118" s="9" t="s">
        <v>77</v>
      </c>
      <c r="B118" s="19"/>
      <c r="C118" s="4"/>
      <c r="D118" s="20"/>
      <c r="E118" s="24"/>
      <c r="F118" s="20"/>
      <c r="G118" s="24"/>
      <c r="H118" s="4" t="s">
        <v>0</v>
      </c>
      <c r="I118" s="15" t="str">
        <f t="shared" si="0"/>
        <v>-</v>
      </c>
      <c r="J118" s="13">
        <f t="shared" si="2"/>
        <v>0</v>
      </c>
      <c r="K118" s="14">
        <f t="shared" si="2"/>
        <v>0</v>
      </c>
      <c r="L118" s="16">
        <f t="shared" si="3"/>
        <v>0</v>
      </c>
      <c r="M118" s="17">
        <f t="shared" si="4"/>
        <v>0</v>
      </c>
      <c r="N118" s="13">
        <f t="shared" si="5"/>
        <v>0</v>
      </c>
      <c r="O118" s="14">
        <f t="shared" si="5"/>
        <v>0</v>
      </c>
      <c r="P118" s="16">
        <f t="shared" si="6"/>
        <v>0</v>
      </c>
      <c r="Q118" s="17">
        <f t="shared" si="7"/>
        <v>0</v>
      </c>
      <c r="R118" s="4" t="s">
        <v>0</v>
      </c>
      <c r="S118" s="15" t="str">
        <f t="shared" si="8"/>
        <v>-</v>
      </c>
      <c r="T118" s="13">
        <f t="shared" si="9"/>
        <v>0</v>
      </c>
      <c r="U118" s="17">
        <f t="shared" si="10"/>
        <v>750</v>
      </c>
      <c r="V118" s="13">
        <f t="shared" si="66"/>
        <v>0</v>
      </c>
      <c r="W118" s="17">
        <f t="shared" si="11"/>
        <v>750</v>
      </c>
      <c r="X118" s="13">
        <f t="shared" si="67"/>
        <v>0</v>
      </c>
      <c r="Y118" s="17">
        <f t="shared" si="12"/>
        <v>750</v>
      </c>
      <c r="Z118" s="13">
        <f t="shared" si="68"/>
        <v>0</v>
      </c>
      <c r="AA118" s="17">
        <f t="shared" si="13"/>
        <v>750</v>
      </c>
      <c r="AB118" s="4" t="s">
        <v>0</v>
      </c>
    </row>
    <row r="119" spans="1:28">
      <c r="A119" s="9" t="s">
        <v>77</v>
      </c>
      <c r="B119" s="19"/>
      <c r="C119" s="4"/>
      <c r="D119" s="20"/>
      <c r="E119" s="24"/>
      <c r="F119" s="20"/>
      <c r="G119" s="24"/>
      <c r="H119" s="4" t="s">
        <v>0</v>
      </c>
      <c r="I119" s="15" t="str">
        <f t="shared" si="0"/>
        <v>-</v>
      </c>
      <c r="J119" s="13">
        <f t="shared" si="2"/>
        <v>0</v>
      </c>
      <c r="K119" s="14">
        <f t="shared" si="2"/>
        <v>0</v>
      </c>
      <c r="L119" s="16">
        <f t="shared" si="3"/>
        <v>0</v>
      </c>
      <c r="M119" s="17">
        <f t="shared" si="4"/>
        <v>0</v>
      </c>
      <c r="N119" s="13">
        <f t="shared" si="5"/>
        <v>0</v>
      </c>
      <c r="O119" s="14">
        <f t="shared" si="5"/>
        <v>0</v>
      </c>
      <c r="P119" s="16">
        <f t="shared" si="6"/>
        <v>0</v>
      </c>
      <c r="Q119" s="17">
        <f t="shared" si="7"/>
        <v>0</v>
      </c>
      <c r="R119" s="4" t="s">
        <v>0</v>
      </c>
      <c r="S119" s="15" t="str">
        <f t="shared" si="8"/>
        <v>-</v>
      </c>
      <c r="T119" s="13">
        <f t="shared" si="9"/>
        <v>0</v>
      </c>
      <c r="U119" s="17">
        <f t="shared" si="10"/>
        <v>750</v>
      </c>
      <c r="V119" s="13">
        <f t="shared" si="66"/>
        <v>0</v>
      </c>
      <c r="W119" s="17">
        <f t="shared" si="11"/>
        <v>750</v>
      </c>
      <c r="X119" s="13">
        <f t="shared" si="67"/>
        <v>0</v>
      </c>
      <c r="Y119" s="17">
        <f t="shared" si="12"/>
        <v>750</v>
      </c>
      <c r="Z119" s="13">
        <f t="shared" si="68"/>
        <v>0</v>
      </c>
      <c r="AA119" s="17">
        <f t="shared" si="13"/>
        <v>750</v>
      </c>
      <c r="AB119" s="4" t="s">
        <v>0</v>
      </c>
    </row>
    <row r="120" spans="1:28">
      <c r="A120" s="9" t="s">
        <v>77</v>
      </c>
      <c r="B120" s="19"/>
      <c r="C120" s="4"/>
      <c r="D120" s="20"/>
      <c r="E120" s="24"/>
      <c r="F120" s="20"/>
      <c r="G120" s="24"/>
      <c r="H120" s="4" t="s">
        <v>0</v>
      </c>
      <c r="I120" s="15" t="str">
        <f t="shared" si="0"/>
        <v>-</v>
      </c>
      <c r="J120" s="13">
        <f t="shared" si="2"/>
        <v>0</v>
      </c>
      <c r="K120" s="14">
        <f t="shared" si="2"/>
        <v>0</v>
      </c>
      <c r="L120" s="16">
        <f t="shared" si="3"/>
        <v>0</v>
      </c>
      <c r="M120" s="17">
        <f t="shared" si="4"/>
        <v>0</v>
      </c>
      <c r="N120" s="13">
        <f t="shared" si="5"/>
        <v>0</v>
      </c>
      <c r="O120" s="14">
        <f t="shared" si="5"/>
        <v>0</v>
      </c>
      <c r="P120" s="16">
        <f t="shared" si="6"/>
        <v>0</v>
      </c>
      <c r="Q120" s="17">
        <f t="shared" si="7"/>
        <v>0</v>
      </c>
      <c r="R120" s="4" t="s">
        <v>0</v>
      </c>
      <c r="S120" s="15" t="str">
        <f t="shared" si="8"/>
        <v>-</v>
      </c>
      <c r="T120" s="13">
        <f t="shared" si="9"/>
        <v>0</v>
      </c>
      <c r="U120" s="17">
        <f t="shared" si="10"/>
        <v>750</v>
      </c>
      <c r="V120" s="13">
        <f t="shared" si="66"/>
        <v>0</v>
      </c>
      <c r="W120" s="17">
        <f t="shared" si="11"/>
        <v>750</v>
      </c>
      <c r="X120" s="13">
        <f t="shared" si="67"/>
        <v>0</v>
      </c>
      <c r="Y120" s="17">
        <f t="shared" si="12"/>
        <v>750</v>
      </c>
      <c r="Z120" s="13">
        <f t="shared" si="68"/>
        <v>0</v>
      </c>
      <c r="AA120" s="17">
        <f t="shared" si="13"/>
        <v>750</v>
      </c>
      <c r="AB120" s="4" t="s">
        <v>0</v>
      </c>
    </row>
    <row r="121" spans="1:28">
      <c r="A121" s="9" t="s">
        <v>77</v>
      </c>
      <c r="B121" s="19"/>
      <c r="C121" s="4"/>
      <c r="D121" s="20"/>
      <c r="E121" s="24"/>
      <c r="F121" s="20"/>
      <c r="G121" s="24"/>
      <c r="H121" s="4" t="s">
        <v>0</v>
      </c>
      <c r="I121" s="15" t="str">
        <f t="shared" si="0"/>
        <v>-</v>
      </c>
      <c r="J121" s="13">
        <f t="shared" si="2"/>
        <v>0</v>
      </c>
      <c r="K121" s="14">
        <f t="shared" si="2"/>
        <v>0</v>
      </c>
      <c r="L121" s="16">
        <f t="shared" si="3"/>
        <v>0</v>
      </c>
      <c r="M121" s="17">
        <f t="shared" si="4"/>
        <v>0</v>
      </c>
      <c r="N121" s="13">
        <f t="shared" si="5"/>
        <v>0</v>
      </c>
      <c r="O121" s="14">
        <f t="shared" si="5"/>
        <v>0</v>
      </c>
      <c r="P121" s="16">
        <f t="shared" si="6"/>
        <v>0</v>
      </c>
      <c r="Q121" s="17">
        <f t="shared" si="7"/>
        <v>0</v>
      </c>
      <c r="R121" s="4" t="s">
        <v>0</v>
      </c>
      <c r="S121" s="15" t="str">
        <f t="shared" si="8"/>
        <v>-</v>
      </c>
      <c r="T121" s="13">
        <f t="shared" si="9"/>
        <v>0</v>
      </c>
      <c r="U121" s="17">
        <f t="shared" si="10"/>
        <v>750</v>
      </c>
      <c r="V121" s="13">
        <f t="shared" si="66"/>
        <v>0</v>
      </c>
      <c r="W121" s="17">
        <f t="shared" si="11"/>
        <v>750</v>
      </c>
      <c r="X121" s="13">
        <f t="shared" si="67"/>
        <v>0</v>
      </c>
      <c r="Y121" s="17">
        <f t="shared" si="12"/>
        <v>750</v>
      </c>
      <c r="Z121" s="13">
        <f t="shared" si="68"/>
        <v>0</v>
      </c>
      <c r="AA121" s="17">
        <f t="shared" si="13"/>
        <v>750</v>
      </c>
      <c r="AB121" s="4" t="s">
        <v>0</v>
      </c>
    </row>
    <row r="122" spans="1:28">
      <c r="A122" s="9" t="s">
        <v>77</v>
      </c>
      <c r="B122" s="19"/>
      <c r="C122" s="4"/>
      <c r="D122" s="20"/>
      <c r="E122" s="24"/>
      <c r="F122" s="20"/>
      <c r="G122" s="24"/>
      <c r="H122" s="4" t="s">
        <v>0</v>
      </c>
      <c r="I122" s="15" t="str">
        <f t="shared" si="0"/>
        <v>-</v>
      </c>
      <c r="J122" s="13">
        <f t="shared" si="2"/>
        <v>0</v>
      </c>
      <c r="K122" s="14">
        <f t="shared" si="2"/>
        <v>0</v>
      </c>
      <c r="L122" s="16">
        <f t="shared" si="3"/>
        <v>0</v>
      </c>
      <c r="M122" s="17">
        <f t="shared" si="4"/>
        <v>0</v>
      </c>
      <c r="N122" s="13">
        <f t="shared" si="5"/>
        <v>0</v>
      </c>
      <c r="O122" s="14">
        <f t="shared" si="5"/>
        <v>0</v>
      </c>
      <c r="P122" s="16">
        <f t="shared" si="6"/>
        <v>0</v>
      </c>
      <c r="Q122" s="17">
        <f t="shared" si="7"/>
        <v>0</v>
      </c>
      <c r="R122" s="4" t="s">
        <v>0</v>
      </c>
      <c r="S122" s="15" t="str">
        <f t="shared" si="8"/>
        <v>-</v>
      </c>
      <c r="T122" s="13">
        <f t="shared" si="9"/>
        <v>0</v>
      </c>
      <c r="U122" s="17">
        <f t="shared" si="10"/>
        <v>750</v>
      </c>
      <c r="V122" s="13">
        <f t="shared" si="66"/>
        <v>0</v>
      </c>
      <c r="W122" s="17">
        <f t="shared" si="11"/>
        <v>750</v>
      </c>
      <c r="X122" s="13">
        <f t="shared" si="67"/>
        <v>0</v>
      </c>
      <c r="Y122" s="17">
        <f t="shared" si="12"/>
        <v>750</v>
      </c>
      <c r="Z122" s="13">
        <f t="shared" si="68"/>
        <v>0</v>
      </c>
      <c r="AA122" s="17">
        <f t="shared" si="13"/>
        <v>750</v>
      </c>
      <c r="AB122" s="4" t="s">
        <v>0</v>
      </c>
    </row>
    <row r="123" spans="1:28">
      <c r="A123" s="9" t="s">
        <v>77</v>
      </c>
      <c r="B123" s="19"/>
      <c r="C123" s="4"/>
      <c r="D123" s="20"/>
      <c r="E123" s="24"/>
      <c r="F123" s="20"/>
      <c r="G123" s="24"/>
      <c r="H123" s="4" t="s">
        <v>0</v>
      </c>
      <c r="I123" s="15" t="str">
        <f t="shared" si="0"/>
        <v>-</v>
      </c>
      <c r="J123" s="13">
        <f t="shared" si="2"/>
        <v>0</v>
      </c>
      <c r="K123" s="14">
        <f t="shared" si="2"/>
        <v>0</v>
      </c>
      <c r="L123" s="16">
        <f t="shared" si="3"/>
        <v>0</v>
      </c>
      <c r="M123" s="17">
        <f t="shared" si="4"/>
        <v>0</v>
      </c>
      <c r="N123" s="13">
        <f t="shared" si="5"/>
        <v>0</v>
      </c>
      <c r="O123" s="14">
        <f t="shared" si="5"/>
        <v>0</v>
      </c>
      <c r="P123" s="16">
        <f t="shared" si="6"/>
        <v>0</v>
      </c>
      <c r="Q123" s="17">
        <f t="shared" si="7"/>
        <v>0</v>
      </c>
      <c r="R123" s="4" t="s">
        <v>0</v>
      </c>
      <c r="S123" s="15" t="str">
        <f t="shared" si="8"/>
        <v>-</v>
      </c>
      <c r="T123" s="13">
        <f t="shared" si="9"/>
        <v>0</v>
      </c>
      <c r="U123" s="17">
        <f t="shared" si="10"/>
        <v>750</v>
      </c>
      <c r="V123" s="13">
        <f t="shared" si="66"/>
        <v>0</v>
      </c>
      <c r="W123" s="17">
        <f t="shared" si="11"/>
        <v>750</v>
      </c>
      <c r="X123" s="13">
        <f t="shared" si="67"/>
        <v>0</v>
      </c>
      <c r="Y123" s="17">
        <f t="shared" si="12"/>
        <v>750</v>
      </c>
      <c r="Z123" s="13">
        <f t="shared" si="68"/>
        <v>0</v>
      </c>
      <c r="AA123" s="17">
        <f t="shared" si="13"/>
        <v>750</v>
      </c>
      <c r="AB123" s="4" t="s">
        <v>0</v>
      </c>
    </row>
    <row r="124" spans="1:28">
      <c r="A124" s="9" t="s">
        <v>77</v>
      </c>
      <c r="B124" s="19"/>
      <c r="C124" s="4"/>
      <c r="D124" s="20"/>
      <c r="E124" s="24"/>
      <c r="F124" s="20"/>
      <c r="G124" s="24"/>
      <c r="H124" s="4" t="s">
        <v>0</v>
      </c>
      <c r="I124" s="15" t="str">
        <f t="shared" si="0"/>
        <v>-</v>
      </c>
      <c r="J124" s="13">
        <f t="shared" si="2"/>
        <v>0</v>
      </c>
      <c r="K124" s="14">
        <f t="shared" si="2"/>
        <v>0</v>
      </c>
      <c r="L124" s="16">
        <f t="shared" si="3"/>
        <v>0</v>
      </c>
      <c r="M124" s="17">
        <f t="shared" si="4"/>
        <v>0</v>
      </c>
      <c r="N124" s="13">
        <f t="shared" si="5"/>
        <v>0</v>
      </c>
      <c r="O124" s="14">
        <f t="shared" si="5"/>
        <v>0</v>
      </c>
      <c r="P124" s="16">
        <f t="shared" si="6"/>
        <v>0</v>
      </c>
      <c r="Q124" s="17">
        <f t="shared" si="7"/>
        <v>0</v>
      </c>
      <c r="R124" s="4" t="s">
        <v>0</v>
      </c>
      <c r="S124" s="15" t="str">
        <f t="shared" si="8"/>
        <v>-</v>
      </c>
      <c r="T124" s="13">
        <f t="shared" si="9"/>
        <v>0</v>
      </c>
      <c r="U124" s="17">
        <f t="shared" si="10"/>
        <v>750</v>
      </c>
      <c r="V124" s="13">
        <f t="shared" si="66"/>
        <v>0</v>
      </c>
      <c r="W124" s="17">
        <f t="shared" si="11"/>
        <v>750</v>
      </c>
      <c r="X124" s="13">
        <f t="shared" si="67"/>
        <v>0</v>
      </c>
      <c r="Y124" s="17">
        <f t="shared" si="12"/>
        <v>750</v>
      </c>
      <c r="Z124" s="13">
        <f t="shared" si="68"/>
        <v>0</v>
      </c>
      <c r="AA124" s="17">
        <f t="shared" si="13"/>
        <v>750</v>
      </c>
      <c r="AB124" s="4" t="s">
        <v>0</v>
      </c>
    </row>
    <row r="125" spans="1:28">
      <c r="A125" s="9" t="s">
        <v>77</v>
      </c>
      <c r="B125" s="19"/>
      <c r="C125" s="4"/>
      <c r="D125" s="20"/>
      <c r="E125" s="24"/>
      <c r="F125" s="20"/>
      <c r="G125" s="24"/>
      <c r="H125" s="4" t="s">
        <v>0</v>
      </c>
      <c r="I125" s="15" t="str">
        <f t="shared" si="0"/>
        <v>-</v>
      </c>
      <c r="J125" s="13">
        <f t="shared" si="2"/>
        <v>0</v>
      </c>
      <c r="K125" s="14">
        <f t="shared" si="2"/>
        <v>0</v>
      </c>
      <c r="L125" s="16">
        <f t="shared" si="3"/>
        <v>0</v>
      </c>
      <c r="M125" s="17">
        <f t="shared" si="4"/>
        <v>0</v>
      </c>
      <c r="N125" s="13">
        <f t="shared" si="5"/>
        <v>0</v>
      </c>
      <c r="O125" s="14">
        <f t="shared" si="5"/>
        <v>0</v>
      </c>
      <c r="P125" s="16">
        <f t="shared" si="6"/>
        <v>0</v>
      </c>
      <c r="Q125" s="17">
        <f t="shared" si="7"/>
        <v>0</v>
      </c>
      <c r="R125" s="4" t="s">
        <v>0</v>
      </c>
      <c r="S125" s="15" t="str">
        <f t="shared" si="8"/>
        <v>-</v>
      </c>
      <c r="T125" s="13">
        <f t="shared" si="9"/>
        <v>0</v>
      </c>
      <c r="U125" s="17">
        <f t="shared" si="10"/>
        <v>750</v>
      </c>
      <c r="V125" s="13">
        <f t="shared" si="66"/>
        <v>0</v>
      </c>
      <c r="W125" s="17">
        <f t="shared" si="11"/>
        <v>750</v>
      </c>
      <c r="X125" s="13">
        <f t="shared" si="67"/>
        <v>0</v>
      </c>
      <c r="Y125" s="17">
        <f t="shared" si="12"/>
        <v>750</v>
      </c>
      <c r="Z125" s="13">
        <f t="shared" si="68"/>
        <v>0</v>
      </c>
      <c r="AA125" s="17">
        <f t="shared" si="13"/>
        <v>750</v>
      </c>
      <c r="AB125" s="4" t="s">
        <v>0</v>
      </c>
    </row>
    <row r="126" spans="1:28">
      <c r="A126" s="9" t="s">
        <v>77</v>
      </c>
      <c r="B126" s="19"/>
      <c r="C126" s="4"/>
      <c r="D126" s="20"/>
      <c r="E126" s="24"/>
      <c r="F126" s="20"/>
      <c r="G126" s="24"/>
      <c r="H126" s="4" t="s">
        <v>0</v>
      </c>
      <c r="I126" s="15" t="str">
        <f t="shared" si="0"/>
        <v>-</v>
      </c>
      <c r="J126" s="13">
        <f t="shared" si="2"/>
        <v>0</v>
      </c>
      <c r="K126" s="14">
        <f t="shared" si="2"/>
        <v>0</v>
      </c>
      <c r="L126" s="16">
        <f t="shared" si="3"/>
        <v>0</v>
      </c>
      <c r="M126" s="17">
        <f t="shared" si="4"/>
        <v>0</v>
      </c>
      <c r="N126" s="13">
        <f t="shared" si="5"/>
        <v>0</v>
      </c>
      <c r="O126" s="14">
        <f t="shared" si="5"/>
        <v>0</v>
      </c>
      <c r="P126" s="16">
        <f t="shared" si="6"/>
        <v>0</v>
      </c>
      <c r="Q126" s="17">
        <f t="shared" si="7"/>
        <v>0</v>
      </c>
      <c r="R126" s="4" t="s">
        <v>0</v>
      </c>
      <c r="S126" s="15" t="str">
        <f t="shared" si="8"/>
        <v>-</v>
      </c>
      <c r="T126" s="13">
        <f t="shared" si="9"/>
        <v>0</v>
      </c>
      <c r="U126" s="17">
        <f t="shared" si="10"/>
        <v>750</v>
      </c>
      <c r="V126" s="13">
        <f t="shared" si="66"/>
        <v>0</v>
      </c>
      <c r="W126" s="17">
        <f t="shared" si="11"/>
        <v>750</v>
      </c>
      <c r="X126" s="13">
        <f t="shared" si="67"/>
        <v>0</v>
      </c>
      <c r="Y126" s="17">
        <f t="shared" si="12"/>
        <v>750</v>
      </c>
      <c r="Z126" s="13">
        <f t="shared" si="68"/>
        <v>0</v>
      </c>
      <c r="AA126" s="17">
        <f t="shared" si="13"/>
        <v>750</v>
      </c>
      <c r="AB126" s="4" t="s">
        <v>0</v>
      </c>
    </row>
    <row r="127" spans="1:28">
      <c r="A127" s="9" t="s">
        <v>77</v>
      </c>
      <c r="B127" s="19"/>
      <c r="C127" s="4"/>
      <c r="D127" s="20"/>
      <c r="E127" s="24"/>
      <c r="F127" s="20"/>
      <c r="G127" s="24"/>
      <c r="H127" s="4" t="s">
        <v>0</v>
      </c>
      <c r="I127" s="15" t="str">
        <f t="shared" si="0"/>
        <v>-</v>
      </c>
      <c r="J127" s="13">
        <f t="shared" si="2"/>
        <v>0</v>
      </c>
      <c r="K127" s="14">
        <f t="shared" ref="K127:K172" si="69">IF(E127&lt;&gt;"",E127,0)</f>
        <v>0</v>
      </c>
      <c r="L127" s="16">
        <f t="shared" si="3"/>
        <v>0</v>
      </c>
      <c r="M127" s="17">
        <f t="shared" si="4"/>
        <v>0</v>
      </c>
      <c r="N127" s="13">
        <f t="shared" si="5"/>
        <v>0</v>
      </c>
      <c r="O127" s="14">
        <f t="shared" ref="O127:O172" si="70">IF(G127&lt;&gt;"",G127,0)</f>
        <v>0</v>
      </c>
      <c r="P127" s="16">
        <f t="shared" si="6"/>
        <v>0</v>
      </c>
      <c r="Q127" s="17">
        <f t="shared" si="7"/>
        <v>0</v>
      </c>
      <c r="R127" s="4" t="s">
        <v>0</v>
      </c>
      <c r="S127" s="15" t="str">
        <f t="shared" si="8"/>
        <v>-</v>
      </c>
      <c r="T127" s="13">
        <f t="shared" si="9"/>
        <v>0</v>
      </c>
      <c r="U127" s="17">
        <f t="shared" si="10"/>
        <v>750</v>
      </c>
      <c r="V127" s="13">
        <f t="shared" si="66"/>
        <v>0</v>
      </c>
      <c r="W127" s="17">
        <f t="shared" si="11"/>
        <v>750</v>
      </c>
      <c r="X127" s="13">
        <f t="shared" si="67"/>
        <v>0</v>
      </c>
      <c r="Y127" s="17">
        <f t="shared" si="12"/>
        <v>750</v>
      </c>
      <c r="Z127" s="13">
        <f t="shared" si="68"/>
        <v>0</v>
      </c>
      <c r="AA127" s="17">
        <f t="shared" si="13"/>
        <v>750</v>
      </c>
      <c r="AB127" s="4" t="s">
        <v>0</v>
      </c>
    </row>
    <row r="128" spans="1:28">
      <c r="A128" s="9" t="s">
        <v>77</v>
      </c>
      <c r="B128" s="19"/>
      <c r="C128" s="4"/>
      <c r="D128" s="20"/>
      <c r="E128" s="24"/>
      <c r="F128" s="20"/>
      <c r="G128" s="24"/>
      <c r="H128" s="4" t="s">
        <v>0</v>
      </c>
      <c r="I128" s="15" t="str">
        <f t="shared" si="0"/>
        <v>-</v>
      </c>
      <c r="J128" s="13">
        <f t="shared" ref="J128:J172" si="71">IF(D128&lt;&gt;"",D128,0)</f>
        <v>0</v>
      </c>
      <c r="K128" s="14">
        <f t="shared" si="69"/>
        <v>0</v>
      </c>
      <c r="L128" s="16">
        <f t="shared" si="3"/>
        <v>0</v>
      </c>
      <c r="M128" s="17">
        <f t="shared" si="4"/>
        <v>0</v>
      </c>
      <c r="N128" s="13">
        <f t="shared" ref="N128:N172" si="72">IF(F128&lt;&gt;"",F128,0)</f>
        <v>0</v>
      </c>
      <c r="O128" s="14">
        <f t="shared" si="70"/>
        <v>0</v>
      </c>
      <c r="P128" s="16">
        <f t="shared" si="6"/>
        <v>0</v>
      </c>
      <c r="Q128" s="17">
        <f t="shared" si="7"/>
        <v>0</v>
      </c>
      <c r="R128" s="4" t="s">
        <v>0</v>
      </c>
      <c r="S128" s="15" t="str">
        <f t="shared" si="8"/>
        <v>-</v>
      </c>
      <c r="T128" s="13">
        <f t="shared" si="9"/>
        <v>0</v>
      </c>
      <c r="U128" s="17">
        <f t="shared" si="10"/>
        <v>750</v>
      </c>
      <c r="V128" s="13">
        <f t="shared" si="66"/>
        <v>0</v>
      </c>
      <c r="W128" s="17">
        <f t="shared" si="11"/>
        <v>750</v>
      </c>
      <c r="X128" s="13">
        <f t="shared" si="67"/>
        <v>0</v>
      </c>
      <c r="Y128" s="17">
        <f t="shared" si="12"/>
        <v>750</v>
      </c>
      <c r="Z128" s="13">
        <f t="shared" si="68"/>
        <v>0</v>
      </c>
      <c r="AA128" s="17">
        <f t="shared" si="13"/>
        <v>750</v>
      </c>
      <c r="AB128" s="4" t="s">
        <v>0</v>
      </c>
    </row>
    <row r="129" spans="1:28">
      <c r="A129" s="9" t="s">
        <v>77</v>
      </c>
      <c r="B129" s="19"/>
      <c r="C129" s="21"/>
      <c r="D129" s="20"/>
      <c r="E129" s="23"/>
      <c r="F129" s="20"/>
      <c r="G129" s="23"/>
      <c r="H129" s="4" t="s">
        <v>0</v>
      </c>
      <c r="I129" s="15" t="str">
        <f t="shared" si="0"/>
        <v>-</v>
      </c>
      <c r="J129" s="13">
        <f t="shared" si="71"/>
        <v>0</v>
      </c>
      <c r="K129" s="14">
        <f t="shared" si="69"/>
        <v>0</v>
      </c>
      <c r="L129" s="16">
        <f t="shared" si="3"/>
        <v>0</v>
      </c>
      <c r="M129" s="17">
        <f t="shared" si="4"/>
        <v>0</v>
      </c>
      <c r="N129" s="13">
        <f t="shared" si="72"/>
        <v>0</v>
      </c>
      <c r="O129" s="14">
        <f t="shared" si="70"/>
        <v>0</v>
      </c>
      <c r="P129" s="16">
        <f t="shared" si="6"/>
        <v>0</v>
      </c>
      <c r="Q129" s="17">
        <f t="shared" si="7"/>
        <v>0</v>
      </c>
      <c r="R129" s="4" t="s">
        <v>0</v>
      </c>
      <c r="S129" s="15" t="str">
        <f t="shared" si="8"/>
        <v>-</v>
      </c>
      <c r="T129" s="13">
        <f t="shared" si="9"/>
        <v>0</v>
      </c>
      <c r="U129" s="17">
        <f t="shared" si="10"/>
        <v>750</v>
      </c>
      <c r="V129" s="13">
        <f t="shared" si="66"/>
        <v>0</v>
      </c>
      <c r="W129" s="17">
        <f t="shared" si="11"/>
        <v>750</v>
      </c>
      <c r="X129" s="13">
        <f t="shared" si="67"/>
        <v>0</v>
      </c>
      <c r="Y129" s="17">
        <f t="shared" si="12"/>
        <v>750</v>
      </c>
      <c r="Z129" s="13">
        <f t="shared" si="68"/>
        <v>0</v>
      </c>
      <c r="AA129" s="17">
        <f t="shared" si="13"/>
        <v>750</v>
      </c>
      <c r="AB129" s="4" t="s">
        <v>0</v>
      </c>
    </row>
    <row r="130" spans="1:28">
      <c r="A130" s="9" t="s">
        <v>77</v>
      </c>
      <c r="B130" s="19"/>
      <c r="C130" s="21"/>
      <c r="D130" s="20"/>
      <c r="E130" s="24"/>
      <c r="F130" s="20"/>
      <c r="G130" s="24"/>
      <c r="H130" s="4" t="s">
        <v>0</v>
      </c>
      <c r="I130" s="15" t="str">
        <f t="shared" si="0"/>
        <v>-</v>
      </c>
      <c r="J130" s="13">
        <f t="shared" si="71"/>
        <v>0</v>
      </c>
      <c r="K130" s="14">
        <f t="shared" si="69"/>
        <v>0</v>
      </c>
      <c r="L130" s="16">
        <f t="shared" si="3"/>
        <v>0</v>
      </c>
      <c r="M130" s="17">
        <f t="shared" si="4"/>
        <v>0</v>
      </c>
      <c r="N130" s="13">
        <f t="shared" si="72"/>
        <v>0</v>
      </c>
      <c r="O130" s="14">
        <f t="shared" si="70"/>
        <v>0</v>
      </c>
      <c r="P130" s="16">
        <f t="shared" si="6"/>
        <v>0</v>
      </c>
      <c r="Q130" s="17">
        <f t="shared" si="7"/>
        <v>0</v>
      </c>
      <c r="R130" s="4" t="s">
        <v>0</v>
      </c>
      <c r="S130" s="15" t="str">
        <f t="shared" si="8"/>
        <v>-</v>
      </c>
      <c r="T130" s="13">
        <f t="shared" si="9"/>
        <v>0</v>
      </c>
      <c r="U130" s="17">
        <f t="shared" si="10"/>
        <v>750</v>
      </c>
      <c r="V130" s="13">
        <f t="shared" si="66"/>
        <v>0</v>
      </c>
      <c r="W130" s="17">
        <f t="shared" si="11"/>
        <v>750</v>
      </c>
      <c r="X130" s="13">
        <f t="shared" si="67"/>
        <v>0</v>
      </c>
      <c r="Y130" s="17">
        <f t="shared" si="12"/>
        <v>750</v>
      </c>
      <c r="Z130" s="13">
        <f t="shared" si="68"/>
        <v>0</v>
      </c>
      <c r="AA130" s="17">
        <f t="shared" si="13"/>
        <v>750</v>
      </c>
      <c r="AB130" s="4" t="s">
        <v>0</v>
      </c>
    </row>
    <row r="131" spans="1:28">
      <c r="A131" s="9" t="s">
        <v>77</v>
      </c>
      <c r="B131" s="19"/>
      <c r="C131" s="4"/>
      <c r="D131" s="20"/>
      <c r="E131" s="24"/>
      <c r="F131" s="20"/>
      <c r="G131" s="24"/>
      <c r="H131" s="4" t="s">
        <v>0</v>
      </c>
      <c r="I131" s="15" t="str">
        <f t="shared" si="0"/>
        <v>-</v>
      </c>
      <c r="J131" s="13">
        <f t="shared" si="71"/>
        <v>0</v>
      </c>
      <c r="K131" s="14">
        <f t="shared" si="69"/>
        <v>0</v>
      </c>
      <c r="L131" s="16">
        <f t="shared" si="3"/>
        <v>0</v>
      </c>
      <c r="M131" s="17">
        <f t="shared" si="4"/>
        <v>0</v>
      </c>
      <c r="N131" s="13">
        <f t="shared" si="72"/>
        <v>0</v>
      </c>
      <c r="O131" s="14">
        <f t="shared" si="70"/>
        <v>0</v>
      </c>
      <c r="P131" s="16">
        <f t="shared" si="6"/>
        <v>0</v>
      </c>
      <c r="Q131" s="17">
        <f t="shared" si="7"/>
        <v>0</v>
      </c>
      <c r="R131" s="4" t="s">
        <v>0</v>
      </c>
      <c r="S131" s="15" t="str">
        <f t="shared" si="8"/>
        <v>-</v>
      </c>
      <c r="T131" s="13">
        <f t="shared" si="9"/>
        <v>0</v>
      </c>
      <c r="U131" s="17">
        <f t="shared" si="10"/>
        <v>750</v>
      </c>
      <c r="V131" s="13">
        <f t="shared" si="66"/>
        <v>0</v>
      </c>
      <c r="W131" s="17">
        <f t="shared" si="11"/>
        <v>750</v>
      </c>
      <c r="X131" s="13">
        <f t="shared" si="67"/>
        <v>0</v>
      </c>
      <c r="Y131" s="17">
        <f t="shared" si="12"/>
        <v>750</v>
      </c>
      <c r="Z131" s="13">
        <f t="shared" si="68"/>
        <v>0</v>
      </c>
      <c r="AA131" s="17">
        <f t="shared" si="13"/>
        <v>750</v>
      </c>
      <c r="AB131" s="4" t="s">
        <v>0</v>
      </c>
    </row>
    <row r="132" spans="1:28">
      <c r="A132" s="9" t="s">
        <v>77</v>
      </c>
      <c r="B132" s="19"/>
      <c r="C132" s="4"/>
      <c r="D132" s="20"/>
      <c r="E132" s="24"/>
      <c r="F132" s="20"/>
      <c r="G132" s="24"/>
      <c r="H132" s="4" t="s">
        <v>0</v>
      </c>
      <c r="I132" s="15" t="str">
        <f t="shared" si="0"/>
        <v>-</v>
      </c>
      <c r="J132" s="13">
        <f t="shared" si="71"/>
        <v>0</v>
      </c>
      <c r="K132" s="14">
        <f t="shared" si="69"/>
        <v>0</v>
      </c>
      <c r="L132" s="16">
        <f t="shared" si="3"/>
        <v>0</v>
      </c>
      <c r="M132" s="17">
        <f t="shared" si="4"/>
        <v>0</v>
      </c>
      <c r="N132" s="13">
        <f t="shared" si="72"/>
        <v>0</v>
      </c>
      <c r="O132" s="14">
        <f t="shared" si="70"/>
        <v>0</v>
      </c>
      <c r="P132" s="16">
        <f t="shared" si="6"/>
        <v>0</v>
      </c>
      <c r="Q132" s="17">
        <f t="shared" si="7"/>
        <v>0</v>
      </c>
      <c r="R132" s="4" t="s">
        <v>0</v>
      </c>
      <c r="S132" s="15" t="str">
        <f t="shared" si="8"/>
        <v>-</v>
      </c>
      <c r="T132" s="13">
        <f t="shared" si="9"/>
        <v>0</v>
      </c>
      <c r="U132" s="17">
        <f t="shared" si="10"/>
        <v>750</v>
      </c>
      <c r="V132" s="13">
        <f t="shared" si="66"/>
        <v>0</v>
      </c>
      <c r="W132" s="17">
        <f t="shared" si="11"/>
        <v>750</v>
      </c>
      <c r="X132" s="13">
        <f t="shared" si="67"/>
        <v>0</v>
      </c>
      <c r="Y132" s="17">
        <f t="shared" si="12"/>
        <v>750</v>
      </c>
      <c r="Z132" s="13">
        <f t="shared" si="68"/>
        <v>0</v>
      </c>
      <c r="AA132" s="17">
        <f t="shared" si="13"/>
        <v>750</v>
      </c>
      <c r="AB132" s="4" t="s">
        <v>0</v>
      </c>
    </row>
    <row r="133" spans="1:28">
      <c r="A133" s="9" t="s">
        <v>77</v>
      </c>
      <c r="B133" s="19"/>
      <c r="C133" s="4"/>
      <c r="D133" s="20"/>
      <c r="E133" s="24"/>
      <c r="F133" s="20"/>
      <c r="G133" s="24"/>
      <c r="H133" s="4" t="s">
        <v>0</v>
      </c>
      <c r="I133" s="15" t="str">
        <f t="shared" si="0"/>
        <v>-</v>
      </c>
      <c r="J133" s="13">
        <f t="shared" si="71"/>
        <v>0</v>
      </c>
      <c r="K133" s="14">
        <f t="shared" si="69"/>
        <v>0</v>
      </c>
      <c r="L133" s="16">
        <f t="shared" si="3"/>
        <v>0</v>
      </c>
      <c r="M133" s="17">
        <f t="shared" si="4"/>
        <v>0</v>
      </c>
      <c r="N133" s="13">
        <f t="shared" si="72"/>
        <v>0</v>
      </c>
      <c r="O133" s="14">
        <f t="shared" si="70"/>
        <v>0</v>
      </c>
      <c r="P133" s="16">
        <f t="shared" si="6"/>
        <v>0</v>
      </c>
      <c r="Q133" s="17">
        <f t="shared" si="7"/>
        <v>0</v>
      </c>
      <c r="R133" s="4" t="s">
        <v>0</v>
      </c>
      <c r="S133" s="15" t="str">
        <f t="shared" si="8"/>
        <v>-</v>
      </c>
      <c r="T133" s="13">
        <f t="shared" si="9"/>
        <v>0</v>
      </c>
      <c r="U133" s="17">
        <f t="shared" si="10"/>
        <v>750</v>
      </c>
      <c r="V133" s="13">
        <f t="shared" si="66"/>
        <v>0</v>
      </c>
      <c r="W133" s="17">
        <f t="shared" si="11"/>
        <v>750</v>
      </c>
      <c r="X133" s="13">
        <f t="shared" si="67"/>
        <v>0</v>
      </c>
      <c r="Y133" s="17">
        <f t="shared" si="12"/>
        <v>750</v>
      </c>
      <c r="Z133" s="13">
        <f t="shared" si="68"/>
        <v>0</v>
      </c>
      <c r="AA133" s="17">
        <f t="shared" si="13"/>
        <v>750</v>
      </c>
      <c r="AB133" s="4" t="s">
        <v>0</v>
      </c>
    </row>
    <row r="134" spans="1:28">
      <c r="A134" s="9" t="s">
        <v>77</v>
      </c>
      <c r="B134" s="19"/>
      <c r="C134" s="4"/>
      <c r="D134" s="20"/>
      <c r="E134" s="24"/>
      <c r="F134" s="20"/>
      <c r="G134" s="24"/>
      <c r="H134" s="4" t="s">
        <v>0</v>
      </c>
      <c r="I134" s="15" t="str">
        <f t="shared" si="0"/>
        <v>-</v>
      </c>
      <c r="J134" s="13">
        <f t="shared" si="71"/>
        <v>0</v>
      </c>
      <c r="K134" s="14">
        <f t="shared" si="69"/>
        <v>0</v>
      </c>
      <c r="L134" s="16">
        <f t="shared" si="3"/>
        <v>0</v>
      </c>
      <c r="M134" s="17">
        <f t="shared" si="4"/>
        <v>0</v>
      </c>
      <c r="N134" s="13">
        <f t="shared" si="72"/>
        <v>0</v>
      </c>
      <c r="O134" s="14">
        <f t="shared" si="70"/>
        <v>0</v>
      </c>
      <c r="P134" s="16">
        <f t="shared" si="6"/>
        <v>0</v>
      </c>
      <c r="Q134" s="17">
        <f t="shared" si="7"/>
        <v>0</v>
      </c>
      <c r="R134" s="4" t="s">
        <v>0</v>
      </c>
      <c r="S134" s="15" t="str">
        <f t="shared" si="8"/>
        <v>-</v>
      </c>
      <c r="T134" s="13">
        <f t="shared" si="9"/>
        <v>0</v>
      </c>
      <c r="U134" s="17">
        <f t="shared" si="10"/>
        <v>750</v>
      </c>
      <c r="V134" s="13">
        <f t="shared" si="66"/>
        <v>0</v>
      </c>
      <c r="W134" s="17">
        <f t="shared" si="11"/>
        <v>750</v>
      </c>
      <c r="X134" s="13">
        <f t="shared" si="67"/>
        <v>0</v>
      </c>
      <c r="Y134" s="17">
        <f t="shared" si="12"/>
        <v>750</v>
      </c>
      <c r="Z134" s="13">
        <f t="shared" si="68"/>
        <v>0</v>
      </c>
      <c r="AA134" s="17">
        <f t="shared" si="13"/>
        <v>750</v>
      </c>
      <c r="AB134" s="4" t="s">
        <v>0</v>
      </c>
    </row>
    <row r="135" spans="1:28">
      <c r="A135" s="9" t="s">
        <v>77</v>
      </c>
      <c r="B135" s="19"/>
      <c r="C135" s="4"/>
      <c r="D135" s="20"/>
      <c r="E135" s="24"/>
      <c r="F135" s="20"/>
      <c r="G135" s="24"/>
      <c r="H135" s="4" t="s">
        <v>0</v>
      </c>
      <c r="I135" s="15" t="str">
        <f t="shared" si="0"/>
        <v>-</v>
      </c>
      <c r="J135" s="13">
        <f t="shared" si="71"/>
        <v>0</v>
      </c>
      <c r="K135" s="14">
        <f t="shared" si="69"/>
        <v>0</v>
      </c>
      <c r="L135" s="16">
        <f t="shared" si="3"/>
        <v>0</v>
      </c>
      <c r="M135" s="17">
        <f t="shared" si="4"/>
        <v>0</v>
      </c>
      <c r="N135" s="13">
        <f t="shared" si="72"/>
        <v>0</v>
      </c>
      <c r="O135" s="14">
        <f t="shared" si="70"/>
        <v>0</v>
      </c>
      <c r="P135" s="16">
        <f t="shared" si="6"/>
        <v>0</v>
      </c>
      <c r="Q135" s="17">
        <f t="shared" si="7"/>
        <v>0</v>
      </c>
      <c r="R135" s="4" t="s">
        <v>0</v>
      </c>
      <c r="S135" s="15" t="str">
        <f t="shared" si="8"/>
        <v>-</v>
      </c>
      <c r="T135" s="13">
        <f t="shared" si="9"/>
        <v>0</v>
      </c>
      <c r="U135" s="17">
        <f t="shared" si="10"/>
        <v>750</v>
      </c>
      <c r="V135" s="13">
        <f t="shared" si="66"/>
        <v>0</v>
      </c>
      <c r="W135" s="17">
        <f t="shared" si="11"/>
        <v>750</v>
      </c>
      <c r="X135" s="13">
        <f t="shared" si="67"/>
        <v>0</v>
      </c>
      <c r="Y135" s="17">
        <f t="shared" si="12"/>
        <v>750</v>
      </c>
      <c r="Z135" s="13">
        <f t="shared" si="68"/>
        <v>0</v>
      </c>
      <c r="AA135" s="17">
        <f t="shared" si="13"/>
        <v>750</v>
      </c>
      <c r="AB135" s="4" t="s">
        <v>0</v>
      </c>
    </row>
    <row r="136" spans="1:28">
      <c r="A136" s="9" t="s">
        <v>77</v>
      </c>
      <c r="B136" s="19"/>
      <c r="C136" s="4"/>
      <c r="D136" s="20"/>
      <c r="E136" s="24"/>
      <c r="F136" s="20"/>
      <c r="G136" s="24"/>
      <c r="H136" s="4" t="s">
        <v>0</v>
      </c>
      <c r="I136" s="15" t="str">
        <f t="shared" si="0"/>
        <v>-</v>
      </c>
      <c r="J136" s="13">
        <f t="shared" si="71"/>
        <v>0</v>
      </c>
      <c r="K136" s="14">
        <f t="shared" si="69"/>
        <v>0</v>
      </c>
      <c r="L136" s="16">
        <f t="shared" si="3"/>
        <v>0</v>
      </c>
      <c r="M136" s="17">
        <f t="shared" si="4"/>
        <v>0</v>
      </c>
      <c r="N136" s="13">
        <f t="shared" si="72"/>
        <v>0</v>
      </c>
      <c r="O136" s="14">
        <f t="shared" si="70"/>
        <v>0</v>
      </c>
      <c r="P136" s="16">
        <f t="shared" si="6"/>
        <v>0</v>
      </c>
      <c r="Q136" s="17">
        <f t="shared" si="7"/>
        <v>0</v>
      </c>
      <c r="R136" s="4" t="s">
        <v>0</v>
      </c>
      <c r="S136" s="15" t="str">
        <f t="shared" si="8"/>
        <v>-</v>
      </c>
      <c r="T136" s="13">
        <f t="shared" si="9"/>
        <v>0</v>
      </c>
      <c r="U136" s="17">
        <f t="shared" si="10"/>
        <v>750</v>
      </c>
      <c r="V136" s="13">
        <f t="shared" si="66"/>
        <v>0</v>
      </c>
      <c r="W136" s="17">
        <f t="shared" si="11"/>
        <v>750</v>
      </c>
      <c r="X136" s="13">
        <f t="shared" si="67"/>
        <v>0</v>
      </c>
      <c r="Y136" s="17">
        <f t="shared" si="12"/>
        <v>750</v>
      </c>
      <c r="Z136" s="13">
        <f t="shared" si="68"/>
        <v>0</v>
      </c>
      <c r="AA136" s="17">
        <f t="shared" si="13"/>
        <v>750</v>
      </c>
      <c r="AB136" s="4" t="s">
        <v>0</v>
      </c>
    </row>
    <row r="137" spans="1:28">
      <c r="A137" s="9" t="s">
        <v>77</v>
      </c>
      <c r="B137" s="19"/>
      <c r="C137" s="4"/>
      <c r="D137" s="20"/>
      <c r="E137" s="24"/>
      <c r="F137" s="20"/>
      <c r="G137" s="24"/>
      <c r="H137" s="4" t="s">
        <v>0</v>
      </c>
      <c r="I137" s="15" t="str">
        <f t="shared" si="0"/>
        <v>-</v>
      </c>
      <c r="J137" s="13">
        <f t="shared" si="71"/>
        <v>0</v>
      </c>
      <c r="K137" s="14">
        <f t="shared" si="69"/>
        <v>0</v>
      </c>
      <c r="L137" s="16">
        <f t="shared" si="3"/>
        <v>0</v>
      </c>
      <c r="M137" s="17">
        <f t="shared" si="4"/>
        <v>0</v>
      </c>
      <c r="N137" s="13">
        <f t="shared" si="72"/>
        <v>0</v>
      </c>
      <c r="O137" s="14">
        <f t="shared" si="70"/>
        <v>0</v>
      </c>
      <c r="P137" s="16">
        <f t="shared" si="6"/>
        <v>0</v>
      </c>
      <c r="Q137" s="17">
        <f t="shared" si="7"/>
        <v>0</v>
      </c>
      <c r="R137" s="4" t="s">
        <v>0</v>
      </c>
      <c r="S137" s="15" t="str">
        <f t="shared" si="8"/>
        <v>-</v>
      </c>
      <c r="T137" s="13">
        <f t="shared" si="9"/>
        <v>0</v>
      </c>
      <c r="U137" s="17">
        <f t="shared" si="10"/>
        <v>750</v>
      </c>
      <c r="V137" s="13">
        <f t="shared" si="66"/>
        <v>0</v>
      </c>
      <c r="W137" s="17">
        <f t="shared" si="11"/>
        <v>750</v>
      </c>
      <c r="X137" s="13">
        <f t="shared" si="67"/>
        <v>0</v>
      </c>
      <c r="Y137" s="17">
        <f t="shared" si="12"/>
        <v>750</v>
      </c>
      <c r="Z137" s="13">
        <f t="shared" si="68"/>
        <v>0</v>
      </c>
      <c r="AA137" s="17">
        <f t="shared" si="13"/>
        <v>750</v>
      </c>
      <c r="AB137" s="4" t="s">
        <v>0</v>
      </c>
    </row>
    <row r="138" spans="1:28">
      <c r="A138" s="9" t="s">
        <v>77</v>
      </c>
      <c r="B138" s="19"/>
      <c r="C138" s="4"/>
      <c r="D138" s="20"/>
      <c r="E138" s="24"/>
      <c r="F138" s="20"/>
      <c r="G138" s="24"/>
      <c r="H138" s="4" t="s">
        <v>0</v>
      </c>
      <c r="I138" s="15" t="str">
        <f t="shared" si="0"/>
        <v>-</v>
      </c>
      <c r="J138" s="13">
        <f t="shared" si="71"/>
        <v>0</v>
      </c>
      <c r="K138" s="14">
        <f t="shared" si="69"/>
        <v>0</v>
      </c>
      <c r="L138" s="16">
        <f t="shared" si="3"/>
        <v>0</v>
      </c>
      <c r="M138" s="17">
        <f t="shared" si="4"/>
        <v>0</v>
      </c>
      <c r="N138" s="13">
        <f t="shared" si="72"/>
        <v>0</v>
      </c>
      <c r="O138" s="14">
        <f t="shared" si="70"/>
        <v>0</v>
      </c>
      <c r="P138" s="16">
        <f t="shared" si="6"/>
        <v>0</v>
      </c>
      <c r="Q138" s="17">
        <f t="shared" si="7"/>
        <v>0</v>
      </c>
      <c r="R138" s="4" t="s">
        <v>0</v>
      </c>
      <c r="S138" s="15" t="str">
        <f t="shared" si="8"/>
        <v>-</v>
      </c>
      <c r="T138" s="13">
        <f t="shared" si="9"/>
        <v>0</v>
      </c>
      <c r="U138" s="17">
        <f t="shared" si="10"/>
        <v>750</v>
      </c>
      <c r="V138" s="13">
        <f t="shared" si="66"/>
        <v>0</v>
      </c>
      <c r="W138" s="17">
        <f t="shared" si="11"/>
        <v>750</v>
      </c>
      <c r="X138" s="13">
        <f t="shared" si="67"/>
        <v>0</v>
      </c>
      <c r="Y138" s="17">
        <f t="shared" si="12"/>
        <v>750</v>
      </c>
      <c r="Z138" s="13">
        <f t="shared" si="68"/>
        <v>0</v>
      </c>
      <c r="AA138" s="17">
        <f t="shared" si="13"/>
        <v>750</v>
      </c>
      <c r="AB138" s="4" t="s">
        <v>0</v>
      </c>
    </row>
    <row r="139" spans="1:28">
      <c r="A139" s="9" t="s">
        <v>77</v>
      </c>
      <c r="B139" s="19"/>
      <c r="C139" s="4"/>
      <c r="D139" s="20"/>
      <c r="E139" s="24"/>
      <c r="F139" s="20"/>
      <c r="G139" s="24"/>
      <c r="H139" s="4" t="s">
        <v>0</v>
      </c>
      <c r="I139" s="15" t="str">
        <f t="shared" si="0"/>
        <v>-</v>
      </c>
      <c r="J139" s="13">
        <f t="shared" si="71"/>
        <v>0</v>
      </c>
      <c r="K139" s="14">
        <f t="shared" si="69"/>
        <v>0</v>
      </c>
      <c r="L139" s="16">
        <f t="shared" si="3"/>
        <v>0</v>
      </c>
      <c r="M139" s="17">
        <f t="shared" si="4"/>
        <v>0</v>
      </c>
      <c r="N139" s="13">
        <f t="shared" si="72"/>
        <v>0</v>
      </c>
      <c r="O139" s="14">
        <f t="shared" si="70"/>
        <v>0</v>
      </c>
      <c r="P139" s="16">
        <f t="shared" si="6"/>
        <v>0</v>
      </c>
      <c r="Q139" s="17">
        <f t="shared" si="7"/>
        <v>0</v>
      </c>
      <c r="R139" s="4" t="s">
        <v>0</v>
      </c>
      <c r="S139" s="15" t="str">
        <f t="shared" si="8"/>
        <v>-</v>
      </c>
      <c r="T139" s="13">
        <f t="shared" si="9"/>
        <v>0</v>
      </c>
      <c r="U139" s="17">
        <f t="shared" si="10"/>
        <v>750</v>
      </c>
      <c r="V139" s="13">
        <f t="shared" si="66"/>
        <v>0</v>
      </c>
      <c r="W139" s="17">
        <f t="shared" si="11"/>
        <v>750</v>
      </c>
      <c r="X139" s="13">
        <f t="shared" si="67"/>
        <v>0</v>
      </c>
      <c r="Y139" s="17">
        <f t="shared" si="12"/>
        <v>750</v>
      </c>
      <c r="Z139" s="13">
        <f t="shared" si="68"/>
        <v>0</v>
      </c>
      <c r="AA139" s="17">
        <f t="shared" si="13"/>
        <v>750</v>
      </c>
      <c r="AB139" s="4" t="s">
        <v>0</v>
      </c>
    </row>
    <row r="140" spans="1:28">
      <c r="A140" s="9" t="s">
        <v>77</v>
      </c>
      <c r="B140" s="19"/>
      <c r="C140" s="4"/>
      <c r="D140" s="20"/>
      <c r="E140" s="24"/>
      <c r="F140" s="20"/>
      <c r="G140" s="24"/>
      <c r="H140" s="4" t="s">
        <v>0</v>
      </c>
      <c r="I140" s="15" t="str">
        <f t="shared" si="0"/>
        <v>-</v>
      </c>
      <c r="J140" s="13">
        <f t="shared" si="71"/>
        <v>0</v>
      </c>
      <c r="K140" s="14">
        <f t="shared" si="69"/>
        <v>0</v>
      </c>
      <c r="L140" s="16">
        <f t="shared" si="3"/>
        <v>0</v>
      </c>
      <c r="M140" s="17">
        <f t="shared" si="4"/>
        <v>0</v>
      </c>
      <c r="N140" s="13">
        <f t="shared" si="72"/>
        <v>0</v>
      </c>
      <c r="O140" s="14">
        <f t="shared" si="70"/>
        <v>0</v>
      </c>
      <c r="P140" s="16">
        <f t="shared" si="6"/>
        <v>0</v>
      </c>
      <c r="Q140" s="17">
        <f t="shared" si="7"/>
        <v>0</v>
      </c>
      <c r="R140" s="4" t="s">
        <v>0</v>
      </c>
      <c r="S140" s="15" t="str">
        <f t="shared" si="8"/>
        <v>-</v>
      </c>
      <c r="T140" s="13">
        <f t="shared" si="9"/>
        <v>0</v>
      </c>
      <c r="U140" s="17">
        <f t="shared" si="10"/>
        <v>750</v>
      </c>
      <c r="V140" s="13">
        <f t="shared" si="66"/>
        <v>0</v>
      </c>
      <c r="W140" s="17">
        <f t="shared" si="11"/>
        <v>750</v>
      </c>
      <c r="X140" s="13">
        <f t="shared" si="67"/>
        <v>0</v>
      </c>
      <c r="Y140" s="17">
        <f t="shared" si="12"/>
        <v>750</v>
      </c>
      <c r="Z140" s="13">
        <f t="shared" si="68"/>
        <v>0</v>
      </c>
      <c r="AA140" s="17">
        <f t="shared" si="13"/>
        <v>750</v>
      </c>
      <c r="AB140" s="4" t="s">
        <v>0</v>
      </c>
    </row>
    <row r="141" spans="1:28">
      <c r="A141" s="9" t="s">
        <v>77</v>
      </c>
      <c r="B141" s="19"/>
      <c r="C141" s="4"/>
      <c r="D141" s="20"/>
      <c r="E141" s="24"/>
      <c r="F141" s="20"/>
      <c r="G141" s="24"/>
      <c r="H141" s="4" t="s">
        <v>0</v>
      </c>
      <c r="I141" s="15" t="str">
        <f t="shared" si="0"/>
        <v>-</v>
      </c>
      <c r="J141" s="13">
        <f t="shared" si="71"/>
        <v>0</v>
      </c>
      <c r="K141" s="14">
        <f t="shared" si="69"/>
        <v>0</v>
      </c>
      <c r="L141" s="16">
        <f t="shared" si="3"/>
        <v>0</v>
      </c>
      <c r="M141" s="17">
        <f t="shared" si="4"/>
        <v>0</v>
      </c>
      <c r="N141" s="13">
        <f t="shared" si="72"/>
        <v>0</v>
      </c>
      <c r="O141" s="14">
        <f t="shared" si="70"/>
        <v>0</v>
      </c>
      <c r="P141" s="16">
        <f t="shared" si="6"/>
        <v>0</v>
      </c>
      <c r="Q141" s="17">
        <f t="shared" si="7"/>
        <v>0</v>
      </c>
      <c r="R141" s="4" t="s">
        <v>0</v>
      </c>
      <c r="S141" s="15" t="str">
        <f t="shared" si="8"/>
        <v>-</v>
      </c>
      <c r="T141" s="13">
        <f t="shared" si="9"/>
        <v>0</v>
      </c>
      <c r="U141" s="17">
        <f t="shared" si="10"/>
        <v>750</v>
      </c>
      <c r="V141" s="13">
        <f t="shared" si="66"/>
        <v>0</v>
      </c>
      <c r="W141" s="17">
        <f t="shared" si="11"/>
        <v>750</v>
      </c>
      <c r="X141" s="13">
        <f t="shared" si="67"/>
        <v>0</v>
      </c>
      <c r="Y141" s="17">
        <f t="shared" si="12"/>
        <v>750</v>
      </c>
      <c r="Z141" s="13">
        <f t="shared" si="68"/>
        <v>0</v>
      </c>
      <c r="AA141" s="17">
        <f t="shared" si="13"/>
        <v>750</v>
      </c>
      <c r="AB141" s="4" t="s">
        <v>0</v>
      </c>
    </row>
    <row r="142" spans="1:28">
      <c r="A142" s="9" t="s">
        <v>77</v>
      </c>
      <c r="B142" s="19"/>
      <c r="C142" s="4"/>
      <c r="D142" s="20"/>
      <c r="E142" s="24"/>
      <c r="F142" s="20"/>
      <c r="G142" s="24"/>
      <c r="H142" s="4" t="s">
        <v>0</v>
      </c>
      <c r="I142" s="15" t="str">
        <f t="shared" si="0"/>
        <v>-</v>
      </c>
      <c r="J142" s="13">
        <f t="shared" si="71"/>
        <v>0</v>
      </c>
      <c r="K142" s="14">
        <f t="shared" si="69"/>
        <v>0</v>
      </c>
      <c r="L142" s="16">
        <f t="shared" si="3"/>
        <v>0</v>
      </c>
      <c r="M142" s="17">
        <f t="shared" si="4"/>
        <v>0</v>
      </c>
      <c r="N142" s="13">
        <f t="shared" si="72"/>
        <v>0</v>
      </c>
      <c r="O142" s="14">
        <f t="shared" si="70"/>
        <v>0</v>
      </c>
      <c r="P142" s="16">
        <f t="shared" si="6"/>
        <v>0</v>
      </c>
      <c r="Q142" s="17">
        <f t="shared" si="7"/>
        <v>0</v>
      </c>
      <c r="R142" s="4" t="s">
        <v>0</v>
      </c>
      <c r="S142" s="15" t="str">
        <f t="shared" si="8"/>
        <v>-</v>
      </c>
      <c r="T142" s="13">
        <f t="shared" si="9"/>
        <v>0</v>
      </c>
      <c r="U142" s="17">
        <f t="shared" si="10"/>
        <v>750</v>
      </c>
      <c r="V142" s="13">
        <f t="shared" si="66"/>
        <v>0</v>
      </c>
      <c r="W142" s="17">
        <f t="shared" si="11"/>
        <v>750</v>
      </c>
      <c r="X142" s="13">
        <f t="shared" si="67"/>
        <v>0</v>
      </c>
      <c r="Y142" s="17">
        <f t="shared" si="12"/>
        <v>750</v>
      </c>
      <c r="Z142" s="13">
        <f t="shared" si="68"/>
        <v>0</v>
      </c>
      <c r="AA142" s="17">
        <f t="shared" si="13"/>
        <v>750</v>
      </c>
      <c r="AB142" s="4" t="s">
        <v>0</v>
      </c>
    </row>
    <row r="143" spans="1:28">
      <c r="A143" s="9" t="s">
        <v>77</v>
      </c>
      <c r="B143" s="19"/>
      <c r="C143" s="4"/>
      <c r="D143" s="20"/>
      <c r="E143" s="24"/>
      <c r="F143" s="20"/>
      <c r="G143" s="24"/>
      <c r="H143" s="4" t="s">
        <v>0</v>
      </c>
      <c r="I143" s="15" t="str">
        <f t="shared" si="0"/>
        <v>-</v>
      </c>
      <c r="J143" s="13">
        <f t="shared" si="71"/>
        <v>0</v>
      </c>
      <c r="K143" s="14">
        <f t="shared" si="69"/>
        <v>0</v>
      </c>
      <c r="L143" s="16">
        <f t="shared" si="3"/>
        <v>0</v>
      </c>
      <c r="M143" s="17">
        <f t="shared" si="4"/>
        <v>0</v>
      </c>
      <c r="N143" s="13">
        <f t="shared" si="72"/>
        <v>0</v>
      </c>
      <c r="O143" s="14">
        <f t="shared" si="70"/>
        <v>0</v>
      </c>
      <c r="P143" s="16">
        <f t="shared" si="6"/>
        <v>0</v>
      </c>
      <c r="Q143" s="17">
        <f t="shared" si="7"/>
        <v>0</v>
      </c>
      <c r="R143" s="4" t="s">
        <v>0</v>
      </c>
      <c r="S143" s="15" t="str">
        <f t="shared" si="8"/>
        <v>-</v>
      </c>
      <c r="T143" s="13">
        <f t="shared" si="9"/>
        <v>0</v>
      </c>
      <c r="U143" s="17">
        <f t="shared" si="10"/>
        <v>750</v>
      </c>
      <c r="V143" s="13">
        <f t="shared" ref="V143:V172" si="73">IF(L143&lt;&gt;"",L143,"")</f>
        <v>0</v>
      </c>
      <c r="W143" s="17">
        <f t="shared" si="11"/>
        <v>750</v>
      </c>
      <c r="X143" s="13">
        <f t="shared" ref="X143:X172" si="74">IF(N143&lt;&gt;"",N143,"")</f>
        <v>0</v>
      </c>
      <c r="Y143" s="17">
        <f t="shared" si="12"/>
        <v>750</v>
      </c>
      <c r="Z143" s="13">
        <f t="shared" ref="Z143:Z172" si="75">IF(P143&lt;&gt;"",P143,"")</f>
        <v>0</v>
      </c>
      <c r="AA143" s="17">
        <f t="shared" si="13"/>
        <v>750</v>
      </c>
      <c r="AB143" s="4" t="s">
        <v>0</v>
      </c>
    </row>
    <row r="144" spans="1:28">
      <c r="A144" s="9" t="s">
        <v>77</v>
      </c>
      <c r="B144" s="19"/>
      <c r="C144" s="21"/>
      <c r="D144" s="20"/>
      <c r="E144" s="23"/>
      <c r="F144" s="20"/>
      <c r="G144" s="23"/>
      <c r="H144" s="4" t="s">
        <v>0</v>
      </c>
      <c r="I144" s="15" t="str">
        <f t="shared" si="0"/>
        <v>-</v>
      </c>
      <c r="J144" s="13">
        <f t="shared" si="71"/>
        <v>0</v>
      </c>
      <c r="K144" s="14">
        <f t="shared" si="69"/>
        <v>0</v>
      </c>
      <c r="L144" s="16">
        <f t="shared" si="3"/>
        <v>0</v>
      </c>
      <c r="M144" s="17">
        <f t="shared" si="4"/>
        <v>0</v>
      </c>
      <c r="N144" s="13">
        <f t="shared" si="72"/>
        <v>0</v>
      </c>
      <c r="O144" s="14">
        <f t="shared" si="70"/>
        <v>0</v>
      </c>
      <c r="P144" s="16">
        <f t="shared" si="6"/>
        <v>0</v>
      </c>
      <c r="Q144" s="17">
        <f t="shared" si="7"/>
        <v>0</v>
      </c>
      <c r="R144" s="4" t="s">
        <v>0</v>
      </c>
      <c r="S144" s="15" t="str">
        <f t="shared" si="8"/>
        <v>-</v>
      </c>
      <c r="T144" s="13">
        <f t="shared" si="9"/>
        <v>0</v>
      </c>
      <c r="U144" s="17">
        <f t="shared" si="10"/>
        <v>750</v>
      </c>
      <c r="V144" s="13">
        <f t="shared" si="73"/>
        <v>0</v>
      </c>
      <c r="W144" s="17">
        <f t="shared" si="11"/>
        <v>750</v>
      </c>
      <c r="X144" s="13">
        <f t="shared" si="74"/>
        <v>0</v>
      </c>
      <c r="Y144" s="17">
        <f t="shared" si="12"/>
        <v>750</v>
      </c>
      <c r="Z144" s="13">
        <f t="shared" si="75"/>
        <v>0</v>
      </c>
      <c r="AA144" s="17">
        <f t="shared" si="13"/>
        <v>750</v>
      </c>
      <c r="AB144" s="4" t="s">
        <v>0</v>
      </c>
    </row>
    <row r="145" spans="1:28">
      <c r="A145" s="9" t="s">
        <v>77</v>
      </c>
      <c r="B145" s="19"/>
      <c r="C145" s="21"/>
      <c r="D145" s="20"/>
      <c r="E145" s="24"/>
      <c r="F145" s="20"/>
      <c r="G145" s="24"/>
      <c r="H145" s="4" t="s">
        <v>0</v>
      </c>
      <c r="I145" s="15" t="str">
        <f t="shared" si="0"/>
        <v>-</v>
      </c>
      <c r="J145" s="13">
        <f t="shared" si="71"/>
        <v>0</v>
      </c>
      <c r="K145" s="14">
        <f t="shared" si="69"/>
        <v>0</v>
      </c>
      <c r="L145" s="16">
        <f t="shared" si="3"/>
        <v>0</v>
      </c>
      <c r="M145" s="17">
        <f t="shared" si="4"/>
        <v>0</v>
      </c>
      <c r="N145" s="13">
        <f t="shared" si="72"/>
        <v>0</v>
      </c>
      <c r="O145" s="14">
        <f t="shared" si="70"/>
        <v>0</v>
      </c>
      <c r="P145" s="16">
        <f t="shared" si="6"/>
        <v>0</v>
      </c>
      <c r="Q145" s="17">
        <f t="shared" si="7"/>
        <v>0</v>
      </c>
      <c r="R145" s="4" t="s">
        <v>0</v>
      </c>
      <c r="S145" s="15" t="str">
        <f t="shared" si="8"/>
        <v>-</v>
      </c>
      <c r="T145" s="13">
        <f t="shared" si="9"/>
        <v>0</v>
      </c>
      <c r="U145" s="17">
        <f t="shared" si="10"/>
        <v>750</v>
      </c>
      <c r="V145" s="13">
        <f t="shared" si="73"/>
        <v>0</v>
      </c>
      <c r="W145" s="17">
        <f t="shared" si="11"/>
        <v>750</v>
      </c>
      <c r="X145" s="13">
        <f t="shared" si="74"/>
        <v>0</v>
      </c>
      <c r="Y145" s="17">
        <f t="shared" si="12"/>
        <v>750</v>
      </c>
      <c r="Z145" s="13">
        <f t="shared" si="75"/>
        <v>0</v>
      </c>
      <c r="AA145" s="17">
        <f t="shared" si="13"/>
        <v>750</v>
      </c>
      <c r="AB145" s="4" t="s">
        <v>0</v>
      </c>
    </row>
    <row r="146" spans="1:28">
      <c r="A146" s="9" t="s">
        <v>77</v>
      </c>
      <c r="B146" s="19"/>
      <c r="C146" s="4"/>
      <c r="D146" s="20"/>
      <c r="E146" s="24"/>
      <c r="F146" s="20"/>
      <c r="G146" s="24"/>
      <c r="H146" s="4" t="s">
        <v>0</v>
      </c>
      <c r="I146" s="15" t="str">
        <f t="shared" si="0"/>
        <v>-</v>
      </c>
      <c r="J146" s="13">
        <f t="shared" si="71"/>
        <v>0</v>
      </c>
      <c r="K146" s="14">
        <f t="shared" si="69"/>
        <v>0</v>
      </c>
      <c r="L146" s="16">
        <f t="shared" si="3"/>
        <v>0</v>
      </c>
      <c r="M146" s="17">
        <f t="shared" si="4"/>
        <v>0</v>
      </c>
      <c r="N146" s="13">
        <f t="shared" si="72"/>
        <v>0</v>
      </c>
      <c r="O146" s="14">
        <f t="shared" si="70"/>
        <v>0</v>
      </c>
      <c r="P146" s="16">
        <f t="shared" si="6"/>
        <v>0</v>
      </c>
      <c r="Q146" s="17">
        <f t="shared" si="7"/>
        <v>0</v>
      </c>
      <c r="R146" s="4" t="s">
        <v>0</v>
      </c>
      <c r="S146" s="15" t="str">
        <f t="shared" si="8"/>
        <v>-</v>
      </c>
      <c r="T146" s="13">
        <f t="shared" si="9"/>
        <v>0</v>
      </c>
      <c r="U146" s="17">
        <f t="shared" si="10"/>
        <v>750</v>
      </c>
      <c r="V146" s="13">
        <f t="shared" si="73"/>
        <v>0</v>
      </c>
      <c r="W146" s="17">
        <f t="shared" si="11"/>
        <v>750</v>
      </c>
      <c r="X146" s="13">
        <f t="shared" si="74"/>
        <v>0</v>
      </c>
      <c r="Y146" s="17">
        <f t="shared" si="12"/>
        <v>750</v>
      </c>
      <c r="Z146" s="13">
        <f t="shared" si="75"/>
        <v>0</v>
      </c>
      <c r="AA146" s="17">
        <f t="shared" si="13"/>
        <v>750</v>
      </c>
      <c r="AB146" s="4" t="s">
        <v>0</v>
      </c>
    </row>
    <row r="147" spans="1:28">
      <c r="A147" s="9" t="s">
        <v>77</v>
      </c>
      <c r="B147" s="19"/>
      <c r="C147" s="4"/>
      <c r="D147" s="20"/>
      <c r="E147" s="24"/>
      <c r="F147" s="20"/>
      <c r="G147" s="24"/>
      <c r="H147" s="4" t="s">
        <v>0</v>
      </c>
      <c r="I147" s="15" t="str">
        <f t="shared" si="0"/>
        <v>-</v>
      </c>
      <c r="J147" s="13">
        <f t="shared" si="71"/>
        <v>0</v>
      </c>
      <c r="K147" s="14">
        <f t="shared" si="69"/>
        <v>0</v>
      </c>
      <c r="L147" s="16">
        <f t="shared" si="3"/>
        <v>0</v>
      </c>
      <c r="M147" s="17">
        <f t="shared" si="4"/>
        <v>0</v>
      </c>
      <c r="N147" s="13">
        <f t="shared" si="72"/>
        <v>0</v>
      </c>
      <c r="O147" s="14">
        <f t="shared" si="70"/>
        <v>0</v>
      </c>
      <c r="P147" s="16">
        <f t="shared" si="6"/>
        <v>0</v>
      </c>
      <c r="Q147" s="17">
        <f t="shared" si="7"/>
        <v>0</v>
      </c>
      <c r="R147" s="4" t="s">
        <v>0</v>
      </c>
      <c r="S147" s="15" t="str">
        <f t="shared" si="8"/>
        <v>-</v>
      </c>
      <c r="T147" s="13">
        <f t="shared" si="9"/>
        <v>0</v>
      </c>
      <c r="U147" s="17">
        <f t="shared" si="10"/>
        <v>750</v>
      </c>
      <c r="V147" s="13">
        <f t="shared" si="73"/>
        <v>0</v>
      </c>
      <c r="W147" s="17">
        <f t="shared" si="11"/>
        <v>750</v>
      </c>
      <c r="X147" s="13">
        <f t="shared" si="74"/>
        <v>0</v>
      </c>
      <c r="Y147" s="17">
        <f t="shared" si="12"/>
        <v>750</v>
      </c>
      <c r="Z147" s="13">
        <f t="shared" si="75"/>
        <v>0</v>
      </c>
      <c r="AA147" s="17">
        <f t="shared" si="13"/>
        <v>750</v>
      </c>
      <c r="AB147" s="4" t="s">
        <v>0</v>
      </c>
    </row>
    <row r="148" spans="1:28">
      <c r="A148" s="9" t="s">
        <v>77</v>
      </c>
      <c r="B148" s="19"/>
      <c r="C148" s="4"/>
      <c r="D148" s="20"/>
      <c r="E148" s="24"/>
      <c r="F148" s="20"/>
      <c r="G148" s="24"/>
      <c r="H148" s="4" t="s">
        <v>0</v>
      </c>
      <c r="I148" s="15" t="str">
        <f t="shared" si="0"/>
        <v>-</v>
      </c>
      <c r="J148" s="13">
        <f t="shared" si="71"/>
        <v>0</v>
      </c>
      <c r="K148" s="14">
        <f t="shared" si="69"/>
        <v>0</v>
      </c>
      <c r="L148" s="16">
        <f t="shared" si="3"/>
        <v>0</v>
      </c>
      <c r="M148" s="17">
        <f t="shared" si="4"/>
        <v>0</v>
      </c>
      <c r="N148" s="13">
        <f t="shared" si="72"/>
        <v>0</v>
      </c>
      <c r="O148" s="14">
        <f t="shared" si="70"/>
        <v>0</v>
      </c>
      <c r="P148" s="16">
        <f t="shared" si="6"/>
        <v>0</v>
      </c>
      <c r="Q148" s="17">
        <f t="shared" si="7"/>
        <v>0</v>
      </c>
      <c r="R148" s="4" t="s">
        <v>0</v>
      </c>
      <c r="S148" s="15" t="str">
        <f t="shared" si="8"/>
        <v>-</v>
      </c>
      <c r="T148" s="13">
        <f t="shared" si="9"/>
        <v>0</v>
      </c>
      <c r="U148" s="17">
        <f t="shared" si="10"/>
        <v>750</v>
      </c>
      <c r="V148" s="13">
        <f t="shared" si="73"/>
        <v>0</v>
      </c>
      <c r="W148" s="17">
        <f t="shared" si="11"/>
        <v>750</v>
      </c>
      <c r="X148" s="13">
        <f t="shared" si="74"/>
        <v>0</v>
      </c>
      <c r="Y148" s="17">
        <f t="shared" si="12"/>
        <v>750</v>
      </c>
      <c r="Z148" s="13">
        <f t="shared" si="75"/>
        <v>0</v>
      </c>
      <c r="AA148" s="17">
        <f t="shared" si="13"/>
        <v>750</v>
      </c>
      <c r="AB148" s="4" t="s">
        <v>0</v>
      </c>
    </row>
    <row r="149" spans="1:28">
      <c r="A149" s="9" t="s">
        <v>77</v>
      </c>
      <c r="B149" s="19"/>
      <c r="C149" s="4"/>
      <c r="D149" s="20"/>
      <c r="E149" s="24"/>
      <c r="F149" s="20"/>
      <c r="G149" s="24"/>
      <c r="H149" s="4" t="s">
        <v>0</v>
      </c>
      <c r="I149" s="15" t="str">
        <f t="shared" si="0"/>
        <v>-</v>
      </c>
      <c r="J149" s="13">
        <f t="shared" si="71"/>
        <v>0</v>
      </c>
      <c r="K149" s="14">
        <f t="shared" si="69"/>
        <v>0</v>
      </c>
      <c r="L149" s="16">
        <f t="shared" si="3"/>
        <v>0</v>
      </c>
      <c r="M149" s="17">
        <f t="shared" si="4"/>
        <v>0</v>
      </c>
      <c r="N149" s="13">
        <f t="shared" si="72"/>
        <v>0</v>
      </c>
      <c r="O149" s="14">
        <f t="shared" si="70"/>
        <v>0</v>
      </c>
      <c r="P149" s="16">
        <f t="shared" si="6"/>
        <v>0</v>
      </c>
      <c r="Q149" s="17">
        <f t="shared" si="7"/>
        <v>0</v>
      </c>
      <c r="R149" s="4" t="s">
        <v>0</v>
      </c>
      <c r="S149" s="15" t="str">
        <f t="shared" si="8"/>
        <v>-</v>
      </c>
      <c r="T149" s="13">
        <f t="shared" si="9"/>
        <v>0</v>
      </c>
      <c r="U149" s="17">
        <f t="shared" si="10"/>
        <v>750</v>
      </c>
      <c r="V149" s="13">
        <f t="shared" si="73"/>
        <v>0</v>
      </c>
      <c r="W149" s="17">
        <f t="shared" si="11"/>
        <v>750</v>
      </c>
      <c r="X149" s="13">
        <f t="shared" si="74"/>
        <v>0</v>
      </c>
      <c r="Y149" s="17">
        <f t="shared" si="12"/>
        <v>750</v>
      </c>
      <c r="Z149" s="13">
        <f t="shared" si="75"/>
        <v>0</v>
      </c>
      <c r="AA149" s="17">
        <f t="shared" si="13"/>
        <v>750</v>
      </c>
      <c r="AB149" s="4" t="s">
        <v>0</v>
      </c>
    </row>
    <row r="150" spans="1:28">
      <c r="A150" s="9" t="s">
        <v>77</v>
      </c>
      <c r="B150" s="19"/>
      <c r="C150" s="4"/>
      <c r="D150" s="20"/>
      <c r="E150" s="24"/>
      <c r="F150" s="20"/>
      <c r="G150" s="24"/>
      <c r="H150" s="4" t="s">
        <v>0</v>
      </c>
      <c r="I150" s="15" t="str">
        <f t="shared" si="0"/>
        <v>-</v>
      </c>
      <c r="J150" s="13">
        <f t="shared" si="71"/>
        <v>0</v>
      </c>
      <c r="K150" s="14">
        <f t="shared" si="69"/>
        <v>0</v>
      </c>
      <c r="L150" s="16">
        <f t="shared" si="3"/>
        <v>0</v>
      </c>
      <c r="M150" s="17">
        <f t="shared" si="4"/>
        <v>0</v>
      </c>
      <c r="N150" s="13">
        <f t="shared" si="72"/>
        <v>0</v>
      </c>
      <c r="O150" s="14">
        <f t="shared" si="70"/>
        <v>0</v>
      </c>
      <c r="P150" s="16">
        <f t="shared" si="6"/>
        <v>0</v>
      </c>
      <c r="Q150" s="17">
        <f t="shared" si="7"/>
        <v>0</v>
      </c>
      <c r="R150" s="4" t="s">
        <v>0</v>
      </c>
      <c r="S150" s="15" t="str">
        <f t="shared" si="8"/>
        <v>-</v>
      </c>
      <c r="T150" s="13">
        <f t="shared" si="9"/>
        <v>0</v>
      </c>
      <c r="U150" s="17">
        <f t="shared" si="10"/>
        <v>750</v>
      </c>
      <c r="V150" s="13">
        <f t="shared" si="73"/>
        <v>0</v>
      </c>
      <c r="W150" s="17">
        <f t="shared" si="11"/>
        <v>750</v>
      </c>
      <c r="X150" s="13">
        <f t="shared" si="74"/>
        <v>0</v>
      </c>
      <c r="Y150" s="17">
        <f t="shared" si="12"/>
        <v>750</v>
      </c>
      <c r="Z150" s="13">
        <f t="shared" si="75"/>
        <v>0</v>
      </c>
      <c r="AA150" s="17">
        <f t="shared" si="13"/>
        <v>750</v>
      </c>
      <c r="AB150" s="4" t="s">
        <v>0</v>
      </c>
    </row>
    <row r="151" spans="1:28">
      <c r="A151" s="9" t="s">
        <v>77</v>
      </c>
      <c r="B151" s="19"/>
      <c r="C151" s="4"/>
      <c r="D151" s="20"/>
      <c r="E151" s="24"/>
      <c r="F151" s="20"/>
      <c r="G151" s="24"/>
      <c r="H151" s="4" t="s">
        <v>0</v>
      </c>
      <c r="I151" s="15" t="str">
        <f t="shared" si="0"/>
        <v>-</v>
      </c>
      <c r="J151" s="13">
        <f t="shared" si="71"/>
        <v>0</v>
      </c>
      <c r="K151" s="14">
        <f t="shared" si="69"/>
        <v>0</v>
      </c>
      <c r="L151" s="16">
        <f t="shared" si="3"/>
        <v>0</v>
      </c>
      <c r="M151" s="17">
        <f t="shared" si="4"/>
        <v>0</v>
      </c>
      <c r="N151" s="13">
        <f t="shared" si="72"/>
        <v>0</v>
      </c>
      <c r="O151" s="14">
        <f t="shared" si="70"/>
        <v>0</v>
      </c>
      <c r="P151" s="16">
        <f t="shared" si="6"/>
        <v>0</v>
      </c>
      <c r="Q151" s="17">
        <f t="shared" si="7"/>
        <v>0</v>
      </c>
      <c r="R151" s="4" t="s">
        <v>0</v>
      </c>
      <c r="S151" s="15" t="str">
        <f t="shared" si="8"/>
        <v>-</v>
      </c>
      <c r="T151" s="13">
        <f t="shared" si="9"/>
        <v>0</v>
      </c>
      <c r="U151" s="17">
        <f t="shared" si="10"/>
        <v>750</v>
      </c>
      <c r="V151" s="13">
        <f t="shared" si="73"/>
        <v>0</v>
      </c>
      <c r="W151" s="17">
        <f t="shared" si="11"/>
        <v>750</v>
      </c>
      <c r="X151" s="13">
        <f t="shared" si="74"/>
        <v>0</v>
      </c>
      <c r="Y151" s="17">
        <f t="shared" si="12"/>
        <v>750</v>
      </c>
      <c r="Z151" s="13">
        <f t="shared" si="75"/>
        <v>0</v>
      </c>
      <c r="AA151" s="17">
        <f t="shared" si="13"/>
        <v>750</v>
      </c>
      <c r="AB151" s="4" t="s">
        <v>0</v>
      </c>
    </row>
    <row r="152" spans="1:28">
      <c r="A152" s="9" t="s">
        <v>77</v>
      </c>
      <c r="B152" s="19"/>
      <c r="C152" s="4"/>
      <c r="D152" s="20"/>
      <c r="E152" s="24"/>
      <c r="F152" s="20"/>
      <c r="G152" s="24"/>
      <c r="H152" s="4" t="s">
        <v>0</v>
      </c>
      <c r="I152" s="15" t="str">
        <f t="shared" si="0"/>
        <v>-</v>
      </c>
      <c r="J152" s="13">
        <f t="shared" si="71"/>
        <v>0</v>
      </c>
      <c r="K152" s="14">
        <f t="shared" si="69"/>
        <v>0</v>
      </c>
      <c r="L152" s="16">
        <f t="shared" si="3"/>
        <v>0</v>
      </c>
      <c r="M152" s="17">
        <f t="shared" si="4"/>
        <v>0</v>
      </c>
      <c r="N152" s="13">
        <f t="shared" si="72"/>
        <v>0</v>
      </c>
      <c r="O152" s="14">
        <f t="shared" si="70"/>
        <v>0</v>
      </c>
      <c r="P152" s="16">
        <f t="shared" si="6"/>
        <v>0</v>
      </c>
      <c r="Q152" s="17">
        <f t="shared" si="7"/>
        <v>0</v>
      </c>
      <c r="R152" s="4" t="s">
        <v>0</v>
      </c>
      <c r="S152" s="15" t="str">
        <f t="shared" si="8"/>
        <v>-</v>
      </c>
      <c r="T152" s="13">
        <f t="shared" si="9"/>
        <v>0</v>
      </c>
      <c r="U152" s="17">
        <f t="shared" si="10"/>
        <v>750</v>
      </c>
      <c r="V152" s="13">
        <f t="shared" si="73"/>
        <v>0</v>
      </c>
      <c r="W152" s="17">
        <f t="shared" si="11"/>
        <v>750</v>
      </c>
      <c r="X152" s="13">
        <f t="shared" si="74"/>
        <v>0</v>
      </c>
      <c r="Y152" s="17">
        <f t="shared" si="12"/>
        <v>750</v>
      </c>
      <c r="Z152" s="13">
        <f t="shared" si="75"/>
        <v>0</v>
      </c>
      <c r="AA152" s="17">
        <f t="shared" si="13"/>
        <v>750</v>
      </c>
      <c r="AB152" s="4" t="s">
        <v>0</v>
      </c>
    </row>
    <row r="153" spans="1:28">
      <c r="A153" s="9" t="s">
        <v>77</v>
      </c>
      <c r="B153" s="19"/>
      <c r="C153" s="4"/>
      <c r="D153" s="20"/>
      <c r="E153" s="24"/>
      <c r="F153" s="20"/>
      <c r="G153" s="24"/>
      <c r="H153" s="4" t="s">
        <v>0</v>
      </c>
      <c r="I153" s="15" t="str">
        <f t="shared" si="0"/>
        <v>-</v>
      </c>
      <c r="J153" s="13">
        <f t="shared" si="71"/>
        <v>0</v>
      </c>
      <c r="K153" s="14">
        <f t="shared" si="69"/>
        <v>0</v>
      </c>
      <c r="L153" s="16">
        <f t="shared" si="3"/>
        <v>0</v>
      </c>
      <c r="M153" s="17">
        <f t="shared" si="4"/>
        <v>0</v>
      </c>
      <c r="N153" s="13">
        <f t="shared" si="72"/>
        <v>0</v>
      </c>
      <c r="O153" s="14">
        <f t="shared" si="70"/>
        <v>0</v>
      </c>
      <c r="P153" s="16">
        <f t="shared" si="6"/>
        <v>0</v>
      </c>
      <c r="Q153" s="17">
        <f t="shared" si="7"/>
        <v>0</v>
      </c>
      <c r="R153" s="4" t="s">
        <v>0</v>
      </c>
      <c r="S153" s="15" t="str">
        <f t="shared" si="8"/>
        <v>-</v>
      </c>
      <c r="T153" s="13">
        <f t="shared" si="9"/>
        <v>0</v>
      </c>
      <c r="U153" s="17">
        <f t="shared" si="10"/>
        <v>750</v>
      </c>
      <c r="V153" s="13">
        <f t="shared" si="73"/>
        <v>0</v>
      </c>
      <c r="W153" s="17">
        <f t="shared" si="11"/>
        <v>750</v>
      </c>
      <c r="X153" s="13">
        <f t="shared" si="74"/>
        <v>0</v>
      </c>
      <c r="Y153" s="17">
        <f t="shared" si="12"/>
        <v>750</v>
      </c>
      <c r="Z153" s="13">
        <f t="shared" si="75"/>
        <v>0</v>
      </c>
      <c r="AA153" s="17">
        <f t="shared" si="13"/>
        <v>750</v>
      </c>
      <c r="AB153" s="4" t="s">
        <v>0</v>
      </c>
    </row>
    <row r="154" spans="1:28">
      <c r="A154" s="9" t="s">
        <v>77</v>
      </c>
      <c r="B154" s="19"/>
      <c r="C154" s="4"/>
      <c r="D154" s="20"/>
      <c r="E154" s="24"/>
      <c r="F154" s="20"/>
      <c r="G154" s="24"/>
      <c r="H154" s="4" t="s">
        <v>0</v>
      </c>
      <c r="I154" s="15" t="str">
        <f t="shared" si="0"/>
        <v>-</v>
      </c>
      <c r="J154" s="13">
        <f t="shared" si="71"/>
        <v>0</v>
      </c>
      <c r="K154" s="14">
        <f t="shared" si="69"/>
        <v>0</v>
      </c>
      <c r="L154" s="16">
        <f t="shared" si="3"/>
        <v>0</v>
      </c>
      <c r="M154" s="17">
        <f t="shared" si="4"/>
        <v>0</v>
      </c>
      <c r="N154" s="13">
        <f t="shared" si="72"/>
        <v>0</v>
      </c>
      <c r="O154" s="14">
        <f t="shared" si="70"/>
        <v>0</v>
      </c>
      <c r="P154" s="16">
        <f t="shared" si="6"/>
        <v>0</v>
      </c>
      <c r="Q154" s="17">
        <f t="shared" si="7"/>
        <v>0</v>
      </c>
      <c r="R154" s="4" t="s">
        <v>0</v>
      </c>
      <c r="S154" s="15" t="str">
        <f t="shared" si="8"/>
        <v>-</v>
      </c>
      <c r="T154" s="13">
        <f t="shared" si="9"/>
        <v>0</v>
      </c>
      <c r="U154" s="17">
        <f t="shared" si="10"/>
        <v>750</v>
      </c>
      <c r="V154" s="13">
        <f t="shared" si="73"/>
        <v>0</v>
      </c>
      <c r="W154" s="17">
        <f t="shared" si="11"/>
        <v>750</v>
      </c>
      <c r="X154" s="13">
        <f t="shared" si="74"/>
        <v>0</v>
      </c>
      <c r="Y154" s="17">
        <f t="shared" si="12"/>
        <v>750</v>
      </c>
      <c r="Z154" s="13">
        <f t="shared" si="75"/>
        <v>0</v>
      </c>
      <c r="AA154" s="17">
        <f t="shared" si="13"/>
        <v>750</v>
      </c>
      <c r="AB154" s="4" t="s">
        <v>0</v>
      </c>
    </row>
    <row r="155" spans="1:28">
      <c r="A155" s="9" t="s">
        <v>77</v>
      </c>
      <c r="B155" s="19"/>
      <c r="C155" s="4"/>
      <c r="D155" s="20"/>
      <c r="E155" s="24"/>
      <c r="F155" s="20"/>
      <c r="G155" s="24"/>
      <c r="H155" s="4" t="s">
        <v>0</v>
      </c>
      <c r="I155" s="15" t="str">
        <f t="shared" si="0"/>
        <v>-</v>
      </c>
      <c r="J155" s="13">
        <f t="shared" si="71"/>
        <v>0</v>
      </c>
      <c r="K155" s="14">
        <f t="shared" si="69"/>
        <v>0</v>
      </c>
      <c r="L155" s="16">
        <f t="shared" si="3"/>
        <v>0</v>
      </c>
      <c r="M155" s="17">
        <f t="shared" si="4"/>
        <v>0</v>
      </c>
      <c r="N155" s="13">
        <f t="shared" si="72"/>
        <v>0</v>
      </c>
      <c r="O155" s="14">
        <f t="shared" si="70"/>
        <v>0</v>
      </c>
      <c r="P155" s="16">
        <f t="shared" si="6"/>
        <v>0</v>
      </c>
      <c r="Q155" s="17">
        <f t="shared" si="7"/>
        <v>0</v>
      </c>
      <c r="R155" s="4" t="s">
        <v>0</v>
      </c>
      <c r="S155" s="15" t="str">
        <f t="shared" si="8"/>
        <v>-</v>
      </c>
      <c r="T155" s="13">
        <f t="shared" si="9"/>
        <v>0</v>
      </c>
      <c r="U155" s="17">
        <f t="shared" si="10"/>
        <v>750</v>
      </c>
      <c r="V155" s="13">
        <f t="shared" si="73"/>
        <v>0</v>
      </c>
      <c r="W155" s="17">
        <f t="shared" si="11"/>
        <v>750</v>
      </c>
      <c r="X155" s="13">
        <f t="shared" si="74"/>
        <v>0</v>
      </c>
      <c r="Y155" s="17">
        <f t="shared" si="12"/>
        <v>750</v>
      </c>
      <c r="Z155" s="13">
        <f t="shared" si="75"/>
        <v>0</v>
      </c>
      <c r="AA155" s="17">
        <f t="shared" si="13"/>
        <v>750</v>
      </c>
      <c r="AB155" s="4" t="s">
        <v>0</v>
      </c>
    </row>
    <row r="156" spans="1:28">
      <c r="A156" s="9" t="s">
        <v>77</v>
      </c>
      <c r="B156" s="19"/>
      <c r="C156" s="4"/>
      <c r="D156" s="20"/>
      <c r="E156" s="24"/>
      <c r="F156" s="20"/>
      <c r="G156" s="24"/>
      <c r="H156" s="4" t="s">
        <v>0</v>
      </c>
      <c r="I156" s="15" t="str">
        <f t="shared" si="0"/>
        <v>-</v>
      </c>
      <c r="J156" s="13">
        <f t="shared" si="71"/>
        <v>0</v>
      </c>
      <c r="K156" s="14">
        <f t="shared" si="69"/>
        <v>0</v>
      </c>
      <c r="L156" s="16">
        <f t="shared" si="3"/>
        <v>0</v>
      </c>
      <c r="M156" s="17">
        <f t="shared" si="4"/>
        <v>0</v>
      </c>
      <c r="N156" s="13">
        <f t="shared" si="72"/>
        <v>0</v>
      </c>
      <c r="O156" s="14">
        <f t="shared" si="70"/>
        <v>0</v>
      </c>
      <c r="P156" s="16">
        <f t="shared" si="6"/>
        <v>0</v>
      </c>
      <c r="Q156" s="17">
        <f t="shared" si="7"/>
        <v>0</v>
      </c>
      <c r="R156" s="4" t="s">
        <v>0</v>
      </c>
      <c r="S156" s="15" t="str">
        <f t="shared" si="8"/>
        <v>-</v>
      </c>
      <c r="T156" s="13">
        <f t="shared" si="9"/>
        <v>0</v>
      </c>
      <c r="U156" s="17">
        <f t="shared" si="10"/>
        <v>750</v>
      </c>
      <c r="V156" s="13">
        <f t="shared" si="73"/>
        <v>0</v>
      </c>
      <c r="W156" s="17">
        <f t="shared" si="11"/>
        <v>750</v>
      </c>
      <c r="X156" s="13">
        <f t="shared" si="74"/>
        <v>0</v>
      </c>
      <c r="Y156" s="17">
        <f t="shared" si="12"/>
        <v>750</v>
      </c>
      <c r="Z156" s="13">
        <f t="shared" si="75"/>
        <v>0</v>
      </c>
      <c r="AA156" s="17">
        <f t="shared" si="13"/>
        <v>750</v>
      </c>
      <c r="AB156" s="4" t="s">
        <v>0</v>
      </c>
    </row>
    <row r="157" spans="1:28">
      <c r="A157" s="9" t="s">
        <v>77</v>
      </c>
      <c r="B157" s="19"/>
      <c r="C157" s="4"/>
      <c r="D157" s="20"/>
      <c r="E157" s="24"/>
      <c r="F157" s="20"/>
      <c r="G157" s="24"/>
      <c r="H157" s="4" t="s">
        <v>0</v>
      </c>
      <c r="I157" s="15" t="str">
        <f t="shared" si="0"/>
        <v>-</v>
      </c>
      <c r="J157" s="13">
        <f t="shared" si="71"/>
        <v>0</v>
      </c>
      <c r="K157" s="14">
        <f t="shared" si="69"/>
        <v>0</v>
      </c>
      <c r="L157" s="16">
        <f t="shared" si="3"/>
        <v>0</v>
      </c>
      <c r="M157" s="17">
        <f t="shared" si="4"/>
        <v>0</v>
      </c>
      <c r="N157" s="13">
        <f t="shared" si="72"/>
        <v>0</v>
      </c>
      <c r="O157" s="14">
        <f t="shared" si="70"/>
        <v>0</v>
      </c>
      <c r="P157" s="16">
        <f t="shared" si="6"/>
        <v>0</v>
      </c>
      <c r="Q157" s="17">
        <f t="shared" si="7"/>
        <v>0</v>
      </c>
      <c r="R157" s="4" t="s">
        <v>0</v>
      </c>
      <c r="S157" s="15" t="str">
        <f t="shared" si="8"/>
        <v>-</v>
      </c>
      <c r="T157" s="13">
        <f t="shared" si="9"/>
        <v>0</v>
      </c>
      <c r="U157" s="17">
        <f t="shared" si="10"/>
        <v>750</v>
      </c>
      <c r="V157" s="13">
        <f t="shared" si="73"/>
        <v>0</v>
      </c>
      <c r="W157" s="17">
        <f t="shared" si="11"/>
        <v>750</v>
      </c>
      <c r="X157" s="13">
        <f t="shared" si="74"/>
        <v>0</v>
      </c>
      <c r="Y157" s="17">
        <f t="shared" si="12"/>
        <v>750</v>
      </c>
      <c r="Z157" s="13">
        <f t="shared" si="75"/>
        <v>0</v>
      </c>
      <c r="AA157" s="17">
        <f t="shared" si="13"/>
        <v>750</v>
      </c>
      <c r="AB157" s="4" t="s">
        <v>0</v>
      </c>
    </row>
    <row r="158" spans="1:28">
      <c r="A158" s="9" t="s">
        <v>77</v>
      </c>
      <c r="B158" s="19"/>
      <c r="C158" s="4"/>
      <c r="D158" s="20"/>
      <c r="E158" s="24"/>
      <c r="F158" s="20"/>
      <c r="G158" s="24"/>
      <c r="H158" s="4" t="s">
        <v>0</v>
      </c>
      <c r="I158" s="15" t="str">
        <f t="shared" si="0"/>
        <v>-</v>
      </c>
      <c r="J158" s="13">
        <f t="shared" si="71"/>
        <v>0</v>
      </c>
      <c r="K158" s="14">
        <f t="shared" si="69"/>
        <v>0</v>
      </c>
      <c r="L158" s="16">
        <f t="shared" si="3"/>
        <v>0</v>
      </c>
      <c r="M158" s="17">
        <f t="shared" si="4"/>
        <v>0</v>
      </c>
      <c r="N158" s="13">
        <f t="shared" si="72"/>
        <v>0</v>
      </c>
      <c r="O158" s="14">
        <f t="shared" si="70"/>
        <v>0</v>
      </c>
      <c r="P158" s="16">
        <f t="shared" si="6"/>
        <v>0</v>
      </c>
      <c r="Q158" s="17">
        <f t="shared" si="7"/>
        <v>0</v>
      </c>
      <c r="R158" s="4" t="s">
        <v>0</v>
      </c>
      <c r="S158" s="15" t="str">
        <f t="shared" si="8"/>
        <v>-</v>
      </c>
      <c r="T158" s="13">
        <f t="shared" si="9"/>
        <v>0</v>
      </c>
      <c r="U158" s="17">
        <f t="shared" si="10"/>
        <v>750</v>
      </c>
      <c r="V158" s="13">
        <f t="shared" si="73"/>
        <v>0</v>
      </c>
      <c r="W158" s="17">
        <f t="shared" si="11"/>
        <v>750</v>
      </c>
      <c r="X158" s="13">
        <f t="shared" si="74"/>
        <v>0</v>
      </c>
      <c r="Y158" s="17">
        <f t="shared" si="12"/>
        <v>750</v>
      </c>
      <c r="Z158" s="13">
        <f t="shared" si="75"/>
        <v>0</v>
      </c>
      <c r="AA158" s="17">
        <f t="shared" si="13"/>
        <v>750</v>
      </c>
      <c r="AB158" s="4" t="s">
        <v>0</v>
      </c>
    </row>
    <row r="159" spans="1:28">
      <c r="A159" s="9" t="s">
        <v>77</v>
      </c>
      <c r="B159" s="19"/>
      <c r="C159" s="21"/>
      <c r="D159" s="20"/>
      <c r="E159" s="23"/>
      <c r="F159" s="20"/>
      <c r="G159" s="23"/>
      <c r="H159" s="4" t="s">
        <v>0</v>
      </c>
      <c r="I159" s="15" t="str">
        <f t="shared" si="0"/>
        <v>-</v>
      </c>
      <c r="J159" s="13">
        <f t="shared" si="71"/>
        <v>0</v>
      </c>
      <c r="K159" s="14">
        <f t="shared" si="69"/>
        <v>0</v>
      </c>
      <c r="L159" s="16">
        <f t="shared" si="3"/>
        <v>0</v>
      </c>
      <c r="M159" s="17">
        <f t="shared" si="4"/>
        <v>0</v>
      </c>
      <c r="N159" s="13">
        <f t="shared" si="72"/>
        <v>0</v>
      </c>
      <c r="O159" s="14">
        <f t="shared" si="70"/>
        <v>0</v>
      </c>
      <c r="P159" s="16">
        <f t="shared" si="6"/>
        <v>0</v>
      </c>
      <c r="Q159" s="17">
        <f t="shared" si="7"/>
        <v>0</v>
      </c>
      <c r="R159" s="4" t="s">
        <v>0</v>
      </c>
      <c r="S159" s="15" t="str">
        <f t="shared" si="8"/>
        <v>-</v>
      </c>
      <c r="T159" s="13">
        <f t="shared" si="9"/>
        <v>0</v>
      </c>
      <c r="U159" s="17">
        <f t="shared" si="10"/>
        <v>750</v>
      </c>
      <c r="V159" s="13">
        <f t="shared" si="73"/>
        <v>0</v>
      </c>
      <c r="W159" s="17">
        <f t="shared" si="11"/>
        <v>750</v>
      </c>
      <c r="X159" s="13">
        <f t="shared" si="74"/>
        <v>0</v>
      </c>
      <c r="Y159" s="17">
        <f t="shared" si="12"/>
        <v>750</v>
      </c>
      <c r="Z159" s="13">
        <f t="shared" si="75"/>
        <v>0</v>
      </c>
      <c r="AA159" s="17">
        <f t="shared" si="13"/>
        <v>750</v>
      </c>
      <c r="AB159" s="4" t="s">
        <v>0</v>
      </c>
    </row>
    <row r="160" spans="1:28">
      <c r="A160" s="9" t="s">
        <v>77</v>
      </c>
      <c r="B160" s="19"/>
      <c r="C160" s="21"/>
      <c r="D160" s="20"/>
      <c r="E160" s="24"/>
      <c r="F160" s="20"/>
      <c r="G160" s="24"/>
      <c r="H160" s="4" t="s">
        <v>0</v>
      </c>
      <c r="I160" s="15" t="str">
        <f t="shared" si="0"/>
        <v>-</v>
      </c>
      <c r="J160" s="13">
        <f t="shared" si="71"/>
        <v>0</v>
      </c>
      <c r="K160" s="14">
        <f t="shared" si="69"/>
        <v>0</v>
      </c>
      <c r="L160" s="16">
        <f t="shared" si="3"/>
        <v>0</v>
      </c>
      <c r="M160" s="17">
        <f t="shared" si="4"/>
        <v>0</v>
      </c>
      <c r="N160" s="13">
        <f t="shared" si="72"/>
        <v>0</v>
      </c>
      <c r="O160" s="14">
        <f t="shared" si="70"/>
        <v>0</v>
      </c>
      <c r="P160" s="16">
        <f t="shared" si="6"/>
        <v>0</v>
      </c>
      <c r="Q160" s="17">
        <f t="shared" si="7"/>
        <v>0</v>
      </c>
      <c r="R160" s="4" t="s">
        <v>0</v>
      </c>
      <c r="S160" s="15" t="str">
        <f t="shared" si="8"/>
        <v>-</v>
      </c>
      <c r="T160" s="13">
        <f t="shared" si="9"/>
        <v>0</v>
      </c>
      <c r="U160" s="17">
        <f t="shared" si="10"/>
        <v>750</v>
      </c>
      <c r="V160" s="13">
        <f t="shared" si="73"/>
        <v>0</v>
      </c>
      <c r="W160" s="17">
        <f t="shared" si="11"/>
        <v>750</v>
      </c>
      <c r="X160" s="13">
        <f t="shared" si="74"/>
        <v>0</v>
      </c>
      <c r="Y160" s="17">
        <f t="shared" si="12"/>
        <v>750</v>
      </c>
      <c r="Z160" s="13">
        <f t="shared" si="75"/>
        <v>0</v>
      </c>
      <c r="AA160" s="17">
        <f t="shared" si="13"/>
        <v>750</v>
      </c>
      <c r="AB160" s="4" t="s">
        <v>0</v>
      </c>
    </row>
    <row r="161" spans="1:28">
      <c r="A161" s="9" t="s">
        <v>77</v>
      </c>
      <c r="B161" s="19"/>
      <c r="C161" s="4"/>
      <c r="D161" s="20"/>
      <c r="E161" s="24"/>
      <c r="F161" s="20"/>
      <c r="G161" s="24"/>
      <c r="H161" s="4" t="s">
        <v>0</v>
      </c>
      <c r="I161" s="15" t="str">
        <f t="shared" si="0"/>
        <v>-</v>
      </c>
      <c r="J161" s="13">
        <f t="shared" si="71"/>
        <v>0</v>
      </c>
      <c r="K161" s="14">
        <f t="shared" si="69"/>
        <v>0</v>
      </c>
      <c r="L161" s="16">
        <f t="shared" si="3"/>
        <v>0</v>
      </c>
      <c r="M161" s="17">
        <f t="shared" si="4"/>
        <v>0</v>
      </c>
      <c r="N161" s="13">
        <f t="shared" si="72"/>
        <v>0</v>
      </c>
      <c r="O161" s="14">
        <f t="shared" si="70"/>
        <v>0</v>
      </c>
      <c r="P161" s="16">
        <f t="shared" si="6"/>
        <v>0</v>
      </c>
      <c r="Q161" s="17">
        <f t="shared" si="7"/>
        <v>0</v>
      </c>
      <c r="R161" s="4" t="s">
        <v>0</v>
      </c>
      <c r="S161" s="15" t="str">
        <f t="shared" si="8"/>
        <v>-</v>
      </c>
      <c r="T161" s="13">
        <f t="shared" si="9"/>
        <v>0</v>
      </c>
      <c r="U161" s="17">
        <f t="shared" si="10"/>
        <v>750</v>
      </c>
      <c r="V161" s="13">
        <f t="shared" si="73"/>
        <v>0</v>
      </c>
      <c r="W161" s="17">
        <f t="shared" si="11"/>
        <v>750</v>
      </c>
      <c r="X161" s="13">
        <f t="shared" si="74"/>
        <v>0</v>
      </c>
      <c r="Y161" s="17">
        <f t="shared" si="12"/>
        <v>750</v>
      </c>
      <c r="Z161" s="13">
        <f t="shared" si="75"/>
        <v>0</v>
      </c>
      <c r="AA161" s="17">
        <f t="shared" si="13"/>
        <v>750</v>
      </c>
      <c r="AB161" s="4" t="s">
        <v>0</v>
      </c>
    </row>
    <row r="162" spans="1:28">
      <c r="A162" s="9" t="s">
        <v>77</v>
      </c>
      <c r="B162" s="19"/>
      <c r="C162" s="4"/>
      <c r="D162" s="20"/>
      <c r="E162" s="24"/>
      <c r="F162" s="20"/>
      <c r="G162" s="24"/>
      <c r="H162" s="4" t="s">
        <v>0</v>
      </c>
      <c r="I162" s="10" t="str">
        <f t="shared" si="0"/>
        <v>-</v>
      </c>
      <c r="J162" s="13">
        <f t="shared" si="71"/>
        <v>0</v>
      </c>
      <c r="K162" s="14">
        <f t="shared" si="69"/>
        <v>0</v>
      </c>
      <c r="L162" s="16">
        <f t="shared" si="3"/>
        <v>0</v>
      </c>
      <c r="M162" s="17">
        <f t="shared" si="4"/>
        <v>0</v>
      </c>
      <c r="N162" s="13">
        <f t="shared" si="72"/>
        <v>0</v>
      </c>
      <c r="O162" s="14">
        <f t="shared" si="70"/>
        <v>0</v>
      </c>
      <c r="P162" s="16">
        <f t="shared" si="6"/>
        <v>0</v>
      </c>
      <c r="Q162" s="17">
        <f t="shared" si="7"/>
        <v>0</v>
      </c>
      <c r="R162" s="4" t="s">
        <v>0</v>
      </c>
      <c r="S162" s="15" t="str">
        <f t="shared" si="8"/>
        <v>-</v>
      </c>
      <c r="T162" s="13">
        <f t="shared" si="9"/>
        <v>0</v>
      </c>
      <c r="U162" s="17">
        <f t="shared" si="10"/>
        <v>750</v>
      </c>
      <c r="V162" s="13">
        <f t="shared" si="73"/>
        <v>0</v>
      </c>
      <c r="W162" s="17">
        <f t="shared" si="11"/>
        <v>750</v>
      </c>
      <c r="X162" s="13">
        <f t="shared" si="74"/>
        <v>0</v>
      </c>
      <c r="Y162" s="17">
        <f t="shared" si="12"/>
        <v>750</v>
      </c>
      <c r="Z162" s="13">
        <f t="shared" si="75"/>
        <v>0</v>
      </c>
      <c r="AA162" s="17">
        <f t="shared" si="13"/>
        <v>750</v>
      </c>
      <c r="AB162" s="4" t="s">
        <v>0</v>
      </c>
    </row>
    <row r="163" spans="1:28">
      <c r="A163" s="9" t="s">
        <v>77</v>
      </c>
      <c r="B163" s="19"/>
      <c r="C163" s="4"/>
      <c r="D163" s="20"/>
      <c r="E163" s="24"/>
      <c r="F163" s="20"/>
      <c r="G163" s="24"/>
      <c r="H163" s="4" t="s">
        <v>0</v>
      </c>
      <c r="I163" s="10" t="str">
        <f t="shared" si="0"/>
        <v>-</v>
      </c>
      <c r="J163" s="13">
        <f t="shared" si="71"/>
        <v>0</v>
      </c>
      <c r="K163" s="14">
        <f t="shared" si="69"/>
        <v>0</v>
      </c>
      <c r="L163" s="16">
        <f t="shared" si="3"/>
        <v>0</v>
      </c>
      <c r="M163" s="17">
        <f t="shared" si="4"/>
        <v>0</v>
      </c>
      <c r="N163" s="13">
        <f t="shared" si="72"/>
        <v>0</v>
      </c>
      <c r="O163" s="14">
        <f t="shared" si="70"/>
        <v>0</v>
      </c>
      <c r="P163" s="16">
        <f t="shared" si="6"/>
        <v>0</v>
      </c>
      <c r="Q163" s="17">
        <f t="shared" si="7"/>
        <v>0</v>
      </c>
      <c r="R163" s="4" t="s">
        <v>0</v>
      </c>
      <c r="S163" s="15" t="str">
        <f t="shared" si="8"/>
        <v>-</v>
      </c>
      <c r="T163" s="13">
        <f t="shared" si="9"/>
        <v>0</v>
      </c>
      <c r="U163" s="17">
        <f t="shared" si="10"/>
        <v>750</v>
      </c>
      <c r="V163" s="13">
        <f t="shared" si="73"/>
        <v>0</v>
      </c>
      <c r="W163" s="17">
        <f t="shared" si="11"/>
        <v>750</v>
      </c>
      <c r="X163" s="13">
        <f t="shared" si="74"/>
        <v>0</v>
      </c>
      <c r="Y163" s="17">
        <f t="shared" si="12"/>
        <v>750</v>
      </c>
      <c r="Z163" s="13">
        <f t="shared" si="75"/>
        <v>0</v>
      </c>
      <c r="AA163" s="17">
        <f t="shared" si="13"/>
        <v>750</v>
      </c>
      <c r="AB163" s="4" t="s">
        <v>0</v>
      </c>
    </row>
    <row r="164" spans="1:28">
      <c r="A164" s="9" t="s">
        <v>77</v>
      </c>
      <c r="B164" s="19"/>
      <c r="C164" s="4"/>
      <c r="D164" s="20"/>
      <c r="E164" s="24"/>
      <c r="F164" s="20"/>
      <c r="G164" s="24"/>
      <c r="H164" s="4" t="s">
        <v>0</v>
      </c>
      <c r="I164" s="10" t="str">
        <f t="shared" si="0"/>
        <v>-</v>
      </c>
      <c r="J164" s="13">
        <f t="shared" si="71"/>
        <v>0</v>
      </c>
      <c r="K164" s="14">
        <f t="shared" si="69"/>
        <v>0</v>
      </c>
      <c r="L164" s="16">
        <f t="shared" si="3"/>
        <v>0</v>
      </c>
      <c r="M164" s="17">
        <f t="shared" si="4"/>
        <v>0</v>
      </c>
      <c r="N164" s="13">
        <f t="shared" si="72"/>
        <v>0</v>
      </c>
      <c r="O164" s="14">
        <f t="shared" si="70"/>
        <v>0</v>
      </c>
      <c r="P164" s="16">
        <f t="shared" si="6"/>
        <v>0</v>
      </c>
      <c r="Q164" s="17">
        <f t="shared" si="7"/>
        <v>0</v>
      </c>
      <c r="R164" s="4" t="s">
        <v>0</v>
      </c>
      <c r="S164" s="15" t="str">
        <f t="shared" si="8"/>
        <v>-</v>
      </c>
      <c r="T164" s="13">
        <f t="shared" si="9"/>
        <v>0</v>
      </c>
      <c r="U164" s="17">
        <f t="shared" si="10"/>
        <v>750</v>
      </c>
      <c r="V164" s="13">
        <f t="shared" si="73"/>
        <v>0</v>
      </c>
      <c r="W164" s="17">
        <f t="shared" si="11"/>
        <v>750</v>
      </c>
      <c r="X164" s="13">
        <f t="shared" si="74"/>
        <v>0</v>
      </c>
      <c r="Y164" s="17">
        <f t="shared" si="12"/>
        <v>750</v>
      </c>
      <c r="Z164" s="13">
        <f t="shared" si="75"/>
        <v>0</v>
      </c>
      <c r="AA164" s="17">
        <f t="shared" si="13"/>
        <v>750</v>
      </c>
      <c r="AB164" s="4" t="s">
        <v>0</v>
      </c>
    </row>
    <row r="165" spans="1:28">
      <c r="A165" s="9" t="s">
        <v>77</v>
      </c>
      <c r="B165" s="19"/>
      <c r="C165" s="4"/>
      <c r="D165" s="20"/>
      <c r="E165" s="24"/>
      <c r="F165" s="20"/>
      <c r="G165" s="24"/>
      <c r="H165" s="4" t="s">
        <v>0</v>
      </c>
      <c r="I165" s="10" t="str">
        <f t="shared" si="0"/>
        <v>-</v>
      </c>
      <c r="J165" s="13">
        <f t="shared" si="71"/>
        <v>0</v>
      </c>
      <c r="K165" s="14">
        <f t="shared" si="69"/>
        <v>0</v>
      </c>
      <c r="L165" s="16">
        <f t="shared" si="3"/>
        <v>0</v>
      </c>
      <c r="M165" s="17">
        <f t="shared" si="4"/>
        <v>0</v>
      </c>
      <c r="N165" s="13">
        <f t="shared" si="72"/>
        <v>0</v>
      </c>
      <c r="O165" s="14">
        <f t="shared" si="70"/>
        <v>0</v>
      </c>
      <c r="P165" s="16">
        <f t="shared" si="6"/>
        <v>0</v>
      </c>
      <c r="Q165" s="17">
        <f t="shared" si="7"/>
        <v>0</v>
      </c>
      <c r="R165" s="4" t="s">
        <v>0</v>
      </c>
      <c r="S165" s="15" t="str">
        <f t="shared" si="8"/>
        <v>-</v>
      </c>
      <c r="T165" s="13">
        <f t="shared" si="9"/>
        <v>0</v>
      </c>
      <c r="U165" s="17">
        <f t="shared" si="10"/>
        <v>750</v>
      </c>
      <c r="V165" s="13">
        <f t="shared" si="73"/>
        <v>0</v>
      </c>
      <c r="W165" s="17">
        <f t="shared" si="11"/>
        <v>750</v>
      </c>
      <c r="X165" s="13">
        <f t="shared" si="74"/>
        <v>0</v>
      </c>
      <c r="Y165" s="17">
        <f t="shared" si="12"/>
        <v>750</v>
      </c>
      <c r="Z165" s="13">
        <f t="shared" si="75"/>
        <v>0</v>
      </c>
      <c r="AA165" s="17">
        <f t="shared" si="13"/>
        <v>750</v>
      </c>
      <c r="AB165" s="4" t="s">
        <v>0</v>
      </c>
    </row>
    <row r="166" spans="1:28">
      <c r="A166" s="9" t="s">
        <v>77</v>
      </c>
      <c r="B166" s="19"/>
      <c r="C166" s="4"/>
      <c r="D166" s="20"/>
      <c r="E166" s="24"/>
      <c r="F166" s="20"/>
      <c r="G166" s="24"/>
      <c r="H166" s="4" t="s">
        <v>0</v>
      </c>
      <c r="I166" s="10" t="str">
        <f t="shared" si="0"/>
        <v>-</v>
      </c>
      <c r="J166" s="13">
        <f t="shared" si="71"/>
        <v>0</v>
      </c>
      <c r="K166" s="14">
        <f t="shared" si="69"/>
        <v>0</v>
      </c>
      <c r="L166" s="16">
        <f t="shared" si="3"/>
        <v>0</v>
      </c>
      <c r="M166" s="17">
        <f t="shared" si="4"/>
        <v>0</v>
      </c>
      <c r="N166" s="13">
        <f t="shared" si="72"/>
        <v>0</v>
      </c>
      <c r="O166" s="14">
        <f t="shared" si="70"/>
        <v>0</v>
      </c>
      <c r="P166" s="16">
        <f t="shared" si="6"/>
        <v>0</v>
      </c>
      <c r="Q166" s="17">
        <f t="shared" si="7"/>
        <v>0</v>
      </c>
      <c r="R166" s="4" t="s">
        <v>0</v>
      </c>
      <c r="S166" s="15" t="str">
        <f t="shared" si="8"/>
        <v>-</v>
      </c>
      <c r="T166" s="13">
        <f t="shared" si="9"/>
        <v>0</v>
      </c>
      <c r="U166" s="17">
        <f t="shared" si="10"/>
        <v>750</v>
      </c>
      <c r="V166" s="13">
        <f t="shared" si="73"/>
        <v>0</v>
      </c>
      <c r="W166" s="17">
        <f t="shared" si="11"/>
        <v>750</v>
      </c>
      <c r="X166" s="13">
        <f t="shared" si="74"/>
        <v>0</v>
      </c>
      <c r="Y166" s="17">
        <f t="shared" si="12"/>
        <v>750</v>
      </c>
      <c r="Z166" s="13">
        <f t="shared" si="75"/>
        <v>0</v>
      </c>
      <c r="AA166" s="17">
        <f t="shared" si="13"/>
        <v>750</v>
      </c>
      <c r="AB166" s="4" t="s">
        <v>0</v>
      </c>
    </row>
    <row r="167" spans="1:28">
      <c r="A167" s="9" t="s">
        <v>77</v>
      </c>
      <c r="B167" s="19"/>
      <c r="C167" s="4"/>
      <c r="D167" s="20"/>
      <c r="E167" s="24"/>
      <c r="F167" s="20"/>
      <c r="G167" s="24"/>
      <c r="H167" s="4" t="s">
        <v>0</v>
      </c>
      <c r="I167" s="10" t="str">
        <f t="shared" si="0"/>
        <v>-</v>
      </c>
      <c r="J167" s="13">
        <f t="shared" si="71"/>
        <v>0</v>
      </c>
      <c r="K167" s="14">
        <f t="shared" si="69"/>
        <v>0</v>
      </c>
      <c r="L167" s="16">
        <f t="shared" si="3"/>
        <v>0</v>
      </c>
      <c r="M167" s="17">
        <f t="shared" si="4"/>
        <v>0</v>
      </c>
      <c r="N167" s="13">
        <f t="shared" si="72"/>
        <v>0</v>
      </c>
      <c r="O167" s="14">
        <f t="shared" si="70"/>
        <v>0</v>
      </c>
      <c r="P167" s="16">
        <f t="shared" si="6"/>
        <v>0</v>
      </c>
      <c r="Q167" s="17">
        <f t="shared" si="7"/>
        <v>0</v>
      </c>
      <c r="R167" s="4" t="s">
        <v>0</v>
      </c>
      <c r="S167" s="15" t="str">
        <f t="shared" si="8"/>
        <v>-</v>
      </c>
      <c r="T167" s="13">
        <f t="shared" si="9"/>
        <v>0</v>
      </c>
      <c r="U167" s="17">
        <f t="shared" si="10"/>
        <v>750</v>
      </c>
      <c r="V167" s="13">
        <f t="shared" si="73"/>
        <v>0</v>
      </c>
      <c r="W167" s="17">
        <f t="shared" si="11"/>
        <v>750</v>
      </c>
      <c r="X167" s="13">
        <f t="shared" si="74"/>
        <v>0</v>
      </c>
      <c r="Y167" s="17">
        <f t="shared" si="12"/>
        <v>750</v>
      </c>
      <c r="Z167" s="13">
        <f t="shared" si="75"/>
        <v>0</v>
      </c>
      <c r="AA167" s="17">
        <f t="shared" si="13"/>
        <v>750</v>
      </c>
      <c r="AB167" s="4" t="s">
        <v>0</v>
      </c>
    </row>
    <row r="168" spans="1:28">
      <c r="A168" s="9" t="s">
        <v>77</v>
      </c>
      <c r="B168" s="19"/>
      <c r="C168" s="4"/>
      <c r="D168" s="20"/>
      <c r="E168" s="24"/>
      <c r="F168" s="20"/>
      <c r="G168" s="24"/>
      <c r="H168" s="4" t="s">
        <v>0</v>
      </c>
      <c r="I168" s="10" t="str">
        <f t="shared" si="0"/>
        <v>-</v>
      </c>
      <c r="J168" s="13">
        <f t="shared" si="71"/>
        <v>0</v>
      </c>
      <c r="K168" s="14">
        <f t="shared" si="69"/>
        <v>0</v>
      </c>
      <c r="L168" s="16">
        <f t="shared" si="3"/>
        <v>0</v>
      </c>
      <c r="M168" s="17">
        <f t="shared" si="4"/>
        <v>0</v>
      </c>
      <c r="N168" s="13">
        <f t="shared" si="72"/>
        <v>0</v>
      </c>
      <c r="O168" s="14">
        <f t="shared" si="70"/>
        <v>0</v>
      </c>
      <c r="P168" s="16">
        <f t="shared" si="6"/>
        <v>0</v>
      </c>
      <c r="Q168" s="17">
        <f t="shared" si="7"/>
        <v>0</v>
      </c>
      <c r="R168" s="4" t="s">
        <v>0</v>
      </c>
      <c r="S168" s="15" t="str">
        <f t="shared" si="8"/>
        <v>-</v>
      </c>
      <c r="T168" s="13">
        <f t="shared" si="9"/>
        <v>0</v>
      </c>
      <c r="U168" s="17">
        <f t="shared" si="10"/>
        <v>750</v>
      </c>
      <c r="V168" s="13">
        <f t="shared" si="73"/>
        <v>0</v>
      </c>
      <c r="W168" s="17">
        <f t="shared" si="11"/>
        <v>750</v>
      </c>
      <c r="X168" s="13">
        <f t="shared" si="74"/>
        <v>0</v>
      </c>
      <c r="Y168" s="17">
        <f t="shared" si="12"/>
        <v>750</v>
      </c>
      <c r="Z168" s="13">
        <f t="shared" si="75"/>
        <v>0</v>
      </c>
      <c r="AA168" s="17">
        <f t="shared" si="13"/>
        <v>750</v>
      </c>
      <c r="AB168" s="4" t="s">
        <v>0</v>
      </c>
    </row>
    <row r="169" spans="1:28">
      <c r="A169" s="9" t="s">
        <v>77</v>
      </c>
      <c r="B169" s="19"/>
      <c r="C169" s="4"/>
      <c r="D169" s="20"/>
      <c r="E169" s="24"/>
      <c r="F169" s="20"/>
      <c r="G169" s="24"/>
      <c r="H169" s="4" t="s">
        <v>0</v>
      </c>
      <c r="I169" s="10" t="str">
        <f t="shared" si="0"/>
        <v>-</v>
      </c>
      <c r="J169" s="13">
        <f t="shared" si="71"/>
        <v>0</v>
      </c>
      <c r="K169" s="14">
        <f t="shared" si="69"/>
        <v>0</v>
      </c>
      <c r="L169" s="16">
        <f t="shared" si="3"/>
        <v>0</v>
      </c>
      <c r="M169" s="17">
        <f t="shared" si="4"/>
        <v>0</v>
      </c>
      <c r="N169" s="13">
        <f t="shared" si="72"/>
        <v>0</v>
      </c>
      <c r="O169" s="14">
        <f t="shared" si="70"/>
        <v>0</v>
      </c>
      <c r="P169" s="16">
        <f t="shared" si="6"/>
        <v>0</v>
      </c>
      <c r="Q169" s="17">
        <f t="shared" si="7"/>
        <v>0</v>
      </c>
      <c r="R169" s="4" t="s">
        <v>0</v>
      </c>
      <c r="S169" s="15" t="str">
        <f t="shared" si="8"/>
        <v>-</v>
      </c>
      <c r="T169" s="13">
        <f t="shared" si="9"/>
        <v>0</v>
      </c>
      <c r="U169" s="17">
        <f t="shared" si="10"/>
        <v>750</v>
      </c>
      <c r="V169" s="13">
        <f t="shared" si="73"/>
        <v>0</v>
      </c>
      <c r="W169" s="17">
        <f t="shared" si="11"/>
        <v>750</v>
      </c>
      <c r="X169" s="13">
        <f t="shared" si="74"/>
        <v>0</v>
      </c>
      <c r="Y169" s="17">
        <f t="shared" si="12"/>
        <v>750</v>
      </c>
      <c r="Z169" s="13">
        <f t="shared" si="75"/>
        <v>0</v>
      </c>
      <c r="AA169" s="17">
        <f t="shared" si="13"/>
        <v>750</v>
      </c>
      <c r="AB169" s="4" t="s">
        <v>0</v>
      </c>
    </row>
    <row r="170" spans="1:28">
      <c r="A170" s="9" t="s">
        <v>77</v>
      </c>
      <c r="B170" s="19"/>
      <c r="C170" s="4"/>
      <c r="D170" s="20"/>
      <c r="E170" s="24"/>
      <c r="F170" s="20"/>
      <c r="G170" s="24"/>
      <c r="H170" s="4" t="s">
        <v>0</v>
      </c>
      <c r="I170" s="10" t="str">
        <f t="shared" si="0"/>
        <v>-</v>
      </c>
      <c r="J170" s="13">
        <f t="shared" si="71"/>
        <v>0</v>
      </c>
      <c r="K170" s="14">
        <f t="shared" si="69"/>
        <v>0</v>
      </c>
      <c r="L170" s="16">
        <f t="shared" si="3"/>
        <v>0</v>
      </c>
      <c r="M170" s="17">
        <f t="shared" si="4"/>
        <v>0</v>
      </c>
      <c r="N170" s="13">
        <f t="shared" si="72"/>
        <v>0</v>
      </c>
      <c r="O170" s="14">
        <f t="shared" si="70"/>
        <v>0</v>
      </c>
      <c r="P170" s="16">
        <f t="shared" si="6"/>
        <v>0</v>
      </c>
      <c r="Q170" s="17">
        <f t="shared" si="7"/>
        <v>0</v>
      </c>
      <c r="R170" s="4" t="s">
        <v>0</v>
      </c>
      <c r="S170" s="15" t="str">
        <f t="shared" si="8"/>
        <v>-</v>
      </c>
      <c r="T170" s="13">
        <f t="shared" si="9"/>
        <v>0</v>
      </c>
      <c r="U170" s="17">
        <f t="shared" si="10"/>
        <v>750</v>
      </c>
      <c r="V170" s="13">
        <f t="shared" si="73"/>
        <v>0</v>
      </c>
      <c r="W170" s="17">
        <f t="shared" si="11"/>
        <v>750</v>
      </c>
      <c r="X170" s="13">
        <f t="shared" si="74"/>
        <v>0</v>
      </c>
      <c r="Y170" s="17">
        <f t="shared" si="12"/>
        <v>750</v>
      </c>
      <c r="Z170" s="13">
        <f t="shared" si="75"/>
        <v>0</v>
      </c>
      <c r="AA170" s="17">
        <f t="shared" si="13"/>
        <v>750</v>
      </c>
      <c r="AB170" s="4" t="s">
        <v>0</v>
      </c>
    </row>
    <row r="171" spans="1:28">
      <c r="A171" s="9" t="s">
        <v>77</v>
      </c>
      <c r="B171" s="19"/>
      <c r="C171" s="4"/>
      <c r="D171" s="20"/>
      <c r="E171" s="24"/>
      <c r="F171" s="20"/>
      <c r="G171" s="24"/>
      <c r="H171" s="4" t="s">
        <v>0</v>
      </c>
      <c r="I171" s="10" t="str">
        <f t="shared" si="0"/>
        <v>-</v>
      </c>
      <c r="J171" s="13">
        <f t="shared" si="71"/>
        <v>0</v>
      </c>
      <c r="K171" s="14">
        <f t="shared" si="69"/>
        <v>0</v>
      </c>
      <c r="L171" s="16">
        <f t="shared" si="3"/>
        <v>0</v>
      </c>
      <c r="M171" s="17">
        <f t="shared" si="4"/>
        <v>0</v>
      </c>
      <c r="N171" s="13">
        <f t="shared" si="72"/>
        <v>0</v>
      </c>
      <c r="O171" s="14">
        <f t="shared" si="70"/>
        <v>0</v>
      </c>
      <c r="P171" s="16">
        <f t="shared" si="6"/>
        <v>0</v>
      </c>
      <c r="Q171" s="17">
        <f t="shared" si="7"/>
        <v>0</v>
      </c>
      <c r="R171" s="4" t="s">
        <v>0</v>
      </c>
      <c r="S171" s="15" t="str">
        <f t="shared" si="8"/>
        <v>-</v>
      </c>
      <c r="T171" s="13">
        <f t="shared" si="9"/>
        <v>0</v>
      </c>
      <c r="U171" s="17">
        <f t="shared" si="10"/>
        <v>750</v>
      </c>
      <c r="V171" s="13">
        <f t="shared" si="73"/>
        <v>0</v>
      </c>
      <c r="W171" s="17">
        <f t="shared" si="11"/>
        <v>750</v>
      </c>
      <c r="X171" s="13">
        <f t="shared" si="74"/>
        <v>0</v>
      </c>
      <c r="Y171" s="17">
        <f t="shared" si="12"/>
        <v>750</v>
      </c>
      <c r="Z171" s="13">
        <f t="shared" si="75"/>
        <v>0</v>
      </c>
      <c r="AA171" s="17">
        <f t="shared" si="13"/>
        <v>750</v>
      </c>
      <c r="AB171" s="4" t="s">
        <v>0</v>
      </c>
    </row>
    <row r="172" spans="1:28">
      <c r="A172" s="9" t="s">
        <v>77</v>
      </c>
      <c r="B172" s="19"/>
      <c r="C172" s="4"/>
      <c r="D172" s="20"/>
      <c r="E172" s="24"/>
      <c r="F172" s="20"/>
      <c r="G172" s="24"/>
      <c r="H172" s="4" t="s">
        <v>0</v>
      </c>
      <c r="I172" s="10" t="str">
        <f t="shared" si="0"/>
        <v>-</v>
      </c>
      <c r="J172" s="13">
        <f t="shared" si="71"/>
        <v>0</v>
      </c>
      <c r="K172" s="14">
        <f t="shared" si="69"/>
        <v>0</v>
      </c>
      <c r="L172" s="16">
        <f t="shared" si="3"/>
        <v>0</v>
      </c>
      <c r="M172" s="17">
        <f t="shared" si="4"/>
        <v>0</v>
      </c>
      <c r="N172" s="13">
        <f t="shared" si="72"/>
        <v>0</v>
      </c>
      <c r="O172" s="14">
        <f t="shared" si="70"/>
        <v>0</v>
      </c>
      <c r="P172" s="16">
        <f t="shared" si="6"/>
        <v>0</v>
      </c>
      <c r="Q172" s="17">
        <f t="shared" si="7"/>
        <v>0</v>
      </c>
      <c r="R172" s="4" t="s">
        <v>0</v>
      </c>
      <c r="S172" s="15" t="str">
        <f t="shared" si="8"/>
        <v>-</v>
      </c>
      <c r="T172" s="13">
        <f t="shared" si="9"/>
        <v>0</v>
      </c>
      <c r="U172" s="17">
        <f t="shared" si="10"/>
        <v>750</v>
      </c>
      <c r="V172" s="13">
        <f t="shared" si="73"/>
        <v>0</v>
      </c>
      <c r="W172" s="17">
        <f t="shared" si="11"/>
        <v>750</v>
      </c>
      <c r="X172" s="13">
        <f t="shared" si="74"/>
        <v>0</v>
      </c>
      <c r="Y172" s="17">
        <f t="shared" si="12"/>
        <v>750</v>
      </c>
      <c r="Z172" s="13">
        <f t="shared" si="75"/>
        <v>0</v>
      </c>
      <c r="AA172" s="17">
        <f t="shared" si="13"/>
        <v>750</v>
      </c>
      <c r="AB172" s="4" t="s">
        <v>0</v>
      </c>
    </row>
  </sheetData>
  <autoFilter ref="A10:AB172" xr:uid="{00000000-0001-0000-0000-000000000000}"/>
  <mergeCells count="2">
    <mergeCell ref="D3:G3"/>
    <mergeCell ref="D4:G4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009CB-2206-4A31-9F6D-FA6497660E45}">
  <sheetPr codeName="Sheet24">
    <pageSetUpPr fitToPage="1"/>
  </sheetPr>
  <dimension ref="A1:AB172"/>
  <sheetViews>
    <sheetView tabSelected="1" workbookViewId="0">
      <pane ySplit="10" topLeftCell="A11" activePane="bottomLeft" state="frozen"/>
      <selection activeCell="A70" sqref="A70"/>
      <selection pane="bottomLeft" activeCell="A11" sqref="A11"/>
    </sheetView>
  </sheetViews>
  <sheetFormatPr defaultColWidth="12.625" defaultRowHeight="18.75" outlineLevelCol="1"/>
  <cols>
    <col min="1" max="1" width="12.625" style="3"/>
    <col min="2" max="2" width="21.125" style="2" bestFit="1" customWidth="1"/>
    <col min="3" max="3" width="7.625" style="2" customWidth="1"/>
    <col min="4" max="7" width="6.625" style="2" customWidth="1" outlineLevel="1"/>
    <col min="8" max="8" width="7.625" style="2" customWidth="1"/>
    <col min="9" max="9" width="12.625" style="2" customWidth="1" outlineLevel="1"/>
    <col min="10" max="16" width="6.625" style="2" customWidth="1" outlineLevel="1"/>
    <col min="17" max="17" width="6.625" style="3" customWidth="1" outlineLevel="1"/>
    <col min="18" max="18" width="7.625" style="2" customWidth="1"/>
    <col min="19" max="19" width="12.625" style="2" customWidth="1" outlineLevel="1"/>
    <col min="20" max="26" width="6.625" style="2" customWidth="1" outlineLevel="1"/>
    <col min="27" max="27" width="6.625" style="3" customWidth="1" outlineLevel="1"/>
    <col min="28" max="28" width="7.625" style="2" customWidth="1"/>
    <col min="29" max="16384" width="12.625" style="2"/>
  </cols>
  <sheetData>
    <row r="1" spans="1:28">
      <c r="A1" s="1" t="s">
        <v>59</v>
      </c>
      <c r="I1" s="34" t="s">
        <v>61</v>
      </c>
      <c r="Q1" s="2"/>
      <c r="S1" s="1" t="s">
        <v>47</v>
      </c>
      <c r="AA1" s="2"/>
    </row>
    <row r="2" spans="1:28">
      <c r="A2" s="6" t="s">
        <v>32</v>
      </c>
      <c r="B2" s="7" t="s">
        <v>31</v>
      </c>
    </row>
    <row r="3" spans="1:28">
      <c r="A3" s="6" t="s">
        <v>33</v>
      </c>
      <c r="B3" s="18">
        <v>11</v>
      </c>
      <c r="C3" s="4" t="s">
        <v>0</v>
      </c>
      <c r="D3" s="35" t="str">
        <f>"SEC_"&amp;B3&amp;"_"&amp;B4&amp;"_"&amp;B5&amp;".json"</f>
        <v>SEC_11_4_12.json</v>
      </c>
      <c r="E3" s="36"/>
      <c r="F3" s="36"/>
      <c r="G3" s="37"/>
      <c r="H3" s="4" t="s">
        <v>0</v>
      </c>
      <c r="I3" s="2" t="s">
        <v>53</v>
      </c>
      <c r="Q3" s="2"/>
      <c r="R3" s="4"/>
      <c r="AA3" s="2"/>
      <c r="AB3" s="4"/>
    </row>
    <row r="4" spans="1:28">
      <c r="A4" s="6" t="s">
        <v>34</v>
      </c>
      <c r="B4" s="18">
        <v>4</v>
      </c>
      <c r="C4" s="4" t="s">
        <v>0</v>
      </c>
      <c r="D4" s="35" t="str">
        <f>"SEC_"&amp;B3&amp;"_"&amp;B4&amp;"_"&amp;B5&amp;".png"</f>
        <v>SEC_11_4_12.png</v>
      </c>
      <c r="E4" s="36"/>
      <c r="F4" s="36"/>
      <c r="G4" s="37"/>
      <c r="H4" s="4" t="s">
        <v>0</v>
      </c>
      <c r="I4" s="2" t="s">
        <v>36</v>
      </c>
      <c r="N4" s="5"/>
      <c r="Q4" s="2"/>
      <c r="R4" s="4"/>
      <c r="AA4" s="2"/>
      <c r="AB4" s="4"/>
    </row>
    <row r="5" spans="1:28">
      <c r="A5" s="6" t="s">
        <v>35</v>
      </c>
      <c r="B5" s="18">
        <v>12</v>
      </c>
    </row>
    <row r="6" spans="1:28">
      <c r="A6" s="29" t="s">
        <v>46</v>
      </c>
      <c r="B6" s="27">
        <v>1000</v>
      </c>
      <c r="C6" s="30" t="s">
        <v>0</v>
      </c>
      <c r="D6" s="28" t="s">
        <v>48</v>
      </c>
      <c r="E6" s="27">
        <v>0</v>
      </c>
      <c r="F6" s="30" t="s">
        <v>0</v>
      </c>
      <c r="G6" s="27">
        <f>B6+E6</f>
        <v>1000</v>
      </c>
      <c r="H6" s="33"/>
      <c r="I6" s="33" t="s">
        <v>58</v>
      </c>
      <c r="J6" s="31"/>
      <c r="K6" s="31"/>
      <c r="L6" s="31"/>
      <c r="M6" s="31"/>
      <c r="N6" s="31"/>
      <c r="O6" s="31"/>
      <c r="P6" s="31"/>
      <c r="Q6" s="32"/>
      <c r="R6" s="31"/>
      <c r="S6" s="30" t="s">
        <v>45</v>
      </c>
      <c r="T6" s="30" t="s">
        <v>0</v>
      </c>
      <c r="U6" s="27">
        <f>G6</f>
        <v>1000</v>
      </c>
      <c r="V6" s="30" t="s">
        <v>0</v>
      </c>
      <c r="W6" s="27">
        <f>G6</f>
        <v>1000</v>
      </c>
      <c r="X6" s="30" t="s">
        <v>0</v>
      </c>
      <c r="Y6" s="27">
        <f>G6</f>
        <v>1000</v>
      </c>
      <c r="Z6" s="30" t="s">
        <v>0</v>
      </c>
      <c r="AA6" s="27">
        <f>G6</f>
        <v>1000</v>
      </c>
    </row>
    <row r="7" spans="1:28" ht="18.75" customHeight="1">
      <c r="A7" s="6" t="s">
        <v>54</v>
      </c>
      <c r="B7" s="18">
        <v>700</v>
      </c>
      <c r="C7" s="2" t="s">
        <v>56</v>
      </c>
    </row>
    <row r="8" spans="1:28" ht="18.75" customHeight="1">
      <c r="A8" s="6" t="s">
        <v>55</v>
      </c>
      <c r="B8" s="18">
        <v>1000</v>
      </c>
      <c r="C8" s="2" t="s">
        <v>60</v>
      </c>
    </row>
    <row r="9" spans="1:28">
      <c r="A9" s="1" t="s">
        <v>41</v>
      </c>
      <c r="D9" s="2" t="s">
        <v>43</v>
      </c>
      <c r="I9" s="2" t="s">
        <v>42</v>
      </c>
      <c r="Q9" s="1"/>
      <c r="S9" s="2" t="s">
        <v>44</v>
      </c>
      <c r="AA9" s="1"/>
    </row>
    <row r="10" spans="1:28" ht="37.5">
      <c r="A10" s="6" t="s">
        <v>1</v>
      </c>
      <c r="B10" s="7" t="s">
        <v>30</v>
      </c>
      <c r="C10" s="4" t="s">
        <v>0</v>
      </c>
      <c r="D10" s="8" t="s">
        <v>37</v>
      </c>
      <c r="E10" s="8" t="s">
        <v>38</v>
      </c>
      <c r="F10" s="8" t="s">
        <v>39</v>
      </c>
      <c r="G10" s="8" t="s">
        <v>40</v>
      </c>
      <c r="H10" s="4" t="s">
        <v>0</v>
      </c>
      <c r="I10" s="8" t="s">
        <v>1</v>
      </c>
      <c r="J10" s="11" t="s">
        <v>2</v>
      </c>
      <c r="K10" s="12" t="s">
        <v>3</v>
      </c>
      <c r="L10" s="11" t="s">
        <v>4</v>
      </c>
      <c r="M10" s="12" t="s">
        <v>5</v>
      </c>
      <c r="N10" s="11" t="s">
        <v>6</v>
      </c>
      <c r="O10" s="12" t="s">
        <v>7</v>
      </c>
      <c r="P10" s="11" t="s">
        <v>8</v>
      </c>
      <c r="Q10" s="12" t="s">
        <v>9</v>
      </c>
      <c r="R10" s="4" t="s">
        <v>0</v>
      </c>
      <c r="S10" s="8" t="s">
        <v>1</v>
      </c>
      <c r="T10" s="11" t="s">
        <v>2</v>
      </c>
      <c r="U10" s="12" t="s">
        <v>3</v>
      </c>
      <c r="V10" s="11" t="s">
        <v>4</v>
      </c>
      <c r="W10" s="12" t="s">
        <v>5</v>
      </c>
      <c r="X10" s="11" t="s">
        <v>6</v>
      </c>
      <c r="Y10" s="12" t="s">
        <v>7</v>
      </c>
      <c r="Z10" s="11" t="s">
        <v>8</v>
      </c>
      <c r="AA10" s="12" t="s">
        <v>9</v>
      </c>
      <c r="AB10" s="4" t="s">
        <v>0</v>
      </c>
    </row>
    <row r="11" spans="1:28">
      <c r="A11" s="9" t="s">
        <v>52</v>
      </c>
      <c r="B11" s="26" t="s">
        <v>57</v>
      </c>
      <c r="C11" s="4" t="s">
        <v>0</v>
      </c>
      <c r="D11" s="22">
        <v>36</v>
      </c>
      <c r="E11" s="25">
        <v>105</v>
      </c>
      <c r="F11" s="25">
        <v>68</v>
      </c>
      <c r="G11" s="25">
        <v>138</v>
      </c>
      <c r="H11" s="4" t="s">
        <v>0</v>
      </c>
      <c r="I11" s="15" t="str">
        <f t="shared" ref="I11:I172" si="0">A11</f>
        <v>10-15</v>
      </c>
      <c r="J11" s="13">
        <f>IF(D11&lt;&gt;"",D11,0)</f>
        <v>36</v>
      </c>
      <c r="K11" s="14">
        <f>IF(E11&lt;&gt;"",E11,0)</f>
        <v>105</v>
      </c>
      <c r="L11" s="16">
        <f>N11</f>
        <v>68</v>
      </c>
      <c r="M11" s="17">
        <f>K11</f>
        <v>105</v>
      </c>
      <c r="N11" s="13">
        <f>IF(F11&lt;&gt;"",F11,0)</f>
        <v>68</v>
      </c>
      <c r="O11" s="14">
        <f>IF(G11&lt;&gt;"",G11,0)</f>
        <v>138</v>
      </c>
      <c r="P11" s="16">
        <f>J11</f>
        <v>36</v>
      </c>
      <c r="Q11" s="17">
        <f>O11</f>
        <v>138</v>
      </c>
      <c r="R11" s="4" t="s">
        <v>0</v>
      </c>
      <c r="S11" s="15" t="str">
        <f>I11</f>
        <v>10-15</v>
      </c>
      <c r="T11" s="13">
        <f>IF(J11&lt;&gt;"",J11,"")</f>
        <v>36</v>
      </c>
      <c r="U11" s="17">
        <f>IF(K11&lt;&gt;"",U$6-K11,"")</f>
        <v>895</v>
      </c>
      <c r="V11" s="13">
        <f t="shared" ref="V11:Z26" si="1">IF(L11&lt;&gt;"",L11,"")</f>
        <v>68</v>
      </c>
      <c r="W11" s="17">
        <f>IF(M11&lt;&gt;"",W$6-M11,"")</f>
        <v>895</v>
      </c>
      <c r="X11" s="13">
        <f t="shared" si="1"/>
        <v>68</v>
      </c>
      <c r="Y11" s="17">
        <f>IF(O11&lt;&gt;"",Y$6-O11,"")</f>
        <v>862</v>
      </c>
      <c r="Z11" s="13">
        <f t="shared" si="1"/>
        <v>36</v>
      </c>
      <c r="AA11" s="17">
        <f>IF(Q11&lt;&gt;"",AA$6-Q11,"")</f>
        <v>862</v>
      </c>
      <c r="AB11" s="4" t="s">
        <v>0</v>
      </c>
    </row>
    <row r="12" spans="1:28">
      <c r="A12" s="9" t="s">
        <v>51</v>
      </c>
      <c r="B12" s="19"/>
      <c r="C12" s="21">
        <v>1</v>
      </c>
      <c r="D12" s="23">
        <f>ROUND(D$11+32*$C12, 0)</f>
        <v>68</v>
      </c>
      <c r="E12" s="24">
        <f>E$11</f>
        <v>105</v>
      </c>
      <c r="F12" s="23">
        <f>ROUND(F$11+32*$C12, 0)</f>
        <v>100</v>
      </c>
      <c r="G12" s="24">
        <f>G$11</f>
        <v>138</v>
      </c>
      <c r="H12" s="4" t="s">
        <v>0</v>
      </c>
      <c r="I12" s="15" t="str">
        <f t="shared" si="0"/>
        <v>10-13</v>
      </c>
      <c r="J12" s="13">
        <f t="shared" ref="J12:K127" si="2">IF(D12&lt;&gt;"",D12,0)</f>
        <v>68</v>
      </c>
      <c r="K12" s="14">
        <f t="shared" si="2"/>
        <v>105</v>
      </c>
      <c r="L12" s="16">
        <f t="shared" ref="L12:L172" si="3">N12</f>
        <v>100</v>
      </c>
      <c r="M12" s="17">
        <f t="shared" ref="M12:M172" si="4">K12</f>
        <v>105</v>
      </c>
      <c r="N12" s="13">
        <f t="shared" ref="N12:O127" si="5">IF(F12&lt;&gt;"",F12,0)</f>
        <v>100</v>
      </c>
      <c r="O12" s="14">
        <f t="shared" si="5"/>
        <v>138</v>
      </c>
      <c r="P12" s="16">
        <f t="shared" ref="P12:P172" si="6">J12</f>
        <v>68</v>
      </c>
      <c r="Q12" s="17">
        <f t="shared" ref="Q12:Q172" si="7">O12</f>
        <v>138</v>
      </c>
      <c r="R12" s="4" t="s">
        <v>0</v>
      </c>
      <c r="S12" s="15" t="str">
        <f t="shared" ref="S12:S172" si="8">I12</f>
        <v>10-13</v>
      </c>
      <c r="T12" s="13">
        <f t="shared" ref="T12:T172" si="9">IF(J12&lt;&gt;"",J12,"")</f>
        <v>68</v>
      </c>
      <c r="U12" s="17">
        <f t="shared" ref="U12:U172" si="10">IF(K12&lt;&gt;"",U$6-K12,"")</f>
        <v>895</v>
      </c>
      <c r="V12" s="13">
        <f t="shared" si="1"/>
        <v>100</v>
      </c>
      <c r="W12" s="17">
        <f t="shared" ref="W12:W172" si="11">IF(M12&lt;&gt;"",W$6-M12,"")</f>
        <v>895</v>
      </c>
      <c r="X12" s="13">
        <f t="shared" si="1"/>
        <v>100</v>
      </c>
      <c r="Y12" s="17">
        <f t="shared" ref="Y12:Y172" si="12">IF(O12&lt;&gt;"",Y$6-O12,"")</f>
        <v>862</v>
      </c>
      <c r="Z12" s="13">
        <f t="shared" si="1"/>
        <v>68</v>
      </c>
      <c r="AA12" s="17">
        <f t="shared" ref="AA12:AA172" si="13">IF(Q12&lt;&gt;"",AA$6-Q12,"")</f>
        <v>862</v>
      </c>
      <c r="AB12" s="4" t="s">
        <v>0</v>
      </c>
    </row>
    <row r="13" spans="1:28">
      <c r="A13" s="9" t="s">
        <v>29</v>
      </c>
      <c r="B13" s="19"/>
      <c r="C13" s="21">
        <v>2</v>
      </c>
      <c r="D13" s="23">
        <f t="shared" ref="D13:D23" si="14">ROUND(D$11+32*$C13, 0)</f>
        <v>100</v>
      </c>
      <c r="E13" s="24">
        <f t="shared" ref="E13:E23" si="15">E$11</f>
        <v>105</v>
      </c>
      <c r="F13" s="23">
        <f t="shared" ref="F13:F23" si="16">ROUND(F$11+32*$C13, 0)</f>
        <v>132</v>
      </c>
      <c r="G13" s="24">
        <f t="shared" ref="G13:G23" si="17">G$11</f>
        <v>138</v>
      </c>
      <c r="H13" s="4" t="s">
        <v>0</v>
      </c>
      <c r="I13" s="15" t="str">
        <f t="shared" si="0"/>
        <v>10-12</v>
      </c>
      <c r="J13" s="13">
        <f t="shared" si="2"/>
        <v>100</v>
      </c>
      <c r="K13" s="14">
        <f t="shared" si="2"/>
        <v>105</v>
      </c>
      <c r="L13" s="16">
        <f t="shared" si="3"/>
        <v>132</v>
      </c>
      <c r="M13" s="17">
        <f t="shared" si="4"/>
        <v>105</v>
      </c>
      <c r="N13" s="13">
        <f t="shared" si="5"/>
        <v>132</v>
      </c>
      <c r="O13" s="14">
        <f t="shared" si="5"/>
        <v>138</v>
      </c>
      <c r="P13" s="16">
        <f t="shared" si="6"/>
        <v>100</v>
      </c>
      <c r="Q13" s="17">
        <f t="shared" si="7"/>
        <v>138</v>
      </c>
      <c r="R13" s="4" t="s">
        <v>0</v>
      </c>
      <c r="S13" s="15" t="str">
        <f t="shared" si="8"/>
        <v>10-12</v>
      </c>
      <c r="T13" s="13">
        <f t="shared" si="9"/>
        <v>100</v>
      </c>
      <c r="U13" s="17">
        <f t="shared" si="10"/>
        <v>895</v>
      </c>
      <c r="V13" s="13">
        <f t="shared" si="1"/>
        <v>132</v>
      </c>
      <c r="W13" s="17">
        <f t="shared" si="11"/>
        <v>895</v>
      </c>
      <c r="X13" s="13">
        <f t="shared" si="1"/>
        <v>132</v>
      </c>
      <c r="Y13" s="17">
        <f t="shared" si="12"/>
        <v>862</v>
      </c>
      <c r="Z13" s="13">
        <f t="shared" si="1"/>
        <v>100</v>
      </c>
      <c r="AA13" s="17">
        <f t="shared" si="13"/>
        <v>862</v>
      </c>
      <c r="AB13" s="4" t="s">
        <v>0</v>
      </c>
    </row>
    <row r="14" spans="1:28">
      <c r="A14" s="9" t="s">
        <v>28</v>
      </c>
      <c r="B14" s="19"/>
      <c r="C14" s="21">
        <v>3</v>
      </c>
      <c r="D14" s="23">
        <f t="shared" si="14"/>
        <v>132</v>
      </c>
      <c r="E14" s="24">
        <f t="shared" si="15"/>
        <v>105</v>
      </c>
      <c r="F14" s="23">
        <f t="shared" si="16"/>
        <v>164</v>
      </c>
      <c r="G14" s="24">
        <f t="shared" si="17"/>
        <v>138</v>
      </c>
      <c r="H14" s="4" t="s">
        <v>0</v>
      </c>
      <c r="I14" s="15" t="str">
        <f t="shared" si="0"/>
        <v>10-11</v>
      </c>
      <c r="J14" s="13">
        <f t="shared" si="2"/>
        <v>132</v>
      </c>
      <c r="K14" s="14">
        <f t="shared" si="2"/>
        <v>105</v>
      </c>
      <c r="L14" s="16">
        <f t="shared" si="3"/>
        <v>164</v>
      </c>
      <c r="M14" s="17">
        <f t="shared" si="4"/>
        <v>105</v>
      </c>
      <c r="N14" s="13">
        <f t="shared" si="5"/>
        <v>164</v>
      </c>
      <c r="O14" s="14">
        <f t="shared" si="5"/>
        <v>138</v>
      </c>
      <c r="P14" s="16">
        <f t="shared" si="6"/>
        <v>132</v>
      </c>
      <c r="Q14" s="17">
        <f t="shared" si="7"/>
        <v>138</v>
      </c>
      <c r="R14" s="4" t="s">
        <v>0</v>
      </c>
      <c r="S14" s="15" t="str">
        <f t="shared" si="8"/>
        <v>10-11</v>
      </c>
      <c r="T14" s="13">
        <f t="shared" si="9"/>
        <v>132</v>
      </c>
      <c r="U14" s="17">
        <f t="shared" si="10"/>
        <v>895</v>
      </c>
      <c r="V14" s="13">
        <f t="shared" si="1"/>
        <v>164</v>
      </c>
      <c r="W14" s="17">
        <f t="shared" si="11"/>
        <v>895</v>
      </c>
      <c r="X14" s="13">
        <f t="shared" si="1"/>
        <v>164</v>
      </c>
      <c r="Y14" s="17">
        <f t="shared" si="12"/>
        <v>862</v>
      </c>
      <c r="Z14" s="13">
        <f t="shared" si="1"/>
        <v>132</v>
      </c>
      <c r="AA14" s="17">
        <f t="shared" si="13"/>
        <v>862</v>
      </c>
      <c r="AB14" s="4" t="s">
        <v>0</v>
      </c>
    </row>
    <row r="15" spans="1:28">
      <c r="A15" s="9" t="s">
        <v>27</v>
      </c>
      <c r="B15" s="19"/>
      <c r="C15" s="21">
        <v>4</v>
      </c>
      <c r="D15" s="23">
        <f t="shared" si="14"/>
        <v>164</v>
      </c>
      <c r="E15" s="24">
        <f t="shared" si="15"/>
        <v>105</v>
      </c>
      <c r="F15" s="23">
        <f t="shared" si="16"/>
        <v>196</v>
      </c>
      <c r="G15" s="24">
        <f t="shared" si="17"/>
        <v>138</v>
      </c>
      <c r="H15" s="4" t="s">
        <v>0</v>
      </c>
      <c r="I15" s="15" t="str">
        <f t="shared" si="0"/>
        <v>10-10</v>
      </c>
      <c r="J15" s="13">
        <f t="shared" si="2"/>
        <v>164</v>
      </c>
      <c r="K15" s="14">
        <f t="shared" si="2"/>
        <v>105</v>
      </c>
      <c r="L15" s="16">
        <f t="shared" si="3"/>
        <v>196</v>
      </c>
      <c r="M15" s="17">
        <f t="shared" si="4"/>
        <v>105</v>
      </c>
      <c r="N15" s="13">
        <f t="shared" si="5"/>
        <v>196</v>
      </c>
      <c r="O15" s="14">
        <f t="shared" si="5"/>
        <v>138</v>
      </c>
      <c r="P15" s="16">
        <f t="shared" si="6"/>
        <v>164</v>
      </c>
      <c r="Q15" s="17">
        <f t="shared" si="7"/>
        <v>138</v>
      </c>
      <c r="R15" s="4" t="s">
        <v>0</v>
      </c>
      <c r="S15" s="15" t="str">
        <f t="shared" si="8"/>
        <v>10-10</v>
      </c>
      <c r="T15" s="13">
        <f t="shared" si="9"/>
        <v>164</v>
      </c>
      <c r="U15" s="17">
        <f t="shared" si="10"/>
        <v>895</v>
      </c>
      <c r="V15" s="13">
        <f t="shared" si="1"/>
        <v>196</v>
      </c>
      <c r="W15" s="17">
        <f t="shared" si="11"/>
        <v>895</v>
      </c>
      <c r="X15" s="13">
        <f t="shared" si="1"/>
        <v>196</v>
      </c>
      <c r="Y15" s="17">
        <f t="shared" si="12"/>
        <v>862</v>
      </c>
      <c r="Z15" s="13">
        <f t="shared" si="1"/>
        <v>164</v>
      </c>
      <c r="AA15" s="17">
        <f t="shared" si="13"/>
        <v>862</v>
      </c>
      <c r="AB15" s="4" t="s">
        <v>0</v>
      </c>
    </row>
    <row r="16" spans="1:28">
      <c r="A16" s="9" t="s">
        <v>62</v>
      </c>
      <c r="B16" s="19"/>
      <c r="C16" s="21">
        <v>5</v>
      </c>
      <c r="D16" s="23">
        <f t="shared" si="14"/>
        <v>196</v>
      </c>
      <c r="E16" s="24">
        <f t="shared" si="15"/>
        <v>105</v>
      </c>
      <c r="F16" s="23">
        <f t="shared" si="16"/>
        <v>228</v>
      </c>
      <c r="G16" s="24">
        <f t="shared" si="17"/>
        <v>138</v>
      </c>
      <c r="H16" s="4" t="s">
        <v>0</v>
      </c>
      <c r="I16" s="15" t="str">
        <f t="shared" si="0"/>
        <v>10-09</v>
      </c>
      <c r="J16" s="13">
        <f t="shared" si="2"/>
        <v>196</v>
      </c>
      <c r="K16" s="14">
        <f t="shared" si="2"/>
        <v>105</v>
      </c>
      <c r="L16" s="16">
        <f t="shared" si="3"/>
        <v>228</v>
      </c>
      <c r="M16" s="17">
        <f t="shared" si="4"/>
        <v>105</v>
      </c>
      <c r="N16" s="13">
        <f t="shared" si="5"/>
        <v>228</v>
      </c>
      <c r="O16" s="14">
        <f t="shared" si="5"/>
        <v>138</v>
      </c>
      <c r="P16" s="16">
        <f t="shared" si="6"/>
        <v>196</v>
      </c>
      <c r="Q16" s="17">
        <f t="shared" si="7"/>
        <v>138</v>
      </c>
      <c r="R16" s="4" t="s">
        <v>0</v>
      </c>
      <c r="S16" s="15" t="str">
        <f t="shared" si="8"/>
        <v>10-09</v>
      </c>
      <c r="T16" s="13">
        <f t="shared" si="9"/>
        <v>196</v>
      </c>
      <c r="U16" s="17">
        <f t="shared" si="10"/>
        <v>895</v>
      </c>
      <c r="V16" s="13">
        <f t="shared" si="1"/>
        <v>228</v>
      </c>
      <c r="W16" s="17">
        <f t="shared" si="11"/>
        <v>895</v>
      </c>
      <c r="X16" s="13">
        <f t="shared" si="1"/>
        <v>228</v>
      </c>
      <c r="Y16" s="17">
        <f t="shared" si="12"/>
        <v>862</v>
      </c>
      <c r="Z16" s="13">
        <f t="shared" si="1"/>
        <v>196</v>
      </c>
      <c r="AA16" s="17">
        <f t="shared" si="13"/>
        <v>862</v>
      </c>
      <c r="AB16" s="4" t="s">
        <v>0</v>
      </c>
    </row>
    <row r="17" spans="1:28">
      <c r="A17" s="9" t="s">
        <v>26</v>
      </c>
      <c r="B17" s="19"/>
      <c r="C17" s="21">
        <v>6</v>
      </c>
      <c r="D17" s="23">
        <f t="shared" si="14"/>
        <v>228</v>
      </c>
      <c r="E17" s="24">
        <f t="shared" si="15"/>
        <v>105</v>
      </c>
      <c r="F17" s="23">
        <f t="shared" si="16"/>
        <v>260</v>
      </c>
      <c r="G17" s="24">
        <f t="shared" si="17"/>
        <v>138</v>
      </c>
      <c r="H17" s="4" t="s">
        <v>0</v>
      </c>
      <c r="I17" s="15" t="str">
        <f t="shared" si="0"/>
        <v>10-08</v>
      </c>
      <c r="J17" s="13">
        <f t="shared" si="2"/>
        <v>228</v>
      </c>
      <c r="K17" s="14">
        <f t="shared" si="2"/>
        <v>105</v>
      </c>
      <c r="L17" s="16">
        <f t="shared" si="3"/>
        <v>260</v>
      </c>
      <c r="M17" s="17">
        <f t="shared" si="4"/>
        <v>105</v>
      </c>
      <c r="N17" s="13">
        <f t="shared" si="5"/>
        <v>260</v>
      </c>
      <c r="O17" s="14">
        <f t="shared" si="5"/>
        <v>138</v>
      </c>
      <c r="P17" s="16">
        <f t="shared" si="6"/>
        <v>228</v>
      </c>
      <c r="Q17" s="17">
        <f t="shared" si="7"/>
        <v>138</v>
      </c>
      <c r="R17" s="4" t="s">
        <v>0</v>
      </c>
      <c r="S17" s="15" t="str">
        <f t="shared" si="8"/>
        <v>10-08</v>
      </c>
      <c r="T17" s="13">
        <f t="shared" si="9"/>
        <v>228</v>
      </c>
      <c r="U17" s="17">
        <f t="shared" si="10"/>
        <v>895</v>
      </c>
      <c r="V17" s="13">
        <f t="shared" si="1"/>
        <v>260</v>
      </c>
      <c r="W17" s="17">
        <f t="shared" si="11"/>
        <v>895</v>
      </c>
      <c r="X17" s="13">
        <f t="shared" si="1"/>
        <v>260</v>
      </c>
      <c r="Y17" s="17">
        <f t="shared" si="12"/>
        <v>862</v>
      </c>
      <c r="Z17" s="13">
        <f t="shared" si="1"/>
        <v>228</v>
      </c>
      <c r="AA17" s="17">
        <f t="shared" si="13"/>
        <v>862</v>
      </c>
      <c r="AB17" s="4" t="s">
        <v>0</v>
      </c>
    </row>
    <row r="18" spans="1:28">
      <c r="A18" s="9" t="s">
        <v>25</v>
      </c>
      <c r="B18" s="19"/>
      <c r="C18" s="21">
        <v>7</v>
      </c>
      <c r="D18" s="23">
        <f t="shared" si="14"/>
        <v>260</v>
      </c>
      <c r="E18" s="24">
        <f t="shared" si="15"/>
        <v>105</v>
      </c>
      <c r="F18" s="23">
        <f t="shared" si="16"/>
        <v>292</v>
      </c>
      <c r="G18" s="24">
        <f t="shared" si="17"/>
        <v>138</v>
      </c>
      <c r="H18" s="4" t="s">
        <v>0</v>
      </c>
      <c r="I18" s="15" t="str">
        <f t="shared" si="0"/>
        <v>10-07</v>
      </c>
      <c r="J18" s="13">
        <f t="shared" si="2"/>
        <v>260</v>
      </c>
      <c r="K18" s="14">
        <f t="shared" si="2"/>
        <v>105</v>
      </c>
      <c r="L18" s="16">
        <f t="shared" si="3"/>
        <v>292</v>
      </c>
      <c r="M18" s="17">
        <f t="shared" si="4"/>
        <v>105</v>
      </c>
      <c r="N18" s="13">
        <f t="shared" si="5"/>
        <v>292</v>
      </c>
      <c r="O18" s="14">
        <f t="shared" si="5"/>
        <v>138</v>
      </c>
      <c r="P18" s="16">
        <f t="shared" si="6"/>
        <v>260</v>
      </c>
      <c r="Q18" s="17">
        <f t="shared" si="7"/>
        <v>138</v>
      </c>
      <c r="R18" s="4" t="s">
        <v>0</v>
      </c>
      <c r="S18" s="15" t="str">
        <f t="shared" si="8"/>
        <v>10-07</v>
      </c>
      <c r="T18" s="13">
        <f t="shared" si="9"/>
        <v>260</v>
      </c>
      <c r="U18" s="17">
        <f t="shared" si="10"/>
        <v>895</v>
      </c>
      <c r="V18" s="13">
        <f t="shared" si="1"/>
        <v>292</v>
      </c>
      <c r="W18" s="17">
        <f t="shared" si="11"/>
        <v>895</v>
      </c>
      <c r="X18" s="13">
        <f t="shared" si="1"/>
        <v>292</v>
      </c>
      <c r="Y18" s="17">
        <f t="shared" si="12"/>
        <v>862</v>
      </c>
      <c r="Z18" s="13">
        <f t="shared" si="1"/>
        <v>260</v>
      </c>
      <c r="AA18" s="17">
        <f t="shared" si="13"/>
        <v>862</v>
      </c>
      <c r="AB18" s="4" t="s">
        <v>0</v>
      </c>
    </row>
    <row r="19" spans="1:28">
      <c r="A19" s="9" t="s">
        <v>24</v>
      </c>
      <c r="B19" s="19"/>
      <c r="C19" s="21">
        <v>8</v>
      </c>
      <c r="D19" s="23">
        <f t="shared" si="14"/>
        <v>292</v>
      </c>
      <c r="E19" s="24">
        <f t="shared" si="15"/>
        <v>105</v>
      </c>
      <c r="F19" s="23">
        <f t="shared" si="16"/>
        <v>324</v>
      </c>
      <c r="G19" s="24">
        <f t="shared" si="17"/>
        <v>138</v>
      </c>
      <c r="H19" s="4" t="s">
        <v>0</v>
      </c>
      <c r="I19" s="15" t="str">
        <f t="shared" si="0"/>
        <v>10-06</v>
      </c>
      <c r="J19" s="13">
        <f t="shared" si="2"/>
        <v>292</v>
      </c>
      <c r="K19" s="14">
        <f t="shared" si="2"/>
        <v>105</v>
      </c>
      <c r="L19" s="16">
        <f t="shared" si="3"/>
        <v>324</v>
      </c>
      <c r="M19" s="17">
        <f t="shared" si="4"/>
        <v>105</v>
      </c>
      <c r="N19" s="13">
        <f t="shared" si="5"/>
        <v>324</v>
      </c>
      <c r="O19" s="14">
        <f t="shared" si="5"/>
        <v>138</v>
      </c>
      <c r="P19" s="16">
        <f t="shared" si="6"/>
        <v>292</v>
      </c>
      <c r="Q19" s="17">
        <f t="shared" si="7"/>
        <v>138</v>
      </c>
      <c r="R19" s="4" t="s">
        <v>0</v>
      </c>
      <c r="S19" s="15" t="str">
        <f t="shared" si="8"/>
        <v>10-06</v>
      </c>
      <c r="T19" s="13">
        <f t="shared" si="9"/>
        <v>292</v>
      </c>
      <c r="U19" s="17">
        <f t="shared" si="10"/>
        <v>895</v>
      </c>
      <c r="V19" s="13">
        <f t="shared" si="1"/>
        <v>324</v>
      </c>
      <c r="W19" s="17">
        <f t="shared" si="11"/>
        <v>895</v>
      </c>
      <c r="X19" s="13">
        <f t="shared" si="1"/>
        <v>324</v>
      </c>
      <c r="Y19" s="17">
        <f t="shared" si="12"/>
        <v>862</v>
      </c>
      <c r="Z19" s="13">
        <f t="shared" si="1"/>
        <v>292</v>
      </c>
      <c r="AA19" s="17">
        <f t="shared" si="13"/>
        <v>862</v>
      </c>
      <c r="AB19" s="4" t="s">
        <v>0</v>
      </c>
    </row>
    <row r="20" spans="1:28">
      <c r="A20" s="9" t="s">
        <v>23</v>
      </c>
      <c r="B20" s="19"/>
      <c r="C20" s="21">
        <v>9</v>
      </c>
      <c r="D20" s="23">
        <f t="shared" si="14"/>
        <v>324</v>
      </c>
      <c r="E20" s="24">
        <f t="shared" si="15"/>
        <v>105</v>
      </c>
      <c r="F20" s="23">
        <f t="shared" si="16"/>
        <v>356</v>
      </c>
      <c r="G20" s="24">
        <f t="shared" si="17"/>
        <v>138</v>
      </c>
      <c r="H20" s="4" t="s">
        <v>0</v>
      </c>
      <c r="I20" s="15" t="str">
        <f t="shared" si="0"/>
        <v>10-05</v>
      </c>
      <c r="J20" s="13">
        <f t="shared" si="2"/>
        <v>324</v>
      </c>
      <c r="K20" s="14">
        <f t="shared" si="2"/>
        <v>105</v>
      </c>
      <c r="L20" s="16">
        <f t="shared" si="3"/>
        <v>356</v>
      </c>
      <c r="M20" s="17">
        <f t="shared" si="4"/>
        <v>105</v>
      </c>
      <c r="N20" s="13">
        <f t="shared" si="5"/>
        <v>356</v>
      </c>
      <c r="O20" s="14">
        <f t="shared" si="5"/>
        <v>138</v>
      </c>
      <c r="P20" s="16">
        <f t="shared" si="6"/>
        <v>324</v>
      </c>
      <c r="Q20" s="17">
        <f t="shared" si="7"/>
        <v>138</v>
      </c>
      <c r="R20" s="4" t="s">
        <v>0</v>
      </c>
      <c r="S20" s="15" t="str">
        <f t="shared" si="8"/>
        <v>10-05</v>
      </c>
      <c r="T20" s="13">
        <f t="shared" si="9"/>
        <v>324</v>
      </c>
      <c r="U20" s="17">
        <f t="shared" si="10"/>
        <v>895</v>
      </c>
      <c r="V20" s="13">
        <f t="shared" si="1"/>
        <v>356</v>
      </c>
      <c r="W20" s="17">
        <f t="shared" si="11"/>
        <v>895</v>
      </c>
      <c r="X20" s="13">
        <f t="shared" si="1"/>
        <v>356</v>
      </c>
      <c r="Y20" s="17">
        <f t="shared" si="12"/>
        <v>862</v>
      </c>
      <c r="Z20" s="13">
        <f t="shared" si="1"/>
        <v>324</v>
      </c>
      <c r="AA20" s="17">
        <f t="shared" si="13"/>
        <v>862</v>
      </c>
      <c r="AB20" s="4" t="s">
        <v>0</v>
      </c>
    </row>
    <row r="21" spans="1:28">
      <c r="A21" s="9" t="s">
        <v>22</v>
      </c>
      <c r="B21" s="19"/>
      <c r="C21" s="21">
        <v>10</v>
      </c>
      <c r="D21" s="23">
        <f t="shared" si="14"/>
        <v>356</v>
      </c>
      <c r="E21" s="24">
        <f t="shared" si="15"/>
        <v>105</v>
      </c>
      <c r="F21" s="23">
        <f t="shared" si="16"/>
        <v>388</v>
      </c>
      <c r="G21" s="24">
        <f t="shared" si="17"/>
        <v>138</v>
      </c>
      <c r="H21" s="4" t="s">
        <v>0</v>
      </c>
      <c r="I21" s="15" t="str">
        <f t="shared" si="0"/>
        <v>10-03</v>
      </c>
      <c r="J21" s="13">
        <f t="shared" si="2"/>
        <v>356</v>
      </c>
      <c r="K21" s="14">
        <f t="shared" si="2"/>
        <v>105</v>
      </c>
      <c r="L21" s="16">
        <f t="shared" si="3"/>
        <v>388</v>
      </c>
      <c r="M21" s="17">
        <f t="shared" si="4"/>
        <v>105</v>
      </c>
      <c r="N21" s="13">
        <f t="shared" si="5"/>
        <v>388</v>
      </c>
      <c r="O21" s="14">
        <f t="shared" si="5"/>
        <v>138</v>
      </c>
      <c r="P21" s="16">
        <f t="shared" si="6"/>
        <v>356</v>
      </c>
      <c r="Q21" s="17">
        <f t="shared" si="7"/>
        <v>138</v>
      </c>
      <c r="R21" s="4" t="s">
        <v>0</v>
      </c>
      <c r="S21" s="15" t="str">
        <f t="shared" si="8"/>
        <v>10-03</v>
      </c>
      <c r="T21" s="13">
        <f t="shared" si="9"/>
        <v>356</v>
      </c>
      <c r="U21" s="17">
        <f t="shared" si="10"/>
        <v>895</v>
      </c>
      <c r="V21" s="13">
        <f t="shared" si="1"/>
        <v>388</v>
      </c>
      <c r="W21" s="17">
        <f t="shared" si="11"/>
        <v>895</v>
      </c>
      <c r="X21" s="13">
        <f t="shared" si="1"/>
        <v>388</v>
      </c>
      <c r="Y21" s="17">
        <f t="shared" si="12"/>
        <v>862</v>
      </c>
      <c r="Z21" s="13">
        <f t="shared" si="1"/>
        <v>356</v>
      </c>
      <c r="AA21" s="17">
        <f t="shared" si="13"/>
        <v>862</v>
      </c>
      <c r="AB21" s="4" t="s">
        <v>0</v>
      </c>
    </row>
    <row r="22" spans="1:28">
      <c r="A22" s="9" t="s">
        <v>21</v>
      </c>
      <c r="B22" s="19"/>
      <c r="C22" s="21">
        <v>11</v>
      </c>
      <c r="D22" s="23">
        <f t="shared" si="14"/>
        <v>388</v>
      </c>
      <c r="E22" s="24">
        <f t="shared" si="15"/>
        <v>105</v>
      </c>
      <c r="F22" s="23">
        <f t="shared" si="16"/>
        <v>420</v>
      </c>
      <c r="G22" s="24">
        <f t="shared" si="17"/>
        <v>138</v>
      </c>
      <c r="H22" s="4" t="s">
        <v>0</v>
      </c>
      <c r="I22" s="15" t="str">
        <f t="shared" si="0"/>
        <v>10-02</v>
      </c>
      <c r="J22" s="13">
        <f t="shared" si="2"/>
        <v>388</v>
      </c>
      <c r="K22" s="14">
        <f t="shared" si="2"/>
        <v>105</v>
      </c>
      <c r="L22" s="16">
        <f t="shared" si="3"/>
        <v>420</v>
      </c>
      <c r="M22" s="17">
        <f t="shared" si="4"/>
        <v>105</v>
      </c>
      <c r="N22" s="13">
        <f t="shared" si="5"/>
        <v>420</v>
      </c>
      <c r="O22" s="14">
        <f t="shared" si="5"/>
        <v>138</v>
      </c>
      <c r="P22" s="16">
        <f t="shared" si="6"/>
        <v>388</v>
      </c>
      <c r="Q22" s="17">
        <f t="shared" si="7"/>
        <v>138</v>
      </c>
      <c r="R22" s="4" t="s">
        <v>0</v>
      </c>
      <c r="S22" s="15" t="str">
        <f t="shared" si="8"/>
        <v>10-02</v>
      </c>
      <c r="T22" s="13">
        <f t="shared" si="9"/>
        <v>388</v>
      </c>
      <c r="U22" s="17">
        <f t="shared" si="10"/>
        <v>895</v>
      </c>
      <c r="V22" s="13">
        <f t="shared" si="1"/>
        <v>420</v>
      </c>
      <c r="W22" s="17">
        <f t="shared" si="11"/>
        <v>895</v>
      </c>
      <c r="X22" s="13">
        <f t="shared" si="1"/>
        <v>420</v>
      </c>
      <c r="Y22" s="17">
        <f t="shared" si="12"/>
        <v>862</v>
      </c>
      <c r="Z22" s="13">
        <f t="shared" si="1"/>
        <v>388</v>
      </c>
      <c r="AA22" s="17">
        <f t="shared" si="13"/>
        <v>862</v>
      </c>
      <c r="AB22" s="4" t="s">
        <v>0</v>
      </c>
    </row>
    <row r="23" spans="1:28">
      <c r="A23" s="9" t="s">
        <v>20</v>
      </c>
      <c r="B23" s="19"/>
      <c r="C23" s="21">
        <v>12</v>
      </c>
      <c r="D23" s="23">
        <f t="shared" si="14"/>
        <v>420</v>
      </c>
      <c r="E23" s="24">
        <f t="shared" si="15"/>
        <v>105</v>
      </c>
      <c r="F23" s="23">
        <f t="shared" si="16"/>
        <v>452</v>
      </c>
      <c r="G23" s="24">
        <f t="shared" si="17"/>
        <v>138</v>
      </c>
      <c r="H23" s="4" t="s">
        <v>0</v>
      </c>
      <c r="I23" s="15" t="str">
        <f t="shared" si="0"/>
        <v>10-01</v>
      </c>
      <c r="J23" s="13">
        <f t="shared" si="2"/>
        <v>420</v>
      </c>
      <c r="K23" s="14">
        <f t="shared" si="2"/>
        <v>105</v>
      </c>
      <c r="L23" s="16">
        <f t="shared" si="3"/>
        <v>452</v>
      </c>
      <c r="M23" s="17">
        <f t="shared" si="4"/>
        <v>105</v>
      </c>
      <c r="N23" s="13">
        <f t="shared" si="5"/>
        <v>452</v>
      </c>
      <c r="O23" s="14">
        <f t="shared" si="5"/>
        <v>138</v>
      </c>
      <c r="P23" s="16">
        <f t="shared" si="6"/>
        <v>420</v>
      </c>
      <c r="Q23" s="17">
        <f t="shared" si="7"/>
        <v>138</v>
      </c>
      <c r="R23" s="4" t="s">
        <v>0</v>
      </c>
      <c r="S23" s="15" t="str">
        <f t="shared" si="8"/>
        <v>10-01</v>
      </c>
      <c r="T23" s="13">
        <f t="shared" si="9"/>
        <v>420</v>
      </c>
      <c r="U23" s="17">
        <f t="shared" si="10"/>
        <v>895</v>
      </c>
      <c r="V23" s="13">
        <f t="shared" si="1"/>
        <v>452</v>
      </c>
      <c r="W23" s="17">
        <f t="shared" si="11"/>
        <v>895</v>
      </c>
      <c r="X23" s="13">
        <f t="shared" si="1"/>
        <v>452</v>
      </c>
      <c r="Y23" s="17">
        <f t="shared" si="12"/>
        <v>862</v>
      </c>
      <c r="Z23" s="13">
        <f t="shared" si="1"/>
        <v>420</v>
      </c>
      <c r="AA23" s="17">
        <f t="shared" si="13"/>
        <v>862</v>
      </c>
      <c r="AB23" s="4" t="s">
        <v>0</v>
      </c>
    </row>
    <row r="24" spans="1:28">
      <c r="A24" s="9" t="s">
        <v>63</v>
      </c>
      <c r="B24" s="19"/>
      <c r="C24" s="21">
        <v>1</v>
      </c>
      <c r="D24" s="20">
        <f>D11</f>
        <v>36</v>
      </c>
      <c r="E24" s="23">
        <f>ROUND(E$11+47*$C24, 0)</f>
        <v>152</v>
      </c>
      <c r="F24" s="20">
        <f>F11</f>
        <v>68</v>
      </c>
      <c r="G24" s="23">
        <f>ROUND(G$11+47*$C24, 0)</f>
        <v>185</v>
      </c>
      <c r="H24" s="4" t="s">
        <v>0</v>
      </c>
      <c r="I24" s="15" t="str">
        <f t="shared" si="0"/>
        <v>09-15</v>
      </c>
      <c r="J24" s="13">
        <f>IF(D24&lt;&gt;"",D24,0)</f>
        <v>36</v>
      </c>
      <c r="K24" s="14">
        <f t="shared" si="2"/>
        <v>152</v>
      </c>
      <c r="L24" s="16">
        <f t="shared" si="3"/>
        <v>68</v>
      </c>
      <c r="M24" s="17">
        <f t="shared" si="4"/>
        <v>152</v>
      </c>
      <c r="N24" s="13">
        <f>IF(F24&lt;&gt;"",F24,0)</f>
        <v>68</v>
      </c>
      <c r="O24" s="14">
        <f t="shared" si="5"/>
        <v>185</v>
      </c>
      <c r="P24" s="16">
        <f t="shared" si="6"/>
        <v>36</v>
      </c>
      <c r="Q24" s="17">
        <f t="shared" si="7"/>
        <v>185</v>
      </c>
      <c r="R24" s="4" t="s">
        <v>0</v>
      </c>
      <c r="S24" s="15" t="str">
        <f t="shared" si="8"/>
        <v>09-15</v>
      </c>
      <c r="T24" s="13">
        <f t="shared" si="9"/>
        <v>36</v>
      </c>
      <c r="U24" s="17">
        <f t="shared" si="10"/>
        <v>848</v>
      </c>
      <c r="V24" s="13">
        <f t="shared" si="1"/>
        <v>68</v>
      </c>
      <c r="W24" s="17">
        <f t="shared" si="11"/>
        <v>848</v>
      </c>
      <c r="X24" s="13">
        <f t="shared" si="1"/>
        <v>68</v>
      </c>
      <c r="Y24" s="17">
        <f t="shared" si="12"/>
        <v>815</v>
      </c>
      <c r="Z24" s="13">
        <f t="shared" si="1"/>
        <v>36</v>
      </c>
      <c r="AA24" s="17">
        <f t="shared" si="13"/>
        <v>815</v>
      </c>
      <c r="AB24" s="4" t="s">
        <v>0</v>
      </c>
    </row>
    <row r="25" spans="1:28">
      <c r="A25" s="9" t="s">
        <v>64</v>
      </c>
      <c r="B25" s="19"/>
      <c r="C25" s="21"/>
      <c r="D25" s="20">
        <f t="shared" ref="D25:D49" si="18">D12</f>
        <v>68</v>
      </c>
      <c r="E25" s="24">
        <f t="shared" ref="E25:G36" si="19">E24</f>
        <v>152</v>
      </c>
      <c r="F25" s="20">
        <f t="shared" ref="F25:F49" si="20">F12</f>
        <v>100</v>
      </c>
      <c r="G25" s="24">
        <f t="shared" si="19"/>
        <v>185</v>
      </c>
      <c r="H25" s="4" t="s">
        <v>0</v>
      </c>
      <c r="I25" s="15" t="str">
        <f t="shared" si="0"/>
        <v>09-13</v>
      </c>
      <c r="J25" s="13">
        <f>IF(D25&lt;&gt;"",D25,0)</f>
        <v>68</v>
      </c>
      <c r="K25" s="14">
        <f t="shared" si="2"/>
        <v>152</v>
      </c>
      <c r="L25" s="16">
        <f t="shared" si="3"/>
        <v>100</v>
      </c>
      <c r="M25" s="17">
        <f t="shared" si="4"/>
        <v>152</v>
      </c>
      <c r="N25" s="13">
        <f>IF(F25&lt;&gt;"",F25,0)</f>
        <v>100</v>
      </c>
      <c r="O25" s="14">
        <f t="shared" si="5"/>
        <v>185</v>
      </c>
      <c r="P25" s="16">
        <f t="shared" si="6"/>
        <v>68</v>
      </c>
      <c r="Q25" s="17">
        <f t="shared" si="7"/>
        <v>185</v>
      </c>
      <c r="R25" s="4" t="s">
        <v>0</v>
      </c>
      <c r="S25" s="15" t="str">
        <f t="shared" si="8"/>
        <v>09-13</v>
      </c>
      <c r="T25" s="13">
        <f t="shared" si="9"/>
        <v>68</v>
      </c>
      <c r="U25" s="17">
        <f t="shared" si="10"/>
        <v>848</v>
      </c>
      <c r="V25" s="13">
        <f t="shared" si="1"/>
        <v>100</v>
      </c>
      <c r="W25" s="17">
        <f t="shared" si="11"/>
        <v>848</v>
      </c>
      <c r="X25" s="13">
        <f t="shared" si="1"/>
        <v>100</v>
      </c>
      <c r="Y25" s="17">
        <f t="shared" si="12"/>
        <v>815</v>
      </c>
      <c r="Z25" s="13">
        <f t="shared" si="1"/>
        <v>68</v>
      </c>
      <c r="AA25" s="17">
        <f t="shared" si="13"/>
        <v>815</v>
      </c>
      <c r="AB25" s="4" t="s">
        <v>0</v>
      </c>
    </row>
    <row r="26" spans="1:28">
      <c r="A26" s="9" t="s">
        <v>65</v>
      </c>
      <c r="B26" s="19"/>
      <c r="C26" s="4"/>
      <c r="D26" s="20">
        <f t="shared" si="18"/>
        <v>100</v>
      </c>
      <c r="E26" s="24">
        <f t="shared" si="19"/>
        <v>152</v>
      </c>
      <c r="F26" s="20">
        <f t="shared" si="20"/>
        <v>132</v>
      </c>
      <c r="G26" s="24">
        <f t="shared" si="19"/>
        <v>185</v>
      </c>
      <c r="H26" s="4" t="s">
        <v>0</v>
      </c>
      <c r="I26" s="15" t="str">
        <f t="shared" si="0"/>
        <v>09-12</v>
      </c>
      <c r="J26" s="13">
        <f t="shared" si="2"/>
        <v>100</v>
      </c>
      <c r="K26" s="14">
        <f t="shared" si="2"/>
        <v>152</v>
      </c>
      <c r="L26" s="16">
        <f t="shared" si="3"/>
        <v>132</v>
      </c>
      <c r="M26" s="17">
        <f t="shared" si="4"/>
        <v>152</v>
      </c>
      <c r="N26" s="13">
        <f t="shared" si="5"/>
        <v>132</v>
      </c>
      <c r="O26" s="14">
        <f t="shared" si="5"/>
        <v>185</v>
      </c>
      <c r="P26" s="16">
        <f t="shared" si="6"/>
        <v>100</v>
      </c>
      <c r="Q26" s="17">
        <f t="shared" si="7"/>
        <v>185</v>
      </c>
      <c r="R26" s="4" t="s">
        <v>0</v>
      </c>
      <c r="S26" s="15" t="str">
        <f t="shared" si="8"/>
        <v>09-12</v>
      </c>
      <c r="T26" s="13">
        <f t="shared" si="9"/>
        <v>100</v>
      </c>
      <c r="U26" s="17">
        <f t="shared" si="10"/>
        <v>848</v>
      </c>
      <c r="V26" s="13">
        <f t="shared" si="1"/>
        <v>132</v>
      </c>
      <c r="W26" s="17">
        <f t="shared" si="11"/>
        <v>848</v>
      </c>
      <c r="X26" s="13">
        <f t="shared" si="1"/>
        <v>132</v>
      </c>
      <c r="Y26" s="17">
        <f t="shared" si="12"/>
        <v>815</v>
      </c>
      <c r="Z26" s="13">
        <f t="shared" si="1"/>
        <v>100</v>
      </c>
      <c r="AA26" s="17">
        <f t="shared" si="13"/>
        <v>815</v>
      </c>
      <c r="AB26" s="4" t="s">
        <v>0</v>
      </c>
    </row>
    <row r="27" spans="1:28">
      <c r="A27" s="9" t="s">
        <v>66</v>
      </c>
      <c r="B27" s="19"/>
      <c r="C27" s="4"/>
      <c r="D27" s="20">
        <f t="shared" si="18"/>
        <v>132</v>
      </c>
      <c r="E27" s="24">
        <f t="shared" si="19"/>
        <v>152</v>
      </c>
      <c r="F27" s="20">
        <f t="shared" si="20"/>
        <v>164</v>
      </c>
      <c r="G27" s="24">
        <f t="shared" si="19"/>
        <v>185</v>
      </c>
      <c r="H27" s="4" t="s">
        <v>0</v>
      </c>
      <c r="I27" s="15" t="str">
        <f t="shared" si="0"/>
        <v>09-11</v>
      </c>
      <c r="J27" s="13">
        <f t="shared" si="2"/>
        <v>132</v>
      </c>
      <c r="K27" s="14">
        <f t="shared" si="2"/>
        <v>152</v>
      </c>
      <c r="L27" s="16">
        <f t="shared" si="3"/>
        <v>164</v>
      </c>
      <c r="M27" s="17">
        <f t="shared" si="4"/>
        <v>152</v>
      </c>
      <c r="N27" s="13">
        <f t="shared" si="5"/>
        <v>164</v>
      </c>
      <c r="O27" s="14">
        <f t="shared" si="5"/>
        <v>185</v>
      </c>
      <c r="P27" s="16">
        <f t="shared" si="6"/>
        <v>132</v>
      </c>
      <c r="Q27" s="17">
        <f t="shared" si="7"/>
        <v>185</v>
      </c>
      <c r="R27" s="4" t="s">
        <v>0</v>
      </c>
      <c r="S27" s="15" t="str">
        <f t="shared" si="8"/>
        <v>09-11</v>
      </c>
      <c r="T27" s="13">
        <f t="shared" si="9"/>
        <v>132</v>
      </c>
      <c r="U27" s="17">
        <f t="shared" si="10"/>
        <v>848</v>
      </c>
      <c r="V27" s="13">
        <f t="shared" ref="V27:V90" si="21">IF(L27&lt;&gt;"",L27,"")</f>
        <v>164</v>
      </c>
      <c r="W27" s="17">
        <f t="shared" si="11"/>
        <v>848</v>
      </c>
      <c r="X27" s="13">
        <f t="shared" ref="X27:X90" si="22">IF(N27&lt;&gt;"",N27,"")</f>
        <v>164</v>
      </c>
      <c r="Y27" s="17">
        <f t="shared" si="12"/>
        <v>815</v>
      </c>
      <c r="Z27" s="13">
        <f t="shared" ref="Z27:Z90" si="23">IF(P27&lt;&gt;"",P27,"")</f>
        <v>132</v>
      </c>
      <c r="AA27" s="17">
        <f t="shared" si="13"/>
        <v>815</v>
      </c>
      <c r="AB27" s="4" t="s">
        <v>0</v>
      </c>
    </row>
    <row r="28" spans="1:28">
      <c r="A28" s="9" t="s">
        <v>67</v>
      </c>
      <c r="B28" s="19"/>
      <c r="C28" s="4"/>
      <c r="D28" s="20">
        <f t="shared" si="18"/>
        <v>164</v>
      </c>
      <c r="E28" s="24">
        <f t="shared" si="19"/>
        <v>152</v>
      </c>
      <c r="F28" s="20">
        <f t="shared" si="20"/>
        <v>196</v>
      </c>
      <c r="G28" s="24">
        <f t="shared" si="19"/>
        <v>185</v>
      </c>
      <c r="H28" s="4" t="s">
        <v>0</v>
      </c>
      <c r="I28" s="15" t="str">
        <f t="shared" si="0"/>
        <v>09-10</v>
      </c>
      <c r="J28" s="13">
        <f t="shared" si="2"/>
        <v>164</v>
      </c>
      <c r="K28" s="14">
        <f t="shared" si="2"/>
        <v>152</v>
      </c>
      <c r="L28" s="16">
        <f t="shared" si="3"/>
        <v>196</v>
      </c>
      <c r="M28" s="17">
        <f t="shared" si="4"/>
        <v>152</v>
      </c>
      <c r="N28" s="13">
        <f t="shared" si="5"/>
        <v>196</v>
      </c>
      <c r="O28" s="14">
        <f t="shared" si="5"/>
        <v>185</v>
      </c>
      <c r="P28" s="16">
        <f t="shared" si="6"/>
        <v>164</v>
      </c>
      <c r="Q28" s="17">
        <f t="shared" si="7"/>
        <v>185</v>
      </c>
      <c r="R28" s="4" t="s">
        <v>0</v>
      </c>
      <c r="S28" s="15" t="str">
        <f t="shared" si="8"/>
        <v>09-10</v>
      </c>
      <c r="T28" s="13">
        <f t="shared" si="9"/>
        <v>164</v>
      </c>
      <c r="U28" s="17">
        <f t="shared" si="10"/>
        <v>848</v>
      </c>
      <c r="V28" s="13">
        <f t="shared" si="21"/>
        <v>196</v>
      </c>
      <c r="W28" s="17">
        <f t="shared" si="11"/>
        <v>848</v>
      </c>
      <c r="X28" s="13">
        <f t="shared" si="22"/>
        <v>196</v>
      </c>
      <c r="Y28" s="17">
        <f t="shared" si="12"/>
        <v>815</v>
      </c>
      <c r="Z28" s="13">
        <f t="shared" si="23"/>
        <v>164</v>
      </c>
      <c r="AA28" s="17">
        <f t="shared" si="13"/>
        <v>815</v>
      </c>
      <c r="AB28" s="4" t="s">
        <v>0</v>
      </c>
    </row>
    <row r="29" spans="1:28">
      <c r="A29" s="9" t="s">
        <v>68</v>
      </c>
      <c r="B29" s="19"/>
      <c r="C29" s="4"/>
      <c r="D29" s="20">
        <f t="shared" si="18"/>
        <v>196</v>
      </c>
      <c r="E29" s="24">
        <f t="shared" si="19"/>
        <v>152</v>
      </c>
      <c r="F29" s="20">
        <f t="shared" si="20"/>
        <v>228</v>
      </c>
      <c r="G29" s="24">
        <f t="shared" si="19"/>
        <v>185</v>
      </c>
      <c r="H29" s="4" t="s">
        <v>0</v>
      </c>
      <c r="I29" s="15" t="str">
        <f t="shared" si="0"/>
        <v>09-09</v>
      </c>
      <c r="J29" s="13">
        <f t="shared" si="2"/>
        <v>196</v>
      </c>
      <c r="K29" s="14">
        <f t="shared" si="2"/>
        <v>152</v>
      </c>
      <c r="L29" s="16">
        <f t="shared" si="3"/>
        <v>228</v>
      </c>
      <c r="M29" s="17">
        <f t="shared" si="4"/>
        <v>152</v>
      </c>
      <c r="N29" s="13">
        <f t="shared" si="5"/>
        <v>228</v>
      </c>
      <c r="O29" s="14">
        <f t="shared" si="5"/>
        <v>185</v>
      </c>
      <c r="P29" s="16">
        <f t="shared" si="6"/>
        <v>196</v>
      </c>
      <c r="Q29" s="17">
        <f t="shared" si="7"/>
        <v>185</v>
      </c>
      <c r="R29" s="4" t="s">
        <v>0</v>
      </c>
      <c r="S29" s="15" t="str">
        <f t="shared" si="8"/>
        <v>09-09</v>
      </c>
      <c r="T29" s="13">
        <f t="shared" si="9"/>
        <v>196</v>
      </c>
      <c r="U29" s="17">
        <f t="shared" si="10"/>
        <v>848</v>
      </c>
      <c r="V29" s="13">
        <f t="shared" si="21"/>
        <v>228</v>
      </c>
      <c r="W29" s="17">
        <f t="shared" si="11"/>
        <v>848</v>
      </c>
      <c r="X29" s="13">
        <f t="shared" si="22"/>
        <v>228</v>
      </c>
      <c r="Y29" s="17">
        <f t="shared" si="12"/>
        <v>815</v>
      </c>
      <c r="Z29" s="13">
        <f t="shared" si="23"/>
        <v>196</v>
      </c>
      <c r="AA29" s="17">
        <f t="shared" si="13"/>
        <v>815</v>
      </c>
      <c r="AB29" s="4" t="s">
        <v>0</v>
      </c>
    </row>
    <row r="30" spans="1:28">
      <c r="A30" s="9" t="s">
        <v>69</v>
      </c>
      <c r="B30" s="19"/>
      <c r="C30" s="4"/>
      <c r="D30" s="20">
        <f t="shared" si="18"/>
        <v>228</v>
      </c>
      <c r="E30" s="24">
        <f t="shared" si="19"/>
        <v>152</v>
      </c>
      <c r="F30" s="20">
        <f t="shared" si="20"/>
        <v>260</v>
      </c>
      <c r="G30" s="24">
        <f t="shared" si="19"/>
        <v>185</v>
      </c>
      <c r="H30" s="4" t="s">
        <v>0</v>
      </c>
      <c r="I30" s="15" t="str">
        <f t="shared" si="0"/>
        <v>09-08</v>
      </c>
      <c r="J30" s="13">
        <f t="shared" si="2"/>
        <v>228</v>
      </c>
      <c r="K30" s="14">
        <f t="shared" si="2"/>
        <v>152</v>
      </c>
      <c r="L30" s="16">
        <f t="shared" si="3"/>
        <v>260</v>
      </c>
      <c r="M30" s="17">
        <f t="shared" si="4"/>
        <v>152</v>
      </c>
      <c r="N30" s="13">
        <f t="shared" si="5"/>
        <v>260</v>
      </c>
      <c r="O30" s="14">
        <f t="shared" si="5"/>
        <v>185</v>
      </c>
      <c r="P30" s="16">
        <f t="shared" si="6"/>
        <v>228</v>
      </c>
      <c r="Q30" s="17">
        <f t="shared" si="7"/>
        <v>185</v>
      </c>
      <c r="R30" s="4" t="s">
        <v>0</v>
      </c>
      <c r="S30" s="15" t="str">
        <f t="shared" si="8"/>
        <v>09-08</v>
      </c>
      <c r="T30" s="13">
        <f t="shared" si="9"/>
        <v>228</v>
      </c>
      <c r="U30" s="17">
        <f t="shared" si="10"/>
        <v>848</v>
      </c>
      <c r="V30" s="13">
        <f t="shared" si="21"/>
        <v>260</v>
      </c>
      <c r="W30" s="17">
        <f t="shared" si="11"/>
        <v>848</v>
      </c>
      <c r="X30" s="13">
        <f t="shared" si="22"/>
        <v>260</v>
      </c>
      <c r="Y30" s="17">
        <f t="shared" si="12"/>
        <v>815</v>
      </c>
      <c r="Z30" s="13">
        <f t="shared" si="23"/>
        <v>228</v>
      </c>
      <c r="AA30" s="17">
        <f t="shared" si="13"/>
        <v>815</v>
      </c>
      <c r="AB30" s="4" t="s">
        <v>0</v>
      </c>
    </row>
    <row r="31" spans="1:28">
      <c r="A31" s="9" t="s">
        <v>70</v>
      </c>
      <c r="B31" s="19"/>
      <c r="C31" s="4"/>
      <c r="D31" s="20">
        <f t="shared" si="18"/>
        <v>260</v>
      </c>
      <c r="E31" s="24">
        <f t="shared" si="19"/>
        <v>152</v>
      </c>
      <c r="F31" s="20">
        <f t="shared" si="20"/>
        <v>292</v>
      </c>
      <c r="G31" s="24">
        <f t="shared" si="19"/>
        <v>185</v>
      </c>
      <c r="H31" s="4" t="s">
        <v>0</v>
      </c>
      <c r="I31" s="15" t="str">
        <f t="shared" si="0"/>
        <v>09-07</v>
      </c>
      <c r="J31" s="13">
        <f t="shared" si="2"/>
        <v>260</v>
      </c>
      <c r="K31" s="14">
        <f t="shared" si="2"/>
        <v>152</v>
      </c>
      <c r="L31" s="16">
        <f t="shared" si="3"/>
        <v>292</v>
      </c>
      <c r="M31" s="17">
        <f t="shared" si="4"/>
        <v>152</v>
      </c>
      <c r="N31" s="13">
        <f t="shared" si="5"/>
        <v>292</v>
      </c>
      <c r="O31" s="14">
        <f t="shared" si="5"/>
        <v>185</v>
      </c>
      <c r="P31" s="16">
        <f t="shared" si="6"/>
        <v>260</v>
      </c>
      <c r="Q31" s="17">
        <f t="shared" si="7"/>
        <v>185</v>
      </c>
      <c r="R31" s="4" t="s">
        <v>0</v>
      </c>
      <c r="S31" s="15" t="str">
        <f t="shared" si="8"/>
        <v>09-07</v>
      </c>
      <c r="T31" s="13">
        <f t="shared" si="9"/>
        <v>260</v>
      </c>
      <c r="U31" s="17">
        <f t="shared" si="10"/>
        <v>848</v>
      </c>
      <c r="V31" s="13">
        <f t="shared" si="21"/>
        <v>292</v>
      </c>
      <c r="W31" s="17">
        <f t="shared" si="11"/>
        <v>848</v>
      </c>
      <c r="X31" s="13">
        <f t="shared" si="22"/>
        <v>292</v>
      </c>
      <c r="Y31" s="17">
        <f t="shared" si="12"/>
        <v>815</v>
      </c>
      <c r="Z31" s="13">
        <f t="shared" si="23"/>
        <v>260</v>
      </c>
      <c r="AA31" s="17">
        <f t="shared" si="13"/>
        <v>815</v>
      </c>
      <c r="AB31" s="4" t="s">
        <v>0</v>
      </c>
    </row>
    <row r="32" spans="1:28">
      <c r="A32" s="9" t="s">
        <v>71</v>
      </c>
      <c r="B32" s="19"/>
      <c r="C32" s="4"/>
      <c r="D32" s="20">
        <f t="shared" si="18"/>
        <v>292</v>
      </c>
      <c r="E32" s="24">
        <f t="shared" si="19"/>
        <v>152</v>
      </c>
      <c r="F32" s="20">
        <f t="shared" si="20"/>
        <v>324</v>
      </c>
      <c r="G32" s="24">
        <f t="shared" si="19"/>
        <v>185</v>
      </c>
      <c r="H32" s="4" t="s">
        <v>0</v>
      </c>
      <c r="I32" s="15" t="str">
        <f t="shared" si="0"/>
        <v>09-06</v>
      </c>
      <c r="J32" s="13">
        <f t="shared" si="2"/>
        <v>292</v>
      </c>
      <c r="K32" s="14">
        <f t="shared" si="2"/>
        <v>152</v>
      </c>
      <c r="L32" s="16">
        <f t="shared" si="3"/>
        <v>324</v>
      </c>
      <c r="M32" s="17">
        <f t="shared" si="4"/>
        <v>152</v>
      </c>
      <c r="N32" s="13">
        <f t="shared" si="5"/>
        <v>324</v>
      </c>
      <c r="O32" s="14">
        <f t="shared" si="5"/>
        <v>185</v>
      </c>
      <c r="P32" s="16">
        <f t="shared" si="6"/>
        <v>292</v>
      </c>
      <c r="Q32" s="17">
        <f t="shared" si="7"/>
        <v>185</v>
      </c>
      <c r="R32" s="4" t="s">
        <v>0</v>
      </c>
      <c r="S32" s="15" t="str">
        <f t="shared" si="8"/>
        <v>09-06</v>
      </c>
      <c r="T32" s="13">
        <f t="shared" si="9"/>
        <v>292</v>
      </c>
      <c r="U32" s="17">
        <f t="shared" si="10"/>
        <v>848</v>
      </c>
      <c r="V32" s="13">
        <f t="shared" si="21"/>
        <v>324</v>
      </c>
      <c r="W32" s="17">
        <f t="shared" si="11"/>
        <v>848</v>
      </c>
      <c r="X32" s="13">
        <f t="shared" si="22"/>
        <v>324</v>
      </c>
      <c r="Y32" s="17">
        <f t="shared" si="12"/>
        <v>815</v>
      </c>
      <c r="Z32" s="13">
        <f t="shared" si="23"/>
        <v>292</v>
      </c>
      <c r="AA32" s="17">
        <f t="shared" si="13"/>
        <v>815</v>
      </c>
      <c r="AB32" s="4" t="s">
        <v>0</v>
      </c>
    </row>
    <row r="33" spans="1:28">
      <c r="A33" s="9" t="s">
        <v>72</v>
      </c>
      <c r="B33" s="19"/>
      <c r="C33" s="4"/>
      <c r="D33" s="20">
        <f t="shared" si="18"/>
        <v>324</v>
      </c>
      <c r="E33" s="24">
        <f t="shared" si="19"/>
        <v>152</v>
      </c>
      <c r="F33" s="20">
        <f t="shared" si="20"/>
        <v>356</v>
      </c>
      <c r="G33" s="24">
        <f t="shared" si="19"/>
        <v>185</v>
      </c>
      <c r="H33" s="4" t="s">
        <v>0</v>
      </c>
      <c r="I33" s="15" t="str">
        <f t="shared" si="0"/>
        <v>09-05</v>
      </c>
      <c r="J33" s="13">
        <f t="shared" si="2"/>
        <v>324</v>
      </c>
      <c r="K33" s="14">
        <f t="shared" si="2"/>
        <v>152</v>
      </c>
      <c r="L33" s="16">
        <f t="shared" si="3"/>
        <v>356</v>
      </c>
      <c r="M33" s="17">
        <f t="shared" si="4"/>
        <v>152</v>
      </c>
      <c r="N33" s="13">
        <f t="shared" si="5"/>
        <v>356</v>
      </c>
      <c r="O33" s="14">
        <f t="shared" si="5"/>
        <v>185</v>
      </c>
      <c r="P33" s="16">
        <f t="shared" si="6"/>
        <v>324</v>
      </c>
      <c r="Q33" s="17">
        <f t="shared" si="7"/>
        <v>185</v>
      </c>
      <c r="R33" s="4" t="s">
        <v>0</v>
      </c>
      <c r="S33" s="15" t="str">
        <f t="shared" si="8"/>
        <v>09-05</v>
      </c>
      <c r="T33" s="13">
        <f t="shared" si="9"/>
        <v>324</v>
      </c>
      <c r="U33" s="17">
        <f t="shared" si="10"/>
        <v>848</v>
      </c>
      <c r="V33" s="13">
        <f t="shared" si="21"/>
        <v>356</v>
      </c>
      <c r="W33" s="17">
        <f t="shared" si="11"/>
        <v>848</v>
      </c>
      <c r="X33" s="13">
        <f t="shared" si="22"/>
        <v>356</v>
      </c>
      <c r="Y33" s="17">
        <f t="shared" si="12"/>
        <v>815</v>
      </c>
      <c r="Z33" s="13">
        <f t="shared" si="23"/>
        <v>324</v>
      </c>
      <c r="AA33" s="17">
        <f t="shared" si="13"/>
        <v>815</v>
      </c>
      <c r="AB33" s="4" t="s">
        <v>0</v>
      </c>
    </row>
    <row r="34" spans="1:28">
      <c r="A34" s="9" t="s">
        <v>73</v>
      </c>
      <c r="B34" s="19"/>
      <c r="C34" s="4"/>
      <c r="D34" s="20">
        <f t="shared" si="18"/>
        <v>356</v>
      </c>
      <c r="E34" s="24">
        <f t="shared" si="19"/>
        <v>152</v>
      </c>
      <c r="F34" s="20">
        <f t="shared" si="20"/>
        <v>388</v>
      </c>
      <c r="G34" s="24">
        <f t="shared" si="19"/>
        <v>185</v>
      </c>
      <c r="H34" s="4" t="s">
        <v>0</v>
      </c>
      <c r="I34" s="15" t="str">
        <f t="shared" si="0"/>
        <v>09-03</v>
      </c>
      <c r="J34" s="13">
        <f t="shared" si="2"/>
        <v>356</v>
      </c>
      <c r="K34" s="14">
        <f t="shared" si="2"/>
        <v>152</v>
      </c>
      <c r="L34" s="16">
        <f t="shared" si="3"/>
        <v>388</v>
      </c>
      <c r="M34" s="17">
        <f t="shared" si="4"/>
        <v>152</v>
      </c>
      <c r="N34" s="13">
        <f t="shared" si="5"/>
        <v>388</v>
      </c>
      <c r="O34" s="14">
        <f t="shared" si="5"/>
        <v>185</v>
      </c>
      <c r="P34" s="16">
        <f t="shared" si="6"/>
        <v>356</v>
      </c>
      <c r="Q34" s="17">
        <f t="shared" si="7"/>
        <v>185</v>
      </c>
      <c r="R34" s="4" t="s">
        <v>0</v>
      </c>
      <c r="S34" s="15" t="str">
        <f t="shared" si="8"/>
        <v>09-03</v>
      </c>
      <c r="T34" s="13">
        <f t="shared" si="9"/>
        <v>356</v>
      </c>
      <c r="U34" s="17">
        <f t="shared" si="10"/>
        <v>848</v>
      </c>
      <c r="V34" s="13">
        <f t="shared" si="21"/>
        <v>388</v>
      </c>
      <c r="W34" s="17">
        <f t="shared" si="11"/>
        <v>848</v>
      </c>
      <c r="X34" s="13">
        <f t="shared" si="22"/>
        <v>388</v>
      </c>
      <c r="Y34" s="17">
        <f t="shared" si="12"/>
        <v>815</v>
      </c>
      <c r="Z34" s="13">
        <f t="shared" si="23"/>
        <v>356</v>
      </c>
      <c r="AA34" s="17">
        <f t="shared" si="13"/>
        <v>815</v>
      </c>
      <c r="AB34" s="4" t="s">
        <v>0</v>
      </c>
    </row>
    <row r="35" spans="1:28">
      <c r="A35" s="9" t="s">
        <v>74</v>
      </c>
      <c r="B35" s="19"/>
      <c r="C35" s="4"/>
      <c r="D35" s="20">
        <f t="shared" si="18"/>
        <v>388</v>
      </c>
      <c r="E35" s="24">
        <f t="shared" si="19"/>
        <v>152</v>
      </c>
      <c r="F35" s="20">
        <f t="shared" si="20"/>
        <v>420</v>
      </c>
      <c r="G35" s="24">
        <f t="shared" si="19"/>
        <v>185</v>
      </c>
      <c r="H35" s="4" t="s">
        <v>0</v>
      </c>
      <c r="I35" s="15" t="str">
        <f t="shared" si="0"/>
        <v>09-02</v>
      </c>
      <c r="J35" s="13">
        <f t="shared" si="2"/>
        <v>388</v>
      </c>
      <c r="K35" s="14">
        <f t="shared" si="2"/>
        <v>152</v>
      </c>
      <c r="L35" s="16">
        <f t="shared" si="3"/>
        <v>420</v>
      </c>
      <c r="M35" s="17">
        <f t="shared" si="4"/>
        <v>152</v>
      </c>
      <c r="N35" s="13">
        <f t="shared" si="5"/>
        <v>420</v>
      </c>
      <c r="O35" s="14">
        <f t="shared" si="5"/>
        <v>185</v>
      </c>
      <c r="P35" s="16">
        <f t="shared" si="6"/>
        <v>388</v>
      </c>
      <c r="Q35" s="17">
        <f t="shared" si="7"/>
        <v>185</v>
      </c>
      <c r="R35" s="4" t="s">
        <v>0</v>
      </c>
      <c r="S35" s="15" t="str">
        <f t="shared" si="8"/>
        <v>09-02</v>
      </c>
      <c r="T35" s="13">
        <f t="shared" si="9"/>
        <v>388</v>
      </c>
      <c r="U35" s="17">
        <f t="shared" si="10"/>
        <v>848</v>
      </c>
      <c r="V35" s="13">
        <f t="shared" si="21"/>
        <v>420</v>
      </c>
      <c r="W35" s="17">
        <f t="shared" si="11"/>
        <v>848</v>
      </c>
      <c r="X35" s="13">
        <f t="shared" si="22"/>
        <v>420</v>
      </c>
      <c r="Y35" s="17">
        <f t="shared" si="12"/>
        <v>815</v>
      </c>
      <c r="Z35" s="13">
        <f t="shared" si="23"/>
        <v>388</v>
      </c>
      <c r="AA35" s="17">
        <f t="shared" si="13"/>
        <v>815</v>
      </c>
      <c r="AB35" s="4" t="s">
        <v>0</v>
      </c>
    </row>
    <row r="36" spans="1:28">
      <c r="A36" s="9" t="s">
        <v>75</v>
      </c>
      <c r="B36" s="19"/>
      <c r="C36" s="4"/>
      <c r="D36" s="20">
        <f t="shared" si="18"/>
        <v>420</v>
      </c>
      <c r="E36" s="24">
        <f t="shared" si="19"/>
        <v>152</v>
      </c>
      <c r="F36" s="20">
        <f t="shared" si="20"/>
        <v>452</v>
      </c>
      <c r="G36" s="24">
        <f t="shared" si="19"/>
        <v>185</v>
      </c>
      <c r="H36" s="4" t="s">
        <v>0</v>
      </c>
      <c r="I36" s="15" t="str">
        <f t="shared" si="0"/>
        <v>09-01</v>
      </c>
      <c r="J36" s="13">
        <f t="shared" si="2"/>
        <v>420</v>
      </c>
      <c r="K36" s="14">
        <f t="shared" si="2"/>
        <v>152</v>
      </c>
      <c r="L36" s="16">
        <f t="shared" si="3"/>
        <v>452</v>
      </c>
      <c r="M36" s="17">
        <f t="shared" si="4"/>
        <v>152</v>
      </c>
      <c r="N36" s="13">
        <f t="shared" si="5"/>
        <v>452</v>
      </c>
      <c r="O36" s="14">
        <f t="shared" si="5"/>
        <v>185</v>
      </c>
      <c r="P36" s="16">
        <f t="shared" si="6"/>
        <v>420</v>
      </c>
      <c r="Q36" s="17">
        <f t="shared" si="7"/>
        <v>185</v>
      </c>
      <c r="R36" s="4" t="s">
        <v>0</v>
      </c>
      <c r="S36" s="15" t="str">
        <f t="shared" si="8"/>
        <v>09-01</v>
      </c>
      <c r="T36" s="13">
        <f t="shared" si="9"/>
        <v>420</v>
      </c>
      <c r="U36" s="17">
        <f t="shared" si="10"/>
        <v>848</v>
      </c>
      <c r="V36" s="13">
        <f t="shared" si="21"/>
        <v>452</v>
      </c>
      <c r="W36" s="17">
        <f t="shared" si="11"/>
        <v>848</v>
      </c>
      <c r="X36" s="13">
        <f t="shared" si="22"/>
        <v>452</v>
      </c>
      <c r="Y36" s="17">
        <f t="shared" si="12"/>
        <v>815</v>
      </c>
      <c r="Z36" s="13">
        <f t="shared" si="23"/>
        <v>420</v>
      </c>
      <c r="AA36" s="17">
        <f t="shared" si="13"/>
        <v>815</v>
      </c>
      <c r="AB36" s="4" t="s">
        <v>0</v>
      </c>
    </row>
    <row r="37" spans="1:28">
      <c r="A37" s="9" t="s">
        <v>50</v>
      </c>
      <c r="B37" s="19"/>
      <c r="C37" s="21">
        <v>2</v>
      </c>
      <c r="D37" s="20">
        <f>D24</f>
        <v>36</v>
      </c>
      <c r="E37" s="23">
        <f>ROUND(E$11+47*$C37, 0)</f>
        <v>199</v>
      </c>
      <c r="F37" s="20">
        <f>F24</f>
        <v>68</v>
      </c>
      <c r="G37" s="23">
        <f>ROUND(G$11+47*$C37, 0)</f>
        <v>232</v>
      </c>
      <c r="H37" s="4" t="s">
        <v>0</v>
      </c>
      <c r="I37" s="15" t="str">
        <f t="shared" si="0"/>
        <v>08-15</v>
      </c>
      <c r="J37" s="13">
        <f t="shared" si="2"/>
        <v>36</v>
      </c>
      <c r="K37" s="14">
        <f t="shared" si="2"/>
        <v>199</v>
      </c>
      <c r="L37" s="16">
        <f t="shared" si="3"/>
        <v>68</v>
      </c>
      <c r="M37" s="17">
        <f t="shared" si="4"/>
        <v>199</v>
      </c>
      <c r="N37" s="13">
        <f t="shared" si="5"/>
        <v>68</v>
      </c>
      <c r="O37" s="14">
        <f t="shared" si="5"/>
        <v>232</v>
      </c>
      <c r="P37" s="16">
        <f t="shared" si="6"/>
        <v>36</v>
      </c>
      <c r="Q37" s="17">
        <f t="shared" si="7"/>
        <v>232</v>
      </c>
      <c r="R37" s="4" t="s">
        <v>0</v>
      </c>
      <c r="S37" s="15" t="str">
        <f t="shared" si="8"/>
        <v>08-15</v>
      </c>
      <c r="T37" s="13">
        <f t="shared" si="9"/>
        <v>36</v>
      </c>
      <c r="U37" s="17">
        <f t="shared" si="10"/>
        <v>801</v>
      </c>
      <c r="V37" s="13">
        <f t="shared" si="21"/>
        <v>68</v>
      </c>
      <c r="W37" s="17">
        <f t="shared" si="11"/>
        <v>801</v>
      </c>
      <c r="X37" s="13">
        <f t="shared" si="22"/>
        <v>68</v>
      </c>
      <c r="Y37" s="17">
        <f t="shared" si="12"/>
        <v>768</v>
      </c>
      <c r="Z37" s="13">
        <f t="shared" si="23"/>
        <v>36</v>
      </c>
      <c r="AA37" s="17">
        <f t="shared" si="13"/>
        <v>768</v>
      </c>
      <c r="AB37" s="4" t="s">
        <v>0</v>
      </c>
    </row>
    <row r="38" spans="1:28">
      <c r="A38" s="9" t="s">
        <v>49</v>
      </c>
      <c r="B38" s="19"/>
      <c r="C38" s="4"/>
      <c r="D38" s="20">
        <f t="shared" si="18"/>
        <v>68</v>
      </c>
      <c r="E38" s="24">
        <f t="shared" ref="E38:E49" si="24">E37</f>
        <v>199</v>
      </c>
      <c r="F38" s="20">
        <f t="shared" si="20"/>
        <v>100</v>
      </c>
      <c r="G38" s="24">
        <f t="shared" ref="G38:G49" si="25">G37</f>
        <v>232</v>
      </c>
      <c r="H38" s="4" t="s">
        <v>0</v>
      </c>
      <c r="I38" s="15" t="str">
        <f t="shared" si="0"/>
        <v>08-13</v>
      </c>
      <c r="J38" s="13">
        <f t="shared" si="2"/>
        <v>68</v>
      </c>
      <c r="K38" s="14">
        <f t="shared" si="2"/>
        <v>199</v>
      </c>
      <c r="L38" s="16">
        <f t="shared" si="3"/>
        <v>100</v>
      </c>
      <c r="M38" s="17">
        <f t="shared" si="4"/>
        <v>199</v>
      </c>
      <c r="N38" s="13">
        <f t="shared" si="5"/>
        <v>100</v>
      </c>
      <c r="O38" s="14">
        <f t="shared" si="5"/>
        <v>232</v>
      </c>
      <c r="P38" s="16">
        <f t="shared" si="6"/>
        <v>68</v>
      </c>
      <c r="Q38" s="17">
        <f t="shared" si="7"/>
        <v>232</v>
      </c>
      <c r="R38" s="4" t="s">
        <v>0</v>
      </c>
      <c r="S38" s="15" t="str">
        <f t="shared" si="8"/>
        <v>08-13</v>
      </c>
      <c r="T38" s="13">
        <f t="shared" si="9"/>
        <v>68</v>
      </c>
      <c r="U38" s="17">
        <f t="shared" si="10"/>
        <v>801</v>
      </c>
      <c r="V38" s="13">
        <f t="shared" si="21"/>
        <v>100</v>
      </c>
      <c r="W38" s="17">
        <f t="shared" si="11"/>
        <v>801</v>
      </c>
      <c r="X38" s="13">
        <f t="shared" si="22"/>
        <v>100</v>
      </c>
      <c r="Y38" s="17">
        <f t="shared" si="12"/>
        <v>768</v>
      </c>
      <c r="Z38" s="13">
        <f t="shared" si="23"/>
        <v>68</v>
      </c>
      <c r="AA38" s="17">
        <f t="shared" si="13"/>
        <v>768</v>
      </c>
      <c r="AB38" s="4" t="s">
        <v>0</v>
      </c>
    </row>
    <row r="39" spans="1:28">
      <c r="A39" s="9" t="s">
        <v>19</v>
      </c>
      <c r="B39" s="19"/>
      <c r="C39" s="4"/>
      <c r="D39" s="20">
        <f t="shared" si="18"/>
        <v>100</v>
      </c>
      <c r="E39" s="24">
        <f t="shared" si="24"/>
        <v>199</v>
      </c>
      <c r="F39" s="20">
        <f t="shared" si="20"/>
        <v>132</v>
      </c>
      <c r="G39" s="24">
        <f t="shared" si="25"/>
        <v>232</v>
      </c>
      <c r="H39" s="4" t="s">
        <v>0</v>
      </c>
      <c r="I39" s="15" t="str">
        <f t="shared" si="0"/>
        <v>08-12</v>
      </c>
      <c r="J39" s="13">
        <f t="shared" si="2"/>
        <v>100</v>
      </c>
      <c r="K39" s="14">
        <f t="shared" si="2"/>
        <v>199</v>
      </c>
      <c r="L39" s="16">
        <f t="shared" si="3"/>
        <v>132</v>
      </c>
      <c r="M39" s="17">
        <f t="shared" si="4"/>
        <v>199</v>
      </c>
      <c r="N39" s="13">
        <f t="shared" si="5"/>
        <v>132</v>
      </c>
      <c r="O39" s="14">
        <f t="shared" si="5"/>
        <v>232</v>
      </c>
      <c r="P39" s="16">
        <f t="shared" si="6"/>
        <v>100</v>
      </c>
      <c r="Q39" s="17">
        <f t="shared" si="7"/>
        <v>232</v>
      </c>
      <c r="R39" s="4" t="s">
        <v>0</v>
      </c>
      <c r="S39" s="15" t="str">
        <f t="shared" si="8"/>
        <v>08-12</v>
      </c>
      <c r="T39" s="13">
        <f t="shared" si="9"/>
        <v>100</v>
      </c>
      <c r="U39" s="17">
        <f t="shared" si="10"/>
        <v>801</v>
      </c>
      <c r="V39" s="13">
        <f t="shared" si="21"/>
        <v>132</v>
      </c>
      <c r="W39" s="17">
        <f t="shared" si="11"/>
        <v>801</v>
      </c>
      <c r="X39" s="13">
        <f t="shared" si="22"/>
        <v>132</v>
      </c>
      <c r="Y39" s="17">
        <f t="shared" si="12"/>
        <v>768</v>
      </c>
      <c r="Z39" s="13">
        <f t="shared" si="23"/>
        <v>100</v>
      </c>
      <c r="AA39" s="17">
        <f t="shared" si="13"/>
        <v>768</v>
      </c>
      <c r="AB39" s="4" t="s">
        <v>0</v>
      </c>
    </row>
    <row r="40" spans="1:28">
      <c r="A40" s="9" t="s">
        <v>18</v>
      </c>
      <c r="B40" s="19"/>
      <c r="C40" s="21"/>
      <c r="D40" s="20">
        <f t="shared" si="18"/>
        <v>132</v>
      </c>
      <c r="E40" s="24">
        <f t="shared" si="24"/>
        <v>199</v>
      </c>
      <c r="F40" s="20">
        <f t="shared" si="20"/>
        <v>164</v>
      </c>
      <c r="G40" s="24">
        <f t="shared" si="25"/>
        <v>232</v>
      </c>
      <c r="H40" s="4" t="s">
        <v>0</v>
      </c>
      <c r="I40" s="15" t="str">
        <f t="shared" si="0"/>
        <v>08-11</v>
      </c>
      <c r="J40" s="13">
        <f t="shared" si="2"/>
        <v>132</v>
      </c>
      <c r="K40" s="14">
        <f t="shared" si="2"/>
        <v>199</v>
      </c>
      <c r="L40" s="16">
        <f t="shared" si="3"/>
        <v>164</v>
      </c>
      <c r="M40" s="17">
        <f t="shared" si="4"/>
        <v>199</v>
      </c>
      <c r="N40" s="13">
        <f t="shared" si="5"/>
        <v>164</v>
      </c>
      <c r="O40" s="14">
        <f t="shared" si="5"/>
        <v>232</v>
      </c>
      <c r="P40" s="16">
        <f t="shared" si="6"/>
        <v>132</v>
      </c>
      <c r="Q40" s="17">
        <f t="shared" si="7"/>
        <v>232</v>
      </c>
      <c r="R40" s="4" t="s">
        <v>0</v>
      </c>
      <c r="S40" s="15" t="str">
        <f t="shared" si="8"/>
        <v>08-11</v>
      </c>
      <c r="T40" s="13">
        <f t="shared" si="9"/>
        <v>132</v>
      </c>
      <c r="U40" s="17">
        <f t="shared" si="10"/>
        <v>801</v>
      </c>
      <c r="V40" s="13">
        <f t="shared" si="21"/>
        <v>164</v>
      </c>
      <c r="W40" s="17">
        <f t="shared" si="11"/>
        <v>801</v>
      </c>
      <c r="X40" s="13">
        <f t="shared" si="22"/>
        <v>164</v>
      </c>
      <c r="Y40" s="17">
        <f t="shared" si="12"/>
        <v>768</v>
      </c>
      <c r="Z40" s="13">
        <f t="shared" si="23"/>
        <v>132</v>
      </c>
      <c r="AA40" s="17">
        <f t="shared" si="13"/>
        <v>768</v>
      </c>
      <c r="AB40" s="4" t="s">
        <v>0</v>
      </c>
    </row>
    <row r="41" spans="1:28">
      <c r="A41" s="9" t="s">
        <v>17</v>
      </c>
      <c r="B41" s="19"/>
      <c r="C41" s="4"/>
      <c r="D41" s="20">
        <f t="shared" si="18"/>
        <v>164</v>
      </c>
      <c r="E41" s="24">
        <f t="shared" si="24"/>
        <v>199</v>
      </c>
      <c r="F41" s="20">
        <f t="shared" si="20"/>
        <v>196</v>
      </c>
      <c r="G41" s="24">
        <f t="shared" si="25"/>
        <v>232</v>
      </c>
      <c r="H41" s="4" t="s">
        <v>0</v>
      </c>
      <c r="I41" s="15" t="str">
        <f t="shared" si="0"/>
        <v>08-10</v>
      </c>
      <c r="J41" s="13">
        <f t="shared" si="2"/>
        <v>164</v>
      </c>
      <c r="K41" s="14">
        <f t="shared" si="2"/>
        <v>199</v>
      </c>
      <c r="L41" s="16">
        <f t="shared" si="3"/>
        <v>196</v>
      </c>
      <c r="M41" s="17">
        <f t="shared" si="4"/>
        <v>199</v>
      </c>
      <c r="N41" s="13">
        <f t="shared" si="5"/>
        <v>196</v>
      </c>
      <c r="O41" s="14">
        <f t="shared" si="5"/>
        <v>232</v>
      </c>
      <c r="P41" s="16">
        <f t="shared" si="6"/>
        <v>164</v>
      </c>
      <c r="Q41" s="17">
        <f t="shared" si="7"/>
        <v>232</v>
      </c>
      <c r="R41" s="4" t="s">
        <v>0</v>
      </c>
      <c r="S41" s="15" t="str">
        <f t="shared" si="8"/>
        <v>08-10</v>
      </c>
      <c r="T41" s="13">
        <f t="shared" si="9"/>
        <v>164</v>
      </c>
      <c r="U41" s="17">
        <f t="shared" si="10"/>
        <v>801</v>
      </c>
      <c r="V41" s="13">
        <f t="shared" si="21"/>
        <v>196</v>
      </c>
      <c r="W41" s="17">
        <f t="shared" si="11"/>
        <v>801</v>
      </c>
      <c r="X41" s="13">
        <f t="shared" si="22"/>
        <v>196</v>
      </c>
      <c r="Y41" s="17">
        <f t="shared" si="12"/>
        <v>768</v>
      </c>
      <c r="Z41" s="13">
        <f t="shared" si="23"/>
        <v>164</v>
      </c>
      <c r="AA41" s="17">
        <f t="shared" si="13"/>
        <v>768</v>
      </c>
      <c r="AB41" s="4" t="s">
        <v>0</v>
      </c>
    </row>
    <row r="42" spans="1:28">
      <c r="A42" s="9" t="s">
        <v>76</v>
      </c>
      <c r="B42" s="19"/>
      <c r="C42" s="4"/>
      <c r="D42" s="20">
        <f t="shared" si="18"/>
        <v>196</v>
      </c>
      <c r="E42" s="24">
        <f t="shared" si="24"/>
        <v>199</v>
      </c>
      <c r="F42" s="20">
        <f t="shared" si="20"/>
        <v>228</v>
      </c>
      <c r="G42" s="24">
        <f t="shared" si="25"/>
        <v>232</v>
      </c>
      <c r="H42" s="4" t="s">
        <v>0</v>
      </c>
      <c r="I42" s="15" t="str">
        <f t="shared" si="0"/>
        <v>08-09</v>
      </c>
      <c r="J42" s="13">
        <f t="shared" si="2"/>
        <v>196</v>
      </c>
      <c r="K42" s="14">
        <f t="shared" si="2"/>
        <v>199</v>
      </c>
      <c r="L42" s="16">
        <f t="shared" si="3"/>
        <v>228</v>
      </c>
      <c r="M42" s="17">
        <f t="shared" si="4"/>
        <v>199</v>
      </c>
      <c r="N42" s="13">
        <f t="shared" si="5"/>
        <v>228</v>
      </c>
      <c r="O42" s="14">
        <f t="shared" si="5"/>
        <v>232</v>
      </c>
      <c r="P42" s="16">
        <f t="shared" si="6"/>
        <v>196</v>
      </c>
      <c r="Q42" s="17">
        <f t="shared" si="7"/>
        <v>232</v>
      </c>
      <c r="R42" s="4" t="s">
        <v>0</v>
      </c>
      <c r="S42" s="15" t="str">
        <f t="shared" si="8"/>
        <v>08-09</v>
      </c>
      <c r="T42" s="13">
        <f t="shared" si="9"/>
        <v>196</v>
      </c>
      <c r="U42" s="17">
        <f t="shared" si="10"/>
        <v>801</v>
      </c>
      <c r="V42" s="13">
        <f t="shared" si="21"/>
        <v>228</v>
      </c>
      <c r="W42" s="17">
        <f t="shared" si="11"/>
        <v>801</v>
      </c>
      <c r="X42" s="13">
        <f t="shared" si="22"/>
        <v>228</v>
      </c>
      <c r="Y42" s="17">
        <f t="shared" si="12"/>
        <v>768</v>
      </c>
      <c r="Z42" s="13">
        <f t="shared" si="23"/>
        <v>196</v>
      </c>
      <c r="AA42" s="17">
        <f t="shared" si="13"/>
        <v>768</v>
      </c>
      <c r="AB42" s="4" t="s">
        <v>0</v>
      </c>
    </row>
    <row r="43" spans="1:28">
      <c r="A43" s="9" t="s">
        <v>16</v>
      </c>
      <c r="B43" s="19"/>
      <c r="C43" s="4"/>
      <c r="D43" s="20">
        <f t="shared" si="18"/>
        <v>228</v>
      </c>
      <c r="E43" s="24">
        <f t="shared" si="24"/>
        <v>199</v>
      </c>
      <c r="F43" s="20">
        <f t="shared" si="20"/>
        <v>260</v>
      </c>
      <c r="G43" s="24">
        <f t="shared" si="25"/>
        <v>232</v>
      </c>
      <c r="H43" s="4" t="s">
        <v>0</v>
      </c>
      <c r="I43" s="15" t="str">
        <f t="shared" si="0"/>
        <v>08-08</v>
      </c>
      <c r="J43" s="13">
        <f t="shared" si="2"/>
        <v>228</v>
      </c>
      <c r="K43" s="14">
        <f t="shared" si="2"/>
        <v>199</v>
      </c>
      <c r="L43" s="16">
        <f t="shared" si="3"/>
        <v>260</v>
      </c>
      <c r="M43" s="17">
        <f t="shared" si="4"/>
        <v>199</v>
      </c>
      <c r="N43" s="13">
        <f t="shared" si="5"/>
        <v>260</v>
      </c>
      <c r="O43" s="14">
        <f t="shared" si="5"/>
        <v>232</v>
      </c>
      <c r="P43" s="16">
        <f t="shared" si="6"/>
        <v>228</v>
      </c>
      <c r="Q43" s="17">
        <f t="shared" si="7"/>
        <v>232</v>
      </c>
      <c r="R43" s="4" t="s">
        <v>0</v>
      </c>
      <c r="S43" s="15" t="str">
        <f t="shared" si="8"/>
        <v>08-08</v>
      </c>
      <c r="T43" s="13">
        <f t="shared" si="9"/>
        <v>228</v>
      </c>
      <c r="U43" s="17">
        <f t="shared" si="10"/>
        <v>801</v>
      </c>
      <c r="V43" s="13">
        <f t="shared" si="21"/>
        <v>260</v>
      </c>
      <c r="W43" s="17">
        <f t="shared" si="11"/>
        <v>801</v>
      </c>
      <c r="X43" s="13">
        <f t="shared" si="22"/>
        <v>260</v>
      </c>
      <c r="Y43" s="17">
        <f t="shared" si="12"/>
        <v>768</v>
      </c>
      <c r="Z43" s="13">
        <f t="shared" si="23"/>
        <v>228</v>
      </c>
      <c r="AA43" s="17">
        <f t="shared" si="13"/>
        <v>768</v>
      </c>
      <c r="AB43" s="4" t="s">
        <v>0</v>
      </c>
    </row>
    <row r="44" spans="1:28">
      <c r="A44" s="9" t="s">
        <v>15</v>
      </c>
      <c r="B44" s="19"/>
      <c r="C44" s="4"/>
      <c r="D44" s="20">
        <f t="shared" si="18"/>
        <v>260</v>
      </c>
      <c r="E44" s="24">
        <f t="shared" si="24"/>
        <v>199</v>
      </c>
      <c r="F44" s="20">
        <f t="shared" si="20"/>
        <v>292</v>
      </c>
      <c r="G44" s="24">
        <f t="shared" si="25"/>
        <v>232</v>
      </c>
      <c r="H44" s="4" t="s">
        <v>0</v>
      </c>
      <c r="I44" s="15" t="str">
        <f t="shared" si="0"/>
        <v>08-07</v>
      </c>
      <c r="J44" s="13">
        <f t="shared" si="2"/>
        <v>260</v>
      </c>
      <c r="K44" s="14">
        <f t="shared" si="2"/>
        <v>199</v>
      </c>
      <c r="L44" s="16">
        <f t="shared" si="3"/>
        <v>292</v>
      </c>
      <c r="M44" s="17">
        <f t="shared" si="4"/>
        <v>199</v>
      </c>
      <c r="N44" s="13">
        <f t="shared" si="5"/>
        <v>292</v>
      </c>
      <c r="O44" s="14">
        <f t="shared" si="5"/>
        <v>232</v>
      </c>
      <c r="P44" s="16">
        <f t="shared" si="6"/>
        <v>260</v>
      </c>
      <c r="Q44" s="17">
        <f t="shared" si="7"/>
        <v>232</v>
      </c>
      <c r="R44" s="4" t="s">
        <v>0</v>
      </c>
      <c r="S44" s="15" t="str">
        <f t="shared" si="8"/>
        <v>08-07</v>
      </c>
      <c r="T44" s="13">
        <f t="shared" si="9"/>
        <v>260</v>
      </c>
      <c r="U44" s="17">
        <f t="shared" si="10"/>
        <v>801</v>
      </c>
      <c r="V44" s="13">
        <f t="shared" si="21"/>
        <v>292</v>
      </c>
      <c r="W44" s="17">
        <f t="shared" si="11"/>
        <v>801</v>
      </c>
      <c r="X44" s="13">
        <f t="shared" si="22"/>
        <v>292</v>
      </c>
      <c r="Y44" s="17">
        <f t="shared" si="12"/>
        <v>768</v>
      </c>
      <c r="Z44" s="13">
        <f t="shared" si="23"/>
        <v>260</v>
      </c>
      <c r="AA44" s="17">
        <f t="shared" si="13"/>
        <v>768</v>
      </c>
      <c r="AB44" s="4" t="s">
        <v>0</v>
      </c>
    </row>
    <row r="45" spans="1:28">
      <c r="A45" s="9" t="s">
        <v>14</v>
      </c>
      <c r="B45" s="19"/>
      <c r="C45" s="4"/>
      <c r="D45" s="20">
        <f t="shared" si="18"/>
        <v>292</v>
      </c>
      <c r="E45" s="24">
        <f t="shared" si="24"/>
        <v>199</v>
      </c>
      <c r="F45" s="20">
        <f t="shared" si="20"/>
        <v>324</v>
      </c>
      <c r="G45" s="24">
        <f t="shared" si="25"/>
        <v>232</v>
      </c>
      <c r="H45" s="4" t="s">
        <v>0</v>
      </c>
      <c r="I45" s="15" t="str">
        <f t="shared" si="0"/>
        <v>08-06</v>
      </c>
      <c r="J45" s="13">
        <f t="shared" si="2"/>
        <v>292</v>
      </c>
      <c r="K45" s="14">
        <f t="shared" si="2"/>
        <v>199</v>
      </c>
      <c r="L45" s="16">
        <f t="shared" si="3"/>
        <v>324</v>
      </c>
      <c r="M45" s="17">
        <f t="shared" si="4"/>
        <v>199</v>
      </c>
      <c r="N45" s="13">
        <f t="shared" si="5"/>
        <v>324</v>
      </c>
      <c r="O45" s="14">
        <f t="shared" si="5"/>
        <v>232</v>
      </c>
      <c r="P45" s="16">
        <f t="shared" si="6"/>
        <v>292</v>
      </c>
      <c r="Q45" s="17">
        <f t="shared" si="7"/>
        <v>232</v>
      </c>
      <c r="R45" s="4" t="s">
        <v>0</v>
      </c>
      <c r="S45" s="15" t="str">
        <f t="shared" si="8"/>
        <v>08-06</v>
      </c>
      <c r="T45" s="13">
        <f t="shared" si="9"/>
        <v>292</v>
      </c>
      <c r="U45" s="17">
        <f t="shared" si="10"/>
        <v>801</v>
      </c>
      <c r="V45" s="13">
        <f t="shared" si="21"/>
        <v>324</v>
      </c>
      <c r="W45" s="17">
        <f t="shared" si="11"/>
        <v>801</v>
      </c>
      <c r="X45" s="13">
        <f t="shared" si="22"/>
        <v>324</v>
      </c>
      <c r="Y45" s="17">
        <f t="shared" si="12"/>
        <v>768</v>
      </c>
      <c r="Z45" s="13">
        <f t="shared" si="23"/>
        <v>292</v>
      </c>
      <c r="AA45" s="17">
        <f t="shared" si="13"/>
        <v>768</v>
      </c>
      <c r="AB45" s="4" t="s">
        <v>0</v>
      </c>
    </row>
    <row r="46" spans="1:28">
      <c r="A46" s="9" t="s">
        <v>13</v>
      </c>
      <c r="B46" s="19"/>
      <c r="C46" s="4"/>
      <c r="D46" s="20">
        <f t="shared" si="18"/>
        <v>324</v>
      </c>
      <c r="E46" s="24">
        <f t="shared" si="24"/>
        <v>199</v>
      </c>
      <c r="F46" s="20">
        <f t="shared" si="20"/>
        <v>356</v>
      </c>
      <c r="G46" s="24">
        <f t="shared" si="25"/>
        <v>232</v>
      </c>
      <c r="H46" s="4" t="s">
        <v>0</v>
      </c>
      <c r="I46" s="15" t="str">
        <f t="shared" si="0"/>
        <v>08-05</v>
      </c>
      <c r="J46" s="13">
        <f t="shared" si="2"/>
        <v>324</v>
      </c>
      <c r="K46" s="14">
        <f t="shared" si="2"/>
        <v>199</v>
      </c>
      <c r="L46" s="16">
        <f t="shared" si="3"/>
        <v>356</v>
      </c>
      <c r="M46" s="17">
        <f t="shared" si="4"/>
        <v>199</v>
      </c>
      <c r="N46" s="13">
        <f t="shared" si="5"/>
        <v>356</v>
      </c>
      <c r="O46" s="14">
        <f t="shared" si="5"/>
        <v>232</v>
      </c>
      <c r="P46" s="16">
        <f t="shared" si="6"/>
        <v>324</v>
      </c>
      <c r="Q46" s="17">
        <f t="shared" si="7"/>
        <v>232</v>
      </c>
      <c r="R46" s="4" t="s">
        <v>0</v>
      </c>
      <c r="S46" s="15" t="str">
        <f t="shared" si="8"/>
        <v>08-05</v>
      </c>
      <c r="T46" s="13">
        <f t="shared" si="9"/>
        <v>324</v>
      </c>
      <c r="U46" s="17">
        <f t="shared" si="10"/>
        <v>801</v>
      </c>
      <c r="V46" s="13">
        <f t="shared" si="21"/>
        <v>356</v>
      </c>
      <c r="W46" s="17">
        <f t="shared" si="11"/>
        <v>801</v>
      </c>
      <c r="X46" s="13">
        <f t="shared" si="22"/>
        <v>356</v>
      </c>
      <c r="Y46" s="17">
        <f t="shared" si="12"/>
        <v>768</v>
      </c>
      <c r="Z46" s="13">
        <f t="shared" si="23"/>
        <v>324</v>
      </c>
      <c r="AA46" s="17">
        <f t="shared" si="13"/>
        <v>768</v>
      </c>
      <c r="AB46" s="4" t="s">
        <v>0</v>
      </c>
    </row>
    <row r="47" spans="1:28">
      <c r="A47" s="9" t="s">
        <v>12</v>
      </c>
      <c r="B47" s="19"/>
      <c r="C47" s="4"/>
      <c r="D47" s="20">
        <f t="shared" si="18"/>
        <v>356</v>
      </c>
      <c r="E47" s="24">
        <f t="shared" si="24"/>
        <v>199</v>
      </c>
      <c r="F47" s="20">
        <f t="shared" si="20"/>
        <v>388</v>
      </c>
      <c r="G47" s="24">
        <f t="shared" si="25"/>
        <v>232</v>
      </c>
      <c r="H47" s="4" t="s">
        <v>0</v>
      </c>
      <c r="I47" s="15" t="str">
        <f t="shared" si="0"/>
        <v>08-03</v>
      </c>
      <c r="J47" s="13">
        <f t="shared" si="2"/>
        <v>356</v>
      </c>
      <c r="K47" s="14">
        <f t="shared" si="2"/>
        <v>199</v>
      </c>
      <c r="L47" s="16">
        <f t="shared" si="3"/>
        <v>388</v>
      </c>
      <c r="M47" s="17">
        <f t="shared" si="4"/>
        <v>199</v>
      </c>
      <c r="N47" s="13">
        <f t="shared" si="5"/>
        <v>388</v>
      </c>
      <c r="O47" s="14">
        <f t="shared" si="5"/>
        <v>232</v>
      </c>
      <c r="P47" s="16">
        <f t="shared" si="6"/>
        <v>356</v>
      </c>
      <c r="Q47" s="17">
        <f t="shared" si="7"/>
        <v>232</v>
      </c>
      <c r="R47" s="4" t="s">
        <v>0</v>
      </c>
      <c r="S47" s="15" t="str">
        <f t="shared" si="8"/>
        <v>08-03</v>
      </c>
      <c r="T47" s="13">
        <f t="shared" si="9"/>
        <v>356</v>
      </c>
      <c r="U47" s="17">
        <f t="shared" si="10"/>
        <v>801</v>
      </c>
      <c r="V47" s="13">
        <f t="shared" si="21"/>
        <v>388</v>
      </c>
      <c r="W47" s="17">
        <f t="shared" si="11"/>
        <v>801</v>
      </c>
      <c r="X47" s="13">
        <f t="shared" si="22"/>
        <v>388</v>
      </c>
      <c r="Y47" s="17">
        <f t="shared" si="12"/>
        <v>768</v>
      </c>
      <c r="Z47" s="13">
        <f t="shared" si="23"/>
        <v>356</v>
      </c>
      <c r="AA47" s="17">
        <f t="shared" si="13"/>
        <v>768</v>
      </c>
      <c r="AB47" s="4" t="s">
        <v>0</v>
      </c>
    </row>
    <row r="48" spans="1:28">
      <c r="A48" s="9" t="s">
        <v>11</v>
      </c>
      <c r="B48" s="19"/>
      <c r="C48" s="4"/>
      <c r="D48" s="20">
        <f t="shared" si="18"/>
        <v>388</v>
      </c>
      <c r="E48" s="24">
        <f t="shared" si="24"/>
        <v>199</v>
      </c>
      <c r="F48" s="20">
        <f t="shared" si="20"/>
        <v>420</v>
      </c>
      <c r="G48" s="24">
        <f t="shared" si="25"/>
        <v>232</v>
      </c>
      <c r="H48" s="4" t="s">
        <v>0</v>
      </c>
      <c r="I48" s="15" t="str">
        <f t="shared" si="0"/>
        <v>08-02</v>
      </c>
      <c r="J48" s="13">
        <f t="shared" si="2"/>
        <v>388</v>
      </c>
      <c r="K48" s="14">
        <f t="shared" si="2"/>
        <v>199</v>
      </c>
      <c r="L48" s="16">
        <f t="shared" si="3"/>
        <v>420</v>
      </c>
      <c r="M48" s="17">
        <f t="shared" si="4"/>
        <v>199</v>
      </c>
      <c r="N48" s="13">
        <f t="shared" si="5"/>
        <v>420</v>
      </c>
      <c r="O48" s="14">
        <f t="shared" si="5"/>
        <v>232</v>
      </c>
      <c r="P48" s="16">
        <f t="shared" si="6"/>
        <v>388</v>
      </c>
      <c r="Q48" s="17">
        <f t="shared" si="7"/>
        <v>232</v>
      </c>
      <c r="R48" s="4" t="s">
        <v>0</v>
      </c>
      <c r="S48" s="15" t="str">
        <f t="shared" si="8"/>
        <v>08-02</v>
      </c>
      <c r="T48" s="13">
        <f t="shared" si="9"/>
        <v>388</v>
      </c>
      <c r="U48" s="17">
        <f t="shared" si="10"/>
        <v>801</v>
      </c>
      <c r="V48" s="13">
        <f t="shared" si="21"/>
        <v>420</v>
      </c>
      <c r="W48" s="17">
        <f t="shared" si="11"/>
        <v>801</v>
      </c>
      <c r="X48" s="13">
        <f t="shared" si="22"/>
        <v>420</v>
      </c>
      <c r="Y48" s="17">
        <f t="shared" si="12"/>
        <v>768</v>
      </c>
      <c r="Z48" s="13">
        <f t="shared" si="23"/>
        <v>388</v>
      </c>
      <c r="AA48" s="17">
        <f t="shared" si="13"/>
        <v>768</v>
      </c>
      <c r="AB48" s="4" t="s">
        <v>0</v>
      </c>
    </row>
    <row r="49" spans="1:28">
      <c r="A49" s="9" t="s">
        <v>10</v>
      </c>
      <c r="B49" s="19"/>
      <c r="C49" s="4"/>
      <c r="D49" s="20">
        <f t="shared" si="18"/>
        <v>420</v>
      </c>
      <c r="E49" s="24">
        <f t="shared" si="24"/>
        <v>199</v>
      </c>
      <c r="F49" s="20">
        <f t="shared" si="20"/>
        <v>452</v>
      </c>
      <c r="G49" s="24">
        <f t="shared" si="25"/>
        <v>232</v>
      </c>
      <c r="H49" s="4" t="s">
        <v>0</v>
      </c>
      <c r="I49" s="15" t="str">
        <f t="shared" si="0"/>
        <v>08-01</v>
      </c>
      <c r="J49" s="13">
        <f t="shared" si="2"/>
        <v>420</v>
      </c>
      <c r="K49" s="14">
        <f t="shared" si="2"/>
        <v>199</v>
      </c>
      <c r="L49" s="16">
        <f t="shared" si="3"/>
        <v>452</v>
      </c>
      <c r="M49" s="17">
        <f t="shared" si="4"/>
        <v>199</v>
      </c>
      <c r="N49" s="13">
        <f t="shared" si="5"/>
        <v>452</v>
      </c>
      <c r="O49" s="14">
        <f t="shared" si="5"/>
        <v>232</v>
      </c>
      <c r="P49" s="16">
        <f t="shared" si="6"/>
        <v>420</v>
      </c>
      <c r="Q49" s="17">
        <f t="shared" si="7"/>
        <v>232</v>
      </c>
      <c r="R49" s="4" t="s">
        <v>0</v>
      </c>
      <c r="S49" s="15" t="str">
        <f t="shared" si="8"/>
        <v>08-01</v>
      </c>
      <c r="T49" s="13">
        <f t="shared" si="9"/>
        <v>420</v>
      </c>
      <c r="U49" s="17">
        <f t="shared" si="10"/>
        <v>801</v>
      </c>
      <c r="V49" s="13">
        <f t="shared" si="21"/>
        <v>452</v>
      </c>
      <c r="W49" s="17">
        <f t="shared" si="11"/>
        <v>801</v>
      </c>
      <c r="X49" s="13">
        <f t="shared" si="22"/>
        <v>452</v>
      </c>
      <c r="Y49" s="17">
        <f t="shared" si="12"/>
        <v>768</v>
      </c>
      <c r="Z49" s="13">
        <f t="shared" si="23"/>
        <v>420</v>
      </c>
      <c r="AA49" s="17">
        <f t="shared" si="13"/>
        <v>768</v>
      </c>
      <c r="AB49" s="4" t="s">
        <v>0</v>
      </c>
    </row>
    <row r="50" spans="1:28">
      <c r="A50" s="9" t="s">
        <v>77</v>
      </c>
      <c r="B50" s="19"/>
      <c r="C50" s="4"/>
      <c r="D50" s="20"/>
      <c r="E50" s="24"/>
      <c r="F50" s="20"/>
      <c r="G50" s="24"/>
      <c r="H50" s="4" t="s">
        <v>0</v>
      </c>
      <c r="I50" s="15" t="str">
        <f t="shared" si="0"/>
        <v>-</v>
      </c>
      <c r="J50" s="13">
        <f t="shared" si="2"/>
        <v>0</v>
      </c>
      <c r="K50" s="14">
        <f t="shared" si="2"/>
        <v>0</v>
      </c>
      <c r="L50" s="16">
        <f t="shared" si="3"/>
        <v>0</v>
      </c>
      <c r="M50" s="17">
        <f t="shared" si="4"/>
        <v>0</v>
      </c>
      <c r="N50" s="13">
        <f t="shared" si="5"/>
        <v>0</v>
      </c>
      <c r="O50" s="14">
        <f t="shared" si="5"/>
        <v>0</v>
      </c>
      <c r="P50" s="16">
        <f t="shared" si="6"/>
        <v>0</v>
      </c>
      <c r="Q50" s="17">
        <f t="shared" si="7"/>
        <v>0</v>
      </c>
      <c r="R50" s="4" t="s">
        <v>0</v>
      </c>
      <c r="S50" s="15" t="str">
        <f t="shared" si="8"/>
        <v>-</v>
      </c>
      <c r="T50" s="13">
        <f t="shared" si="9"/>
        <v>0</v>
      </c>
      <c r="U50" s="17">
        <f t="shared" si="10"/>
        <v>1000</v>
      </c>
      <c r="V50" s="13">
        <f t="shared" si="21"/>
        <v>0</v>
      </c>
      <c r="W50" s="17">
        <f t="shared" si="11"/>
        <v>1000</v>
      </c>
      <c r="X50" s="13">
        <f t="shared" si="22"/>
        <v>0</v>
      </c>
      <c r="Y50" s="17">
        <f t="shared" si="12"/>
        <v>1000</v>
      </c>
      <c r="Z50" s="13">
        <f t="shared" si="23"/>
        <v>0</v>
      </c>
      <c r="AA50" s="17">
        <f t="shared" si="13"/>
        <v>1000</v>
      </c>
      <c r="AB50" s="4" t="s">
        <v>0</v>
      </c>
    </row>
    <row r="51" spans="1:28">
      <c r="A51" s="9" t="s">
        <v>77</v>
      </c>
      <c r="B51" s="19"/>
      <c r="C51" s="4"/>
      <c r="D51" s="20"/>
      <c r="E51" s="24"/>
      <c r="F51" s="20"/>
      <c r="G51" s="24"/>
      <c r="H51" s="4" t="s">
        <v>0</v>
      </c>
      <c r="I51" s="15" t="str">
        <f t="shared" si="0"/>
        <v>-</v>
      </c>
      <c r="J51" s="13">
        <f t="shared" si="2"/>
        <v>0</v>
      </c>
      <c r="K51" s="14">
        <f t="shared" si="2"/>
        <v>0</v>
      </c>
      <c r="L51" s="16">
        <f t="shared" si="3"/>
        <v>0</v>
      </c>
      <c r="M51" s="17">
        <f t="shared" si="4"/>
        <v>0</v>
      </c>
      <c r="N51" s="13">
        <f t="shared" si="5"/>
        <v>0</v>
      </c>
      <c r="O51" s="14">
        <f t="shared" si="5"/>
        <v>0</v>
      </c>
      <c r="P51" s="16">
        <f t="shared" si="6"/>
        <v>0</v>
      </c>
      <c r="Q51" s="17">
        <f t="shared" si="7"/>
        <v>0</v>
      </c>
      <c r="R51" s="4" t="s">
        <v>0</v>
      </c>
      <c r="S51" s="15" t="str">
        <f t="shared" si="8"/>
        <v>-</v>
      </c>
      <c r="T51" s="13">
        <f t="shared" si="9"/>
        <v>0</v>
      </c>
      <c r="U51" s="17">
        <f t="shared" si="10"/>
        <v>1000</v>
      </c>
      <c r="V51" s="13">
        <f t="shared" si="21"/>
        <v>0</v>
      </c>
      <c r="W51" s="17">
        <f t="shared" si="11"/>
        <v>1000</v>
      </c>
      <c r="X51" s="13">
        <f t="shared" si="22"/>
        <v>0</v>
      </c>
      <c r="Y51" s="17">
        <f t="shared" si="12"/>
        <v>1000</v>
      </c>
      <c r="Z51" s="13">
        <f t="shared" si="23"/>
        <v>0</v>
      </c>
      <c r="AA51" s="17">
        <f t="shared" si="13"/>
        <v>1000</v>
      </c>
      <c r="AB51" s="4" t="s">
        <v>0</v>
      </c>
    </row>
    <row r="52" spans="1:28">
      <c r="A52" s="9" t="s">
        <v>77</v>
      </c>
      <c r="B52" s="19"/>
      <c r="C52" s="4"/>
      <c r="D52" s="20"/>
      <c r="E52" s="24"/>
      <c r="F52" s="20"/>
      <c r="G52" s="24"/>
      <c r="H52" s="4" t="s">
        <v>0</v>
      </c>
      <c r="I52" s="15" t="str">
        <f t="shared" si="0"/>
        <v>-</v>
      </c>
      <c r="J52" s="13">
        <f t="shared" si="2"/>
        <v>0</v>
      </c>
      <c r="K52" s="14">
        <f t="shared" si="2"/>
        <v>0</v>
      </c>
      <c r="L52" s="16">
        <f t="shared" si="3"/>
        <v>0</v>
      </c>
      <c r="M52" s="17">
        <f t="shared" si="4"/>
        <v>0</v>
      </c>
      <c r="N52" s="13">
        <f t="shared" si="5"/>
        <v>0</v>
      </c>
      <c r="O52" s="14">
        <f t="shared" si="5"/>
        <v>0</v>
      </c>
      <c r="P52" s="16">
        <f t="shared" si="6"/>
        <v>0</v>
      </c>
      <c r="Q52" s="17">
        <f t="shared" si="7"/>
        <v>0</v>
      </c>
      <c r="R52" s="4" t="s">
        <v>0</v>
      </c>
      <c r="S52" s="15" t="str">
        <f t="shared" si="8"/>
        <v>-</v>
      </c>
      <c r="T52" s="13">
        <f t="shared" si="9"/>
        <v>0</v>
      </c>
      <c r="U52" s="17">
        <f t="shared" si="10"/>
        <v>1000</v>
      </c>
      <c r="V52" s="13">
        <f t="shared" si="21"/>
        <v>0</v>
      </c>
      <c r="W52" s="17">
        <f t="shared" si="11"/>
        <v>1000</v>
      </c>
      <c r="X52" s="13">
        <f t="shared" si="22"/>
        <v>0</v>
      </c>
      <c r="Y52" s="17">
        <f t="shared" si="12"/>
        <v>1000</v>
      </c>
      <c r="Z52" s="13">
        <f t="shared" si="23"/>
        <v>0</v>
      </c>
      <c r="AA52" s="17">
        <f t="shared" si="13"/>
        <v>1000</v>
      </c>
      <c r="AB52" s="4" t="s">
        <v>0</v>
      </c>
    </row>
    <row r="53" spans="1:28">
      <c r="A53" s="9" t="s">
        <v>77</v>
      </c>
      <c r="B53" s="19"/>
      <c r="C53" s="4"/>
      <c r="D53" s="20"/>
      <c r="E53" s="24"/>
      <c r="F53" s="20"/>
      <c r="G53" s="24"/>
      <c r="H53" s="4" t="s">
        <v>0</v>
      </c>
      <c r="I53" s="15" t="str">
        <f t="shared" si="0"/>
        <v>-</v>
      </c>
      <c r="J53" s="13">
        <f t="shared" si="2"/>
        <v>0</v>
      </c>
      <c r="K53" s="14">
        <f t="shared" si="2"/>
        <v>0</v>
      </c>
      <c r="L53" s="16">
        <f t="shared" si="3"/>
        <v>0</v>
      </c>
      <c r="M53" s="17">
        <f t="shared" si="4"/>
        <v>0</v>
      </c>
      <c r="N53" s="13">
        <f t="shared" si="5"/>
        <v>0</v>
      </c>
      <c r="O53" s="14">
        <f t="shared" si="5"/>
        <v>0</v>
      </c>
      <c r="P53" s="16">
        <f t="shared" si="6"/>
        <v>0</v>
      </c>
      <c r="Q53" s="17">
        <f t="shared" si="7"/>
        <v>0</v>
      </c>
      <c r="R53" s="4" t="s">
        <v>0</v>
      </c>
      <c r="S53" s="15" t="str">
        <f t="shared" si="8"/>
        <v>-</v>
      </c>
      <c r="T53" s="13">
        <f t="shared" si="9"/>
        <v>0</v>
      </c>
      <c r="U53" s="17">
        <f t="shared" si="10"/>
        <v>1000</v>
      </c>
      <c r="V53" s="13">
        <f t="shared" si="21"/>
        <v>0</v>
      </c>
      <c r="W53" s="17">
        <f t="shared" si="11"/>
        <v>1000</v>
      </c>
      <c r="X53" s="13">
        <f t="shared" si="22"/>
        <v>0</v>
      </c>
      <c r="Y53" s="17">
        <f t="shared" si="12"/>
        <v>1000</v>
      </c>
      <c r="Z53" s="13">
        <f t="shared" si="23"/>
        <v>0</v>
      </c>
      <c r="AA53" s="17">
        <f t="shared" si="13"/>
        <v>1000</v>
      </c>
      <c r="AB53" s="4" t="s">
        <v>0</v>
      </c>
    </row>
    <row r="54" spans="1:28">
      <c r="A54" s="9" t="s">
        <v>77</v>
      </c>
      <c r="B54" s="19"/>
      <c r="C54" s="21"/>
      <c r="D54" s="20"/>
      <c r="E54" s="23"/>
      <c r="F54" s="20"/>
      <c r="G54" s="23"/>
      <c r="H54" s="4" t="s">
        <v>0</v>
      </c>
      <c r="I54" s="15" t="str">
        <f t="shared" si="0"/>
        <v>-</v>
      </c>
      <c r="J54" s="13">
        <f t="shared" si="2"/>
        <v>0</v>
      </c>
      <c r="K54" s="14">
        <f t="shared" si="2"/>
        <v>0</v>
      </c>
      <c r="L54" s="16">
        <f t="shared" si="3"/>
        <v>0</v>
      </c>
      <c r="M54" s="17">
        <f t="shared" si="4"/>
        <v>0</v>
      </c>
      <c r="N54" s="13">
        <f t="shared" si="5"/>
        <v>0</v>
      </c>
      <c r="O54" s="14">
        <f t="shared" si="5"/>
        <v>0</v>
      </c>
      <c r="P54" s="16">
        <f t="shared" si="6"/>
        <v>0</v>
      </c>
      <c r="Q54" s="17">
        <f t="shared" si="7"/>
        <v>0</v>
      </c>
      <c r="R54" s="4" t="s">
        <v>0</v>
      </c>
      <c r="S54" s="15" t="str">
        <f t="shared" si="8"/>
        <v>-</v>
      </c>
      <c r="T54" s="13">
        <f t="shared" si="9"/>
        <v>0</v>
      </c>
      <c r="U54" s="17">
        <f t="shared" si="10"/>
        <v>1000</v>
      </c>
      <c r="V54" s="13">
        <f t="shared" si="21"/>
        <v>0</v>
      </c>
      <c r="W54" s="17">
        <f t="shared" si="11"/>
        <v>1000</v>
      </c>
      <c r="X54" s="13">
        <f t="shared" si="22"/>
        <v>0</v>
      </c>
      <c r="Y54" s="17">
        <f t="shared" si="12"/>
        <v>1000</v>
      </c>
      <c r="Z54" s="13">
        <f t="shared" si="23"/>
        <v>0</v>
      </c>
      <c r="AA54" s="17">
        <f t="shared" si="13"/>
        <v>1000</v>
      </c>
      <c r="AB54" s="4" t="s">
        <v>0</v>
      </c>
    </row>
    <row r="55" spans="1:28">
      <c r="A55" s="9" t="s">
        <v>77</v>
      </c>
      <c r="B55" s="19"/>
      <c r="C55" s="21"/>
      <c r="D55" s="20"/>
      <c r="E55" s="24"/>
      <c r="F55" s="20"/>
      <c r="G55" s="24"/>
      <c r="H55" s="4" t="s">
        <v>0</v>
      </c>
      <c r="I55" s="15" t="str">
        <f t="shared" si="0"/>
        <v>-</v>
      </c>
      <c r="J55" s="13">
        <f t="shared" si="2"/>
        <v>0</v>
      </c>
      <c r="K55" s="14">
        <f t="shared" si="2"/>
        <v>0</v>
      </c>
      <c r="L55" s="16">
        <f t="shared" si="3"/>
        <v>0</v>
      </c>
      <c r="M55" s="17">
        <f t="shared" si="4"/>
        <v>0</v>
      </c>
      <c r="N55" s="13">
        <f t="shared" si="5"/>
        <v>0</v>
      </c>
      <c r="O55" s="14">
        <f t="shared" si="5"/>
        <v>0</v>
      </c>
      <c r="P55" s="16">
        <f t="shared" si="6"/>
        <v>0</v>
      </c>
      <c r="Q55" s="17">
        <f t="shared" si="7"/>
        <v>0</v>
      </c>
      <c r="R55" s="4" t="s">
        <v>0</v>
      </c>
      <c r="S55" s="15" t="str">
        <f t="shared" si="8"/>
        <v>-</v>
      </c>
      <c r="T55" s="13">
        <f t="shared" si="9"/>
        <v>0</v>
      </c>
      <c r="U55" s="17">
        <f t="shared" si="10"/>
        <v>1000</v>
      </c>
      <c r="V55" s="13">
        <f t="shared" si="21"/>
        <v>0</v>
      </c>
      <c r="W55" s="17">
        <f t="shared" si="11"/>
        <v>1000</v>
      </c>
      <c r="X55" s="13">
        <f t="shared" si="22"/>
        <v>0</v>
      </c>
      <c r="Y55" s="17">
        <f t="shared" si="12"/>
        <v>1000</v>
      </c>
      <c r="Z55" s="13">
        <f t="shared" si="23"/>
        <v>0</v>
      </c>
      <c r="AA55" s="17">
        <f t="shared" si="13"/>
        <v>1000</v>
      </c>
      <c r="AB55" s="4" t="s">
        <v>0</v>
      </c>
    </row>
    <row r="56" spans="1:28">
      <c r="A56" s="9" t="s">
        <v>77</v>
      </c>
      <c r="B56" s="19"/>
      <c r="C56" s="4"/>
      <c r="D56" s="20"/>
      <c r="E56" s="24"/>
      <c r="F56" s="20"/>
      <c r="G56" s="24"/>
      <c r="H56" s="4" t="s">
        <v>0</v>
      </c>
      <c r="I56" s="15" t="str">
        <f t="shared" si="0"/>
        <v>-</v>
      </c>
      <c r="J56" s="13">
        <f t="shared" si="2"/>
        <v>0</v>
      </c>
      <c r="K56" s="14">
        <f t="shared" si="2"/>
        <v>0</v>
      </c>
      <c r="L56" s="16">
        <f t="shared" si="3"/>
        <v>0</v>
      </c>
      <c r="M56" s="17">
        <f t="shared" si="4"/>
        <v>0</v>
      </c>
      <c r="N56" s="13">
        <f t="shared" si="5"/>
        <v>0</v>
      </c>
      <c r="O56" s="14">
        <f t="shared" si="5"/>
        <v>0</v>
      </c>
      <c r="P56" s="16">
        <f t="shared" si="6"/>
        <v>0</v>
      </c>
      <c r="Q56" s="17">
        <f t="shared" si="7"/>
        <v>0</v>
      </c>
      <c r="R56" s="4" t="s">
        <v>0</v>
      </c>
      <c r="S56" s="15" t="str">
        <f t="shared" si="8"/>
        <v>-</v>
      </c>
      <c r="T56" s="13">
        <f t="shared" si="9"/>
        <v>0</v>
      </c>
      <c r="U56" s="17">
        <f t="shared" si="10"/>
        <v>1000</v>
      </c>
      <c r="V56" s="13">
        <f t="shared" si="21"/>
        <v>0</v>
      </c>
      <c r="W56" s="17">
        <f t="shared" si="11"/>
        <v>1000</v>
      </c>
      <c r="X56" s="13">
        <f t="shared" si="22"/>
        <v>0</v>
      </c>
      <c r="Y56" s="17">
        <f t="shared" si="12"/>
        <v>1000</v>
      </c>
      <c r="Z56" s="13">
        <f t="shared" si="23"/>
        <v>0</v>
      </c>
      <c r="AA56" s="17">
        <f t="shared" si="13"/>
        <v>1000</v>
      </c>
      <c r="AB56" s="4" t="s">
        <v>0</v>
      </c>
    </row>
    <row r="57" spans="1:28">
      <c r="A57" s="9" t="s">
        <v>77</v>
      </c>
      <c r="B57" s="19"/>
      <c r="C57" s="4"/>
      <c r="D57" s="20"/>
      <c r="E57" s="24"/>
      <c r="F57" s="20"/>
      <c r="G57" s="24"/>
      <c r="H57" s="4" t="s">
        <v>0</v>
      </c>
      <c r="I57" s="15" t="str">
        <f t="shared" si="0"/>
        <v>-</v>
      </c>
      <c r="J57" s="13">
        <f t="shared" si="2"/>
        <v>0</v>
      </c>
      <c r="K57" s="14">
        <f t="shared" si="2"/>
        <v>0</v>
      </c>
      <c r="L57" s="16">
        <f t="shared" si="3"/>
        <v>0</v>
      </c>
      <c r="M57" s="17">
        <f t="shared" si="4"/>
        <v>0</v>
      </c>
      <c r="N57" s="13">
        <f t="shared" si="5"/>
        <v>0</v>
      </c>
      <c r="O57" s="14">
        <f t="shared" si="5"/>
        <v>0</v>
      </c>
      <c r="P57" s="16">
        <f t="shared" si="6"/>
        <v>0</v>
      </c>
      <c r="Q57" s="17">
        <f t="shared" si="7"/>
        <v>0</v>
      </c>
      <c r="R57" s="4" t="s">
        <v>0</v>
      </c>
      <c r="S57" s="15" t="str">
        <f t="shared" si="8"/>
        <v>-</v>
      </c>
      <c r="T57" s="13">
        <f t="shared" si="9"/>
        <v>0</v>
      </c>
      <c r="U57" s="17">
        <f t="shared" si="10"/>
        <v>1000</v>
      </c>
      <c r="V57" s="13">
        <f t="shared" si="21"/>
        <v>0</v>
      </c>
      <c r="W57" s="17">
        <f t="shared" si="11"/>
        <v>1000</v>
      </c>
      <c r="X57" s="13">
        <f t="shared" si="22"/>
        <v>0</v>
      </c>
      <c r="Y57" s="17">
        <f t="shared" si="12"/>
        <v>1000</v>
      </c>
      <c r="Z57" s="13">
        <f t="shared" si="23"/>
        <v>0</v>
      </c>
      <c r="AA57" s="17">
        <f t="shared" si="13"/>
        <v>1000</v>
      </c>
      <c r="AB57" s="4" t="s">
        <v>0</v>
      </c>
    </row>
    <row r="58" spans="1:28">
      <c r="A58" s="9" t="s">
        <v>77</v>
      </c>
      <c r="B58" s="19"/>
      <c r="C58" s="4"/>
      <c r="D58" s="20"/>
      <c r="E58" s="24"/>
      <c r="F58" s="20"/>
      <c r="G58" s="24"/>
      <c r="H58" s="4" t="s">
        <v>0</v>
      </c>
      <c r="I58" s="15" t="str">
        <f t="shared" si="0"/>
        <v>-</v>
      </c>
      <c r="J58" s="13">
        <f t="shared" si="2"/>
        <v>0</v>
      </c>
      <c r="K58" s="14">
        <f t="shared" si="2"/>
        <v>0</v>
      </c>
      <c r="L58" s="16">
        <f t="shared" si="3"/>
        <v>0</v>
      </c>
      <c r="M58" s="17">
        <f t="shared" si="4"/>
        <v>0</v>
      </c>
      <c r="N58" s="13">
        <f t="shared" si="5"/>
        <v>0</v>
      </c>
      <c r="O58" s="14">
        <f t="shared" si="5"/>
        <v>0</v>
      </c>
      <c r="P58" s="16">
        <f t="shared" si="6"/>
        <v>0</v>
      </c>
      <c r="Q58" s="17">
        <f t="shared" si="7"/>
        <v>0</v>
      </c>
      <c r="R58" s="4" t="s">
        <v>0</v>
      </c>
      <c r="S58" s="15" t="str">
        <f t="shared" si="8"/>
        <v>-</v>
      </c>
      <c r="T58" s="13">
        <f t="shared" si="9"/>
        <v>0</v>
      </c>
      <c r="U58" s="17">
        <f t="shared" si="10"/>
        <v>1000</v>
      </c>
      <c r="V58" s="13">
        <f t="shared" si="21"/>
        <v>0</v>
      </c>
      <c r="W58" s="17">
        <f t="shared" si="11"/>
        <v>1000</v>
      </c>
      <c r="X58" s="13">
        <f t="shared" si="22"/>
        <v>0</v>
      </c>
      <c r="Y58" s="17">
        <f t="shared" si="12"/>
        <v>1000</v>
      </c>
      <c r="Z58" s="13">
        <f t="shared" si="23"/>
        <v>0</v>
      </c>
      <c r="AA58" s="17">
        <f t="shared" si="13"/>
        <v>1000</v>
      </c>
      <c r="AB58" s="4" t="s">
        <v>0</v>
      </c>
    </row>
    <row r="59" spans="1:28">
      <c r="A59" s="9" t="s">
        <v>77</v>
      </c>
      <c r="B59" s="19"/>
      <c r="C59" s="4"/>
      <c r="D59" s="20"/>
      <c r="E59" s="24"/>
      <c r="F59" s="20"/>
      <c r="G59" s="24"/>
      <c r="H59" s="4" t="s">
        <v>0</v>
      </c>
      <c r="I59" s="15" t="str">
        <f t="shared" si="0"/>
        <v>-</v>
      </c>
      <c r="J59" s="13">
        <f t="shared" si="2"/>
        <v>0</v>
      </c>
      <c r="K59" s="14">
        <f t="shared" si="2"/>
        <v>0</v>
      </c>
      <c r="L59" s="16">
        <f t="shared" si="3"/>
        <v>0</v>
      </c>
      <c r="M59" s="17">
        <f t="shared" si="4"/>
        <v>0</v>
      </c>
      <c r="N59" s="13">
        <f t="shared" si="5"/>
        <v>0</v>
      </c>
      <c r="O59" s="14">
        <f t="shared" si="5"/>
        <v>0</v>
      </c>
      <c r="P59" s="16">
        <f t="shared" si="6"/>
        <v>0</v>
      </c>
      <c r="Q59" s="17">
        <f t="shared" si="7"/>
        <v>0</v>
      </c>
      <c r="R59" s="4" t="s">
        <v>0</v>
      </c>
      <c r="S59" s="15" t="str">
        <f t="shared" si="8"/>
        <v>-</v>
      </c>
      <c r="T59" s="13">
        <f t="shared" si="9"/>
        <v>0</v>
      </c>
      <c r="U59" s="17">
        <f t="shared" si="10"/>
        <v>1000</v>
      </c>
      <c r="V59" s="13">
        <f t="shared" si="21"/>
        <v>0</v>
      </c>
      <c r="W59" s="17">
        <f t="shared" si="11"/>
        <v>1000</v>
      </c>
      <c r="X59" s="13">
        <f t="shared" si="22"/>
        <v>0</v>
      </c>
      <c r="Y59" s="17">
        <f t="shared" si="12"/>
        <v>1000</v>
      </c>
      <c r="Z59" s="13">
        <f t="shared" si="23"/>
        <v>0</v>
      </c>
      <c r="AA59" s="17">
        <f t="shared" si="13"/>
        <v>1000</v>
      </c>
      <c r="AB59" s="4" t="s">
        <v>0</v>
      </c>
    </row>
    <row r="60" spans="1:28">
      <c r="A60" s="9" t="s">
        <v>77</v>
      </c>
      <c r="B60" s="19"/>
      <c r="C60" s="4"/>
      <c r="D60" s="20"/>
      <c r="E60" s="24"/>
      <c r="F60" s="20"/>
      <c r="G60" s="24"/>
      <c r="H60" s="4" t="s">
        <v>0</v>
      </c>
      <c r="I60" s="15" t="str">
        <f t="shared" si="0"/>
        <v>-</v>
      </c>
      <c r="J60" s="13">
        <f t="shared" si="2"/>
        <v>0</v>
      </c>
      <c r="K60" s="14">
        <f t="shared" si="2"/>
        <v>0</v>
      </c>
      <c r="L60" s="16">
        <f t="shared" si="3"/>
        <v>0</v>
      </c>
      <c r="M60" s="17">
        <f t="shared" si="4"/>
        <v>0</v>
      </c>
      <c r="N60" s="13">
        <f t="shared" si="5"/>
        <v>0</v>
      </c>
      <c r="O60" s="14">
        <f t="shared" si="5"/>
        <v>0</v>
      </c>
      <c r="P60" s="16">
        <f t="shared" si="6"/>
        <v>0</v>
      </c>
      <c r="Q60" s="17">
        <f t="shared" si="7"/>
        <v>0</v>
      </c>
      <c r="R60" s="4" t="s">
        <v>0</v>
      </c>
      <c r="S60" s="15" t="str">
        <f t="shared" si="8"/>
        <v>-</v>
      </c>
      <c r="T60" s="13">
        <f t="shared" si="9"/>
        <v>0</v>
      </c>
      <c r="U60" s="17">
        <f t="shared" si="10"/>
        <v>1000</v>
      </c>
      <c r="V60" s="13">
        <f t="shared" si="21"/>
        <v>0</v>
      </c>
      <c r="W60" s="17">
        <f t="shared" si="11"/>
        <v>1000</v>
      </c>
      <c r="X60" s="13">
        <f t="shared" si="22"/>
        <v>0</v>
      </c>
      <c r="Y60" s="17">
        <f t="shared" si="12"/>
        <v>1000</v>
      </c>
      <c r="Z60" s="13">
        <f t="shared" si="23"/>
        <v>0</v>
      </c>
      <c r="AA60" s="17">
        <f t="shared" si="13"/>
        <v>1000</v>
      </c>
      <c r="AB60" s="4" t="s">
        <v>0</v>
      </c>
    </row>
    <row r="61" spans="1:28">
      <c r="A61" s="9" t="s">
        <v>77</v>
      </c>
      <c r="B61" s="19"/>
      <c r="C61" s="4"/>
      <c r="D61" s="20"/>
      <c r="E61" s="24"/>
      <c r="F61" s="20"/>
      <c r="G61" s="24"/>
      <c r="H61" s="4" t="s">
        <v>0</v>
      </c>
      <c r="I61" s="15" t="str">
        <f t="shared" si="0"/>
        <v>-</v>
      </c>
      <c r="J61" s="13">
        <f t="shared" si="2"/>
        <v>0</v>
      </c>
      <c r="K61" s="14">
        <f t="shared" si="2"/>
        <v>0</v>
      </c>
      <c r="L61" s="16">
        <f t="shared" si="3"/>
        <v>0</v>
      </c>
      <c r="M61" s="17">
        <f t="shared" si="4"/>
        <v>0</v>
      </c>
      <c r="N61" s="13">
        <f t="shared" si="5"/>
        <v>0</v>
      </c>
      <c r="O61" s="14">
        <f t="shared" si="5"/>
        <v>0</v>
      </c>
      <c r="P61" s="16">
        <f t="shared" si="6"/>
        <v>0</v>
      </c>
      <c r="Q61" s="17">
        <f t="shared" si="7"/>
        <v>0</v>
      </c>
      <c r="R61" s="4" t="s">
        <v>0</v>
      </c>
      <c r="S61" s="15" t="str">
        <f t="shared" si="8"/>
        <v>-</v>
      </c>
      <c r="T61" s="13">
        <f t="shared" si="9"/>
        <v>0</v>
      </c>
      <c r="U61" s="17">
        <f t="shared" si="10"/>
        <v>1000</v>
      </c>
      <c r="V61" s="13">
        <f t="shared" si="21"/>
        <v>0</v>
      </c>
      <c r="W61" s="17">
        <f t="shared" si="11"/>
        <v>1000</v>
      </c>
      <c r="X61" s="13">
        <f t="shared" si="22"/>
        <v>0</v>
      </c>
      <c r="Y61" s="17">
        <f t="shared" si="12"/>
        <v>1000</v>
      </c>
      <c r="Z61" s="13">
        <f t="shared" si="23"/>
        <v>0</v>
      </c>
      <c r="AA61" s="17">
        <f t="shared" si="13"/>
        <v>1000</v>
      </c>
      <c r="AB61" s="4" t="s">
        <v>0</v>
      </c>
    </row>
    <row r="62" spans="1:28">
      <c r="A62" s="9" t="s">
        <v>77</v>
      </c>
      <c r="B62" s="19"/>
      <c r="C62" s="4"/>
      <c r="D62" s="20"/>
      <c r="E62" s="24"/>
      <c r="F62" s="20"/>
      <c r="G62" s="24"/>
      <c r="H62" s="4" t="s">
        <v>0</v>
      </c>
      <c r="I62" s="15" t="str">
        <f t="shared" si="0"/>
        <v>-</v>
      </c>
      <c r="J62" s="13">
        <f t="shared" si="2"/>
        <v>0</v>
      </c>
      <c r="K62" s="14">
        <f t="shared" si="2"/>
        <v>0</v>
      </c>
      <c r="L62" s="16">
        <f t="shared" si="3"/>
        <v>0</v>
      </c>
      <c r="M62" s="17">
        <f t="shared" si="4"/>
        <v>0</v>
      </c>
      <c r="N62" s="13">
        <f t="shared" si="5"/>
        <v>0</v>
      </c>
      <c r="O62" s="14">
        <f t="shared" si="5"/>
        <v>0</v>
      </c>
      <c r="P62" s="16">
        <f t="shared" si="6"/>
        <v>0</v>
      </c>
      <c r="Q62" s="17">
        <f t="shared" si="7"/>
        <v>0</v>
      </c>
      <c r="R62" s="4" t="s">
        <v>0</v>
      </c>
      <c r="S62" s="15" t="str">
        <f t="shared" si="8"/>
        <v>-</v>
      </c>
      <c r="T62" s="13">
        <f t="shared" si="9"/>
        <v>0</v>
      </c>
      <c r="U62" s="17">
        <f t="shared" si="10"/>
        <v>1000</v>
      </c>
      <c r="V62" s="13">
        <f t="shared" si="21"/>
        <v>0</v>
      </c>
      <c r="W62" s="17">
        <f t="shared" si="11"/>
        <v>1000</v>
      </c>
      <c r="X62" s="13">
        <f t="shared" si="22"/>
        <v>0</v>
      </c>
      <c r="Y62" s="17">
        <f t="shared" si="12"/>
        <v>1000</v>
      </c>
      <c r="Z62" s="13">
        <f t="shared" si="23"/>
        <v>0</v>
      </c>
      <c r="AA62" s="17">
        <f t="shared" si="13"/>
        <v>1000</v>
      </c>
      <c r="AB62" s="4" t="s">
        <v>0</v>
      </c>
    </row>
    <row r="63" spans="1:28">
      <c r="A63" s="9" t="s">
        <v>77</v>
      </c>
      <c r="B63" s="19"/>
      <c r="C63" s="4"/>
      <c r="D63" s="20"/>
      <c r="E63" s="24"/>
      <c r="F63" s="20"/>
      <c r="G63" s="24"/>
      <c r="H63" s="4" t="s">
        <v>0</v>
      </c>
      <c r="I63" s="15" t="str">
        <f t="shared" si="0"/>
        <v>-</v>
      </c>
      <c r="J63" s="13">
        <f t="shared" si="2"/>
        <v>0</v>
      </c>
      <c r="K63" s="14">
        <f t="shared" si="2"/>
        <v>0</v>
      </c>
      <c r="L63" s="16">
        <f t="shared" si="3"/>
        <v>0</v>
      </c>
      <c r="M63" s="17">
        <f t="shared" si="4"/>
        <v>0</v>
      </c>
      <c r="N63" s="13">
        <f t="shared" si="5"/>
        <v>0</v>
      </c>
      <c r="O63" s="14">
        <f t="shared" si="5"/>
        <v>0</v>
      </c>
      <c r="P63" s="16">
        <f t="shared" si="6"/>
        <v>0</v>
      </c>
      <c r="Q63" s="17">
        <f t="shared" si="7"/>
        <v>0</v>
      </c>
      <c r="R63" s="4" t="s">
        <v>0</v>
      </c>
      <c r="S63" s="15" t="str">
        <f t="shared" si="8"/>
        <v>-</v>
      </c>
      <c r="T63" s="13">
        <f t="shared" si="9"/>
        <v>0</v>
      </c>
      <c r="U63" s="17">
        <f t="shared" si="10"/>
        <v>1000</v>
      </c>
      <c r="V63" s="13">
        <f t="shared" si="21"/>
        <v>0</v>
      </c>
      <c r="W63" s="17">
        <f t="shared" si="11"/>
        <v>1000</v>
      </c>
      <c r="X63" s="13">
        <f t="shared" si="22"/>
        <v>0</v>
      </c>
      <c r="Y63" s="17">
        <f t="shared" si="12"/>
        <v>1000</v>
      </c>
      <c r="Z63" s="13">
        <f t="shared" si="23"/>
        <v>0</v>
      </c>
      <c r="AA63" s="17">
        <f t="shared" si="13"/>
        <v>1000</v>
      </c>
      <c r="AB63" s="4" t="s">
        <v>0</v>
      </c>
    </row>
    <row r="64" spans="1:28">
      <c r="A64" s="9" t="s">
        <v>77</v>
      </c>
      <c r="B64" s="19"/>
      <c r="C64" s="4"/>
      <c r="D64" s="20"/>
      <c r="E64" s="24"/>
      <c r="F64" s="20"/>
      <c r="G64" s="24"/>
      <c r="H64" s="4" t="s">
        <v>0</v>
      </c>
      <c r="I64" s="15" t="str">
        <f t="shared" si="0"/>
        <v>-</v>
      </c>
      <c r="J64" s="13">
        <f t="shared" si="2"/>
        <v>0</v>
      </c>
      <c r="K64" s="14">
        <f t="shared" si="2"/>
        <v>0</v>
      </c>
      <c r="L64" s="16">
        <f t="shared" si="3"/>
        <v>0</v>
      </c>
      <c r="M64" s="17">
        <f t="shared" si="4"/>
        <v>0</v>
      </c>
      <c r="N64" s="13">
        <f t="shared" si="5"/>
        <v>0</v>
      </c>
      <c r="O64" s="14">
        <f t="shared" si="5"/>
        <v>0</v>
      </c>
      <c r="P64" s="16">
        <f t="shared" si="6"/>
        <v>0</v>
      </c>
      <c r="Q64" s="17">
        <f t="shared" si="7"/>
        <v>0</v>
      </c>
      <c r="R64" s="4" t="s">
        <v>0</v>
      </c>
      <c r="S64" s="15" t="str">
        <f t="shared" si="8"/>
        <v>-</v>
      </c>
      <c r="T64" s="13">
        <f t="shared" si="9"/>
        <v>0</v>
      </c>
      <c r="U64" s="17">
        <f t="shared" si="10"/>
        <v>1000</v>
      </c>
      <c r="V64" s="13">
        <f t="shared" si="21"/>
        <v>0</v>
      </c>
      <c r="W64" s="17">
        <f t="shared" si="11"/>
        <v>1000</v>
      </c>
      <c r="X64" s="13">
        <f t="shared" si="22"/>
        <v>0</v>
      </c>
      <c r="Y64" s="17">
        <f t="shared" si="12"/>
        <v>1000</v>
      </c>
      <c r="Z64" s="13">
        <f t="shared" si="23"/>
        <v>0</v>
      </c>
      <c r="AA64" s="17">
        <f t="shared" si="13"/>
        <v>1000</v>
      </c>
      <c r="AB64" s="4" t="s">
        <v>0</v>
      </c>
    </row>
    <row r="65" spans="1:28">
      <c r="A65" s="9" t="s">
        <v>77</v>
      </c>
      <c r="B65" s="19"/>
      <c r="C65" s="4"/>
      <c r="D65" s="20"/>
      <c r="E65" s="24"/>
      <c r="F65" s="20"/>
      <c r="G65" s="24"/>
      <c r="H65" s="4" t="s">
        <v>0</v>
      </c>
      <c r="I65" s="15" t="str">
        <f t="shared" si="0"/>
        <v>-</v>
      </c>
      <c r="J65" s="13">
        <f t="shared" si="2"/>
        <v>0</v>
      </c>
      <c r="K65" s="14">
        <f t="shared" si="2"/>
        <v>0</v>
      </c>
      <c r="L65" s="16">
        <f t="shared" si="3"/>
        <v>0</v>
      </c>
      <c r="M65" s="17">
        <f t="shared" si="4"/>
        <v>0</v>
      </c>
      <c r="N65" s="13">
        <f t="shared" si="5"/>
        <v>0</v>
      </c>
      <c r="O65" s="14">
        <f t="shared" si="5"/>
        <v>0</v>
      </c>
      <c r="P65" s="16">
        <f t="shared" si="6"/>
        <v>0</v>
      </c>
      <c r="Q65" s="17">
        <f t="shared" si="7"/>
        <v>0</v>
      </c>
      <c r="R65" s="4" t="s">
        <v>0</v>
      </c>
      <c r="S65" s="15" t="str">
        <f t="shared" si="8"/>
        <v>-</v>
      </c>
      <c r="T65" s="13">
        <f t="shared" si="9"/>
        <v>0</v>
      </c>
      <c r="U65" s="17">
        <f t="shared" si="10"/>
        <v>1000</v>
      </c>
      <c r="V65" s="13">
        <f t="shared" si="21"/>
        <v>0</v>
      </c>
      <c r="W65" s="17">
        <f t="shared" si="11"/>
        <v>1000</v>
      </c>
      <c r="X65" s="13">
        <f t="shared" si="22"/>
        <v>0</v>
      </c>
      <c r="Y65" s="17">
        <f t="shared" si="12"/>
        <v>1000</v>
      </c>
      <c r="Z65" s="13">
        <f t="shared" si="23"/>
        <v>0</v>
      </c>
      <c r="AA65" s="17">
        <f t="shared" si="13"/>
        <v>1000</v>
      </c>
      <c r="AB65" s="4" t="s">
        <v>0</v>
      </c>
    </row>
    <row r="66" spans="1:28">
      <c r="A66" s="9" t="s">
        <v>77</v>
      </c>
      <c r="B66" s="19"/>
      <c r="C66" s="4"/>
      <c r="D66" s="20"/>
      <c r="E66" s="24"/>
      <c r="F66" s="20"/>
      <c r="G66" s="24"/>
      <c r="H66" s="4" t="s">
        <v>0</v>
      </c>
      <c r="I66" s="15" t="str">
        <f t="shared" si="0"/>
        <v>-</v>
      </c>
      <c r="J66" s="13">
        <f t="shared" si="2"/>
        <v>0</v>
      </c>
      <c r="K66" s="14">
        <f t="shared" si="2"/>
        <v>0</v>
      </c>
      <c r="L66" s="16">
        <f t="shared" si="3"/>
        <v>0</v>
      </c>
      <c r="M66" s="17">
        <f t="shared" si="4"/>
        <v>0</v>
      </c>
      <c r="N66" s="13">
        <f t="shared" si="5"/>
        <v>0</v>
      </c>
      <c r="O66" s="14">
        <f t="shared" si="5"/>
        <v>0</v>
      </c>
      <c r="P66" s="16">
        <f t="shared" si="6"/>
        <v>0</v>
      </c>
      <c r="Q66" s="17">
        <f t="shared" si="7"/>
        <v>0</v>
      </c>
      <c r="R66" s="4" t="s">
        <v>0</v>
      </c>
      <c r="S66" s="15" t="str">
        <f t="shared" si="8"/>
        <v>-</v>
      </c>
      <c r="T66" s="13">
        <f t="shared" si="9"/>
        <v>0</v>
      </c>
      <c r="U66" s="17">
        <f t="shared" si="10"/>
        <v>1000</v>
      </c>
      <c r="V66" s="13">
        <f t="shared" si="21"/>
        <v>0</v>
      </c>
      <c r="W66" s="17">
        <f t="shared" si="11"/>
        <v>1000</v>
      </c>
      <c r="X66" s="13">
        <f t="shared" si="22"/>
        <v>0</v>
      </c>
      <c r="Y66" s="17">
        <f t="shared" si="12"/>
        <v>1000</v>
      </c>
      <c r="Z66" s="13">
        <f t="shared" si="23"/>
        <v>0</v>
      </c>
      <c r="AA66" s="17">
        <f t="shared" si="13"/>
        <v>1000</v>
      </c>
      <c r="AB66" s="4" t="s">
        <v>0</v>
      </c>
    </row>
    <row r="67" spans="1:28">
      <c r="A67" s="9" t="s">
        <v>77</v>
      </c>
      <c r="B67" s="19"/>
      <c r="C67" s="4"/>
      <c r="D67" s="20"/>
      <c r="E67" s="24"/>
      <c r="F67" s="20"/>
      <c r="G67" s="24"/>
      <c r="H67" s="4" t="s">
        <v>0</v>
      </c>
      <c r="I67" s="15" t="str">
        <f t="shared" si="0"/>
        <v>-</v>
      </c>
      <c r="J67" s="13">
        <f t="shared" si="2"/>
        <v>0</v>
      </c>
      <c r="K67" s="14">
        <f t="shared" si="2"/>
        <v>0</v>
      </c>
      <c r="L67" s="16">
        <f t="shared" si="3"/>
        <v>0</v>
      </c>
      <c r="M67" s="17">
        <f t="shared" si="4"/>
        <v>0</v>
      </c>
      <c r="N67" s="13">
        <f t="shared" si="5"/>
        <v>0</v>
      </c>
      <c r="O67" s="14">
        <f t="shared" si="5"/>
        <v>0</v>
      </c>
      <c r="P67" s="16">
        <f t="shared" si="6"/>
        <v>0</v>
      </c>
      <c r="Q67" s="17">
        <f t="shared" si="7"/>
        <v>0</v>
      </c>
      <c r="R67" s="4" t="s">
        <v>0</v>
      </c>
      <c r="S67" s="15" t="str">
        <f t="shared" si="8"/>
        <v>-</v>
      </c>
      <c r="T67" s="13">
        <f t="shared" si="9"/>
        <v>0</v>
      </c>
      <c r="U67" s="17">
        <f t="shared" si="10"/>
        <v>1000</v>
      </c>
      <c r="V67" s="13">
        <f t="shared" si="21"/>
        <v>0</v>
      </c>
      <c r="W67" s="17">
        <f t="shared" si="11"/>
        <v>1000</v>
      </c>
      <c r="X67" s="13">
        <f t="shared" si="22"/>
        <v>0</v>
      </c>
      <c r="Y67" s="17">
        <f t="shared" si="12"/>
        <v>1000</v>
      </c>
      <c r="Z67" s="13">
        <f t="shared" si="23"/>
        <v>0</v>
      </c>
      <c r="AA67" s="17">
        <f t="shared" si="13"/>
        <v>1000</v>
      </c>
      <c r="AB67" s="4" t="s">
        <v>0</v>
      </c>
    </row>
    <row r="68" spans="1:28">
      <c r="A68" s="9" t="s">
        <v>77</v>
      </c>
      <c r="B68" s="19"/>
      <c r="C68" s="4"/>
      <c r="D68" s="20"/>
      <c r="E68" s="24"/>
      <c r="F68" s="20"/>
      <c r="G68" s="24"/>
      <c r="H68" s="4" t="s">
        <v>0</v>
      </c>
      <c r="I68" s="15" t="str">
        <f t="shared" si="0"/>
        <v>-</v>
      </c>
      <c r="J68" s="13">
        <f t="shared" si="2"/>
        <v>0</v>
      </c>
      <c r="K68" s="14">
        <f t="shared" si="2"/>
        <v>0</v>
      </c>
      <c r="L68" s="16">
        <f t="shared" si="3"/>
        <v>0</v>
      </c>
      <c r="M68" s="17">
        <f t="shared" si="4"/>
        <v>0</v>
      </c>
      <c r="N68" s="13">
        <f t="shared" si="5"/>
        <v>0</v>
      </c>
      <c r="O68" s="14">
        <f t="shared" si="5"/>
        <v>0</v>
      </c>
      <c r="P68" s="16">
        <f t="shared" si="6"/>
        <v>0</v>
      </c>
      <c r="Q68" s="17">
        <f t="shared" si="7"/>
        <v>0</v>
      </c>
      <c r="R68" s="4" t="s">
        <v>0</v>
      </c>
      <c r="S68" s="15" t="str">
        <f t="shared" si="8"/>
        <v>-</v>
      </c>
      <c r="T68" s="13">
        <f t="shared" si="9"/>
        <v>0</v>
      </c>
      <c r="U68" s="17">
        <f t="shared" si="10"/>
        <v>1000</v>
      </c>
      <c r="V68" s="13">
        <f t="shared" si="21"/>
        <v>0</v>
      </c>
      <c r="W68" s="17">
        <f t="shared" si="11"/>
        <v>1000</v>
      </c>
      <c r="X68" s="13">
        <f t="shared" si="22"/>
        <v>0</v>
      </c>
      <c r="Y68" s="17">
        <f t="shared" si="12"/>
        <v>1000</v>
      </c>
      <c r="Z68" s="13">
        <f t="shared" si="23"/>
        <v>0</v>
      </c>
      <c r="AA68" s="17">
        <f t="shared" si="13"/>
        <v>1000</v>
      </c>
      <c r="AB68" s="4" t="s">
        <v>0</v>
      </c>
    </row>
    <row r="69" spans="1:28">
      <c r="A69" s="9" t="s">
        <v>77</v>
      </c>
      <c r="B69" s="19"/>
      <c r="C69" s="21"/>
      <c r="D69" s="20"/>
      <c r="E69" s="23"/>
      <c r="F69" s="20"/>
      <c r="G69" s="23"/>
      <c r="H69" s="4" t="s">
        <v>0</v>
      </c>
      <c r="I69" s="15" t="str">
        <f t="shared" si="0"/>
        <v>-</v>
      </c>
      <c r="J69" s="13">
        <f t="shared" si="2"/>
        <v>0</v>
      </c>
      <c r="K69" s="14">
        <f t="shared" si="2"/>
        <v>0</v>
      </c>
      <c r="L69" s="16">
        <f t="shared" si="3"/>
        <v>0</v>
      </c>
      <c r="M69" s="17">
        <f t="shared" si="4"/>
        <v>0</v>
      </c>
      <c r="N69" s="13">
        <f t="shared" si="5"/>
        <v>0</v>
      </c>
      <c r="O69" s="14">
        <f t="shared" si="5"/>
        <v>0</v>
      </c>
      <c r="P69" s="16">
        <f t="shared" si="6"/>
        <v>0</v>
      </c>
      <c r="Q69" s="17">
        <f t="shared" si="7"/>
        <v>0</v>
      </c>
      <c r="R69" s="4" t="s">
        <v>0</v>
      </c>
      <c r="S69" s="15" t="str">
        <f t="shared" si="8"/>
        <v>-</v>
      </c>
      <c r="T69" s="13">
        <f t="shared" si="9"/>
        <v>0</v>
      </c>
      <c r="U69" s="17">
        <f t="shared" si="10"/>
        <v>1000</v>
      </c>
      <c r="V69" s="13">
        <f t="shared" si="21"/>
        <v>0</v>
      </c>
      <c r="W69" s="17">
        <f t="shared" si="11"/>
        <v>1000</v>
      </c>
      <c r="X69" s="13">
        <f t="shared" si="22"/>
        <v>0</v>
      </c>
      <c r="Y69" s="17">
        <f t="shared" si="12"/>
        <v>1000</v>
      </c>
      <c r="Z69" s="13">
        <f t="shared" si="23"/>
        <v>0</v>
      </c>
      <c r="AA69" s="17">
        <f t="shared" si="13"/>
        <v>1000</v>
      </c>
      <c r="AB69" s="4" t="s">
        <v>0</v>
      </c>
    </row>
    <row r="70" spans="1:28">
      <c r="A70" s="9" t="s">
        <v>77</v>
      </c>
      <c r="B70" s="19"/>
      <c r="C70" s="21"/>
      <c r="D70" s="20"/>
      <c r="E70" s="24"/>
      <c r="F70" s="20"/>
      <c r="G70" s="24"/>
      <c r="H70" s="4" t="s">
        <v>0</v>
      </c>
      <c r="I70" s="15" t="str">
        <f t="shared" si="0"/>
        <v>-</v>
      </c>
      <c r="J70" s="13">
        <f t="shared" si="2"/>
        <v>0</v>
      </c>
      <c r="K70" s="14">
        <f t="shared" si="2"/>
        <v>0</v>
      </c>
      <c r="L70" s="16">
        <f t="shared" si="3"/>
        <v>0</v>
      </c>
      <c r="M70" s="17">
        <f t="shared" si="4"/>
        <v>0</v>
      </c>
      <c r="N70" s="13">
        <f t="shared" si="5"/>
        <v>0</v>
      </c>
      <c r="O70" s="14">
        <f t="shared" si="5"/>
        <v>0</v>
      </c>
      <c r="P70" s="16">
        <f t="shared" si="6"/>
        <v>0</v>
      </c>
      <c r="Q70" s="17">
        <f t="shared" si="7"/>
        <v>0</v>
      </c>
      <c r="R70" s="4" t="s">
        <v>0</v>
      </c>
      <c r="S70" s="15" t="str">
        <f t="shared" si="8"/>
        <v>-</v>
      </c>
      <c r="T70" s="13">
        <f t="shared" si="9"/>
        <v>0</v>
      </c>
      <c r="U70" s="17">
        <f t="shared" si="10"/>
        <v>1000</v>
      </c>
      <c r="V70" s="13">
        <f t="shared" si="21"/>
        <v>0</v>
      </c>
      <c r="W70" s="17">
        <f t="shared" si="11"/>
        <v>1000</v>
      </c>
      <c r="X70" s="13">
        <f t="shared" si="22"/>
        <v>0</v>
      </c>
      <c r="Y70" s="17">
        <f t="shared" si="12"/>
        <v>1000</v>
      </c>
      <c r="Z70" s="13">
        <f t="shared" si="23"/>
        <v>0</v>
      </c>
      <c r="AA70" s="17">
        <f t="shared" si="13"/>
        <v>1000</v>
      </c>
      <c r="AB70" s="4" t="s">
        <v>0</v>
      </c>
    </row>
    <row r="71" spans="1:28">
      <c r="A71" s="9" t="s">
        <v>77</v>
      </c>
      <c r="B71" s="19"/>
      <c r="C71" s="4"/>
      <c r="D71" s="20"/>
      <c r="E71" s="24"/>
      <c r="F71" s="20"/>
      <c r="G71" s="24"/>
      <c r="H71" s="4" t="s">
        <v>0</v>
      </c>
      <c r="I71" s="15" t="str">
        <f t="shared" si="0"/>
        <v>-</v>
      </c>
      <c r="J71" s="13">
        <f t="shared" si="2"/>
        <v>0</v>
      </c>
      <c r="K71" s="14">
        <f t="shared" si="2"/>
        <v>0</v>
      </c>
      <c r="L71" s="16">
        <f t="shared" si="3"/>
        <v>0</v>
      </c>
      <c r="M71" s="17">
        <f t="shared" si="4"/>
        <v>0</v>
      </c>
      <c r="N71" s="13">
        <f t="shared" si="5"/>
        <v>0</v>
      </c>
      <c r="O71" s="14">
        <f t="shared" si="5"/>
        <v>0</v>
      </c>
      <c r="P71" s="16">
        <f t="shared" si="6"/>
        <v>0</v>
      </c>
      <c r="Q71" s="17">
        <f t="shared" si="7"/>
        <v>0</v>
      </c>
      <c r="R71" s="4" t="s">
        <v>0</v>
      </c>
      <c r="S71" s="15" t="str">
        <f t="shared" si="8"/>
        <v>-</v>
      </c>
      <c r="T71" s="13">
        <f t="shared" si="9"/>
        <v>0</v>
      </c>
      <c r="U71" s="17">
        <f t="shared" si="10"/>
        <v>1000</v>
      </c>
      <c r="V71" s="13">
        <f t="shared" si="21"/>
        <v>0</v>
      </c>
      <c r="W71" s="17">
        <f t="shared" si="11"/>
        <v>1000</v>
      </c>
      <c r="X71" s="13">
        <f t="shared" si="22"/>
        <v>0</v>
      </c>
      <c r="Y71" s="17">
        <f t="shared" si="12"/>
        <v>1000</v>
      </c>
      <c r="Z71" s="13">
        <f t="shared" si="23"/>
        <v>0</v>
      </c>
      <c r="AA71" s="17">
        <f t="shared" si="13"/>
        <v>1000</v>
      </c>
      <c r="AB71" s="4" t="s">
        <v>0</v>
      </c>
    </row>
    <row r="72" spans="1:28">
      <c r="A72" s="9" t="s">
        <v>77</v>
      </c>
      <c r="B72" s="19"/>
      <c r="C72" s="4"/>
      <c r="D72" s="20"/>
      <c r="E72" s="24"/>
      <c r="F72" s="20"/>
      <c r="G72" s="24"/>
      <c r="H72" s="4" t="s">
        <v>0</v>
      </c>
      <c r="I72" s="15" t="str">
        <f t="shared" si="0"/>
        <v>-</v>
      </c>
      <c r="J72" s="13">
        <f t="shared" si="2"/>
        <v>0</v>
      </c>
      <c r="K72" s="14">
        <f t="shared" si="2"/>
        <v>0</v>
      </c>
      <c r="L72" s="16">
        <f t="shared" si="3"/>
        <v>0</v>
      </c>
      <c r="M72" s="17">
        <f t="shared" si="4"/>
        <v>0</v>
      </c>
      <c r="N72" s="13">
        <f t="shared" si="5"/>
        <v>0</v>
      </c>
      <c r="O72" s="14">
        <f t="shared" si="5"/>
        <v>0</v>
      </c>
      <c r="P72" s="16">
        <f t="shared" si="6"/>
        <v>0</v>
      </c>
      <c r="Q72" s="17">
        <f t="shared" si="7"/>
        <v>0</v>
      </c>
      <c r="R72" s="4" t="s">
        <v>0</v>
      </c>
      <c r="S72" s="15" t="str">
        <f t="shared" si="8"/>
        <v>-</v>
      </c>
      <c r="T72" s="13">
        <f t="shared" si="9"/>
        <v>0</v>
      </c>
      <c r="U72" s="17">
        <f t="shared" si="10"/>
        <v>1000</v>
      </c>
      <c r="V72" s="13">
        <f t="shared" si="21"/>
        <v>0</v>
      </c>
      <c r="W72" s="17">
        <f t="shared" si="11"/>
        <v>1000</v>
      </c>
      <c r="X72" s="13">
        <f t="shared" si="22"/>
        <v>0</v>
      </c>
      <c r="Y72" s="17">
        <f t="shared" si="12"/>
        <v>1000</v>
      </c>
      <c r="Z72" s="13">
        <f t="shared" si="23"/>
        <v>0</v>
      </c>
      <c r="AA72" s="17">
        <f t="shared" si="13"/>
        <v>1000</v>
      </c>
      <c r="AB72" s="4" t="s">
        <v>0</v>
      </c>
    </row>
    <row r="73" spans="1:28">
      <c r="A73" s="9" t="s">
        <v>77</v>
      </c>
      <c r="B73" s="19"/>
      <c r="C73" s="4"/>
      <c r="D73" s="20"/>
      <c r="E73" s="24"/>
      <c r="F73" s="20"/>
      <c r="G73" s="24"/>
      <c r="H73" s="4" t="s">
        <v>0</v>
      </c>
      <c r="I73" s="15" t="str">
        <f t="shared" si="0"/>
        <v>-</v>
      </c>
      <c r="J73" s="13">
        <f t="shared" si="2"/>
        <v>0</v>
      </c>
      <c r="K73" s="14">
        <f t="shared" si="2"/>
        <v>0</v>
      </c>
      <c r="L73" s="16">
        <f t="shared" si="3"/>
        <v>0</v>
      </c>
      <c r="M73" s="17">
        <f t="shared" si="4"/>
        <v>0</v>
      </c>
      <c r="N73" s="13">
        <f t="shared" si="5"/>
        <v>0</v>
      </c>
      <c r="O73" s="14">
        <f t="shared" si="5"/>
        <v>0</v>
      </c>
      <c r="P73" s="16">
        <f t="shared" si="6"/>
        <v>0</v>
      </c>
      <c r="Q73" s="17">
        <f t="shared" si="7"/>
        <v>0</v>
      </c>
      <c r="R73" s="4" t="s">
        <v>0</v>
      </c>
      <c r="S73" s="15" t="str">
        <f t="shared" si="8"/>
        <v>-</v>
      </c>
      <c r="T73" s="13">
        <f t="shared" si="9"/>
        <v>0</v>
      </c>
      <c r="U73" s="17">
        <f t="shared" si="10"/>
        <v>1000</v>
      </c>
      <c r="V73" s="13">
        <f t="shared" si="21"/>
        <v>0</v>
      </c>
      <c r="W73" s="17">
        <f t="shared" si="11"/>
        <v>1000</v>
      </c>
      <c r="X73" s="13">
        <f t="shared" si="22"/>
        <v>0</v>
      </c>
      <c r="Y73" s="17">
        <f t="shared" si="12"/>
        <v>1000</v>
      </c>
      <c r="Z73" s="13">
        <f t="shared" si="23"/>
        <v>0</v>
      </c>
      <c r="AA73" s="17">
        <f t="shared" si="13"/>
        <v>1000</v>
      </c>
      <c r="AB73" s="4" t="s">
        <v>0</v>
      </c>
    </row>
    <row r="74" spans="1:28">
      <c r="A74" s="9" t="s">
        <v>77</v>
      </c>
      <c r="B74" s="19"/>
      <c r="C74" s="4"/>
      <c r="D74" s="20"/>
      <c r="E74" s="24"/>
      <c r="F74" s="20"/>
      <c r="G74" s="24"/>
      <c r="H74" s="4" t="s">
        <v>0</v>
      </c>
      <c r="I74" s="15" t="str">
        <f t="shared" si="0"/>
        <v>-</v>
      </c>
      <c r="J74" s="13">
        <f t="shared" si="2"/>
        <v>0</v>
      </c>
      <c r="K74" s="14">
        <f t="shared" si="2"/>
        <v>0</v>
      </c>
      <c r="L74" s="16">
        <f t="shared" si="3"/>
        <v>0</v>
      </c>
      <c r="M74" s="17">
        <f t="shared" si="4"/>
        <v>0</v>
      </c>
      <c r="N74" s="13">
        <f t="shared" si="5"/>
        <v>0</v>
      </c>
      <c r="O74" s="14">
        <f t="shared" si="5"/>
        <v>0</v>
      </c>
      <c r="P74" s="16">
        <f t="shared" si="6"/>
        <v>0</v>
      </c>
      <c r="Q74" s="17">
        <f t="shared" si="7"/>
        <v>0</v>
      </c>
      <c r="R74" s="4" t="s">
        <v>0</v>
      </c>
      <c r="S74" s="15" t="str">
        <f t="shared" si="8"/>
        <v>-</v>
      </c>
      <c r="T74" s="13">
        <f t="shared" si="9"/>
        <v>0</v>
      </c>
      <c r="U74" s="17">
        <f t="shared" si="10"/>
        <v>1000</v>
      </c>
      <c r="V74" s="13">
        <f t="shared" si="21"/>
        <v>0</v>
      </c>
      <c r="W74" s="17">
        <f t="shared" si="11"/>
        <v>1000</v>
      </c>
      <c r="X74" s="13">
        <f t="shared" si="22"/>
        <v>0</v>
      </c>
      <c r="Y74" s="17">
        <f t="shared" si="12"/>
        <v>1000</v>
      </c>
      <c r="Z74" s="13">
        <f t="shared" si="23"/>
        <v>0</v>
      </c>
      <c r="AA74" s="17">
        <f t="shared" si="13"/>
        <v>1000</v>
      </c>
      <c r="AB74" s="4" t="s">
        <v>0</v>
      </c>
    </row>
    <row r="75" spans="1:28">
      <c r="A75" s="9" t="s">
        <v>77</v>
      </c>
      <c r="B75" s="19"/>
      <c r="C75" s="4"/>
      <c r="D75" s="20"/>
      <c r="E75" s="24"/>
      <c r="F75" s="20"/>
      <c r="G75" s="24"/>
      <c r="H75" s="4" t="s">
        <v>0</v>
      </c>
      <c r="I75" s="15" t="str">
        <f t="shared" si="0"/>
        <v>-</v>
      </c>
      <c r="J75" s="13">
        <f t="shared" si="2"/>
        <v>0</v>
      </c>
      <c r="K75" s="14">
        <f t="shared" si="2"/>
        <v>0</v>
      </c>
      <c r="L75" s="16">
        <f t="shared" si="3"/>
        <v>0</v>
      </c>
      <c r="M75" s="17">
        <f t="shared" si="4"/>
        <v>0</v>
      </c>
      <c r="N75" s="13">
        <f t="shared" si="5"/>
        <v>0</v>
      </c>
      <c r="O75" s="14">
        <f t="shared" si="5"/>
        <v>0</v>
      </c>
      <c r="P75" s="16">
        <f t="shared" si="6"/>
        <v>0</v>
      </c>
      <c r="Q75" s="17">
        <f t="shared" si="7"/>
        <v>0</v>
      </c>
      <c r="R75" s="4" t="s">
        <v>0</v>
      </c>
      <c r="S75" s="15" t="str">
        <f t="shared" si="8"/>
        <v>-</v>
      </c>
      <c r="T75" s="13">
        <f t="shared" si="9"/>
        <v>0</v>
      </c>
      <c r="U75" s="17">
        <f t="shared" si="10"/>
        <v>1000</v>
      </c>
      <c r="V75" s="13">
        <f t="shared" si="21"/>
        <v>0</v>
      </c>
      <c r="W75" s="17">
        <f t="shared" si="11"/>
        <v>1000</v>
      </c>
      <c r="X75" s="13">
        <f t="shared" si="22"/>
        <v>0</v>
      </c>
      <c r="Y75" s="17">
        <f t="shared" si="12"/>
        <v>1000</v>
      </c>
      <c r="Z75" s="13">
        <f t="shared" si="23"/>
        <v>0</v>
      </c>
      <c r="AA75" s="17">
        <f t="shared" si="13"/>
        <v>1000</v>
      </c>
      <c r="AB75" s="4" t="s">
        <v>0</v>
      </c>
    </row>
    <row r="76" spans="1:28">
      <c r="A76" s="9" t="s">
        <v>77</v>
      </c>
      <c r="B76" s="19"/>
      <c r="C76" s="4"/>
      <c r="D76" s="20"/>
      <c r="E76" s="24"/>
      <c r="F76" s="20"/>
      <c r="G76" s="24"/>
      <c r="H76" s="4" t="s">
        <v>0</v>
      </c>
      <c r="I76" s="15" t="str">
        <f t="shared" si="0"/>
        <v>-</v>
      </c>
      <c r="J76" s="13">
        <f t="shared" si="2"/>
        <v>0</v>
      </c>
      <c r="K76" s="14">
        <f t="shared" si="2"/>
        <v>0</v>
      </c>
      <c r="L76" s="16">
        <f t="shared" si="3"/>
        <v>0</v>
      </c>
      <c r="M76" s="17">
        <f t="shared" si="4"/>
        <v>0</v>
      </c>
      <c r="N76" s="13">
        <f t="shared" si="5"/>
        <v>0</v>
      </c>
      <c r="O76" s="14">
        <f t="shared" si="5"/>
        <v>0</v>
      </c>
      <c r="P76" s="16">
        <f t="shared" si="6"/>
        <v>0</v>
      </c>
      <c r="Q76" s="17">
        <f t="shared" si="7"/>
        <v>0</v>
      </c>
      <c r="R76" s="4" t="s">
        <v>0</v>
      </c>
      <c r="S76" s="15" t="str">
        <f t="shared" si="8"/>
        <v>-</v>
      </c>
      <c r="T76" s="13">
        <f t="shared" si="9"/>
        <v>0</v>
      </c>
      <c r="U76" s="17">
        <f t="shared" si="10"/>
        <v>1000</v>
      </c>
      <c r="V76" s="13">
        <f t="shared" si="21"/>
        <v>0</v>
      </c>
      <c r="W76" s="17">
        <f t="shared" si="11"/>
        <v>1000</v>
      </c>
      <c r="X76" s="13">
        <f t="shared" si="22"/>
        <v>0</v>
      </c>
      <c r="Y76" s="17">
        <f t="shared" si="12"/>
        <v>1000</v>
      </c>
      <c r="Z76" s="13">
        <f t="shared" si="23"/>
        <v>0</v>
      </c>
      <c r="AA76" s="17">
        <f t="shared" si="13"/>
        <v>1000</v>
      </c>
      <c r="AB76" s="4" t="s">
        <v>0</v>
      </c>
    </row>
    <row r="77" spans="1:28">
      <c r="A77" s="9" t="s">
        <v>77</v>
      </c>
      <c r="B77" s="19"/>
      <c r="C77" s="4"/>
      <c r="D77" s="20"/>
      <c r="E77" s="24"/>
      <c r="F77" s="20"/>
      <c r="G77" s="24"/>
      <c r="H77" s="4" t="s">
        <v>0</v>
      </c>
      <c r="I77" s="15" t="str">
        <f t="shared" si="0"/>
        <v>-</v>
      </c>
      <c r="J77" s="13">
        <f t="shared" si="2"/>
        <v>0</v>
      </c>
      <c r="K77" s="14">
        <f t="shared" si="2"/>
        <v>0</v>
      </c>
      <c r="L77" s="16">
        <f t="shared" si="3"/>
        <v>0</v>
      </c>
      <c r="M77" s="17">
        <f t="shared" si="4"/>
        <v>0</v>
      </c>
      <c r="N77" s="13">
        <f t="shared" si="5"/>
        <v>0</v>
      </c>
      <c r="O77" s="14">
        <f t="shared" si="5"/>
        <v>0</v>
      </c>
      <c r="P77" s="16">
        <f t="shared" si="6"/>
        <v>0</v>
      </c>
      <c r="Q77" s="17">
        <f t="shared" si="7"/>
        <v>0</v>
      </c>
      <c r="R77" s="4" t="s">
        <v>0</v>
      </c>
      <c r="S77" s="15" t="str">
        <f t="shared" si="8"/>
        <v>-</v>
      </c>
      <c r="T77" s="13">
        <f t="shared" si="9"/>
        <v>0</v>
      </c>
      <c r="U77" s="17">
        <f t="shared" si="10"/>
        <v>1000</v>
      </c>
      <c r="V77" s="13">
        <f t="shared" si="21"/>
        <v>0</v>
      </c>
      <c r="W77" s="17">
        <f t="shared" si="11"/>
        <v>1000</v>
      </c>
      <c r="X77" s="13">
        <f t="shared" si="22"/>
        <v>0</v>
      </c>
      <c r="Y77" s="17">
        <f t="shared" si="12"/>
        <v>1000</v>
      </c>
      <c r="Z77" s="13">
        <f t="shared" si="23"/>
        <v>0</v>
      </c>
      <c r="AA77" s="17">
        <f t="shared" si="13"/>
        <v>1000</v>
      </c>
      <c r="AB77" s="4" t="s">
        <v>0</v>
      </c>
    </row>
    <row r="78" spans="1:28">
      <c r="A78" s="9" t="s">
        <v>77</v>
      </c>
      <c r="B78" s="19"/>
      <c r="C78" s="4"/>
      <c r="D78" s="20"/>
      <c r="E78" s="24"/>
      <c r="F78" s="20"/>
      <c r="G78" s="24"/>
      <c r="H78" s="4" t="s">
        <v>0</v>
      </c>
      <c r="I78" s="15" t="str">
        <f t="shared" si="0"/>
        <v>-</v>
      </c>
      <c r="J78" s="13">
        <f t="shared" si="2"/>
        <v>0</v>
      </c>
      <c r="K78" s="14">
        <f t="shared" si="2"/>
        <v>0</v>
      </c>
      <c r="L78" s="16">
        <f t="shared" si="3"/>
        <v>0</v>
      </c>
      <c r="M78" s="17">
        <f t="shared" si="4"/>
        <v>0</v>
      </c>
      <c r="N78" s="13">
        <f t="shared" si="5"/>
        <v>0</v>
      </c>
      <c r="O78" s="14">
        <f t="shared" si="5"/>
        <v>0</v>
      </c>
      <c r="P78" s="16">
        <f t="shared" si="6"/>
        <v>0</v>
      </c>
      <c r="Q78" s="17">
        <f t="shared" si="7"/>
        <v>0</v>
      </c>
      <c r="R78" s="4" t="s">
        <v>0</v>
      </c>
      <c r="S78" s="15" t="str">
        <f t="shared" si="8"/>
        <v>-</v>
      </c>
      <c r="T78" s="13">
        <f t="shared" si="9"/>
        <v>0</v>
      </c>
      <c r="U78" s="17">
        <f t="shared" si="10"/>
        <v>1000</v>
      </c>
      <c r="V78" s="13">
        <f t="shared" si="21"/>
        <v>0</v>
      </c>
      <c r="W78" s="17">
        <f t="shared" si="11"/>
        <v>1000</v>
      </c>
      <c r="X78" s="13">
        <f t="shared" si="22"/>
        <v>0</v>
      </c>
      <c r="Y78" s="17">
        <f t="shared" si="12"/>
        <v>1000</v>
      </c>
      <c r="Z78" s="13">
        <f t="shared" si="23"/>
        <v>0</v>
      </c>
      <c r="AA78" s="17">
        <f t="shared" si="13"/>
        <v>1000</v>
      </c>
      <c r="AB78" s="4" t="s">
        <v>0</v>
      </c>
    </row>
    <row r="79" spans="1:28">
      <c r="A79" s="9" t="s">
        <v>77</v>
      </c>
      <c r="B79" s="19"/>
      <c r="C79" s="4"/>
      <c r="D79" s="20"/>
      <c r="E79" s="24"/>
      <c r="F79" s="20"/>
      <c r="G79" s="24"/>
      <c r="H79" s="4" t="s">
        <v>0</v>
      </c>
      <c r="I79" s="15" t="str">
        <f t="shared" si="0"/>
        <v>-</v>
      </c>
      <c r="J79" s="13">
        <f t="shared" si="2"/>
        <v>0</v>
      </c>
      <c r="K79" s="14">
        <f t="shared" si="2"/>
        <v>0</v>
      </c>
      <c r="L79" s="16">
        <f t="shared" si="3"/>
        <v>0</v>
      </c>
      <c r="M79" s="17">
        <f t="shared" si="4"/>
        <v>0</v>
      </c>
      <c r="N79" s="13">
        <f t="shared" si="5"/>
        <v>0</v>
      </c>
      <c r="O79" s="14">
        <f t="shared" si="5"/>
        <v>0</v>
      </c>
      <c r="P79" s="16">
        <f t="shared" si="6"/>
        <v>0</v>
      </c>
      <c r="Q79" s="17">
        <f t="shared" si="7"/>
        <v>0</v>
      </c>
      <c r="R79" s="4" t="s">
        <v>0</v>
      </c>
      <c r="S79" s="15" t="str">
        <f t="shared" si="8"/>
        <v>-</v>
      </c>
      <c r="T79" s="13">
        <f t="shared" si="9"/>
        <v>0</v>
      </c>
      <c r="U79" s="17">
        <f t="shared" si="10"/>
        <v>1000</v>
      </c>
      <c r="V79" s="13">
        <f t="shared" si="21"/>
        <v>0</v>
      </c>
      <c r="W79" s="17">
        <f t="shared" si="11"/>
        <v>1000</v>
      </c>
      <c r="X79" s="13">
        <f t="shared" si="22"/>
        <v>0</v>
      </c>
      <c r="Y79" s="17">
        <f t="shared" si="12"/>
        <v>1000</v>
      </c>
      <c r="Z79" s="13">
        <f t="shared" si="23"/>
        <v>0</v>
      </c>
      <c r="AA79" s="17">
        <f t="shared" si="13"/>
        <v>1000</v>
      </c>
      <c r="AB79" s="4" t="s">
        <v>0</v>
      </c>
    </row>
    <row r="80" spans="1:28">
      <c r="A80" s="9" t="s">
        <v>77</v>
      </c>
      <c r="B80" s="19"/>
      <c r="C80" s="4"/>
      <c r="D80" s="20"/>
      <c r="E80" s="24"/>
      <c r="F80" s="20"/>
      <c r="G80" s="24"/>
      <c r="H80" s="4" t="s">
        <v>0</v>
      </c>
      <c r="I80" s="15" t="str">
        <f t="shared" si="0"/>
        <v>-</v>
      </c>
      <c r="J80" s="13">
        <f t="shared" si="2"/>
        <v>0</v>
      </c>
      <c r="K80" s="14">
        <f t="shared" si="2"/>
        <v>0</v>
      </c>
      <c r="L80" s="16">
        <f t="shared" si="3"/>
        <v>0</v>
      </c>
      <c r="M80" s="17">
        <f t="shared" si="4"/>
        <v>0</v>
      </c>
      <c r="N80" s="13">
        <f t="shared" si="5"/>
        <v>0</v>
      </c>
      <c r="O80" s="14">
        <f t="shared" si="5"/>
        <v>0</v>
      </c>
      <c r="P80" s="16">
        <f t="shared" si="6"/>
        <v>0</v>
      </c>
      <c r="Q80" s="17">
        <f t="shared" si="7"/>
        <v>0</v>
      </c>
      <c r="R80" s="4" t="s">
        <v>0</v>
      </c>
      <c r="S80" s="15" t="str">
        <f t="shared" si="8"/>
        <v>-</v>
      </c>
      <c r="T80" s="13">
        <f t="shared" si="9"/>
        <v>0</v>
      </c>
      <c r="U80" s="17">
        <f t="shared" si="10"/>
        <v>1000</v>
      </c>
      <c r="V80" s="13">
        <f t="shared" si="21"/>
        <v>0</v>
      </c>
      <c r="W80" s="17">
        <f t="shared" si="11"/>
        <v>1000</v>
      </c>
      <c r="X80" s="13">
        <f t="shared" si="22"/>
        <v>0</v>
      </c>
      <c r="Y80" s="17">
        <f t="shared" si="12"/>
        <v>1000</v>
      </c>
      <c r="Z80" s="13">
        <f t="shared" si="23"/>
        <v>0</v>
      </c>
      <c r="AA80" s="17">
        <f t="shared" si="13"/>
        <v>1000</v>
      </c>
      <c r="AB80" s="4" t="s">
        <v>0</v>
      </c>
    </row>
    <row r="81" spans="1:28">
      <c r="A81" s="9" t="s">
        <v>77</v>
      </c>
      <c r="B81" s="19"/>
      <c r="C81" s="4"/>
      <c r="D81" s="20"/>
      <c r="E81" s="24"/>
      <c r="F81" s="20"/>
      <c r="G81" s="24"/>
      <c r="H81" s="4" t="s">
        <v>0</v>
      </c>
      <c r="I81" s="15" t="str">
        <f t="shared" si="0"/>
        <v>-</v>
      </c>
      <c r="J81" s="13">
        <f t="shared" si="2"/>
        <v>0</v>
      </c>
      <c r="K81" s="14">
        <f t="shared" si="2"/>
        <v>0</v>
      </c>
      <c r="L81" s="16">
        <f t="shared" si="3"/>
        <v>0</v>
      </c>
      <c r="M81" s="17">
        <f t="shared" si="4"/>
        <v>0</v>
      </c>
      <c r="N81" s="13">
        <f t="shared" si="5"/>
        <v>0</v>
      </c>
      <c r="O81" s="14">
        <f t="shared" si="5"/>
        <v>0</v>
      </c>
      <c r="P81" s="16">
        <f t="shared" si="6"/>
        <v>0</v>
      </c>
      <c r="Q81" s="17">
        <f t="shared" si="7"/>
        <v>0</v>
      </c>
      <c r="R81" s="4" t="s">
        <v>0</v>
      </c>
      <c r="S81" s="15" t="str">
        <f t="shared" si="8"/>
        <v>-</v>
      </c>
      <c r="T81" s="13">
        <f t="shared" si="9"/>
        <v>0</v>
      </c>
      <c r="U81" s="17">
        <f t="shared" si="10"/>
        <v>1000</v>
      </c>
      <c r="V81" s="13">
        <f t="shared" si="21"/>
        <v>0</v>
      </c>
      <c r="W81" s="17">
        <f t="shared" si="11"/>
        <v>1000</v>
      </c>
      <c r="X81" s="13">
        <f t="shared" si="22"/>
        <v>0</v>
      </c>
      <c r="Y81" s="17">
        <f t="shared" si="12"/>
        <v>1000</v>
      </c>
      <c r="Z81" s="13">
        <f t="shared" si="23"/>
        <v>0</v>
      </c>
      <c r="AA81" s="17">
        <f t="shared" si="13"/>
        <v>1000</v>
      </c>
      <c r="AB81" s="4" t="s">
        <v>0</v>
      </c>
    </row>
    <row r="82" spans="1:28">
      <c r="A82" s="9" t="s">
        <v>77</v>
      </c>
      <c r="B82" s="19"/>
      <c r="C82" s="4"/>
      <c r="D82" s="20"/>
      <c r="E82" s="24"/>
      <c r="F82" s="20"/>
      <c r="G82" s="24"/>
      <c r="H82" s="4" t="s">
        <v>0</v>
      </c>
      <c r="I82" s="15" t="str">
        <f t="shared" si="0"/>
        <v>-</v>
      </c>
      <c r="J82" s="13">
        <f t="shared" si="2"/>
        <v>0</v>
      </c>
      <c r="K82" s="14">
        <f t="shared" si="2"/>
        <v>0</v>
      </c>
      <c r="L82" s="16">
        <f t="shared" si="3"/>
        <v>0</v>
      </c>
      <c r="M82" s="17">
        <f t="shared" si="4"/>
        <v>0</v>
      </c>
      <c r="N82" s="13">
        <f t="shared" si="5"/>
        <v>0</v>
      </c>
      <c r="O82" s="14">
        <f t="shared" si="5"/>
        <v>0</v>
      </c>
      <c r="P82" s="16">
        <f t="shared" si="6"/>
        <v>0</v>
      </c>
      <c r="Q82" s="17">
        <f t="shared" si="7"/>
        <v>0</v>
      </c>
      <c r="R82" s="4" t="s">
        <v>0</v>
      </c>
      <c r="S82" s="15" t="str">
        <f t="shared" si="8"/>
        <v>-</v>
      </c>
      <c r="T82" s="13">
        <f t="shared" si="9"/>
        <v>0</v>
      </c>
      <c r="U82" s="17">
        <f t="shared" si="10"/>
        <v>1000</v>
      </c>
      <c r="V82" s="13">
        <f t="shared" si="21"/>
        <v>0</v>
      </c>
      <c r="W82" s="17">
        <f t="shared" si="11"/>
        <v>1000</v>
      </c>
      <c r="X82" s="13">
        <f t="shared" si="22"/>
        <v>0</v>
      </c>
      <c r="Y82" s="17">
        <f t="shared" si="12"/>
        <v>1000</v>
      </c>
      <c r="Z82" s="13">
        <f t="shared" si="23"/>
        <v>0</v>
      </c>
      <c r="AA82" s="17">
        <f t="shared" si="13"/>
        <v>1000</v>
      </c>
      <c r="AB82" s="4" t="s">
        <v>0</v>
      </c>
    </row>
    <row r="83" spans="1:28">
      <c r="A83" s="9" t="s">
        <v>77</v>
      </c>
      <c r="B83" s="19"/>
      <c r="C83" s="4"/>
      <c r="D83" s="20"/>
      <c r="E83" s="24"/>
      <c r="F83" s="20"/>
      <c r="G83" s="24"/>
      <c r="H83" s="4" t="s">
        <v>0</v>
      </c>
      <c r="I83" s="15" t="str">
        <f t="shared" si="0"/>
        <v>-</v>
      </c>
      <c r="J83" s="13">
        <f t="shared" si="2"/>
        <v>0</v>
      </c>
      <c r="K83" s="14">
        <f t="shared" si="2"/>
        <v>0</v>
      </c>
      <c r="L83" s="16">
        <f t="shared" si="3"/>
        <v>0</v>
      </c>
      <c r="M83" s="17">
        <f t="shared" si="4"/>
        <v>0</v>
      </c>
      <c r="N83" s="13">
        <f t="shared" si="5"/>
        <v>0</v>
      </c>
      <c r="O83" s="14">
        <f t="shared" si="5"/>
        <v>0</v>
      </c>
      <c r="P83" s="16">
        <f t="shared" si="6"/>
        <v>0</v>
      </c>
      <c r="Q83" s="17">
        <f t="shared" si="7"/>
        <v>0</v>
      </c>
      <c r="R83" s="4" t="s">
        <v>0</v>
      </c>
      <c r="S83" s="15" t="str">
        <f t="shared" si="8"/>
        <v>-</v>
      </c>
      <c r="T83" s="13">
        <f t="shared" si="9"/>
        <v>0</v>
      </c>
      <c r="U83" s="17">
        <f t="shared" si="10"/>
        <v>1000</v>
      </c>
      <c r="V83" s="13">
        <f t="shared" si="21"/>
        <v>0</v>
      </c>
      <c r="W83" s="17">
        <f t="shared" si="11"/>
        <v>1000</v>
      </c>
      <c r="X83" s="13">
        <f t="shared" si="22"/>
        <v>0</v>
      </c>
      <c r="Y83" s="17">
        <f t="shared" si="12"/>
        <v>1000</v>
      </c>
      <c r="Z83" s="13">
        <f t="shared" si="23"/>
        <v>0</v>
      </c>
      <c r="AA83" s="17">
        <f t="shared" si="13"/>
        <v>1000</v>
      </c>
      <c r="AB83" s="4" t="s">
        <v>0</v>
      </c>
    </row>
    <row r="84" spans="1:28">
      <c r="A84" s="9" t="s">
        <v>77</v>
      </c>
      <c r="B84" s="19"/>
      <c r="C84" s="21"/>
      <c r="D84" s="20"/>
      <c r="E84" s="23"/>
      <c r="F84" s="20"/>
      <c r="G84" s="23"/>
      <c r="H84" s="4" t="s">
        <v>0</v>
      </c>
      <c r="I84" s="15" t="str">
        <f t="shared" si="0"/>
        <v>-</v>
      </c>
      <c r="J84" s="13">
        <f t="shared" si="2"/>
        <v>0</v>
      </c>
      <c r="K84" s="14">
        <f t="shared" si="2"/>
        <v>0</v>
      </c>
      <c r="L84" s="16">
        <f t="shared" si="3"/>
        <v>0</v>
      </c>
      <c r="M84" s="17">
        <f t="shared" si="4"/>
        <v>0</v>
      </c>
      <c r="N84" s="13">
        <f t="shared" si="5"/>
        <v>0</v>
      </c>
      <c r="O84" s="14">
        <f t="shared" si="5"/>
        <v>0</v>
      </c>
      <c r="P84" s="16">
        <f t="shared" si="6"/>
        <v>0</v>
      </c>
      <c r="Q84" s="17">
        <f t="shared" si="7"/>
        <v>0</v>
      </c>
      <c r="R84" s="4" t="s">
        <v>0</v>
      </c>
      <c r="S84" s="15" t="str">
        <f t="shared" si="8"/>
        <v>-</v>
      </c>
      <c r="T84" s="13">
        <f t="shared" si="9"/>
        <v>0</v>
      </c>
      <c r="U84" s="17">
        <f t="shared" si="10"/>
        <v>1000</v>
      </c>
      <c r="V84" s="13">
        <f t="shared" si="21"/>
        <v>0</v>
      </c>
      <c r="W84" s="17">
        <f t="shared" si="11"/>
        <v>1000</v>
      </c>
      <c r="X84" s="13">
        <f t="shared" si="22"/>
        <v>0</v>
      </c>
      <c r="Y84" s="17">
        <f t="shared" si="12"/>
        <v>1000</v>
      </c>
      <c r="Z84" s="13">
        <f t="shared" si="23"/>
        <v>0</v>
      </c>
      <c r="AA84" s="17">
        <f t="shared" si="13"/>
        <v>1000</v>
      </c>
      <c r="AB84" s="4" t="s">
        <v>0</v>
      </c>
    </row>
    <row r="85" spans="1:28">
      <c r="A85" s="9" t="s">
        <v>77</v>
      </c>
      <c r="B85" s="19"/>
      <c r="C85" s="21"/>
      <c r="D85" s="20"/>
      <c r="E85" s="24"/>
      <c r="F85" s="20"/>
      <c r="G85" s="24"/>
      <c r="H85" s="4" t="s">
        <v>0</v>
      </c>
      <c r="I85" s="15" t="str">
        <f t="shared" si="0"/>
        <v>-</v>
      </c>
      <c r="J85" s="13">
        <f t="shared" si="2"/>
        <v>0</v>
      </c>
      <c r="K85" s="14">
        <f t="shared" si="2"/>
        <v>0</v>
      </c>
      <c r="L85" s="16">
        <f t="shared" si="3"/>
        <v>0</v>
      </c>
      <c r="M85" s="17">
        <f t="shared" si="4"/>
        <v>0</v>
      </c>
      <c r="N85" s="13">
        <f t="shared" si="5"/>
        <v>0</v>
      </c>
      <c r="O85" s="14">
        <f t="shared" si="5"/>
        <v>0</v>
      </c>
      <c r="P85" s="16">
        <f t="shared" si="6"/>
        <v>0</v>
      </c>
      <c r="Q85" s="17">
        <f t="shared" si="7"/>
        <v>0</v>
      </c>
      <c r="R85" s="4" t="s">
        <v>0</v>
      </c>
      <c r="S85" s="15" t="str">
        <f t="shared" si="8"/>
        <v>-</v>
      </c>
      <c r="T85" s="13">
        <f t="shared" si="9"/>
        <v>0</v>
      </c>
      <c r="U85" s="17">
        <f t="shared" si="10"/>
        <v>1000</v>
      </c>
      <c r="V85" s="13">
        <f t="shared" si="21"/>
        <v>0</v>
      </c>
      <c r="W85" s="17">
        <f t="shared" si="11"/>
        <v>1000</v>
      </c>
      <c r="X85" s="13">
        <f t="shared" si="22"/>
        <v>0</v>
      </c>
      <c r="Y85" s="17">
        <f t="shared" si="12"/>
        <v>1000</v>
      </c>
      <c r="Z85" s="13">
        <f t="shared" si="23"/>
        <v>0</v>
      </c>
      <c r="AA85" s="17">
        <f t="shared" si="13"/>
        <v>1000</v>
      </c>
      <c r="AB85" s="4" t="s">
        <v>0</v>
      </c>
    </row>
    <row r="86" spans="1:28">
      <c r="A86" s="9" t="s">
        <v>77</v>
      </c>
      <c r="B86" s="19"/>
      <c r="C86" s="4"/>
      <c r="D86" s="20"/>
      <c r="E86" s="24"/>
      <c r="F86" s="20"/>
      <c r="G86" s="24"/>
      <c r="H86" s="4" t="s">
        <v>0</v>
      </c>
      <c r="I86" s="15" t="str">
        <f t="shared" si="0"/>
        <v>-</v>
      </c>
      <c r="J86" s="13">
        <f t="shared" si="2"/>
        <v>0</v>
      </c>
      <c r="K86" s="14">
        <f t="shared" si="2"/>
        <v>0</v>
      </c>
      <c r="L86" s="16">
        <f t="shared" si="3"/>
        <v>0</v>
      </c>
      <c r="M86" s="17">
        <f t="shared" si="4"/>
        <v>0</v>
      </c>
      <c r="N86" s="13">
        <f t="shared" si="5"/>
        <v>0</v>
      </c>
      <c r="O86" s="14">
        <f t="shared" si="5"/>
        <v>0</v>
      </c>
      <c r="P86" s="16">
        <f t="shared" si="6"/>
        <v>0</v>
      </c>
      <c r="Q86" s="17">
        <f t="shared" si="7"/>
        <v>0</v>
      </c>
      <c r="R86" s="4" t="s">
        <v>0</v>
      </c>
      <c r="S86" s="15" t="str">
        <f t="shared" si="8"/>
        <v>-</v>
      </c>
      <c r="T86" s="13">
        <f t="shared" si="9"/>
        <v>0</v>
      </c>
      <c r="U86" s="17">
        <f t="shared" si="10"/>
        <v>1000</v>
      </c>
      <c r="V86" s="13">
        <f t="shared" si="21"/>
        <v>0</v>
      </c>
      <c r="W86" s="17">
        <f t="shared" si="11"/>
        <v>1000</v>
      </c>
      <c r="X86" s="13">
        <f t="shared" si="22"/>
        <v>0</v>
      </c>
      <c r="Y86" s="17">
        <f t="shared" si="12"/>
        <v>1000</v>
      </c>
      <c r="Z86" s="13">
        <f t="shared" si="23"/>
        <v>0</v>
      </c>
      <c r="AA86" s="17">
        <f t="shared" si="13"/>
        <v>1000</v>
      </c>
      <c r="AB86" s="4" t="s">
        <v>0</v>
      </c>
    </row>
    <row r="87" spans="1:28">
      <c r="A87" s="9" t="s">
        <v>77</v>
      </c>
      <c r="B87" s="19"/>
      <c r="C87" s="4"/>
      <c r="D87" s="20"/>
      <c r="E87" s="24"/>
      <c r="F87" s="20"/>
      <c r="G87" s="24"/>
      <c r="H87" s="4" t="s">
        <v>0</v>
      </c>
      <c r="I87" s="15" t="str">
        <f t="shared" si="0"/>
        <v>-</v>
      </c>
      <c r="J87" s="13">
        <f t="shared" si="2"/>
        <v>0</v>
      </c>
      <c r="K87" s="14">
        <f t="shared" si="2"/>
        <v>0</v>
      </c>
      <c r="L87" s="16">
        <f t="shared" si="3"/>
        <v>0</v>
      </c>
      <c r="M87" s="17">
        <f t="shared" si="4"/>
        <v>0</v>
      </c>
      <c r="N87" s="13">
        <f t="shared" si="5"/>
        <v>0</v>
      </c>
      <c r="O87" s="14">
        <f t="shared" si="5"/>
        <v>0</v>
      </c>
      <c r="P87" s="16">
        <f t="shared" si="6"/>
        <v>0</v>
      </c>
      <c r="Q87" s="17">
        <f t="shared" si="7"/>
        <v>0</v>
      </c>
      <c r="R87" s="4" t="s">
        <v>0</v>
      </c>
      <c r="S87" s="15" t="str">
        <f t="shared" si="8"/>
        <v>-</v>
      </c>
      <c r="T87" s="13">
        <f t="shared" si="9"/>
        <v>0</v>
      </c>
      <c r="U87" s="17">
        <f t="shared" si="10"/>
        <v>1000</v>
      </c>
      <c r="V87" s="13">
        <f t="shared" si="21"/>
        <v>0</v>
      </c>
      <c r="W87" s="17">
        <f t="shared" si="11"/>
        <v>1000</v>
      </c>
      <c r="X87" s="13">
        <f t="shared" si="22"/>
        <v>0</v>
      </c>
      <c r="Y87" s="17">
        <f t="shared" si="12"/>
        <v>1000</v>
      </c>
      <c r="Z87" s="13">
        <f t="shared" si="23"/>
        <v>0</v>
      </c>
      <c r="AA87" s="17">
        <f t="shared" si="13"/>
        <v>1000</v>
      </c>
      <c r="AB87" s="4" t="s">
        <v>0</v>
      </c>
    </row>
    <row r="88" spans="1:28">
      <c r="A88" s="9" t="s">
        <v>77</v>
      </c>
      <c r="B88" s="19"/>
      <c r="C88" s="4"/>
      <c r="D88" s="20"/>
      <c r="E88" s="24"/>
      <c r="F88" s="20"/>
      <c r="G88" s="24"/>
      <c r="H88" s="4" t="s">
        <v>0</v>
      </c>
      <c r="I88" s="15" t="str">
        <f t="shared" si="0"/>
        <v>-</v>
      </c>
      <c r="J88" s="13">
        <f t="shared" si="2"/>
        <v>0</v>
      </c>
      <c r="K88" s="14">
        <f t="shared" si="2"/>
        <v>0</v>
      </c>
      <c r="L88" s="16">
        <f t="shared" si="3"/>
        <v>0</v>
      </c>
      <c r="M88" s="17">
        <f t="shared" si="4"/>
        <v>0</v>
      </c>
      <c r="N88" s="13">
        <f t="shared" si="5"/>
        <v>0</v>
      </c>
      <c r="O88" s="14">
        <f t="shared" si="5"/>
        <v>0</v>
      </c>
      <c r="P88" s="16">
        <f t="shared" si="6"/>
        <v>0</v>
      </c>
      <c r="Q88" s="17">
        <f t="shared" si="7"/>
        <v>0</v>
      </c>
      <c r="R88" s="4" t="s">
        <v>0</v>
      </c>
      <c r="S88" s="15" t="str">
        <f t="shared" si="8"/>
        <v>-</v>
      </c>
      <c r="T88" s="13">
        <f t="shared" si="9"/>
        <v>0</v>
      </c>
      <c r="U88" s="17">
        <f t="shared" si="10"/>
        <v>1000</v>
      </c>
      <c r="V88" s="13">
        <f t="shared" si="21"/>
        <v>0</v>
      </c>
      <c r="W88" s="17">
        <f t="shared" si="11"/>
        <v>1000</v>
      </c>
      <c r="X88" s="13">
        <f t="shared" si="22"/>
        <v>0</v>
      </c>
      <c r="Y88" s="17">
        <f t="shared" si="12"/>
        <v>1000</v>
      </c>
      <c r="Z88" s="13">
        <f t="shared" si="23"/>
        <v>0</v>
      </c>
      <c r="AA88" s="17">
        <f t="shared" si="13"/>
        <v>1000</v>
      </c>
      <c r="AB88" s="4" t="s">
        <v>0</v>
      </c>
    </row>
    <row r="89" spans="1:28">
      <c r="A89" s="9" t="s">
        <v>77</v>
      </c>
      <c r="B89" s="19"/>
      <c r="C89" s="4"/>
      <c r="D89" s="20"/>
      <c r="E89" s="24"/>
      <c r="F89" s="20"/>
      <c r="G89" s="24"/>
      <c r="H89" s="4" t="s">
        <v>0</v>
      </c>
      <c r="I89" s="15" t="str">
        <f t="shared" si="0"/>
        <v>-</v>
      </c>
      <c r="J89" s="13">
        <f t="shared" si="2"/>
        <v>0</v>
      </c>
      <c r="K89" s="14">
        <f t="shared" si="2"/>
        <v>0</v>
      </c>
      <c r="L89" s="16">
        <f t="shared" si="3"/>
        <v>0</v>
      </c>
      <c r="M89" s="17">
        <f t="shared" si="4"/>
        <v>0</v>
      </c>
      <c r="N89" s="13">
        <f t="shared" si="5"/>
        <v>0</v>
      </c>
      <c r="O89" s="14">
        <f t="shared" si="5"/>
        <v>0</v>
      </c>
      <c r="P89" s="16">
        <f t="shared" si="6"/>
        <v>0</v>
      </c>
      <c r="Q89" s="17">
        <f t="shared" si="7"/>
        <v>0</v>
      </c>
      <c r="R89" s="4" t="s">
        <v>0</v>
      </c>
      <c r="S89" s="15" t="str">
        <f t="shared" si="8"/>
        <v>-</v>
      </c>
      <c r="T89" s="13">
        <f t="shared" si="9"/>
        <v>0</v>
      </c>
      <c r="U89" s="17">
        <f t="shared" si="10"/>
        <v>1000</v>
      </c>
      <c r="V89" s="13">
        <f t="shared" si="21"/>
        <v>0</v>
      </c>
      <c r="W89" s="17">
        <f t="shared" si="11"/>
        <v>1000</v>
      </c>
      <c r="X89" s="13">
        <f t="shared" si="22"/>
        <v>0</v>
      </c>
      <c r="Y89" s="17">
        <f t="shared" si="12"/>
        <v>1000</v>
      </c>
      <c r="Z89" s="13">
        <f t="shared" si="23"/>
        <v>0</v>
      </c>
      <c r="AA89" s="17">
        <f t="shared" si="13"/>
        <v>1000</v>
      </c>
      <c r="AB89" s="4" t="s">
        <v>0</v>
      </c>
    </row>
    <row r="90" spans="1:28">
      <c r="A90" s="9" t="s">
        <v>77</v>
      </c>
      <c r="B90" s="19"/>
      <c r="C90" s="4"/>
      <c r="D90" s="20"/>
      <c r="E90" s="24"/>
      <c r="F90" s="20"/>
      <c r="G90" s="24"/>
      <c r="H90" s="4" t="s">
        <v>0</v>
      </c>
      <c r="I90" s="15" t="str">
        <f t="shared" si="0"/>
        <v>-</v>
      </c>
      <c r="J90" s="13">
        <f t="shared" si="2"/>
        <v>0</v>
      </c>
      <c r="K90" s="14">
        <f t="shared" si="2"/>
        <v>0</v>
      </c>
      <c r="L90" s="16">
        <f t="shared" si="3"/>
        <v>0</v>
      </c>
      <c r="M90" s="17">
        <f t="shared" si="4"/>
        <v>0</v>
      </c>
      <c r="N90" s="13">
        <f t="shared" si="5"/>
        <v>0</v>
      </c>
      <c r="O90" s="14">
        <f t="shared" si="5"/>
        <v>0</v>
      </c>
      <c r="P90" s="16">
        <f t="shared" si="6"/>
        <v>0</v>
      </c>
      <c r="Q90" s="17">
        <f t="shared" si="7"/>
        <v>0</v>
      </c>
      <c r="R90" s="4" t="s">
        <v>0</v>
      </c>
      <c r="S90" s="15" t="str">
        <f t="shared" si="8"/>
        <v>-</v>
      </c>
      <c r="T90" s="13">
        <f t="shared" si="9"/>
        <v>0</v>
      </c>
      <c r="U90" s="17">
        <f t="shared" si="10"/>
        <v>1000</v>
      </c>
      <c r="V90" s="13">
        <f t="shared" si="21"/>
        <v>0</v>
      </c>
      <c r="W90" s="17">
        <f t="shared" si="11"/>
        <v>1000</v>
      </c>
      <c r="X90" s="13">
        <f t="shared" si="22"/>
        <v>0</v>
      </c>
      <c r="Y90" s="17">
        <f t="shared" si="12"/>
        <v>1000</v>
      </c>
      <c r="Z90" s="13">
        <f t="shared" si="23"/>
        <v>0</v>
      </c>
      <c r="AA90" s="17">
        <f t="shared" si="13"/>
        <v>1000</v>
      </c>
      <c r="AB90" s="4" t="s">
        <v>0</v>
      </c>
    </row>
    <row r="91" spans="1:28">
      <c r="A91" s="9" t="s">
        <v>77</v>
      </c>
      <c r="B91" s="19"/>
      <c r="C91" s="4"/>
      <c r="D91" s="20"/>
      <c r="E91" s="24"/>
      <c r="F91" s="20"/>
      <c r="G91" s="24"/>
      <c r="H91" s="4" t="s">
        <v>0</v>
      </c>
      <c r="I91" s="15" t="str">
        <f t="shared" si="0"/>
        <v>-</v>
      </c>
      <c r="J91" s="13">
        <f t="shared" si="2"/>
        <v>0</v>
      </c>
      <c r="K91" s="14">
        <f t="shared" si="2"/>
        <v>0</v>
      </c>
      <c r="L91" s="16">
        <f t="shared" si="3"/>
        <v>0</v>
      </c>
      <c r="M91" s="17">
        <f t="shared" si="4"/>
        <v>0</v>
      </c>
      <c r="N91" s="13">
        <f t="shared" si="5"/>
        <v>0</v>
      </c>
      <c r="O91" s="14">
        <f t="shared" si="5"/>
        <v>0</v>
      </c>
      <c r="P91" s="16">
        <f t="shared" si="6"/>
        <v>0</v>
      </c>
      <c r="Q91" s="17">
        <f t="shared" si="7"/>
        <v>0</v>
      </c>
      <c r="R91" s="4" t="s">
        <v>0</v>
      </c>
      <c r="S91" s="15" t="str">
        <f t="shared" si="8"/>
        <v>-</v>
      </c>
      <c r="T91" s="13">
        <f t="shared" si="9"/>
        <v>0</v>
      </c>
      <c r="U91" s="17">
        <f t="shared" si="10"/>
        <v>1000</v>
      </c>
      <c r="V91" s="13">
        <f t="shared" ref="V91:V154" si="26">IF(L91&lt;&gt;"",L91,"")</f>
        <v>0</v>
      </c>
      <c r="W91" s="17">
        <f t="shared" si="11"/>
        <v>1000</v>
      </c>
      <c r="X91" s="13">
        <f t="shared" ref="X91:X154" si="27">IF(N91&lt;&gt;"",N91,"")</f>
        <v>0</v>
      </c>
      <c r="Y91" s="17">
        <f t="shared" si="12"/>
        <v>1000</v>
      </c>
      <c r="Z91" s="13">
        <f t="shared" ref="Z91:Z154" si="28">IF(P91&lt;&gt;"",P91,"")</f>
        <v>0</v>
      </c>
      <c r="AA91" s="17">
        <f t="shared" si="13"/>
        <v>1000</v>
      </c>
      <c r="AB91" s="4" t="s">
        <v>0</v>
      </c>
    </row>
    <row r="92" spans="1:28">
      <c r="A92" s="9" t="s">
        <v>77</v>
      </c>
      <c r="B92" s="19"/>
      <c r="C92" s="4"/>
      <c r="D92" s="20"/>
      <c r="E92" s="24"/>
      <c r="F92" s="20"/>
      <c r="G92" s="24"/>
      <c r="H92" s="4" t="s">
        <v>0</v>
      </c>
      <c r="I92" s="15" t="str">
        <f t="shared" si="0"/>
        <v>-</v>
      </c>
      <c r="J92" s="13">
        <f t="shared" si="2"/>
        <v>0</v>
      </c>
      <c r="K92" s="14">
        <f t="shared" si="2"/>
        <v>0</v>
      </c>
      <c r="L92" s="16">
        <f t="shared" si="3"/>
        <v>0</v>
      </c>
      <c r="M92" s="17">
        <f t="shared" si="4"/>
        <v>0</v>
      </c>
      <c r="N92" s="13">
        <f t="shared" si="5"/>
        <v>0</v>
      </c>
      <c r="O92" s="14">
        <f t="shared" si="5"/>
        <v>0</v>
      </c>
      <c r="P92" s="16">
        <f t="shared" si="6"/>
        <v>0</v>
      </c>
      <c r="Q92" s="17">
        <f t="shared" si="7"/>
        <v>0</v>
      </c>
      <c r="R92" s="4" t="s">
        <v>0</v>
      </c>
      <c r="S92" s="15" t="str">
        <f t="shared" si="8"/>
        <v>-</v>
      </c>
      <c r="T92" s="13">
        <f t="shared" si="9"/>
        <v>0</v>
      </c>
      <c r="U92" s="17">
        <f t="shared" si="10"/>
        <v>1000</v>
      </c>
      <c r="V92" s="13">
        <f t="shared" si="26"/>
        <v>0</v>
      </c>
      <c r="W92" s="17">
        <f t="shared" si="11"/>
        <v>1000</v>
      </c>
      <c r="X92" s="13">
        <f t="shared" si="27"/>
        <v>0</v>
      </c>
      <c r="Y92" s="17">
        <f t="shared" si="12"/>
        <v>1000</v>
      </c>
      <c r="Z92" s="13">
        <f t="shared" si="28"/>
        <v>0</v>
      </c>
      <c r="AA92" s="17">
        <f t="shared" si="13"/>
        <v>1000</v>
      </c>
      <c r="AB92" s="4" t="s">
        <v>0</v>
      </c>
    </row>
    <row r="93" spans="1:28">
      <c r="A93" s="9" t="s">
        <v>77</v>
      </c>
      <c r="B93" s="19"/>
      <c r="C93" s="4"/>
      <c r="D93" s="20"/>
      <c r="E93" s="24"/>
      <c r="F93" s="20"/>
      <c r="G93" s="24"/>
      <c r="H93" s="4" t="s">
        <v>0</v>
      </c>
      <c r="I93" s="15" t="str">
        <f t="shared" si="0"/>
        <v>-</v>
      </c>
      <c r="J93" s="13">
        <f t="shared" si="2"/>
        <v>0</v>
      </c>
      <c r="K93" s="14">
        <f t="shared" si="2"/>
        <v>0</v>
      </c>
      <c r="L93" s="16">
        <f t="shared" si="3"/>
        <v>0</v>
      </c>
      <c r="M93" s="17">
        <f t="shared" si="4"/>
        <v>0</v>
      </c>
      <c r="N93" s="13">
        <f t="shared" si="5"/>
        <v>0</v>
      </c>
      <c r="O93" s="14">
        <f t="shared" si="5"/>
        <v>0</v>
      </c>
      <c r="P93" s="16">
        <f t="shared" si="6"/>
        <v>0</v>
      </c>
      <c r="Q93" s="17">
        <f t="shared" si="7"/>
        <v>0</v>
      </c>
      <c r="R93" s="4" t="s">
        <v>0</v>
      </c>
      <c r="S93" s="15" t="str">
        <f t="shared" si="8"/>
        <v>-</v>
      </c>
      <c r="T93" s="13">
        <f t="shared" si="9"/>
        <v>0</v>
      </c>
      <c r="U93" s="17">
        <f t="shared" si="10"/>
        <v>1000</v>
      </c>
      <c r="V93" s="13">
        <f t="shared" si="26"/>
        <v>0</v>
      </c>
      <c r="W93" s="17">
        <f t="shared" si="11"/>
        <v>1000</v>
      </c>
      <c r="X93" s="13">
        <f t="shared" si="27"/>
        <v>0</v>
      </c>
      <c r="Y93" s="17">
        <f t="shared" si="12"/>
        <v>1000</v>
      </c>
      <c r="Z93" s="13">
        <f t="shared" si="28"/>
        <v>0</v>
      </c>
      <c r="AA93" s="17">
        <f t="shared" si="13"/>
        <v>1000</v>
      </c>
      <c r="AB93" s="4" t="s">
        <v>0</v>
      </c>
    </row>
    <row r="94" spans="1:28">
      <c r="A94" s="9" t="s">
        <v>77</v>
      </c>
      <c r="B94" s="19"/>
      <c r="C94" s="4"/>
      <c r="D94" s="20"/>
      <c r="E94" s="24"/>
      <c r="F94" s="20"/>
      <c r="G94" s="24"/>
      <c r="H94" s="4" t="s">
        <v>0</v>
      </c>
      <c r="I94" s="15" t="str">
        <f t="shared" si="0"/>
        <v>-</v>
      </c>
      <c r="J94" s="13">
        <f t="shared" si="2"/>
        <v>0</v>
      </c>
      <c r="K94" s="14">
        <f t="shared" si="2"/>
        <v>0</v>
      </c>
      <c r="L94" s="16">
        <f t="shared" si="3"/>
        <v>0</v>
      </c>
      <c r="M94" s="17">
        <f t="shared" si="4"/>
        <v>0</v>
      </c>
      <c r="N94" s="13">
        <f t="shared" si="5"/>
        <v>0</v>
      </c>
      <c r="O94" s="14">
        <f t="shared" si="5"/>
        <v>0</v>
      </c>
      <c r="P94" s="16">
        <f t="shared" si="6"/>
        <v>0</v>
      </c>
      <c r="Q94" s="17">
        <f t="shared" si="7"/>
        <v>0</v>
      </c>
      <c r="R94" s="4" t="s">
        <v>0</v>
      </c>
      <c r="S94" s="15" t="str">
        <f t="shared" si="8"/>
        <v>-</v>
      </c>
      <c r="T94" s="13">
        <f t="shared" si="9"/>
        <v>0</v>
      </c>
      <c r="U94" s="17">
        <f t="shared" si="10"/>
        <v>1000</v>
      </c>
      <c r="V94" s="13">
        <f t="shared" si="26"/>
        <v>0</v>
      </c>
      <c r="W94" s="17">
        <f t="shared" si="11"/>
        <v>1000</v>
      </c>
      <c r="X94" s="13">
        <f t="shared" si="27"/>
        <v>0</v>
      </c>
      <c r="Y94" s="17">
        <f t="shared" si="12"/>
        <v>1000</v>
      </c>
      <c r="Z94" s="13">
        <f t="shared" si="28"/>
        <v>0</v>
      </c>
      <c r="AA94" s="17">
        <f t="shared" si="13"/>
        <v>1000</v>
      </c>
      <c r="AB94" s="4" t="s">
        <v>0</v>
      </c>
    </row>
    <row r="95" spans="1:28">
      <c r="A95" s="9" t="s">
        <v>77</v>
      </c>
      <c r="B95" s="19"/>
      <c r="C95" s="4"/>
      <c r="D95" s="20"/>
      <c r="E95" s="24"/>
      <c r="F95" s="20"/>
      <c r="G95" s="24"/>
      <c r="H95" s="4" t="s">
        <v>0</v>
      </c>
      <c r="I95" s="15" t="str">
        <f t="shared" si="0"/>
        <v>-</v>
      </c>
      <c r="J95" s="13">
        <f t="shared" si="2"/>
        <v>0</v>
      </c>
      <c r="K95" s="14">
        <f t="shared" si="2"/>
        <v>0</v>
      </c>
      <c r="L95" s="16">
        <f t="shared" si="3"/>
        <v>0</v>
      </c>
      <c r="M95" s="17">
        <f t="shared" si="4"/>
        <v>0</v>
      </c>
      <c r="N95" s="13">
        <f t="shared" si="5"/>
        <v>0</v>
      </c>
      <c r="O95" s="14">
        <f t="shared" si="5"/>
        <v>0</v>
      </c>
      <c r="P95" s="16">
        <f t="shared" si="6"/>
        <v>0</v>
      </c>
      <c r="Q95" s="17">
        <f t="shared" si="7"/>
        <v>0</v>
      </c>
      <c r="R95" s="4" t="s">
        <v>0</v>
      </c>
      <c r="S95" s="15" t="str">
        <f t="shared" si="8"/>
        <v>-</v>
      </c>
      <c r="T95" s="13">
        <f t="shared" si="9"/>
        <v>0</v>
      </c>
      <c r="U95" s="17">
        <f t="shared" si="10"/>
        <v>1000</v>
      </c>
      <c r="V95" s="13">
        <f t="shared" si="26"/>
        <v>0</v>
      </c>
      <c r="W95" s="17">
        <f t="shared" si="11"/>
        <v>1000</v>
      </c>
      <c r="X95" s="13">
        <f t="shared" si="27"/>
        <v>0</v>
      </c>
      <c r="Y95" s="17">
        <f t="shared" si="12"/>
        <v>1000</v>
      </c>
      <c r="Z95" s="13">
        <f t="shared" si="28"/>
        <v>0</v>
      </c>
      <c r="AA95" s="17">
        <f t="shared" si="13"/>
        <v>1000</v>
      </c>
      <c r="AB95" s="4" t="s">
        <v>0</v>
      </c>
    </row>
    <row r="96" spans="1:28">
      <c r="A96" s="9" t="s">
        <v>77</v>
      </c>
      <c r="B96" s="19"/>
      <c r="C96" s="4"/>
      <c r="D96" s="20"/>
      <c r="E96" s="24"/>
      <c r="F96" s="20"/>
      <c r="G96" s="24"/>
      <c r="H96" s="4" t="s">
        <v>0</v>
      </c>
      <c r="I96" s="15" t="str">
        <f t="shared" si="0"/>
        <v>-</v>
      </c>
      <c r="J96" s="13">
        <f t="shared" si="2"/>
        <v>0</v>
      </c>
      <c r="K96" s="14">
        <f t="shared" si="2"/>
        <v>0</v>
      </c>
      <c r="L96" s="16">
        <f t="shared" si="3"/>
        <v>0</v>
      </c>
      <c r="M96" s="17">
        <f t="shared" si="4"/>
        <v>0</v>
      </c>
      <c r="N96" s="13">
        <f t="shared" si="5"/>
        <v>0</v>
      </c>
      <c r="O96" s="14">
        <f t="shared" si="5"/>
        <v>0</v>
      </c>
      <c r="P96" s="16">
        <f t="shared" si="6"/>
        <v>0</v>
      </c>
      <c r="Q96" s="17">
        <f t="shared" si="7"/>
        <v>0</v>
      </c>
      <c r="R96" s="4" t="s">
        <v>0</v>
      </c>
      <c r="S96" s="15" t="str">
        <f t="shared" si="8"/>
        <v>-</v>
      </c>
      <c r="T96" s="13">
        <f t="shared" si="9"/>
        <v>0</v>
      </c>
      <c r="U96" s="17">
        <f t="shared" si="10"/>
        <v>1000</v>
      </c>
      <c r="V96" s="13">
        <f t="shared" si="26"/>
        <v>0</v>
      </c>
      <c r="W96" s="17">
        <f t="shared" si="11"/>
        <v>1000</v>
      </c>
      <c r="X96" s="13">
        <f t="shared" si="27"/>
        <v>0</v>
      </c>
      <c r="Y96" s="17">
        <f t="shared" si="12"/>
        <v>1000</v>
      </c>
      <c r="Z96" s="13">
        <f t="shared" si="28"/>
        <v>0</v>
      </c>
      <c r="AA96" s="17">
        <f t="shared" si="13"/>
        <v>1000</v>
      </c>
      <c r="AB96" s="4" t="s">
        <v>0</v>
      </c>
    </row>
    <row r="97" spans="1:28">
      <c r="A97" s="9" t="s">
        <v>77</v>
      </c>
      <c r="B97" s="19"/>
      <c r="C97" s="4"/>
      <c r="D97" s="20"/>
      <c r="E97" s="24"/>
      <c r="F97" s="20"/>
      <c r="G97" s="24"/>
      <c r="H97" s="4" t="s">
        <v>0</v>
      </c>
      <c r="I97" s="15" t="str">
        <f t="shared" si="0"/>
        <v>-</v>
      </c>
      <c r="J97" s="13">
        <f t="shared" si="2"/>
        <v>0</v>
      </c>
      <c r="K97" s="14">
        <f t="shared" si="2"/>
        <v>0</v>
      </c>
      <c r="L97" s="16">
        <f t="shared" si="3"/>
        <v>0</v>
      </c>
      <c r="M97" s="17">
        <f t="shared" si="4"/>
        <v>0</v>
      </c>
      <c r="N97" s="13">
        <f t="shared" si="5"/>
        <v>0</v>
      </c>
      <c r="O97" s="14">
        <f t="shared" si="5"/>
        <v>0</v>
      </c>
      <c r="P97" s="16">
        <f t="shared" si="6"/>
        <v>0</v>
      </c>
      <c r="Q97" s="17">
        <f t="shared" si="7"/>
        <v>0</v>
      </c>
      <c r="R97" s="4" t="s">
        <v>0</v>
      </c>
      <c r="S97" s="15" t="str">
        <f t="shared" si="8"/>
        <v>-</v>
      </c>
      <c r="T97" s="13">
        <f t="shared" si="9"/>
        <v>0</v>
      </c>
      <c r="U97" s="17">
        <f t="shared" si="10"/>
        <v>1000</v>
      </c>
      <c r="V97" s="13">
        <f t="shared" si="26"/>
        <v>0</v>
      </c>
      <c r="W97" s="17">
        <f t="shared" si="11"/>
        <v>1000</v>
      </c>
      <c r="X97" s="13">
        <f t="shared" si="27"/>
        <v>0</v>
      </c>
      <c r="Y97" s="17">
        <f t="shared" si="12"/>
        <v>1000</v>
      </c>
      <c r="Z97" s="13">
        <f t="shared" si="28"/>
        <v>0</v>
      </c>
      <c r="AA97" s="17">
        <f t="shared" si="13"/>
        <v>1000</v>
      </c>
      <c r="AB97" s="4" t="s">
        <v>0</v>
      </c>
    </row>
    <row r="98" spans="1:28">
      <c r="A98" s="9" t="s">
        <v>77</v>
      </c>
      <c r="B98" s="19"/>
      <c r="C98" s="4"/>
      <c r="D98" s="20"/>
      <c r="E98" s="24"/>
      <c r="F98" s="20"/>
      <c r="G98" s="24"/>
      <c r="H98" s="4" t="s">
        <v>0</v>
      </c>
      <c r="I98" s="15" t="str">
        <f t="shared" si="0"/>
        <v>-</v>
      </c>
      <c r="J98" s="13">
        <f t="shared" si="2"/>
        <v>0</v>
      </c>
      <c r="K98" s="14">
        <f t="shared" si="2"/>
        <v>0</v>
      </c>
      <c r="L98" s="16">
        <f t="shared" si="3"/>
        <v>0</v>
      </c>
      <c r="M98" s="17">
        <f t="shared" si="4"/>
        <v>0</v>
      </c>
      <c r="N98" s="13">
        <f t="shared" si="5"/>
        <v>0</v>
      </c>
      <c r="O98" s="14">
        <f t="shared" si="5"/>
        <v>0</v>
      </c>
      <c r="P98" s="16">
        <f t="shared" si="6"/>
        <v>0</v>
      </c>
      <c r="Q98" s="17">
        <f t="shared" si="7"/>
        <v>0</v>
      </c>
      <c r="R98" s="4" t="s">
        <v>0</v>
      </c>
      <c r="S98" s="15" t="str">
        <f t="shared" si="8"/>
        <v>-</v>
      </c>
      <c r="T98" s="13">
        <f t="shared" si="9"/>
        <v>0</v>
      </c>
      <c r="U98" s="17">
        <f t="shared" si="10"/>
        <v>1000</v>
      </c>
      <c r="V98" s="13">
        <f t="shared" si="26"/>
        <v>0</v>
      </c>
      <c r="W98" s="17">
        <f t="shared" si="11"/>
        <v>1000</v>
      </c>
      <c r="X98" s="13">
        <f t="shared" si="27"/>
        <v>0</v>
      </c>
      <c r="Y98" s="17">
        <f t="shared" si="12"/>
        <v>1000</v>
      </c>
      <c r="Z98" s="13">
        <f t="shared" si="28"/>
        <v>0</v>
      </c>
      <c r="AA98" s="17">
        <f t="shared" si="13"/>
        <v>1000</v>
      </c>
      <c r="AB98" s="4" t="s">
        <v>0</v>
      </c>
    </row>
    <row r="99" spans="1:28">
      <c r="A99" s="9" t="s">
        <v>77</v>
      </c>
      <c r="B99" s="19"/>
      <c r="C99" s="21"/>
      <c r="D99" s="20"/>
      <c r="E99" s="23"/>
      <c r="F99" s="20"/>
      <c r="G99" s="23"/>
      <c r="H99" s="4" t="s">
        <v>0</v>
      </c>
      <c r="I99" s="15" t="str">
        <f t="shared" si="0"/>
        <v>-</v>
      </c>
      <c r="J99" s="13">
        <f t="shared" si="2"/>
        <v>0</v>
      </c>
      <c r="K99" s="14">
        <f t="shared" si="2"/>
        <v>0</v>
      </c>
      <c r="L99" s="16">
        <f t="shared" si="3"/>
        <v>0</v>
      </c>
      <c r="M99" s="17">
        <f t="shared" si="4"/>
        <v>0</v>
      </c>
      <c r="N99" s="13">
        <f t="shared" si="5"/>
        <v>0</v>
      </c>
      <c r="O99" s="14">
        <f t="shared" si="5"/>
        <v>0</v>
      </c>
      <c r="P99" s="16">
        <f t="shared" si="6"/>
        <v>0</v>
      </c>
      <c r="Q99" s="17">
        <f t="shared" si="7"/>
        <v>0</v>
      </c>
      <c r="R99" s="4" t="s">
        <v>0</v>
      </c>
      <c r="S99" s="15" t="str">
        <f t="shared" si="8"/>
        <v>-</v>
      </c>
      <c r="T99" s="13">
        <f t="shared" si="9"/>
        <v>0</v>
      </c>
      <c r="U99" s="17">
        <f t="shared" si="10"/>
        <v>1000</v>
      </c>
      <c r="V99" s="13">
        <f t="shared" si="26"/>
        <v>0</v>
      </c>
      <c r="W99" s="17">
        <f t="shared" si="11"/>
        <v>1000</v>
      </c>
      <c r="X99" s="13">
        <f t="shared" si="27"/>
        <v>0</v>
      </c>
      <c r="Y99" s="17">
        <f t="shared" si="12"/>
        <v>1000</v>
      </c>
      <c r="Z99" s="13">
        <f t="shared" si="28"/>
        <v>0</v>
      </c>
      <c r="AA99" s="17">
        <f t="shared" si="13"/>
        <v>1000</v>
      </c>
      <c r="AB99" s="4" t="s">
        <v>0</v>
      </c>
    </row>
    <row r="100" spans="1:28">
      <c r="A100" s="9" t="s">
        <v>77</v>
      </c>
      <c r="B100" s="19"/>
      <c r="C100" s="21"/>
      <c r="D100" s="20"/>
      <c r="E100" s="24"/>
      <c r="F100" s="20"/>
      <c r="G100" s="24"/>
      <c r="H100" s="4" t="s">
        <v>0</v>
      </c>
      <c r="I100" s="15" t="str">
        <f t="shared" si="0"/>
        <v>-</v>
      </c>
      <c r="J100" s="13">
        <f t="shared" si="2"/>
        <v>0</v>
      </c>
      <c r="K100" s="14">
        <f t="shared" si="2"/>
        <v>0</v>
      </c>
      <c r="L100" s="16">
        <f t="shared" si="3"/>
        <v>0</v>
      </c>
      <c r="M100" s="17">
        <f t="shared" si="4"/>
        <v>0</v>
      </c>
      <c r="N100" s="13">
        <f t="shared" si="5"/>
        <v>0</v>
      </c>
      <c r="O100" s="14">
        <f t="shared" si="5"/>
        <v>0</v>
      </c>
      <c r="P100" s="16">
        <f t="shared" si="6"/>
        <v>0</v>
      </c>
      <c r="Q100" s="17">
        <f t="shared" si="7"/>
        <v>0</v>
      </c>
      <c r="R100" s="4" t="s">
        <v>0</v>
      </c>
      <c r="S100" s="15" t="str">
        <f t="shared" si="8"/>
        <v>-</v>
      </c>
      <c r="T100" s="13">
        <f t="shared" si="9"/>
        <v>0</v>
      </c>
      <c r="U100" s="17">
        <f t="shared" si="10"/>
        <v>1000</v>
      </c>
      <c r="V100" s="13">
        <f t="shared" si="26"/>
        <v>0</v>
      </c>
      <c r="W100" s="17">
        <f t="shared" si="11"/>
        <v>1000</v>
      </c>
      <c r="X100" s="13">
        <f t="shared" si="27"/>
        <v>0</v>
      </c>
      <c r="Y100" s="17">
        <f t="shared" si="12"/>
        <v>1000</v>
      </c>
      <c r="Z100" s="13">
        <f t="shared" si="28"/>
        <v>0</v>
      </c>
      <c r="AA100" s="17">
        <f t="shared" si="13"/>
        <v>1000</v>
      </c>
      <c r="AB100" s="4" t="s">
        <v>0</v>
      </c>
    </row>
    <row r="101" spans="1:28">
      <c r="A101" s="9" t="s">
        <v>77</v>
      </c>
      <c r="B101" s="19"/>
      <c r="C101" s="4"/>
      <c r="D101" s="20"/>
      <c r="E101" s="24"/>
      <c r="F101" s="20"/>
      <c r="G101" s="24"/>
      <c r="H101" s="4" t="s">
        <v>0</v>
      </c>
      <c r="I101" s="15" t="str">
        <f t="shared" si="0"/>
        <v>-</v>
      </c>
      <c r="J101" s="13">
        <f t="shared" si="2"/>
        <v>0</v>
      </c>
      <c r="K101" s="14">
        <f t="shared" si="2"/>
        <v>0</v>
      </c>
      <c r="L101" s="16">
        <f t="shared" si="3"/>
        <v>0</v>
      </c>
      <c r="M101" s="17">
        <f t="shared" si="4"/>
        <v>0</v>
      </c>
      <c r="N101" s="13">
        <f t="shared" si="5"/>
        <v>0</v>
      </c>
      <c r="O101" s="14">
        <f t="shared" si="5"/>
        <v>0</v>
      </c>
      <c r="P101" s="16">
        <f t="shared" si="6"/>
        <v>0</v>
      </c>
      <c r="Q101" s="17">
        <f t="shared" si="7"/>
        <v>0</v>
      </c>
      <c r="R101" s="4" t="s">
        <v>0</v>
      </c>
      <c r="S101" s="15" t="str">
        <f t="shared" si="8"/>
        <v>-</v>
      </c>
      <c r="T101" s="13">
        <f t="shared" si="9"/>
        <v>0</v>
      </c>
      <c r="U101" s="17">
        <f t="shared" si="10"/>
        <v>1000</v>
      </c>
      <c r="V101" s="13">
        <f t="shared" si="26"/>
        <v>0</v>
      </c>
      <c r="W101" s="17">
        <f t="shared" si="11"/>
        <v>1000</v>
      </c>
      <c r="X101" s="13">
        <f t="shared" si="27"/>
        <v>0</v>
      </c>
      <c r="Y101" s="17">
        <f t="shared" si="12"/>
        <v>1000</v>
      </c>
      <c r="Z101" s="13">
        <f t="shared" si="28"/>
        <v>0</v>
      </c>
      <c r="AA101" s="17">
        <f t="shared" si="13"/>
        <v>1000</v>
      </c>
      <c r="AB101" s="4" t="s">
        <v>0</v>
      </c>
    </row>
    <row r="102" spans="1:28">
      <c r="A102" s="9" t="s">
        <v>77</v>
      </c>
      <c r="B102" s="19"/>
      <c r="C102" s="4"/>
      <c r="D102" s="20"/>
      <c r="E102" s="24"/>
      <c r="F102" s="20"/>
      <c r="G102" s="24"/>
      <c r="H102" s="4" t="s">
        <v>0</v>
      </c>
      <c r="I102" s="15" t="str">
        <f t="shared" si="0"/>
        <v>-</v>
      </c>
      <c r="J102" s="13">
        <f t="shared" si="2"/>
        <v>0</v>
      </c>
      <c r="K102" s="14">
        <f t="shared" si="2"/>
        <v>0</v>
      </c>
      <c r="L102" s="16">
        <f t="shared" si="3"/>
        <v>0</v>
      </c>
      <c r="M102" s="17">
        <f t="shared" si="4"/>
        <v>0</v>
      </c>
      <c r="N102" s="13">
        <f t="shared" si="5"/>
        <v>0</v>
      </c>
      <c r="O102" s="14">
        <f t="shared" si="5"/>
        <v>0</v>
      </c>
      <c r="P102" s="16">
        <f t="shared" si="6"/>
        <v>0</v>
      </c>
      <c r="Q102" s="17">
        <f t="shared" si="7"/>
        <v>0</v>
      </c>
      <c r="R102" s="4" t="s">
        <v>0</v>
      </c>
      <c r="S102" s="15" t="str">
        <f t="shared" si="8"/>
        <v>-</v>
      </c>
      <c r="T102" s="13">
        <f t="shared" si="9"/>
        <v>0</v>
      </c>
      <c r="U102" s="17">
        <f t="shared" si="10"/>
        <v>1000</v>
      </c>
      <c r="V102" s="13">
        <f t="shared" si="26"/>
        <v>0</v>
      </c>
      <c r="W102" s="17">
        <f t="shared" si="11"/>
        <v>1000</v>
      </c>
      <c r="X102" s="13">
        <f t="shared" si="27"/>
        <v>0</v>
      </c>
      <c r="Y102" s="17">
        <f t="shared" si="12"/>
        <v>1000</v>
      </c>
      <c r="Z102" s="13">
        <f t="shared" si="28"/>
        <v>0</v>
      </c>
      <c r="AA102" s="17">
        <f t="shared" si="13"/>
        <v>1000</v>
      </c>
      <c r="AB102" s="4" t="s">
        <v>0</v>
      </c>
    </row>
    <row r="103" spans="1:28">
      <c r="A103" s="9" t="s">
        <v>77</v>
      </c>
      <c r="B103" s="19"/>
      <c r="C103" s="4"/>
      <c r="D103" s="20"/>
      <c r="E103" s="24"/>
      <c r="F103" s="20"/>
      <c r="G103" s="24"/>
      <c r="H103" s="4" t="s">
        <v>0</v>
      </c>
      <c r="I103" s="15" t="str">
        <f t="shared" si="0"/>
        <v>-</v>
      </c>
      <c r="J103" s="13">
        <f t="shared" si="2"/>
        <v>0</v>
      </c>
      <c r="K103" s="14">
        <f t="shared" si="2"/>
        <v>0</v>
      </c>
      <c r="L103" s="16">
        <f t="shared" si="3"/>
        <v>0</v>
      </c>
      <c r="M103" s="17">
        <f t="shared" si="4"/>
        <v>0</v>
      </c>
      <c r="N103" s="13">
        <f t="shared" si="5"/>
        <v>0</v>
      </c>
      <c r="O103" s="14">
        <f t="shared" si="5"/>
        <v>0</v>
      </c>
      <c r="P103" s="16">
        <f t="shared" si="6"/>
        <v>0</v>
      </c>
      <c r="Q103" s="17">
        <f t="shared" si="7"/>
        <v>0</v>
      </c>
      <c r="R103" s="4" t="s">
        <v>0</v>
      </c>
      <c r="S103" s="15" t="str">
        <f t="shared" si="8"/>
        <v>-</v>
      </c>
      <c r="T103" s="13">
        <f t="shared" si="9"/>
        <v>0</v>
      </c>
      <c r="U103" s="17">
        <f t="shared" si="10"/>
        <v>1000</v>
      </c>
      <c r="V103" s="13">
        <f t="shared" si="26"/>
        <v>0</v>
      </c>
      <c r="W103" s="17">
        <f t="shared" si="11"/>
        <v>1000</v>
      </c>
      <c r="X103" s="13">
        <f t="shared" si="27"/>
        <v>0</v>
      </c>
      <c r="Y103" s="17">
        <f t="shared" si="12"/>
        <v>1000</v>
      </c>
      <c r="Z103" s="13">
        <f t="shared" si="28"/>
        <v>0</v>
      </c>
      <c r="AA103" s="17">
        <f t="shared" si="13"/>
        <v>1000</v>
      </c>
      <c r="AB103" s="4" t="s">
        <v>0</v>
      </c>
    </row>
    <row r="104" spans="1:28">
      <c r="A104" s="9" t="s">
        <v>77</v>
      </c>
      <c r="B104" s="19"/>
      <c r="C104" s="4"/>
      <c r="D104" s="20"/>
      <c r="E104" s="24"/>
      <c r="F104" s="20"/>
      <c r="G104" s="24"/>
      <c r="H104" s="4" t="s">
        <v>0</v>
      </c>
      <c r="I104" s="15" t="str">
        <f t="shared" si="0"/>
        <v>-</v>
      </c>
      <c r="J104" s="13">
        <f t="shared" si="2"/>
        <v>0</v>
      </c>
      <c r="K104" s="14">
        <f t="shared" si="2"/>
        <v>0</v>
      </c>
      <c r="L104" s="16">
        <f t="shared" si="3"/>
        <v>0</v>
      </c>
      <c r="M104" s="17">
        <f t="shared" si="4"/>
        <v>0</v>
      </c>
      <c r="N104" s="13">
        <f t="shared" si="5"/>
        <v>0</v>
      </c>
      <c r="O104" s="14">
        <f t="shared" si="5"/>
        <v>0</v>
      </c>
      <c r="P104" s="16">
        <f t="shared" si="6"/>
        <v>0</v>
      </c>
      <c r="Q104" s="17">
        <f t="shared" si="7"/>
        <v>0</v>
      </c>
      <c r="R104" s="4" t="s">
        <v>0</v>
      </c>
      <c r="S104" s="15" t="str">
        <f t="shared" si="8"/>
        <v>-</v>
      </c>
      <c r="T104" s="13">
        <f t="shared" si="9"/>
        <v>0</v>
      </c>
      <c r="U104" s="17">
        <f t="shared" si="10"/>
        <v>1000</v>
      </c>
      <c r="V104" s="13">
        <f t="shared" si="26"/>
        <v>0</v>
      </c>
      <c r="W104" s="17">
        <f t="shared" si="11"/>
        <v>1000</v>
      </c>
      <c r="X104" s="13">
        <f t="shared" si="27"/>
        <v>0</v>
      </c>
      <c r="Y104" s="17">
        <f t="shared" si="12"/>
        <v>1000</v>
      </c>
      <c r="Z104" s="13">
        <f t="shared" si="28"/>
        <v>0</v>
      </c>
      <c r="AA104" s="17">
        <f t="shared" si="13"/>
        <v>1000</v>
      </c>
      <c r="AB104" s="4" t="s">
        <v>0</v>
      </c>
    </row>
    <row r="105" spans="1:28">
      <c r="A105" s="9" t="s">
        <v>77</v>
      </c>
      <c r="B105" s="19"/>
      <c r="C105" s="4"/>
      <c r="D105" s="20"/>
      <c r="E105" s="24"/>
      <c r="F105" s="20"/>
      <c r="G105" s="24"/>
      <c r="H105" s="4" t="s">
        <v>0</v>
      </c>
      <c r="I105" s="15" t="str">
        <f t="shared" si="0"/>
        <v>-</v>
      </c>
      <c r="J105" s="13">
        <f t="shared" si="2"/>
        <v>0</v>
      </c>
      <c r="K105" s="14">
        <f t="shared" si="2"/>
        <v>0</v>
      </c>
      <c r="L105" s="16">
        <f t="shared" si="3"/>
        <v>0</v>
      </c>
      <c r="M105" s="17">
        <f t="shared" si="4"/>
        <v>0</v>
      </c>
      <c r="N105" s="13">
        <f t="shared" si="5"/>
        <v>0</v>
      </c>
      <c r="O105" s="14">
        <f t="shared" si="5"/>
        <v>0</v>
      </c>
      <c r="P105" s="16">
        <f t="shared" si="6"/>
        <v>0</v>
      </c>
      <c r="Q105" s="17">
        <f t="shared" si="7"/>
        <v>0</v>
      </c>
      <c r="R105" s="4" t="s">
        <v>0</v>
      </c>
      <c r="S105" s="15" t="str">
        <f t="shared" si="8"/>
        <v>-</v>
      </c>
      <c r="T105" s="13">
        <f t="shared" si="9"/>
        <v>0</v>
      </c>
      <c r="U105" s="17">
        <f t="shared" si="10"/>
        <v>1000</v>
      </c>
      <c r="V105" s="13">
        <f t="shared" si="26"/>
        <v>0</v>
      </c>
      <c r="W105" s="17">
        <f t="shared" si="11"/>
        <v>1000</v>
      </c>
      <c r="X105" s="13">
        <f t="shared" si="27"/>
        <v>0</v>
      </c>
      <c r="Y105" s="17">
        <f t="shared" si="12"/>
        <v>1000</v>
      </c>
      <c r="Z105" s="13">
        <f t="shared" si="28"/>
        <v>0</v>
      </c>
      <c r="AA105" s="17">
        <f t="shared" si="13"/>
        <v>1000</v>
      </c>
      <c r="AB105" s="4" t="s">
        <v>0</v>
      </c>
    </row>
    <row r="106" spans="1:28">
      <c r="A106" s="9" t="s">
        <v>77</v>
      </c>
      <c r="B106" s="19"/>
      <c r="C106" s="4"/>
      <c r="D106" s="20"/>
      <c r="E106" s="24"/>
      <c r="F106" s="20"/>
      <c r="G106" s="24"/>
      <c r="H106" s="4" t="s">
        <v>0</v>
      </c>
      <c r="I106" s="15" t="str">
        <f t="shared" si="0"/>
        <v>-</v>
      </c>
      <c r="J106" s="13">
        <f t="shared" si="2"/>
        <v>0</v>
      </c>
      <c r="K106" s="14">
        <f t="shared" si="2"/>
        <v>0</v>
      </c>
      <c r="L106" s="16">
        <f t="shared" si="3"/>
        <v>0</v>
      </c>
      <c r="M106" s="17">
        <f t="shared" si="4"/>
        <v>0</v>
      </c>
      <c r="N106" s="13">
        <f t="shared" si="5"/>
        <v>0</v>
      </c>
      <c r="O106" s="14">
        <f t="shared" si="5"/>
        <v>0</v>
      </c>
      <c r="P106" s="16">
        <f t="shared" si="6"/>
        <v>0</v>
      </c>
      <c r="Q106" s="17">
        <f t="shared" si="7"/>
        <v>0</v>
      </c>
      <c r="R106" s="4" t="s">
        <v>0</v>
      </c>
      <c r="S106" s="15" t="str">
        <f t="shared" si="8"/>
        <v>-</v>
      </c>
      <c r="T106" s="13">
        <f t="shared" si="9"/>
        <v>0</v>
      </c>
      <c r="U106" s="17">
        <f t="shared" si="10"/>
        <v>1000</v>
      </c>
      <c r="V106" s="13">
        <f t="shared" si="26"/>
        <v>0</v>
      </c>
      <c r="W106" s="17">
        <f t="shared" si="11"/>
        <v>1000</v>
      </c>
      <c r="X106" s="13">
        <f t="shared" si="27"/>
        <v>0</v>
      </c>
      <c r="Y106" s="17">
        <f t="shared" si="12"/>
        <v>1000</v>
      </c>
      <c r="Z106" s="13">
        <f t="shared" si="28"/>
        <v>0</v>
      </c>
      <c r="AA106" s="17">
        <f t="shared" si="13"/>
        <v>1000</v>
      </c>
      <c r="AB106" s="4" t="s">
        <v>0</v>
      </c>
    </row>
    <row r="107" spans="1:28">
      <c r="A107" s="9" t="s">
        <v>77</v>
      </c>
      <c r="B107" s="19"/>
      <c r="C107" s="4"/>
      <c r="D107" s="20"/>
      <c r="E107" s="24"/>
      <c r="F107" s="20"/>
      <c r="G107" s="24"/>
      <c r="H107" s="4" t="s">
        <v>0</v>
      </c>
      <c r="I107" s="15" t="str">
        <f t="shared" si="0"/>
        <v>-</v>
      </c>
      <c r="J107" s="13">
        <f t="shared" si="2"/>
        <v>0</v>
      </c>
      <c r="K107" s="14">
        <f t="shared" si="2"/>
        <v>0</v>
      </c>
      <c r="L107" s="16">
        <f t="shared" si="3"/>
        <v>0</v>
      </c>
      <c r="M107" s="17">
        <f t="shared" si="4"/>
        <v>0</v>
      </c>
      <c r="N107" s="13">
        <f t="shared" si="5"/>
        <v>0</v>
      </c>
      <c r="O107" s="14">
        <f t="shared" si="5"/>
        <v>0</v>
      </c>
      <c r="P107" s="16">
        <f t="shared" si="6"/>
        <v>0</v>
      </c>
      <c r="Q107" s="17">
        <f t="shared" si="7"/>
        <v>0</v>
      </c>
      <c r="R107" s="4" t="s">
        <v>0</v>
      </c>
      <c r="S107" s="15" t="str">
        <f t="shared" si="8"/>
        <v>-</v>
      </c>
      <c r="T107" s="13">
        <f t="shared" si="9"/>
        <v>0</v>
      </c>
      <c r="U107" s="17">
        <f t="shared" si="10"/>
        <v>1000</v>
      </c>
      <c r="V107" s="13">
        <f t="shared" si="26"/>
        <v>0</v>
      </c>
      <c r="W107" s="17">
        <f t="shared" si="11"/>
        <v>1000</v>
      </c>
      <c r="X107" s="13">
        <f t="shared" si="27"/>
        <v>0</v>
      </c>
      <c r="Y107" s="17">
        <f t="shared" si="12"/>
        <v>1000</v>
      </c>
      <c r="Z107" s="13">
        <f t="shared" si="28"/>
        <v>0</v>
      </c>
      <c r="AA107" s="17">
        <f t="shared" si="13"/>
        <v>1000</v>
      </c>
      <c r="AB107" s="4" t="s">
        <v>0</v>
      </c>
    </row>
    <row r="108" spans="1:28">
      <c r="A108" s="9" t="s">
        <v>77</v>
      </c>
      <c r="B108" s="19"/>
      <c r="C108" s="4"/>
      <c r="D108" s="20"/>
      <c r="E108" s="24"/>
      <c r="F108" s="20"/>
      <c r="G108" s="24"/>
      <c r="H108" s="4" t="s">
        <v>0</v>
      </c>
      <c r="I108" s="15" t="str">
        <f t="shared" si="0"/>
        <v>-</v>
      </c>
      <c r="J108" s="13">
        <f t="shared" si="2"/>
        <v>0</v>
      </c>
      <c r="K108" s="14">
        <f t="shared" si="2"/>
        <v>0</v>
      </c>
      <c r="L108" s="16">
        <f t="shared" si="3"/>
        <v>0</v>
      </c>
      <c r="M108" s="17">
        <f t="shared" si="4"/>
        <v>0</v>
      </c>
      <c r="N108" s="13">
        <f t="shared" si="5"/>
        <v>0</v>
      </c>
      <c r="O108" s="14">
        <f t="shared" si="5"/>
        <v>0</v>
      </c>
      <c r="P108" s="16">
        <f t="shared" si="6"/>
        <v>0</v>
      </c>
      <c r="Q108" s="17">
        <f t="shared" si="7"/>
        <v>0</v>
      </c>
      <c r="R108" s="4" t="s">
        <v>0</v>
      </c>
      <c r="S108" s="15" t="str">
        <f t="shared" si="8"/>
        <v>-</v>
      </c>
      <c r="T108" s="13">
        <f t="shared" si="9"/>
        <v>0</v>
      </c>
      <c r="U108" s="17">
        <f t="shared" si="10"/>
        <v>1000</v>
      </c>
      <c r="V108" s="13">
        <f t="shared" si="26"/>
        <v>0</v>
      </c>
      <c r="W108" s="17">
        <f t="shared" si="11"/>
        <v>1000</v>
      </c>
      <c r="X108" s="13">
        <f t="shared" si="27"/>
        <v>0</v>
      </c>
      <c r="Y108" s="17">
        <f t="shared" si="12"/>
        <v>1000</v>
      </c>
      <c r="Z108" s="13">
        <f t="shared" si="28"/>
        <v>0</v>
      </c>
      <c r="AA108" s="17">
        <f t="shared" si="13"/>
        <v>1000</v>
      </c>
      <c r="AB108" s="4" t="s">
        <v>0</v>
      </c>
    </row>
    <row r="109" spans="1:28">
      <c r="A109" s="9" t="s">
        <v>77</v>
      </c>
      <c r="B109" s="19"/>
      <c r="C109" s="4"/>
      <c r="D109" s="20"/>
      <c r="E109" s="24"/>
      <c r="F109" s="20"/>
      <c r="G109" s="24"/>
      <c r="H109" s="4" t="s">
        <v>0</v>
      </c>
      <c r="I109" s="15" t="str">
        <f t="shared" si="0"/>
        <v>-</v>
      </c>
      <c r="J109" s="13">
        <f t="shared" si="2"/>
        <v>0</v>
      </c>
      <c r="K109" s="14">
        <f t="shared" si="2"/>
        <v>0</v>
      </c>
      <c r="L109" s="16">
        <f t="shared" si="3"/>
        <v>0</v>
      </c>
      <c r="M109" s="17">
        <f t="shared" si="4"/>
        <v>0</v>
      </c>
      <c r="N109" s="13">
        <f t="shared" si="5"/>
        <v>0</v>
      </c>
      <c r="O109" s="14">
        <f t="shared" si="5"/>
        <v>0</v>
      </c>
      <c r="P109" s="16">
        <f t="shared" si="6"/>
        <v>0</v>
      </c>
      <c r="Q109" s="17">
        <f t="shared" si="7"/>
        <v>0</v>
      </c>
      <c r="R109" s="4" t="s">
        <v>0</v>
      </c>
      <c r="S109" s="15" t="str">
        <f t="shared" si="8"/>
        <v>-</v>
      </c>
      <c r="T109" s="13">
        <f t="shared" si="9"/>
        <v>0</v>
      </c>
      <c r="U109" s="17">
        <f t="shared" si="10"/>
        <v>1000</v>
      </c>
      <c r="V109" s="13">
        <f t="shared" si="26"/>
        <v>0</v>
      </c>
      <c r="W109" s="17">
        <f t="shared" si="11"/>
        <v>1000</v>
      </c>
      <c r="X109" s="13">
        <f t="shared" si="27"/>
        <v>0</v>
      </c>
      <c r="Y109" s="17">
        <f t="shared" si="12"/>
        <v>1000</v>
      </c>
      <c r="Z109" s="13">
        <f t="shared" si="28"/>
        <v>0</v>
      </c>
      <c r="AA109" s="17">
        <f t="shared" si="13"/>
        <v>1000</v>
      </c>
      <c r="AB109" s="4" t="s">
        <v>0</v>
      </c>
    </row>
    <row r="110" spans="1:28">
      <c r="A110" s="9" t="s">
        <v>77</v>
      </c>
      <c r="B110" s="19"/>
      <c r="C110" s="4"/>
      <c r="D110" s="20"/>
      <c r="E110" s="24"/>
      <c r="F110" s="20"/>
      <c r="G110" s="24"/>
      <c r="H110" s="4" t="s">
        <v>0</v>
      </c>
      <c r="I110" s="15" t="str">
        <f t="shared" si="0"/>
        <v>-</v>
      </c>
      <c r="J110" s="13">
        <f t="shared" si="2"/>
        <v>0</v>
      </c>
      <c r="K110" s="14">
        <f t="shared" si="2"/>
        <v>0</v>
      </c>
      <c r="L110" s="16">
        <f t="shared" si="3"/>
        <v>0</v>
      </c>
      <c r="M110" s="17">
        <f t="shared" si="4"/>
        <v>0</v>
      </c>
      <c r="N110" s="13">
        <f t="shared" si="5"/>
        <v>0</v>
      </c>
      <c r="O110" s="14">
        <f t="shared" si="5"/>
        <v>0</v>
      </c>
      <c r="P110" s="16">
        <f t="shared" si="6"/>
        <v>0</v>
      </c>
      <c r="Q110" s="17">
        <f t="shared" si="7"/>
        <v>0</v>
      </c>
      <c r="R110" s="4" t="s">
        <v>0</v>
      </c>
      <c r="S110" s="15" t="str">
        <f t="shared" si="8"/>
        <v>-</v>
      </c>
      <c r="T110" s="13">
        <f t="shared" si="9"/>
        <v>0</v>
      </c>
      <c r="U110" s="17">
        <f t="shared" si="10"/>
        <v>1000</v>
      </c>
      <c r="V110" s="13">
        <f t="shared" si="26"/>
        <v>0</v>
      </c>
      <c r="W110" s="17">
        <f t="shared" si="11"/>
        <v>1000</v>
      </c>
      <c r="X110" s="13">
        <f t="shared" si="27"/>
        <v>0</v>
      </c>
      <c r="Y110" s="17">
        <f t="shared" si="12"/>
        <v>1000</v>
      </c>
      <c r="Z110" s="13">
        <f t="shared" si="28"/>
        <v>0</v>
      </c>
      <c r="AA110" s="17">
        <f t="shared" si="13"/>
        <v>1000</v>
      </c>
      <c r="AB110" s="4" t="s">
        <v>0</v>
      </c>
    </row>
    <row r="111" spans="1:28">
      <c r="A111" s="9" t="s">
        <v>77</v>
      </c>
      <c r="B111" s="19"/>
      <c r="C111" s="4"/>
      <c r="D111" s="20"/>
      <c r="E111" s="24"/>
      <c r="F111" s="20"/>
      <c r="G111" s="24"/>
      <c r="H111" s="4" t="s">
        <v>0</v>
      </c>
      <c r="I111" s="15" t="str">
        <f t="shared" si="0"/>
        <v>-</v>
      </c>
      <c r="J111" s="13">
        <f t="shared" si="2"/>
        <v>0</v>
      </c>
      <c r="K111" s="14">
        <f t="shared" si="2"/>
        <v>0</v>
      </c>
      <c r="L111" s="16">
        <f t="shared" si="3"/>
        <v>0</v>
      </c>
      <c r="M111" s="17">
        <f t="shared" si="4"/>
        <v>0</v>
      </c>
      <c r="N111" s="13">
        <f t="shared" si="5"/>
        <v>0</v>
      </c>
      <c r="O111" s="14">
        <f t="shared" si="5"/>
        <v>0</v>
      </c>
      <c r="P111" s="16">
        <f t="shared" si="6"/>
        <v>0</v>
      </c>
      <c r="Q111" s="17">
        <f t="shared" si="7"/>
        <v>0</v>
      </c>
      <c r="R111" s="4" t="s">
        <v>0</v>
      </c>
      <c r="S111" s="15" t="str">
        <f t="shared" si="8"/>
        <v>-</v>
      </c>
      <c r="T111" s="13">
        <f t="shared" si="9"/>
        <v>0</v>
      </c>
      <c r="U111" s="17">
        <f t="shared" si="10"/>
        <v>1000</v>
      </c>
      <c r="V111" s="13">
        <f t="shared" si="26"/>
        <v>0</v>
      </c>
      <c r="W111" s="17">
        <f t="shared" si="11"/>
        <v>1000</v>
      </c>
      <c r="X111" s="13">
        <f t="shared" si="27"/>
        <v>0</v>
      </c>
      <c r="Y111" s="17">
        <f t="shared" si="12"/>
        <v>1000</v>
      </c>
      <c r="Z111" s="13">
        <f t="shared" si="28"/>
        <v>0</v>
      </c>
      <c r="AA111" s="17">
        <f t="shared" si="13"/>
        <v>1000</v>
      </c>
      <c r="AB111" s="4" t="s">
        <v>0</v>
      </c>
    </row>
    <row r="112" spans="1:28">
      <c r="A112" s="9" t="s">
        <v>77</v>
      </c>
      <c r="B112" s="19"/>
      <c r="C112" s="4"/>
      <c r="D112" s="20"/>
      <c r="E112" s="24"/>
      <c r="F112" s="20"/>
      <c r="G112" s="24"/>
      <c r="H112" s="4" t="s">
        <v>0</v>
      </c>
      <c r="I112" s="15" t="str">
        <f t="shared" si="0"/>
        <v>-</v>
      </c>
      <c r="J112" s="13">
        <f t="shared" si="2"/>
        <v>0</v>
      </c>
      <c r="K112" s="14">
        <f t="shared" si="2"/>
        <v>0</v>
      </c>
      <c r="L112" s="16">
        <f t="shared" si="3"/>
        <v>0</v>
      </c>
      <c r="M112" s="17">
        <f t="shared" si="4"/>
        <v>0</v>
      </c>
      <c r="N112" s="13">
        <f t="shared" si="5"/>
        <v>0</v>
      </c>
      <c r="O112" s="14">
        <f t="shared" si="5"/>
        <v>0</v>
      </c>
      <c r="P112" s="16">
        <f t="shared" si="6"/>
        <v>0</v>
      </c>
      <c r="Q112" s="17">
        <f t="shared" si="7"/>
        <v>0</v>
      </c>
      <c r="R112" s="4" t="s">
        <v>0</v>
      </c>
      <c r="S112" s="15" t="str">
        <f t="shared" si="8"/>
        <v>-</v>
      </c>
      <c r="T112" s="13">
        <f t="shared" si="9"/>
        <v>0</v>
      </c>
      <c r="U112" s="17">
        <f t="shared" si="10"/>
        <v>1000</v>
      </c>
      <c r="V112" s="13">
        <f t="shared" si="26"/>
        <v>0</v>
      </c>
      <c r="W112" s="17">
        <f t="shared" si="11"/>
        <v>1000</v>
      </c>
      <c r="X112" s="13">
        <f t="shared" si="27"/>
        <v>0</v>
      </c>
      <c r="Y112" s="17">
        <f t="shared" si="12"/>
        <v>1000</v>
      </c>
      <c r="Z112" s="13">
        <f t="shared" si="28"/>
        <v>0</v>
      </c>
      <c r="AA112" s="17">
        <f t="shared" si="13"/>
        <v>1000</v>
      </c>
      <c r="AB112" s="4" t="s">
        <v>0</v>
      </c>
    </row>
    <row r="113" spans="1:28">
      <c r="A113" s="9" t="s">
        <v>77</v>
      </c>
      <c r="B113" s="19"/>
      <c r="C113" s="4"/>
      <c r="D113" s="20"/>
      <c r="E113" s="24"/>
      <c r="F113" s="20"/>
      <c r="G113" s="24"/>
      <c r="H113" s="4" t="s">
        <v>0</v>
      </c>
      <c r="I113" s="15" t="str">
        <f t="shared" si="0"/>
        <v>-</v>
      </c>
      <c r="J113" s="13">
        <f t="shared" si="2"/>
        <v>0</v>
      </c>
      <c r="K113" s="14">
        <f t="shared" si="2"/>
        <v>0</v>
      </c>
      <c r="L113" s="16">
        <f t="shared" si="3"/>
        <v>0</v>
      </c>
      <c r="M113" s="17">
        <f t="shared" si="4"/>
        <v>0</v>
      </c>
      <c r="N113" s="13">
        <f t="shared" si="5"/>
        <v>0</v>
      </c>
      <c r="O113" s="14">
        <f t="shared" si="5"/>
        <v>0</v>
      </c>
      <c r="P113" s="16">
        <f t="shared" si="6"/>
        <v>0</v>
      </c>
      <c r="Q113" s="17">
        <f t="shared" si="7"/>
        <v>0</v>
      </c>
      <c r="R113" s="4" t="s">
        <v>0</v>
      </c>
      <c r="S113" s="15" t="str">
        <f t="shared" si="8"/>
        <v>-</v>
      </c>
      <c r="T113" s="13">
        <f t="shared" si="9"/>
        <v>0</v>
      </c>
      <c r="U113" s="17">
        <f t="shared" si="10"/>
        <v>1000</v>
      </c>
      <c r="V113" s="13">
        <f t="shared" si="26"/>
        <v>0</v>
      </c>
      <c r="W113" s="17">
        <f t="shared" si="11"/>
        <v>1000</v>
      </c>
      <c r="X113" s="13">
        <f t="shared" si="27"/>
        <v>0</v>
      </c>
      <c r="Y113" s="17">
        <f t="shared" si="12"/>
        <v>1000</v>
      </c>
      <c r="Z113" s="13">
        <f t="shared" si="28"/>
        <v>0</v>
      </c>
      <c r="AA113" s="17">
        <f t="shared" si="13"/>
        <v>1000</v>
      </c>
      <c r="AB113" s="4" t="s">
        <v>0</v>
      </c>
    </row>
    <row r="114" spans="1:28">
      <c r="A114" s="9" t="s">
        <v>77</v>
      </c>
      <c r="B114" s="19"/>
      <c r="C114" s="21"/>
      <c r="D114" s="20"/>
      <c r="E114" s="23"/>
      <c r="F114" s="20"/>
      <c r="G114" s="23"/>
      <c r="H114" s="4" t="s">
        <v>0</v>
      </c>
      <c r="I114" s="15" t="str">
        <f t="shared" si="0"/>
        <v>-</v>
      </c>
      <c r="J114" s="13">
        <f t="shared" si="2"/>
        <v>0</v>
      </c>
      <c r="K114" s="14">
        <f t="shared" si="2"/>
        <v>0</v>
      </c>
      <c r="L114" s="16">
        <f t="shared" si="3"/>
        <v>0</v>
      </c>
      <c r="M114" s="17">
        <f t="shared" si="4"/>
        <v>0</v>
      </c>
      <c r="N114" s="13">
        <f t="shared" si="5"/>
        <v>0</v>
      </c>
      <c r="O114" s="14">
        <f t="shared" si="5"/>
        <v>0</v>
      </c>
      <c r="P114" s="16">
        <f t="shared" si="6"/>
        <v>0</v>
      </c>
      <c r="Q114" s="17">
        <f t="shared" si="7"/>
        <v>0</v>
      </c>
      <c r="R114" s="4" t="s">
        <v>0</v>
      </c>
      <c r="S114" s="15" t="str">
        <f t="shared" si="8"/>
        <v>-</v>
      </c>
      <c r="T114" s="13">
        <f t="shared" si="9"/>
        <v>0</v>
      </c>
      <c r="U114" s="17">
        <f t="shared" si="10"/>
        <v>1000</v>
      </c>
      <c r="V114" s="13">
        <f t="shared" si="26"/>
        <v>0</v>
      </c>
      <c r="W114" s="17">
        <f t="shared" si="11"/>
        <v>1000</v>
      </c>
      <c r="X114" s="13">
        <f t="shared" si="27"/>
        <v>0</v>
      </c>
      <c r="Y114" s="17">
        <f t="shared" si="12"/>
        <v>1000</v>
      </c>
      <c r="Z114" s="13">
        <f t="shared" si="28"/>
        <v>0</v>
      </c>
      <c r="AA114" s="17">
        <f t="shared" si="13"/>
        <v>1000</v>
      </c>
      <c r="AB114" s="4" t="s">
        <v>0</v>
      </c>
    </row>
    <row r="115" spans="1:28">
      <c r="A115" s="9" t="s">
        <v>77</v>
      </c>
      <c r="B115" s="19"/>
      <c r="C115" s="21"/>
      <c r="D115" s="20"/>
      <c r="E115" s="24"/>
      <c r="F115" s="20"/>
      <c r="G115" s="24"/>
      <c r="H115" s="4" t="s">
        <v>0</v>
      </c>
      <c r="I115" s="15" t="str">
        <f t="shared" si="0"/>
        <v>-</v>
      </c>
      <c r="J115" s="13">
        <f t="shared" si="2"/>
        <v>0</v>
      </c>
      <c r="K115" s="14">
        <f t="shared" si="2"/>
        <v>0</v>
      </c>
      <c r="L115" s="16">
        <f t="shared" si="3"/>
        <v>0</v>
      </c>
      <c r="M115" s="17">
        <f t="shared" si="4"/>
        <v>0</v>
      </c>
      <c r="N115" s="13">
        <f t="shared" si="5"/>
        <v>0</v>
      </c>
      <c r="O115" s="14">
        <f t="shared" si="5"/>
        <v>0</v>
      </c>
      <c r="P115" s="16">
        <f t="shared" si="6"/>
        <v>0</v>
      </c>
      <c r="Q115" s="17">
        <f t="shared" si="7"/>
        <v>0</v>
      </c>
      <c r="R115" s="4" t="s">
        <v>0</v>
      </c>
      <c r="S115" s="15" t="str">
        <f t="shared" si="8"/>
        <v>-</v>
      </c>
      <c r="T115" s="13">
        <f t="shared" si="9"/>
        <v>0</v>
      </c>
      <c r="U115" s="17">
        <f t="shared" si="10"/>
        <v>1000</v>
      </c>
      <c r="V115" s="13">
        <f t="shared" si="26"/>
        <v>0</v>
      </c>
      <c r="W115" s="17">
        <f t="shared" si="11"/>
        <v>1000</v>
      </c>
      <c r="X115" s="13">
        <f t="shared" si="27"/>
        <v>0</v>
      </c>
      <c r="Y115" s="17">
        <f t="shared" si="12"/>
        <v>1000</v>
      </c>
      <c r="Z115" s="13">
        <f t="shared" si="28"/>
        <v>0</v>
      </c>
      <c r="AA115" s="17">
        <f t="shared" si="13"/>
        <v>1000</v>
      </c>
      <c r="AB115" s="4" t="s">
        <v>0</v>
      </c>
    </row>
    <row r="116" spans="1:28">
      <c r="A116" s="9" t="s">
        <v>77</v>
      </c>
      <c r="B116" s="19"/>
      <c r="C116" s="4"/>
      <c r="D116" s="20"/>
      <c r="E116" s="24"/>
      <c r="F116" s="20"/>
      <c r="G116" s="24"/>
      <c r="H116" s="4" t="s">
        <v>0</v>
      </c>
      <c r="I116" s="15" t="str">
        <f t="shared" si="0"/>
        <v>-</v>
      </c>
      <c r="J116" s="13">
        <f t="shared" si="2"/>
        <v>0</v>
      </c>
      <c r="K116" s="14">
        <f t="shared" si="2"/>
        <v>0</v>
      </c>
      <c r="L116" s="16">
        <f t="shared" si="3"/>
        <v>0</v>
      </c>
      <c r="M116" s="17">
        <f t="shared" si="4"/>
        <v>0</v>
      </c>
      <c r="N116" s="13">
        <f t="shared" si="5"/>
        <v>0</v>
      </c>
      <c r="O116" s="14">
        <f t="shared" si="5"/>
        <v>0</v>
      </c>
      <c r="P116" s="16">
        <f t="shared" si="6"/>
        <v>0</v>
      </c>
      <c r="Q116" s="17">
        <f t="shared" si="7"/>
        <v>0</v>
      </c>
      <c r="R116" s="4" t="s">
        <v>0</v>
      </c>
      <c r="S116" s="15" t="str">
        <f t="shared" si="8"/>
        <v>-</v>
      </c>
      <c r="T116" s="13">
        <f t="shared" si="9"/>
        <v>0</v>
      </c>
      <c r="U116" s="17">
        <f t="shared" si="10"/>
        <v>1000</v>
      </c>
      <c r="V116" s="13">
        <f t="shared" si="26"/>
        <v>0</v>
      </c>
      <c r="W116" s="17">
        <f t="shared" si="11"/>
        <v>1000</v>
      </c>
      <c r="X116" s="13">
        <f t="shared" si="27"/>
        <v>0</v>
      </c>
      <c r="Y116" s="17">
        <f t="shared" si="12"/>
        <v>1000</v>
      </c>
      <c r="Z116" s="13">
        <f t="shared" si="28"/>
        <v>0</v>
      </c>
      <c r="AA116" s="17">
        <f t="shared" si="13"/>
        <v>1000</v>
      </c>
      <c r="AB116" s="4" t="s">
        <v>0</v>
      </c>
    </row>
    <row r="117" spans="1:28">
      <c r="A117" s="9" t="s">
        <v>77</v>
      </c>
      <c r="B117" s="19"/>
      <c r="C117" s="4"/>
      <c r="D117" s="20"/>
      <c r="E117" s="24"/>
      <c r="F117" s="20"/>
      <c r="G117" s="24"/>
      <c r="H117" s="4" t="s">
        <v>0</v>
      </c>
      <c r="I117" s="15" t="str">
        <f t="shared" si="0"/>
        <v>-</v>
      </c>
      <c r="J117" s="13">
        <f t="shared" si="2"/>
        <v>0</v>
      </c>
      <c r="K117" s="14">
        <f t="shared" si="2"/>
        <v>0</v>
      </c>
      <c r="L117" s="16">
        <f t="shared" si="3"/>
        <v>0</v>
      </c>
      <c r="M117" s="17">
        <f t="shared" si="4"/>
        <v>0</v>
      </c>
      <c r="N117" s="13">
        <f t="shared" si="5"/>
        <v>0</v>
      </c>
      <c r="O117" s="14">
        <f t="shared" si="5"/>
        <v>0</v>
      </c>
      <c r="P117" s="16">
        <f t="shared" si="6"/>
        <v>0</v>
      </c>
      <c r="Q117" s="17">
        <f t="shared" si="7"/>
        <v>0</v>
      </c>
      <c r="R117" s="4" t="s">
        <v>0</v>
      </c>
      <c r="S117" s="15" t="str">
        <f t="shared" si="8"/>
        <v>-</v>
      </c>
      <c r="T117" s="13">
        <f t="shared" si="9"/>
        <v>0</v>
      </c>
      <c r="U117" s="17">
        <f t="shared" si="10"/>
        <v>1000</v>
      </c>
      <c r="V117" s="13">
        <f t="shared" si="26"/>
        <v>0</v>
      </c>
      <c r="W117" s="17">
        <f t="shared" si="11"/>
        <v>1000</v>
      </c>
      <c r="X117" s="13">
        <f t="shared" si="27"/>
        <v>0</v>
      </c>
      <c r="Y117" s="17">
        <f t="shared" si="12"/>
        <v>1000</v>
      </c>
      <c r="Z117" s="13">
        <f t="shared" si="28"/>
        <v>0</v>
      </c>
      <c r="AA117" s="17">
        <f t="shared" si="13"/>
        <v>1000</v>
      </c>
      <c r="AB117" s="4" t="s">
        <v>0</v>
      </c>
    </row>
    <row r="118" spans="1:28">
      <c r="A118" s="9" t="s">
        <v>77</v>
      </c>
      <c r="B118" s="19"/>
      <c r="C118" s="4"/>
      <c r="D118" s="20"/>
      <c r="E118" s="24"/>
      <c r="F118" s="20"/>
      <c r="G118" s="24"/>
      <c r="H118" s="4" t="s">
        <v>0</v>
      </c>
      <c r="I118" s="15" t="str">
        <f t="shared" si="0"/>
        <v>-</v>
      </c>
      <c r="J118" s="13">
        <f t="shared" si="2"/>
        <v>0</v>
      </c>
      <c r="K118" s="14">
        <f t="shared" si="2"/>
        <v>0</v>
      </c>
      <c r="L118" s="16">
        <f t="shared" si="3"/>
        <v>0</v>
      </c>
      <c r="M118" s="17">
        <f t="shared" si="4"/>
        <v>0</v>
      </c>
      <c r="N118" s="13">
        <f t="shared" si="5"/>
        <v>0</v>
      </c>
      <c r="O118" s="14">
        <f t="shared" si="5"/>
        <v>0</v>
      </c>
      <c r="P118" s="16">
        <f t="shared" si="6"/>
        <v>0</v>
      </c>
      <c r="Q118" s="17">
        <f t="shared" si="7"/>
        <v>0</v>
      </c>
      <c r="R118" s="4" t="s">
        <v>0</v>
      </c>
      <c r="S118" s="15" t="str">
        <f t="shared" si="8"/>
        <v>-</v>
      </c>
      <c r="T118" s="13">
        <f t="shared" si="9"/>
        <v>0</v>
      </c>
      <c r="U118" s="17">
        <f t="shared" si="10"/>
        <v>1000</v>
      </c>
      <c r="V118" s="13">
        <f t="shared" si="26"/>
        <v>0</v>
      </c>
      <c r="W118" s="17">
        <f t="shared" si="11"/>
        <v>1000</v>
      </c>
      <c r="X118" s="13">
        <f t="shared" si="27"/>
        <v>0</v>
      </c>
      <c r="Y118" s="17">
        <f t="shared" si="12"/>
        <v>1000</v>
      </c>
      <c r="Z118" s="13">
        <f t="shared" si="28"/>
        <v>0</v>
      </c>
      <c r="AA118" s="17">
        <f t="shared" si="13"/>
        <v>1000</v>
      </c>
      <c r="AB118" s="4" t="s">
        <v>0</v>
      </c>
    </row>
    <row r="119" spans="1:28">
      <c r="A119" s="9" t="s">
        <v>77</v>
      </c>
      <c r="B119" s="19"/>
      <c r="C119" s="4"/>
      <c r="D119" s="20"/>
      <c r="E119" s="24"/>
      <c r="F119" s="20"/>
      <c r="G119" s="24"/>
      <c r="H119" s="4" t="s">
        <v>0</v>
      </c>
      <c r="I119" s="15" t="str">
        <f t="shared" si="0"/>
        <v>-</v>
      </c>
      <c r="J119" s="13">
        <f t="shared" si="2"/>
        <v>0</v>
      </c>
      <c r="K119" s="14">
        <f t="shared" si="2"/>
        <v>0</v>
      </c>
      <c r="L119" s="16">
        <f t="shared" si="3"/>
        <v>0</v>
      </c>
      <c r="M119" s="17">
        <f t="shared" si="4"/>
        <v>0</v>
      </c>
      <c r="N119" s="13">
        <f t="shared" si="5"/>
        <v>0</v>
      </c>
      <c r="O119" s="14">
        <f t="shared" si="5"/>
        <v>0</v>
      </c>
      <c r="P119" s="16">
        <f t="shared" si="6"/>
        <v>0</v>
      </c>
      <c r="Q119" s="17">
        <f t="shared" si="7"/>
        <v>0</v>
      </c>
      <c r="R119" s="4" t="s">
        <v>0</v>
      </c>
      <c r="S119" s="15" t="str">
        <f t="shared" si="8"/>
        <v>-</v>
      </c>
      <c r="T119" s="13">
        <f t="shared" si="9"/>
        <v>0</v>
      </c>
      <c r="U119" s="17">
        <f t="shared" si="10"/>
        <v>1000</v>
      </c>
      <c r="V119" s="13">
        <f t="shared" si="26"/>
        <v>0</v>
      </c>
      <c r="W119" s="17">
        <f t="shared" si="11"/>
        <v>1000</v>
      </c>
      <c r="X119" s="13">
        <f t="shared" si="27"/>
        <v>0</v>
      </c>
      <c r="Y119" s="17">
        <f t="shared" si="12"/>
        <v>1000</v>
      </c>
      <c r="Z119" s="13">
        <f t="shared" si="28"/>
        <v>0</v>
      </c>
      <c r="AA119" s="17">
        <f t="shared" si="13"/>
        <v>1000</v>
      </c>
      <c r="AB119" s="4" t="s">
        <v>0</v>
      </c>
    </row>
    <row r="120" spans="1:28">
      <c r="A120" s="9" t="s">
        <v>77</v>
      </c>
      <c r="B120" s="19"/>
      <c r="C120" s="4"/>
      <c r="D120" s="20"/>
      <c r="E120" s="24"/>
      <c r="F120" s="20"/>
      <c r="G120" s="24"/>
      <c r="H120" s="4" t="s">
        <v>0</v>
      </c>
      <c r="I120" s="15" t="str">
        <f t="shared" si="0"/>
        <v>-</v>
      </c>
      <c r="J120" s="13">
        <f t="shared" si="2"/>
        <v>0</v>
      </c>
      <c r="K120" s="14">
        <f t="shared" si="2"/>
        <v>0</v>
      </c>
      <c r="L120" s="16">
        <f t="shared" si="3"/>
        <v>0</v>
      </c>
      <c r="M120" s="17">
        <f t="shared" si="4"/>
        <v>0</v>
      </c>
      <c r="N120" s="13">
        <f t="shared" si="5"/>
        <v>0</v>
      </c>
      <c r="O120" s="14">
        <f t="shared" si="5"/>
        <v>0</v>
      </c>
      <c r="P120" s="16">
        <f t="shared" si="6"/>
        <v>0</v>
      </c>
      <c r="Q120" s="17">
        <f t="shared" si="7"/>
        <v>0</v>
      </c>
      <c r="R120" s="4" t="s">
        <v>0</v>
      </c>
      <c r="S120" s="15" t="str">
        <f t="shared" si="8"/>
        <v>-</v>
      </c>
      <c r="T120" s="13">
        <f t="shared" si="9"/>
        <v>0</v>
      </c>
      <c r="U120" s="17">
        <f t="shared" si="10"/>
        <v>1000</v>
      </c>
      <c r="V120" s="13">
        <f t="shared" si="26"/>
        <v>0</v>
      </c>
      <c r="W120" s="17">
        <f t="shared" si="11"/>
        <v>1000</v>
      </c>
      <c r="X120" s="13">
        <f t="shared" si="27"/>
        <v>0</v>
      </c>
      <c r="Y120" s="17">
        <f t="shared" si="12"/>
        <v>1000</v>
      </c>
      <c r="Z120" s="13">
        <f t="shared" si="28"/>
        <v>0</v>
      </c>
      <c r="AA120" s="17">
        <f t="shared" si="13"/>
        <v>1000</v>
      </c>
      <c r="AB120" s="4" t="s">
        <v>0</v>
      </c>
    </row>
    <row r="121" spans="1:28">
      <c r="A121" s="9" t="s">
        <v>77</v>
      </c>
      <c r="B121" s="19"/>
      <c r="C121" s="4"/>
      <c r="D121" s="20"/>
      <c r="E121" s="24"/>
      <c r="F121" s="20"/>
      <c r="G121" s="24"/>
      <c r="H121" s="4" t="s">
        <v>0</v>
      </c>
      <c r="I121" s="15" t="str">
        <f t="shared" si="0"/>
        <v>-</v>
      </c>
      <c r="J121" s="13">
        <f t="shared" si="2"/>
        <v>0</v>
      </c>
      <c r="K121" s="14">
        <f t="shared" si="2"/>
        <v>0</v>
      </c>
      <c r="L121" s="16">
        <f t="shared" si="3"/>
        <v>0</v>
      </c>
      <c r="M121" s="17">
        <f t="shared" si="4"/>
        <v>0</v>
      </c>
      <c r="N121" s="13">
        <f t="shared" si="5"/>
        <v>0</v>
      </c>
      <c r="O121" s="14">
        <f t="shared" si="5"/>
        <v>0</v>
      </c>
      <c r="P121" s="16">
        <f t="shared" si="6"/>
        <v>0</v>
      </c>
      <c r="Q121" s="17">
        <f t="shared" si="7"/>
        <v>0</v>
      </c>
      <c r="R121" s="4" t="s">
        <v>0</v>
      </c>
      <c r="S121" s="15" t="str">
        <f t="shared" si="8"/>
        <v>-</v>
      </c>
      <c r="T121" s="13">
        <f t="shared" si="9"/>
        <v>0</v>
      </c>
      <c r="U121" s="17">
        <f t="shared" si="10"/>
        <v>1000</v>
      </c>
      <c r="V121" s="13">
        <f t="shared" si="26"/>
        <v>0</v>
      </c>
      <c r="W121" s="17">
        <f t="shared" si="11"/>
        <v>1000</v>
      </c>
      <c r="X121" s="13">
        <f t="shared" si="27"/>
        <v>0</v>
      </c>
      <c r="Y121" s="17">
        <f t="shared" si="12"/>
        <v>1000</v>
      </c>
      <c r="Z121" s="13">
        <f t="shared" si="28"/>
        <v>0</v>
      </c>
      <c r="AA121" s="17">
        <f t="shared" si="13"/>
        <v>1000</v>
      </c>
      <c r="AB121" s="4" t="s">
        <v>0</v>
      </c>
    </row>
    <row r="122" spans="1:28">
      <c r="A122" s="9" t="s">
        <v>77</v>
      </c>
      <c r="B122" s="19"/>
      <c r="C122" s="4"/>
      <c r="D122" s="20"/>
      <c r="E122" s="24"/>
      <c r="F122" s="20"/>
      <c r="G122" s="24"/>
      <c r="H122" s="4" t="s">
        <v>0</v>
      </c>
      <c r="I122" s="15" t="str">
        <f t="shared" si="0"/>
        <v>-</v>
      </c>
      <c r="J122" s="13">
        <f t="shared" si="2"/>
        <v>0</v>
      </c>
      <c r="K122" s="14">
        <f t="shared" si="2"/>
        <v>0</v>
      </c>
      <c r="L122" s="16">
        <f t="shared" si="3"/>
        <v>0</v>
      </c>
      <c r="M122" s="17">
        <f t="shared" si="4"/>
        <v>0</v>
      </c>
      <c r="N122" s="13">
        <f t="shared" si="5"/>
        <v>0</v>
      </c>
      <c r="O122" s="14">
        <f t="shared" si="5"/>
        <v>0</v>
      </c>
      <c r="P122" s="16">
        <f t="shared" si="6"/>
        <v>0</v>
      </c>
      <c r="Q122" s="17">
        <f t="shared" si="7"/>
        <v>0</v>
      </c>
      <c r="R122" s="4" t="s">
        <v>0</v>
      </c>
      <c r="S122" s="15" t="str">
        <f t="shared" si="8"/>
        <v>-</v>
      </c>
      <c r="T122" s="13">
        <f t="shared" si="9"/>
        <v>0</v>
      </c>
      <c r="U122" s="17">
        <f t="shared" si="10"/>
        <v>1000</v>
      </c>
      <c r="V122" s="13">
        <f t="shared" si="26"/>
        <v>0</v>
      </c>
      <c r="W122" s="17">
        <f t="shared" si="11"/>
        <v>1000</v>
      </c>
      <c r="X122" s="13">
        <f t="shared" si="27"/>
        <v>0</v>
      </c>
      <c r="Y122" s="17">
        <f t="shared" si="12"/>
        <v>1000</v>
      </c>
      <c r="Z122" s="13">
        <f t="shared" si="28"/>
        <v>0</v>
      </c>
      <c r="AA122" s="17">
        <f t="shared" si="13"/>
        <v>1000</v>
      </c>
      <c r="AB122" s="4" t="s">
        <v>0</v>
      </c>
    </row>
    <row r="123" spans="1:28">
      <c r="A123" s="9" t="s">
        <v>77</v>
      </c>
      <c r="B123" s="19"/>
      <c r="C123" s="4"/>
      <c r="D123" s="20"/>
      <c r="E123" s="24"/>
      <c r="F123" s="20"/>
      <c r="G123" s="24"/>
      <c r="H123" s="4" t="s">
        <v>0</v>
      </c>
      <c r="I123" s="15" t="str">
        <f t="shared" si="0"/>
        <v>-</v>
      </c>
      <c r="J123" s="13">
        <f t="shared" si="2"/>
        <v>0</v>
      </c>
      <c r="K123" s="14">
        <f t="shared" si="2"/>
        <v>0</v>
      </c>
      <c r="L123" s="16">
        <f t="shared" si="3"/>
        <v>0</v>
      </c>
      <c r="M123" s="17">
        <f t="shared" si="4"/>
        <v>0</v>
      </c>
      <c r="N123" s="13">
        <f t="shared" si="5"/>
        <v>0</v>
      </c>
      <c r="O123" s="14">
        <f t="shared" si="5"/>
        <v>0</v>
      </c>
      <c r="P123" s="16">
        <f t="shared" si="6"/>
        <v>0</v>
      </c>
      <c r="Q123" s="17">
        <f t="shared" si="7"/>
        <v>0</v>
      </c>
      <c r="R123" s="4" t="s">
        <v>0</v>
      </c>
      <c r="S123" s="15" t="str">
        <f t="shared" si="8"/>
        <v>-</v>
      </c>
      <c r="T123" s="13">
        <f t="shared" si="9"/>
        <v>0</v>
      </c>
      <c r="U123" s="17">
        <f t="shared" si="10"/>
        <v>1000</v>
      </c>
      <c r="V123" s="13">
        <f t="shared" si="26"/>
        <v>0</v>
      </c>
      <c r="W123" s="17">
        <f t="shared" si="11"/>
        <v>1000</v>
      </c>
      <c r="X123" s="13">
        <f t="shared" si="27"/>
        <v>0</v>
      </c>
      <c r="Y123" s="17">
        <f t="shared" si="12"/>
        <v>1000</v>
      </c>
      <c r="Z123" s="13">
        <f t="shared" si="28"/>
        <v>0</v>
      </c>
      <c r="AA123" s="17">
        <f t="shared" si="13"/>
        <v>1000</v>
      </c>
      <c r="AB123" s="4" t="s">
        <v>0</v>
      </c>
    </row>
    <row r="124" spans="1:28">
      <c r="A124" s="9" t="s">
        <v>77</v>
      </c>
      <c r="B124" s="19"/>
      <c r="C124" s="4"/>
      <c r="D124" s="20"/>
      <c r="E124" s="24"/>
      <c r="F124" s="20"/>
      <c r="G124" s="24"/>
      <c r="H124" s="4" t="s">
        <v>0</v>
      </c>
      <c r="I124" s="15" t="str">
        <f t="shared" si="0"/>
        <v>-</v>
      </c>
      <c r="J124" s="13">
        <f t="shared" si="2"/>
        <v>0</v>
      </c>
      <c r="K124" s="14">
        <f t="shared" si="2"/>
        <v>0</v>
      </c>
      <c r="L124" s="16">
        <f t="shared" si="3"/>
        <v>0</v>
      </c>
      <c r="M124" s="17">
        <f t="shared" si="4"/>
        <v>0</v>
      </c>
      <c r="N124" s="13">
        <f t="shared" si="5"/>
        <v>0</v>
      </c>
      <c r="O124" s="14">
        <f t="shared" si="5"/>
        <v>0</v>
      </c>
      <c r="P124" s="16">
        <f t="shared" si="6"/>
        <v>0</v>
      </c>
      <c r="Q124" s="17">
        <f t="shared" si="7"/>
        <v>0</v>
      </c>
      <c r="R124" s="4" t="s">
        <v>0</v>
      </c>
      <c r="S124" s="15" t="str">
        <f t="shared" si="8"/>
        <v>-</v>
      </c>
      <c r="T124" s="13">
        <f t="shared" si="9"/>
        <v>0</v>
      </c>
      <c r="U124" s="17">
        <f t="shared" si="10"/>
        <v>1000</v>
      </c>
      <c r="V124" s="13">
        <f t="shared" si="26"/>
        <v>0</v>
      </c>
      <c r="W124" s="17">
        <f t="shared" si="11"/>
        <v>1000</v>
      </c>
      <c r="X124" s="13">
        <f t="shared" si="27"/>
        <v>0</v>
      </c>
      <c r="Y124" s="17">
        <f t="shared" si="12"/>
        <v>1000</v>
      </c>
      <c r="Z124" s="13">
        <f t="shared" si="28"/>
        <v>0</v>
      </c>
      <c r="AA124" s="17">
        <f t="shared" si="13"/>
        <v>1000</v>
      </c>
      <c r="AB124" s="4" t="s">
        <v>0</v>
      </c>
    </row>
    <row r="125" spans="1:28">
      <c r="A125" s="9" t="s">
        <v>77</v>
      </c>
      <c r="B125" s="19"/>
      <c r="C125" s="4"/>
      <c r="D125" s="20"/>
      <c r="E125" s="24"/>
      <c r="F125" s="20"/>
      <c r="G125" s="24"/>
      <c r="H125" s="4" t="s">
        <v>0</v>
      </c>
      <c r="I125" s="15" t="str">
        <f t="shared" si="0"/>
        <v>-</v>
      </c>
      <c r="J125" s="13">
        <f t="shared" si="2"/>
        <v>0</v>
      </c>
      <c r="K125" s="14">
        <f t="shared" si="2"/>
        <v>0</v>
      </c>
      <c r="L125" s="16">
        <f t="shared" si="3"/>
        <v>0</v>
      </c>
      <c r="M125" s="17">
        <f t="shared" si="4"/>
        <v>0</v>
      </c>
      <c r="N125" s="13">
        <f t="shared" si="5"/>
        <v>0</v>
      </c>
      <c r="O125" s="14">
        <f t="shared" si="5"/>
        <v>0</v>
      </c>
      <c r="P125" s="16">
        <f t="shared" si="6"/>
        <v>0</v>
      </c>
      <c r="Q125" s="17">
        <f t="shared" si="7"/>
        <v>0</v>
      </c>
      <c r="R125" s="4" t="s">
        <v>0</v>
      </c>
      <c r="S125" s="15" t="str">
        <f t="shared" si="8"/>
        <v>-</v>
      </c>
      <c r="T125" s="13">
        <f t="shared" si="9"/>
        <v>0</v>
      </c>
      <c r="U125" s="17">
        <f t="shared" si="10"/>
        <v>1000</v>
      </c>
      <c r="V125" s="13">
        <f t="shared" si="26"/>
        <v>0</v>
      </c>
      <c r="W125" s="17">
        <f t="shared" si="11"/>
        <v>1000</v>
      </c>
      <c r="X125" s="13">
        <f t="shared" si="27"/>
        <v>0</v>
      </c>
      <c r="Y125" s="17">
        <f t="shared" si="12"/>
        <v>1000</v>
      </c>
      <c r="Z125" s="13">
        <f t="shared" si="28"/>
        <v>0</v>
      </c>
      <c r="AA125" s="17">
        <f t="shared" si="13"/>
        <v>1000</v>
      </c>
      <c r="AB125" s="4" t="s">
        <v>0</v>
      </c>
    </row>
    <row r="126" spans="1:28">
      <c r="A126" s="9" t="s">
        <v>77</v>
      </c>
      <c r="B126" s="19"/>
      <c r="C126" s="4"/>
      <c r="D126" s="20"/>
      <c r="E126" s="24"/>
      <c r="F126" s="20"/>
      <c r="G126" s="24"/>
      <c r="H126" s="4" t="s">
        <v>0</v>
      </c>
      <c r="I126" s="15" t="str">
        <f t="shared" si="0"/>
        <v>-</v>
      </c>
      <c r="J126" s="13">
        <f t="shared" si="2"/>
        <v>0</v>
      </c>
      <c r="K126" s="14">
        <f t="shared" si="2"/>
        <v>0</v>
      </c>
      <c r="L126" s="16">
        <f t="shared" si="3"/>
        <v>0</v>
      </c>
      <c r="M126" s="17">
        <f t="shared" si="4"/>
        <v>0</v>
      </c>
      <c r="N126" s="13">
        <f t="shared" si="5"/>
        <v>0</v>
      </c>
      <c r="O126" s="14">
        <f t="shared" si="5"/>
        <v>0</v>
      </c>
      <c r="P126" s="16">
        <f t="shared" si="6"/>
        <v>0</v>
      </c>
      <c r="Q126" s="17">
        <f t="shared" si="7"/>
        <v>0</v>
      </c>
      <c r="R126" s="4" t="s">
        <v>0</v>
      </c>
      <c r="S126" s="15" t="str">
        <f t="shared" si="8"/>
        <v>-</v>
      </c>
      <c r="T126" s="13">
        <f t="shared" si="9"/>
        <v>0</v>
      </c>
      <c r="U126" s="17">
        <f t="shared" si="10"/>
        <v>1000</v>
      </c>
      <c r="V126" s="13">
        <f t="shared" si="26"/>
        <v>0</v>
      </c>
      <c r="W126" s="17">
        <f t="shared" si="11"/>
        <v>1000</v>
      </c>
      <c r="X126" s="13">
        <f t="shared" si="27"/>
        <v>0</v>
      </c>
      <c r="Y126" s="17">
        <f t="shared" si="12"/>
        <v>1000</v>
      </c>
      <c r="Z126" s="13">
        <f t="shared" si="28"/>
        <v>0</v>
      </c>
      <c r="AA126" s="17">
        <f t="shared" si="13"/>
        <v>1000</v>
      </c>
      <c r="AB126" s="4" t="s">
        <v>0</v>
      </c>
    </row>
    <row r="127" spans="1:28">
      <c r="A127" s="9" t="s">
        <v>77</v>
      </c>
      <c r="B127" s="19"/>
      <c r="C127" s="4"/>
      <c r="D127" s="20"/>
      <c r="E127" s="24"/>
      <c r="F127" s="20"/>
      <c r="G127" s="24"/>
      <c r="H127" s="4" t="s">
        <v>0</v>
      </c>
      <c r="I127" s="15" t="str">
        <f t="shared" si="0"/>
        <v>-</v>
      </c>
      <c r="J127" s="13">
        <f t="shared" si="2"/>
        <v>0</v>
      </c>
      <c r="K127" s="14">
        <f t="shared" si="2"/>
        <v>0</v>
      </c>
      <c r="L127" s="16">
        <f t="shared" si="3"/>
        <v>0</v>
      </c>
      <c r="M127" s="17">
        <f t="shared" si="4"/>
        <v>0</v>
      </c>
      <c r="N127" s="13">
        <f t="shared" si="5"/>
        <v>0</v>
      </c>
      <c r="O127" s="14">
        <f t="shared" si="5"/>
        <v>0</v>
      </c>
      <c r="P127" s="16">
        <f t="shared" si="6"/>
        <v>0</v>
      </c>
      <c r="Q127" s="17">
        <f t="shared" si="7"/>
        <v>0</v>
      </c>
      <c r="R127" s="4" t="s">
        <v>0</v>
      </c>
      <c r="S127" s="15" t="str">
        <f t="shared" si="8"/>
        <v>-</v>
      </c>
      <c r="T127" s="13">
        <f t="shared" si="9"/>
        <v>0</v>
      </c>
      <c r="U127" s="17">
        <f t="shared" si="10"/>
        <v>1000</v>
      </c>
      <c r="V127" s="13">
        <f t="shared" si="26"/>
        <v>0</v>
      </c>
      <c r="W127" s="17">
        <f t="shared" si="11"/>
        <v>1000</v>
      </c>
      <c r="X127" s="13">
        <f t="shared" si="27"/>
        <v>0</v>
      </c>
      <c r="Y127" s="17">
        <f t="shared" si="12"/>
        <v>1000</v>
      </c>
      <c r="Z127" s="13">
        <f t="shared" si="28"/>
        <v>0</v>
      </c>
      <c r="AA127" s="17">
        <f t="shared" si="13"/>
        <v>1000</v>
      </c>
      <c r="AB127" s="4" t="s">
        <v>0</v>
      </c>
    </row>
    <row r="128" spans="1:28">
      <c r="A128" s="9" t="s">
        <v>77</v>
      </c>
      <c r="B128" s="19"/>
      <c r="C128" s="4"/>
      <c r="D128" s="20"/>
      <c r="E128" s="24"/>
      <c r="F128" s="20"/>
      <c r="G128" s="24"/>
      <c r="H128" s="4" t="s">
        <v>0</v>
      </c>
      <c r="I128" s="15" t="str">
        <f t="shared" si="0"/>
        <v>-</v>
      </c>
      <c r="J128" s="13">
        <f t="shared" ref="J128:K172" si="29">IF(D128&lt;&gt;"",D128,0)</f>
        <v>0</v>
      </c>
      <c r="K128" s="14">
        <f t="shared" si="29"/>
        <v>0</v>
      </c>
      <c r="L128" s="16">
        <f t="shared" si="3"/>
        <v>0</v>
      </c>
      <c r="M128" s="17">
        <f t="shared" si="4"/>
        <v>0</v>
      </c>
      <c r="N128" s="13">
        <f t="shared" ref="N128:O172" si="30">IF(F128&lt;&gt;"",F128,0)</f>
        <v>0</v>
      </c>
      <c r="O128" s="14">
        <f t="shared" si="30"/>
        <v>0</v>
      </c>
      <c r="P128" s="16">
        <f t="shared" si="6"/>
        <v>0</v>
      </c>
      <c r="Q128" s="17">
        <f t="shared" si="7"/>
        <v>0</v>
      </c>
      <c r="R128" s="4" t="s">
        <v>0</v>
      </c>
      <c r="S128" s="15" t="str">
        <f t="shared" si="8"/>
        <v>-</v>
      </c>
      <c r="T128" s="13">
        <f t="shared" si="9"/>
        <v>0</v>
      </c>
      <c r="U128" s="17">
        <f t="shared" si="10"/>
        <v>1000</v>
      </c>
      <c r="V128" s="13">
        <f t="shared" si="26"/>
        <v>0</v>
      </c>
      <c r="W128" s="17">
        <f t="shared" si="11"/>
        <v>1000</v>
      </c>
      <c r="X128" s="13">
        <f t="shared" si="27"/>
        <v>0</v>
      </c>
      <c r="Y128" s="17">
        <f t="shared" si="12"/>
        <v>1000</v>
      </c>
      <c r="Z128" s="13">
        <f t="shared" si="28"/>
        <v>0</v>
      </c>
      <c r="AA128" s="17">
        <f t="shared" si="13"/>
        <v>1000</v>
      </c>
      <c r="AB128" s="4" t="s">
        <v>0</v>
      </c>
    </row>
    <row r="129" spans="1:28">
      <c r="A129" s="9" t="s">
        <v>77</v>
      </c>
      <c r="B129" s="19"/>
      <c r="C129" s="21"/>
      <c r="D129" s="20"/>
      <c r="E129" s="23"/>
      <c r="F129" s="20"/>
      <c r="G129" s="23"/>
      <c r="H129" s="4" t="s">
        <v>0</v>
      </c>
      <c r="I129" s="15" t="str">
        <f t="shared" si="0"/>
        <v>-</v>
      </c>
      <c r="J129" s="13">
        <f t="shared" si="29"/>
        <v>0</v>
      </c>
      <c r="K129" s="14">
        <f t="shared" si="29"/>
        <v>0</v>
      </c>
      <c r="L129" s="16">
        <f t="shared" si="3"/>
        <v>0</v>
      </c>
      <c r="M129" s="17">
        <f t="shared" si="4"/>
        <v>0</v>
      </c>
      <c r="N129" s="13">
        <f t="shared" si="30"/>
        <v>0</v>
      </c>
      <c r="O129" s="14">
        <f t="shared" si="30"/>
        <v>0</v>
      </c>
      <c r="P129" s="16">
        <f t="shared" si="6"/>
        <v>0</v>
      </c>
      <c r="Q129" s="17">
        <f t="shared" si="7"/>
        <v>0</v>
      </c>
      <c r="R129" s="4" t="s">
        <v>0</v>
      </c>
      <c r="S129" s="15" t="str">
        <f t="shared" si="8"/>
        <v>-</v>
      </c>
      <c r="T129" s="13">
        <f t="shared" si="9"/>
        <v>0</v>
      </c>
      <c r="U129" s="17">
        <f t="shared" si="10"/>
        <v>1000</v>
      </c>
      <c r="V129" s="13">
        <f t="shared" si="26"/>
        <v>0</v>
      </c>
      <c r="W129" s="17">
        <f t="shared" si="11"/>
        <v>1000</v>
      </c>
      <c r="X129" s="13">
        <f t="shared" si="27"/>
        <v>0</v>
      </c>
      <c r="Y129" s="17">
        <f t="shared" si="12"/>
        <v>1000</v>
      </c>
      <c r="Z129" s="13">
        <f t="shared" si="28"/>
        <v>0</v>
      </c>
      <c r="AA129" s="17">
        <f t="shared" si="13"/>
        <v>1000</v>
      </c>
      <c r="AB129" s="4" t="s">
        <v>0</v>
      </c>
    </row>
    <row r="130" spans="1:28">
      <c r="A130" s="9" t="s">
        <v>77</v>
      </c>
      <c r="B130" s="19"/>
      <c r="C130" s="21"/>
      <c r="D130" s="20"/>
      <c r="E130" s="24"/>
      <c r="F130" s="20"/>
      <c r="G130" s="24"/>
      <c r="H130" s="4" t="s">
        <v>0</v>
      </c>
      <c r="I130" s="15" t="str">
        <f t="shared" si="0"/>
        <v>-</v>
      </c>
      <c r="J130" s="13">
        <f t="shared" si="29"/>
        <v>0</v>
      </c>
      <c r="K130" s="14">
        <f t="shared" si="29"/>
        <v>0</v>
      </c>
      <c r="L130" s="16">
        <f t="shared" si="3"/>
        <v>0</v>
      </c>
      <c r="M130" s="17">
        <f t="shared" si="4"/>
        <v>0</v>
      </c>
      <c r="N130" s="13">
        <f t="shared" si="30"/>
        <v>0</v>
      </c>
      <c r="O130" s="14">
        <f t="shared" si="30"/>
        <v>0</v>
      </c>
      <c r="P130" s="16">
        <f t="shared" si="6"/>
        <v>0</v>
      </c>
      <c r="Q130" s="17">
        <f t="shared" si="7"/>
        <v>0</v>
      </c>
      <c r="R130" s="4" t="s">
        <v>0</v>
      </c>
      <c r="S130" s="15" t="str">
        <f t="shared" si="8"/>
        <v>-</v>
      </c>
      <c r="T130" s="13">
        <f t="shared" si="9"/>
        <v>0</v>
      </c>
      <c r="U130" s="17">
        <f t="shared" si="10"/>
        <v>1000</v>
      </c>
      <c r="V130" s="13">
        <f t="shared" si="26"/>
        <v>0</v>
      </c>
      <c r="W130" s="17">
        <f t="shared" si="11"/>
        <v>1000</v>
      </c>
      <c r="X130" s="13">
        <f t="shared" si="27"/>
        <v>0</v>
      </c>
      <c r="Y130" s="17">
        <f t="shared" si="12"/>
        <v>1000</v>
      </c>
      <c r="Z130" s="13">
        <f t="shared" si="28"/>
        <v>0</v>
      </c>
      <c r="AA130" s="17">
        <f t="shared" si="13"/>
        <v>1000</v>
      </c>
      <c r="AB130" s="4" t="s">
        <v>0</v>
      </c>
    </row>
    <row r="131" spans="1:28">
      <c r="A131" s="9" t="s">
        <v>77</v>
      </c>
      <c r="B131" s="19"/>
      <c r="C131" s="4"/>
      <c r="D131" s="20"/>
      <c r="E131" s="24"/>
      <c r="F131" s="20"/>
      <c r="G131" s="24"/>
      <c r="H131" s="4" t="s">
        <v>0</v>
      </c>
      <c r="I131" s="15" t="str">
        <f t="shared" si="0"/>
        <v>-</v>
      </c>
      <c r="J131" s="13">
        <f t="shared" si="29"/>
        <v>0</v>
      </c>
      <c r="K131" s="14">
        <f t="shared" si="29"/>
        <v>0</v>
      </c>
      <c r="L131" s="16">
        <f t="shared" si="3"/>
        <v>0</v>
      </c>
      <c r="M131" s="17">
        <f t="shared" si="4"/>
        <v>0</v>
      </c>
      <c r="N131" s="13">
        <f t="shared" si="30"/>
        <v>0</v>
      </c>
      <c r="O131" s="14">
        <f t="shared" si="30"/>
        <v>0</v>
      </c>
      <c r="P131" s="16">
        <f t="shared" si="6"/>
        <v>0</v>
      </c>
      <c r="Q131" s="17">
        <f t="shared" si="7"/>
        <v>0</v>
      </c>
      <c r="R131" s="4" t="s">
        <v>0</v>
      </c>
      <c r="S131" s="15" t="str">
        <f t="shared" si="8"/>
        <v>-</v>
      </c>
      <c r="T131" s="13">
        <f t="shared" si="9"/>
        <v>0</v>
      </c>
      <c r="U131" s="17">
        <f t="shared" si="10"/>
        <v>1000</v>
      </c>
      <c r="V131" s="13">
        <f t="shared" si="26"/>
        <v>0</v>
      </c>
      <c r="W131" s="17">
        <f t="shared" si="11"/>
        <v>1000</v>
      </c>
      <c r="X131" s="13">
        <f t="shared" si="27"/>
        <v>0</v>
      </c>
      <c r="Y131" s="17">
        <f t="shared" si="12"/>
        <v>1000</v>
      </c>
      <c r="Z131" s="13">
        <f t="shared" si="28"/>
        <v>0</v>
      </c>
      <c r="AA131" s="17">
        <f t="shared" si="13"/>
        <v>1000</v>
      </c>
      <c r="AB131" s="4" t="s">
        <v>0</v>
      </c>
    </row>
    <row r="132" spans="1:28">
      <c r="A132" s="9" t="s">
        <v>77</v>
      </c>
      <c r="B132" s="19"/>
      <c r="C132" s="4"/>
      <c r="D132" s="20"/>
      <c r="E132" s="24"/>
      <c r="F132" s="20"/>
      <c r="G132" s="24"/>
      <c r="H132" s="4" t="s">
        <v>0</v>
      </c>
      <c r="I132" s="15" t="str">
        <f t="shared" si="0"/>
        <v>-</v>
      </c>
      <c r="J132" s="13">
        <f t="shared" si="29"/>
        <v>0</v>
      </c>
      <c r="K132" s="14">
        <f t="shared" si="29"/>
        <v>0</v>
      </c>
      <c r="L132" s="16">
        <f t="shared" si="3"/>
        <v>0</v>
      </c>
      <c r="M132" s="17">
        <f t="shared" si="4"/>
        <v>0</v>
      </c>
      <c r="N132" s="13">
        <f t="shared" si="30"/>
        <v>0</v>
      </c>
      <c r="O132" s="14">
        <f t="shared" si="30"/>
        <v>0</v>
      </c>
      <c r="P132" s="16">
        <f t="shared" si="6"/>
        <v>0</v>
      </c>
      <c r="Q132" s="17">
        <f t="shared" si="7"/>
        <v>0</v>
      </c>
      <c r="R132" s="4" t="s">
        <v>0</v>
      </c>
      <c r="S132" s="15" t="str">
        <f t="shared" si="8"/>
        <v>-</v>
      </c>
      <c r="T132" s="13">
        <f t="shared" si="9"/>
        <v>0</v>
      </c>
      <c r="U132" s="17">
        <f t="shared" si="10"/>
        <v>1000</v>
      </c>
      <c r="V132" s="13">
        <f t="shared" si="26"/>
        <v>0</v>
      </c>
      <c r="W132" s="17">
        <f t="shared" si="11"/>
        <v>1000</v>
      </c>
      <c r="X132" s="13">
        <f t="shared" si="27"/>
        <v>0</v>
      </c>
      <c r="Y132" s="17">
        <f t="shared" si="12"/>
        <v>1000</v>
      </c>
      <c r="Z132" s="13">
        <f t="shared" si="28"/>
        <v>0</v>
      </c>
      <c r="AA132" s="17">
        <f t="shared" si="13"/>
        <v>1000</v>
      </c>
      <c r="AB132" s="4" t="s">
        <v>0</v>
      </c>
    </row>
    <row r="133" spans="1:28">
      <c r="A133" s="9" t="s">
        <v>77</v>
      </c>
      <c r="B133" s="19"/>
      <c r="C133" s="4"/>
      <c r="D133" s="20"/>
      <c r="E133" s="24"/>
      <c r="F133" s="20"/>
      <c r="G133" s="24"/>
      <c r="H133" s="4" t="s">
        <v>0</v>
      </c>
      <c r="I133" s="15" t="str">
        <f t="shared" si="0"/>
        <v>-</v>
      </c>
      <c r="J133" s="13">
        <f t="shared" si="29"/>
        <v>0</v>
      </c>
      <c r="K133" s="14">
        <f t="shared" si="29"/>
        <v>0</v>
      </c>
      <c r="L133" s="16">
        <f t="shared" si="3"/>
        <v>0</v>
      </c>
      <c r="M133" s="17">
        <f t="shared" si="4"/>
        <v>0</v>
      </c>
      <c r="N133" s="13">
        <f t="shared" si="30"/>
        <v>0</v>
      </c>
      <c r="O133" s="14">
        <f t="shared" si="30"/>
        <v>0</v>
      </c>
      <c r="P133" s="16">
        <f t="shared" si="6"/>
        <v>0</v>
      </c>
      <c r="Q133" s="17">
        <f t="shared" si="7"/>
        <v>0</v>
      </c>
      <c r="R133" s="4" t="s">
        <v>0</v>
      </c>
      <c r="S133" s="15" t="str">
        <f t="shared" si="8"/>
        <v>-</v>
      </c>
      <c r="T133" s="13">
        <f t="shared" si="9"/>
        <v>0</v>
      </c>
      <c r="U133" s="17">
        <f t="shared" si="10"/>
        <v>1000</v>
      </c>
      <c r="V133" s="13">
        <f t="shared" si="26"/>
        <v>0</v>
      </c>
      <c r="W133" s="17">
        <f t="shared" si="11"/>
        <v>1000</v>
      </c>
      <c r="X133" s="13">
        <f t="shared" si="27"/>
        <v>0</v>
      </c>
      <c r="Y133" s="17">
        <f t="shared" si="12"/>
        <v>1000</v>
      </c>
      <c r="Z133" s="13">
        <f t="shared" si="28"/>
        <v>0</v>
      </c>
      <c r="AA133" s="17">
        <f t="shared" si="13"/>
        <v>1000</v>
      </c>
      <c r="AB133" s="4" t="s">
        <v>0</v>
      </c>
    </row>
    <row r="134" spans="1:28">
      <c r="A134" s="9" t="s">
        <v>77</v>
      </c>
      <c r="B134" s="19"/>
      <c r="C134" s="4"/>
      <c r="D134" s="20"/>
      <c r="E134" s="24"/>
      <c r="F134" s="20"/>
      <c r="G134" s="24"/>
      <c r="H134" s="4" t="s">
        <v>0</v>
      </c>
      <c r="I134" s="15" t="str">
        <f t="shared" si="0"/>
        <v>-</v>
      </c>
      <c r="J134" s="13">
        <f t="shared" si="29"/>
        <v>0</v>
      </c>
      <c r="K134" s="14">
        <f t="shared" si="29"/>
        <v>0</v>
      </c>
      <c r="L134" s="16">
        <f t="shared" si="3"/>
        <v>0</v>
      </c>
      <c r="M134" s="17">
        <f t="shared" si="4"/>
        <v>0</v>
      </c>
      <c r="N134" s="13">
        <f t="shared" si="30"/>
        <v>0</v>
      </c>
      <c r="O134" s="14">
        <f t="shared" si="30"/>
        <v>0</v>
      </c>
      <c r="P134" s="16">
        <f t="shared" si="6"/>
        <v>0</v>
      </c>
      <c r="Q134" s="17">
        <f t="shared" si="7"/>
        <v>0</v>
      </c>
      <c r="R134" s="4" t="s">
        <v>0</v>
      </c>
      <c r="S134" s="15" t="str">
        <f t="shared" si="8"/>
        <v>-</v>
      </c>
      <c r="T134" s="13">
        <f t="shared" si="9"/>
        <v>0</v>
      </c>
      <c r="U134" s="17">
        <f t="shared" si="10"/>
        <v>1000</v>
      </c>
      <c r="V134" s="13">
        <f t="shared" si="26"/>
        <v>0</v>
      </c>
      <c r="W134" s="17">
        <f t="shared" si="11"/>
        <v>1000</v>
      </c>
      <c r="X134" s="13">
        <f t="shared" si="27"/>
        <v>0</v>
      </c>
      <c r="Y134" s="17">
        <f t="shared" si="12"/>
        <v>1000</v>
      </c>
      <c r="Z134" s="13">
        <f t="shared" si="28"/>
        <v>0</v>
      </c>
      <c r="AA134" s="17">
        <f t="shared" si="13"/>
        <v>1000</v>
      </c>
      <c r="AB134" s="4" t="s">
        <v>0</v>
      </c>
    </row>
    <row r="135" spans="1:28">
      <c r="A135" s="9" t="s">
        <v>77</v>
      </c>
      <c r="B135" s="19"/>
      <c r="C135" s="4"/>
      <c r="D135" s="20"/>
      <c r="E135" s="24"/>
      <c r="F135" s="20"/>
      <c r="G135" s="24"/>
      <c r="H135" s="4" t="s">
        <v>0</v>
      </c>
      <c r="I135" s="15" t="str">
        <f t="shared" si="0"/>
        <v>-</v>
      </c>
      <c r="J135" s="13">
        <f t="shared" si="29"/>
        <v>0</v>
      </c>
      <c r="K135" s="14">
        <f t="shared" si="29"/>
        <v>0</v>
      </c>
      <c r="L135" s="16">
        <f t="shared" si="3"/>
        <v>0</v>
      </c>
      <c r="M135" s="17">
        <f t="shared" si="4"/>
        <v>0</v>
      </c>
      <c r="N135" s="13">
        <f t="shared" si="30"/>
        <v>0</v>
      </c>
      <c r="O135" s="14">
        <f t="shared" si="30"/>
        <v>0</v>
      </c>
      <c r="P135" s="16">
        <f t="shared" si="6"/>
        <v>0</v>
      </c>
      <c r="Q135" s="17">
        <f t="shared" si="7"/>
        <v>0</v>
      </c>
      <c r="R135" s="4" t="s">
        <v>0</v>
      </c>
      <c r="S135" s="15" t="str">
        <f t="shared" si="8"/>
        <v>-</v>
      </c>
      <c r="T135" s="13">
        <f t="shared" si="9"/>
        <v>0</v>
      </c>
      <c r="U135" s="17">
        <f t="shared" si="10"/>
        <v>1000</v>
      </c>
      <c r="V135" s="13">
        <f t="shared" si="26"/>
        <v>0</v>
      </c>
      <c r="W135" s="17">
        <f t="shared" si="11"/>
        <v>1000</v>
      </c>
      <c r="X135" s="13">
        <f t="shared" si="27"/>
        <v>0</v>
      </c>
      <c r="Y135" s="17">
        <f t="shared" si="12"/>
        <v>1000</v>
      </c>
      <c r="Z135" s="13">
        <f t="shared" si="28"/>
        <v>0</v>
      </c>
      <c r="AA135" s="17">
        <f t="shared" si="13"/>
        <v>1000</v>
      </c>
      <c r="AB135" s="4" t="s">
        <v>0</v>
      </c>
    </row>
    <row r="136" spans="1:28">
      <c r="A136" s="9" t="s">
        <v>77</v>
      </c>
      <c r="B136" s="19"/>
      <c r="C136" s="4"/>
      <c r="D136" s="20"/>
      <c r="E136" s="24"/>
      <c r="F136" s="20"/>
      <c r="G136" s="24"/>
      <c r="H136" s="4" t="s">
        <v>0</v>
      </c>
      <c r="I136" s="15" t="str">
        <f t="shared" si="0"/>
        <v>-</v>
      </c>
      <c r="J136" s="13">
        <f t="shared" si="29"/>
        <v>0</v>
      </c>
      <c r="K136" s="14">
        <f t="shared" si="29"/>
        <v>0</v>
      </c>
      <c r="L136" s="16">
        <f t="shared" si="3"/>
        <v>0</v>
      </c>
      <c r="M136" s="17">
        <f t="shared" si="4"/>
        <v>0</v>
      </c>
      <c r="N136" s="13">
        <f t="shared" si="30"/>
        <v>0</v>
      </c>
      <c r="O136" s="14">
        <f t="shared" si="30"/>
        <v>0</v>
      </c>
      <c r="P136" s="16">
        <f t="shared" si="6"/>
        <v>0</v>
      </c>
      <c r="Q136" s="17">
        <f t="shared" si="7"/>
        <v>0</v>
      </c>
      <c r="R136" s="4" t="s">
        <v>0</v>
      </c>
      <c r="S136" s="15" t="str">
        <f t="shared" si="8"/>
        <v>-</v>
      </c>
      <c r="T136" s="13">
        <f t="shared" si="9"/>
        <v>0</v>
      </c>
      <c r="U136" s="17">
        <f t="shared" si="10"/>
        <v>1000</v>
      </c>
      <c r="V136" s="13">
        <f t="shared" si="26"/>
        <v>0</v>
      </c>
      <c r="W136" s="17">
        <f t="shared" si="11"/>
        <v>1000</v>
      </c>
      <c r="X136" s="13">
        <f t="shared" si="27"/>
        <v>0</v>
      </c>
      <c r="Y136" s="17">
        <f t="shared" si="12"/>
        <v>1000</v>
      </c>
      <c r="Z136" s="13">
        <f t="shared" si="28"/>
        <v>0</v>
      </c>
      <c r="AA136" s="17">
        <f t="shared" si="13"/>
        <v>1000</v>
      </c>
      <c r="AB136" s="4" t="s">
        <v>0</v>
      </c>
    </row>
    <row r="137" spans="1:28">
      <c r="A137" s="9" t="s">
        <v>77</v>
      </c>
      <c r="B137" s="19"/>
      <c r="C137" s="4"/>
      <c r="D137" s="20"/>
      <c r="E137" s="24"/>
      <c r="F137" s="20"/>
      <c r="G137" s="24"/>
      <c r="H137" s="4" t="s">
        <v>0</v>
      </c>
      <c r="I137" s="15" t="str">
        <f t="shared" si="0"/>
        <v>-</v>
      </c>
      <c r="J137" s="13">
        <f t="shared" si="29"/>
        <v>0</v>
      </c>
      <c r="K137" s="14">
        <f t="shared" si="29"/>
        <v>0</v>
      </c>
      <c r="L137" s="16">
        <f t="shared" si="3"/>
        <v>0</v>
      </c>
      <c r="M137" s="17">
        <f t="shared" si="4"/>
        <v>0</v>
      </c>
      <c r="N137" s="13">
        <f t="shared" si="30"/>
        <v>0</v>
      </c>
      <c r="O137" s="14">
        <f t="shared" si="30"/>
        <v>0</v>
      </c>
      <c r="P137" s="16">
        <f t="shared" si="6"/>
        <v>0</v>
      </c>
      <c r="Q137" s="17">
        <f t="shared" si="7"/>
        <v>0</v>
      </c>
      <c r="R137" s="4" t="s">
        <v>0</v>
      </c>
      <c r="S137" s="15" t="str">
        <f t="shared" si="8"/>
        <v>-</v>
      </c>
      <c r="T137" s="13">
        <f t="shared" si="9"/>
        <v>0</v>
      </c>
      <c r="U137" s="17">
        <f t="shared" si="10"/>
        <v>1000</v>
      </c>
      <c r="V137" s="13">
        <f t="shared" si="26"/>
        <v>0</v>
      </c>
      <c r="W137" s="17">
        <f t="shared" si="11"/>
        <v>1000</v>
      </c>
      <c r="X137" s="13">
        <f t="shared" si="27"/>
        <v>0</v>
      </c>
      <c r="Y137" s="17">
        <f t="shared" si="12"/>
        <v>1000</v>
      </c>
      <c r="Z137" s="13">
        <f t="shared" si="28"/>
        <v>0</v>
      </c>
      <c r="AA137" s="17">
        <f t="shared" si="13"/>
        <v>1000</v>
      </c>
      <c r="AB137" s="4" t="s">
        <v>0</v>
      </c>
    </row>
    <row r="138" spans="1:28">
      <c r="A138" s="9" t="s">
        <v>77</v>
      </c>
      <c r="B138" s="19"/>
      <c r="C138" s="4"/>
      <c r="D138" s="20"/>
      <c r="E138" s="24"/>
      <c r="F138" s="20"/>
      <c r="G138" s="24"/>
      <c r="H138" s="4" t="s">
        <v>0</v>
      </c>
      <c r="I138" s="15" t="str">
        <f t="shared" si="0"/>
        <v>-</v>
      </c>
      <c r="J138" s="13">
        <f t="shared" si="29"/>
        <v>0</v>
      </c>
      <c r="K138" s="14">
        <f t="shared" si="29"/>
        <v>0</v>
      </c>
      <c r="L138" s="16">
        <f t="shared" si="3"/>
        <v>0</v>
      </c>
      <c r="M138" s="17">
        <f t="shared" si="4"/>
        <v>0</v>
      </c>
      <c r="N138" s="13">
        <f t="shared" si="30"/>
        <v>0</v>
      </c>
      <c r="O138" s="14">
        <f t="shared" si="30"/>
        <v>0</v>
      </c>
      <c r="P138" s="16">
        <f t="shared" si="6"/>
        <v>0</v>
      </c>
      <c r="Q138" s="17">
        <f t="shared" si="7"/>
        <v>0</v>
      </c>
      <c r="R138" s="4" t="s">
        <v>0</v>
      </c>
      <c r="S138" s="15" t="str">
        <f t="shared" si="8"/>
        <v>-</v>
      </c>
      <c r="T138" s="13">
        <f t="shared" si="9"/>
        <v>0</v>
      </c>
      <c r="U138" s="17">
        <f t="shared" si="10"/>
        <v>1000</v>
      </c>
      <c r="V138" s="13">
        <f t="shared" si="26"/>
        <v>0</v>
      </c>
      <c r="W138" s="17">
        <f t="shared" si="11"/>
        <v>1000</v>
      </c>
      <c r="X138" s="13">
        <f t="shared" si="27"/>
        <v>0</v>
      </c>
      <c r="Y138" s="17">
        <f t="shared" si="12"/>
        <v>1000</v>
      </c>
      <c r="Z138" s="13">
        <f t="shared" si="28"/>
        <v>0</v>
      </c>
      <c r="AA138" s="17">
        <f t="shared" si="13"/>
        <v>1000</v>
      </c>
      <c r="AB138" s="4" t="s">
        <v>0</v>
      </c>
    </row>
    <row r="139" spans="1:28">
      <c r="A139" s="9" t="s">
        <v>77</v>
      </c>
      <c r="B139" s="19"/>
      <c r="C139" s="4"/>
      <c r="D139" s="20"/>
      <c r="E139" s="24"/>
      <c r="F139" s="20"/>
      <c r="G139" s="24"/>
      <c r="H139" s="4" t="s">
        <v>0</v>
      </c>
      <c r="I139" s="15" t="str">
        <f t="shared" si="0"/>
        <v>-</v>
      </c>
      <c r="J139" s="13">
        <f t="shared" si="29"/>
        <v>0</v>
      </c>
      <c r="K139" s="14">
        <f t="shared" si="29"/>
        <v>0</v>
      </c>
      <c r="L139" s="16">
        <f t="shared" si="3"/>
        <v>0</v>
      </c>
      <c r="M139" s="17">
        <f t="shared" si="4"/>
        <v>0</v>
      </c>
      <c r="N139" s="13">
        <f t="shared" si="30"/>
        <v>0</v>
      </c>
      <c r="O139" s="14">
        <f t="shared" si="30"/>
        <v>0</v>
      </c>
      <c r="P139" s="16">
        <f t="shared" si="6"/>
        <v>0</v>
      </c>
      <c r="Q139" s="17">
        <f t="shared" si="7"/>
        <v>0</v>
      </c>
      <c r="R139" s="4" t="s">
        <v>0</v>
      </c>
      <c r="S139" s="15" t="str">
        <f t="shared" si="8"/>
        <v>-</v>
      </c>
      <c r="T139" s="13">
        <f t="shared" si="9"/>
        <v>0</v>
      </c>
      <c r="U139" s="17">
        <f t="shared" si="10"/>
        <v>1000</v>
      </c>
      <c r="V139" s="13">
        <f t="shared" si="26"/>
        <v>0</v>
      </c>
      <c r="W139" s="17">
        <f t="shared" si="11"/>
        <v>1000</v>
      </c>
      <c r="X139" s="13">
        <f t="shared" si="27"/>
        <v>0</v>
      </c>
      <c r="Y139" s="17">
        <f t="shared" si="12"/>
        <v>1000</v>
      </c>
      <c r="Z139" s="13">
        <f t="shared" si="28"/>
        <v>0</v>
      </c>
      <c r="AA139" s="17">
        <f t="shared" si="13"/>
        <v>1000</v>
      </c>
      <c r="AB139" s="4" t="s">
        <v>0</v>
      </c>
    </row>
    <row r="140" spans="1:28">
      <c r="A140" s="9" t="s">
        <v>77</v>
      </c>
      <c r="B140" s="19"/>
      <c r="C140" s="4"/>
      <c r="D140" s="20"/>
      <c r="E140" s="24"/>
      <c r="F140" s="20"/>
      <c r="G140" s="24"/>
      <c r="H140" s="4" t="s">
        <v>0</v>
      </c>
      <c r="I140" s="15" t="str">
        <f t="shared" si="0"/>
        <v>-</v>
      </c>
      <c r="J140" s="13">
        <f t="shared" si="29"/>
        <v>0</v>
      </c>
      <c r="K140" s="14">
        <f t="shared" si="29"/>
        <v>0</v>
      </c>
      <c r="L140" s="16">
        <f t="shared" si="3"/>
        <v>0</v>
      </c>
      <c r="M140" s="17">
        <f t="shared" si="4"/>
        <v>0</v>
      </c>
      <c r="N140" s="13">
        <f t="shared" si="30"/>
        <v>0</v>
      </c>
      <c r="O140" s="14">
        <f t="shared" si="30"/>
        <v>0</v>
      </c>
      <c r="P140" s="16">
        <f t="shared" si="6"/>
        <v>0</v>
      </c>
      <c r="Q140" s="17">
        <f t="shared" si="7"/>
        <v>0</v>
      </c>
      <c r="R140" s="4" t="s">
        <v>0</v>
      </c>
      <c r="S140" s="15" t="str">
        <f t="shared" si="8"/>
        <v>-</v>
      </c>
      <c r="T140" s="13">
        <f t="shared" si="9"/>
        <v>0</v>
      </c>
      <c r="U140" s="17">
        <f t="shared" si="10"/>
        <v>1000</v>
      </c>
      <c r="V140" s="13">
        <f t="shared" si="26"/>
        <v>0</v>
      </c>
      <c r="W140" s="17">
        <f t="shared" si="11"/>
        <v>1000</v>
      </c>
      <c r="X140" s="13">
        <f t="shared" si="27"/>
        <v>0</v>
      </c>
      <c r="Y140" s="17">
        <f t="shared" si="12"/>
        <v>1000</v>
      </c>
      <c r="Z140" s="13">
        <f t="shared" si="28"/>
        <v>0</v>
      </c>
      <c r="AA140" s="17">
        <f t="shared" si="13"/>
        <v>1000</v>
      </c>
      <c r="AB140" s="4" t="s">
        <v>0</v>
      </c>
    </row>
    <row r="141" spans="1:28">
      <c r="A141" s="9" t="s">
        <v>77</v>
      </c>
      <c r="B141" s="19"/>
      <c r="C141" s="4"/>
      <c r="D141" s="20"/>
      <c r="E141" s="24"/>
      <c r="F141" s="20"/>
      <c r="G141" s="24"/>
      <c r="H141" s="4" t="s">
        <v>0</v>
      </c>
      <c r="I141" s="15" t="str">
        <f t="shared" si="0"/>
        <v>-</v>
      </c>
      <c r="J141" s="13">
        <f t="shared" si="29"/>
        <v>0</v>
      </c>
      <c r="K141" s="14">
        <f t="shared" si="29"/>
        <v>0</v>
      </c>
      <c r="L141" s="16">
        <f t="shared" si="3"/>
        <v>0</v>
      </c>
      <c r="M141" s="17">
        <f t="shared" si="4"/>
        <v>0</v>
      </c>
      <c r="N141" s="13">
        <f t="shared" si="30"/>
        <v>0</v>
      </c>
      <c r="O141" s="14">
        <f t="shared" si="30"/>
        <v>0</v>
      </c>
      <c r="P141" s="16">
        <f t="shared" si="6"/>
        <v>0</v>
      </c>
      <c r="Q141" s="17">
        <f t="shared" si="7"/>
        <v>0</v>
      </c>
      <c r="R141" s="4" t="s">
        <v>0</v>
      </c>
      <c r="S141" s="15" t="str">
        <f t="shared" si="8"/>
        <v>-</v>
      </c>
      <c r="T141" s="13">
        <f t="shared" si="9"/>
        <v>0</v>
      </c>
      <c r="U141" s="17">
        <f t="shared" si="10"/>
        <v>1000</v>
      </c>
      <c r="V141" s="13">
        <f t="shared" si="26"/>
        <v>0</v>
      </c>
      <c r="W141" s="17">
        <f t="shared" si="11"/>
        <v>1000</v>
      </c>
      <c r="X141" s="13">
        <f t="shared" si="27"/>
        <v>0</v>
      </c>
      <c r="Y141" s="17">
        <f t="shared" si="12"/>
        <v>1000</v>
      </c>
      <c r="Z141" s="13">
        <f t="shared" si="28"/>
        <v>0</v>
      </c>
      <c r="AA141" s="17">
        <f t="shared" si="13"/>
        <v>1000</v>
      </c>
      <c r="AB141" s="4" t="s">
        <v>0</v>
      </c>
    </row>
    <row r="142" spans="1:28">
      <c r="A142" s="9" t="s">
        <v>77</v>
      </c>
      <c r="B142" s="19"/>
      <c r="C142" s="4"/>
      <c r="D142" s="20"/>
      <c r="E142" s="24"/>
      <c r="F142" s="20"/>
      <c r="G142" s="24"/>
      <c r="H142" s="4" t="s">
        <v>0</v>
      </c>
      <c r="I142" s="15" t="str">
        <f t="shared" si="0"/>
        <v>-</v>
      </c>
      <c r="J142" s="13">
        <f t="shared" si="29"/>
        <v>0</v>
      </c>
      <c r="K142" s="14">
        <f t="shared" si="29"/>
        <v>0</v>
      </c>
      <c r="L142" s="16">
        <f t="shared" si="3"/>
        <v>0</v>
      </c>
      <c r="M142" s="17">
        <f t="shared" si="4"/>
        <v>0</v>
      </c>
      <c r="N142" s="13">
        <f t="shared" si="30"/>
        <v>0</v>
      </c>
      <c r="O142" s="14">
        <f t="shared" si="30"/>
        <v>0</v>
      </c>
      <c r="P142" s="16">
        <f t="shared" si="6"/>
        <v>0</v>
      </c>
      <c r="Q142" s="17">
        <f t="shared" si="7"/>
        <v>0</v>
      </c>
      <c r="R142" s="4" t="s">
        <v>0</v>
      </c>
      <c r="S142" s="15" t="str">
        <f t="shared" si="8"/>
        <v>-</v>
      </c>
      <c r="T142" s="13">
        <f t="shared" si="9"/>
        <v>0</v>
      </c>
      <c r="U142" s="17">
        <f t="shared" si="10"/>
        <v>1000</v>
      </c>
      <c r="V142" s="13">
        <f t="shared" si="26"/>
        <v>0</v>
      </c>
      <c r="W142" s="17">
        <f t="shared" si="11"/>
        <v>1000</v>
      </c>
      <c r="X142" s="13">
        <f t="shared" si="27"/>
        <v>0</v>
      </c>
      <c r="Y142" s="17">
        <f t="shared" si="12"/>
        <v>1000</v>
      </c>
      <c r="Z142" s="13">
        <f t="shared" si="28"/>
        <v>0</v>
      </c>
      <c r="AA142" s="17">
        <f t="shared" si="13"/>
        <v>1000</v>
      </c>
      <c r="AB142" s="4" t="s">
        <v>0</v>
      </c>
    </row>
    <row r="143" spans="1:28">
      <c r="A143" s="9" t="s">
        <v>77</v>
      </c>
      <c r="B143" s="19"/>
      <c r="C143" s="4"/>
      <c r="D143" s="20"/>
      <c r="E143" s="24"/>
      <c r="F143" s="20"/>
      <c r="G143" s="24"/>
      <c r="H143" s="4" t="s">
        <v>0</v>
      </c>
      <c r="I143" s="15" t="str">
        <f t="shared" si="0"/>
        <v>-</v>
      </c>
      <c r="J143" s="13">
        <f t="shared" si="29"/>
        <v>0</v>
      </c>
      <c r="K143" s="14">
        <f t="shared" si="29"/>
        <v>0</v>
      </c>
      <c r="L143" s="16">
        <f t="shared" si="3"/>
        <v>0</v>
      </c>
      <c r="M143" s="17">
        <f t="shared" si="4"/>
        <v>0</v>
      </c>
      <c r="N143" s="13">
        <f t="shared" si="30"/>
        <v>0</v>
      </c>
      <c r="O143" s="14">
        <f t="shared" si="30"/>
        <v>0</v>
      </c>
      <c r="P143" s="16">
        <f t="shared" si="6"/>
        <v>0</v>
      </c>
      <c r="Q143" s="17">
        <f t="shared" si="7"/>
        <v>0</v>
      </c>
      <c r="R143" s="4" t="s">
        <v>0</v>
      </c>
      <c r="S143" s="15" t="str">
        <f t="shared" si="8"/>
        <v>-</v>
      </c>
      <c r="T143" s="13">
        <f t="shared" si="9"/>
        <v>0</v>
      </c>
      <c r="U143" s="17">
        <f t="shared" si="10"/>
        <v>1000</v>
      </c>
      <c r="V143" s="13">
        <f t="shared" si="26"/>
        <v>0</v>
      </c>
      <c r="W143" s="17">
        <f t="shared" si="11"/>
        <v>1000</v>
      </c>
      <c r="X143" s="13">
        <f t="shared" si="27"/>
        <v>0</v>
      </c>
      <c r="Y143" s="17">
        <f t="shared" si="12"/>
        <v>1000</v>
      </c>
      <c r="Z143" s="13">
        <f t="shared" si="28"/>
        <v>0</v>
      </c>
      <c r="AA143" s="17">
        <f t="shared" si="13"/>
        <v>1000</v>
      </c>
      <c r="AB143" s="4" t="s">
        <v>0</v>
      </c>
    </row>
    <row r="144" spans="1:28">
      <c r="A144" s="9" t="s">
        <v>77</v>
      </c>
      <c r="B144" s="19"/>
      <c r="C144" s="21"/>
      <c r="D144" s="20"/>
      <c r="E144" s="23"/>
      <c r="F144" s="20"/>
      <c r="G144" s="23"/>
      <c r="H144" s="4" t="s">
        <v>0</v>
      </c>
      <c r="I144" s="15" t="str">
        <f t="shared" si="0"/>
        <v>-</v>
      </c>
      <c r="J144" s="13">
        <f t="shared" si="29"/>
        <v>0</v>
      </c>
      <c r="K144" s="14">
        <f t="shared" si="29"/>
        <v>0</v>
      </c>
      <c r="L144" s="16">
        <f t="shared" si="3"/>
        <v>0</v>
      </c>
      <c r="M144" s="17">
        <f t="shared" si="4"/>
        <v>0</v>
      </c>
      <c r="N144" s="13">
        <f t="shared" si="30"/>
        <v>0</v>
      </c>
      <c r="O144" s="14">
        <f t="shared" si="30"/>
        <v>0</v>
      </c>
      <c r="P144" s="16">
        <f t="shared" si="6"/>
        <v>0</v>
      </c>
      <c r="Q144" s="17">
        <f t="shared" si="7"/>
        <v>0</v>
      </c>
      <c r="R144" s="4" t="s">
        <v>0</v>
      </c>
      <c r="S144" s="15" t="str">
        <f t="shared" si="8"/>
        <v>-</v>
      </c>
      <c r="T144" s="13">
        <f t="shared" si="9"/>
        <v>0</v>
      </c>
      <c r="U144" s="17">
        <f t="shared" si="10"/>
        <v>1000</v>
      </c>
      <c r="V144" s="13">
        <f t="shared" si="26"/>
        <v>0</v>
      </c>
      <c r="W144" s="17">
        <f t="shared" si="11"/>
        <v>1000</v>
      </c>
      <c r="X144" s="13">
        <f t="shared" si="27"/>
        <v>0</v>
      </c>
      <c r="Y144" s="17">
        <f t="shared" si="12"/>
        <v>1000</v>
      </c>
      <c r="Z144" s="13">
        <f t="shared" si="28"/>
        <v>0</v>
      </c>
      <c r="AA144" s="17">
        <f t="shared" si="13"/>
        <v>1000</v>
      </c>
      <c r="AB144" s="4" t="s">
        <v>0</v>
      </c>
    </row>
    <row r="145" spans="1:28">
      <c r="A145" s="9" t="s">
        <v>77</v>
      </c>
      <c r="B145" s="19"/>
      <c r="C145" s="21"/>
      <c r="D145" s="20"/>
      <c r="E145" s="24"/>
      <c r="F145" s="20"/>
      <c r="G145" s="24"/>
      <c r="H145" s="4" t="s">
        <v>0</v>
      </c>
      <c r="I145" s="15" t="str">
        <f t="shared" si="0"/>
        <v>-</v>
      </c>
      <c r="J145" s="13">
        <f t="shared" si="29"/>
        <v>0</v>
      </c>
      <c r="K145" s="14">
        <f t="shared" si="29"/>
        <v>0</v>
      </c>
      <c r="L145" s="16">
        <f t="shared" si="3"/>
        <v>0</v>
      </c>
      <c r="M145" s="17">
        <f t="shared" si="4"/>
        <v>0</v>
      </c>
      <c r="N145" s="13">
        <f t="shared" si="30"/>
        <v>0</v>
      </c>
      <c r="O145" s="14">
        <f t="shared" si="30"/>
        <v>0</v>
      </c>
      <c r="P145" s="16">
        <f t="shared" si="6"/>
        <v>0</v>
      </c>
      <c r="Q145" s="17">
        <f t="shared" si="7"/>
        <v>0</v>
      </c>
      <c r="R145" s="4" t="s">
        <v>0</v>
      </c>
      <c r="S145" s="15" t="str">
        <f t="shared" si="8"/>
        <v>-</v>
      </c>
      <c r="T145" s="13">
        <f t="shared" si="9"/>
        <v>0</v>
      </c>
      <c r="U145" s="17">
        <f t="shared" si="10"/>
        <v>1000</v>
      </c>
      <c r="V145" s="13">
        <f t="shared" si="26"/>
        <v>0</v>
      </c>
      <c r="W145" s="17">
        <f t="shared" si="11"/>
        <v>1000</v>
      </c>
      <c r="X145" s="13">
        <f t="shared" si="27"/>
        <v>0</v>
      </c>
      <c r="Y145" s="17">
        <f t="shared" si="12"/>
        <v>1000</v>
      </c>
      <c r="Z145" s="13">
        <f t="shared" si="28"/>
        <v>0</v>
      </c>
      <c r="AA145" s="17">
        <f t="shared" si="13"/>
        <v>1000</v>
      </c>
      <c r="AB145" s="4" t="s">
        <v>0</v>
      </c>
    </row>
    <row r="146" spans="1:28">
      <c r="A146" s="9" t="s">
        <v>77</v>
      </c>
      <c r="B146" s="19"/>
      <c r="C146" s="4"/>
      <c r="D146" s="20"/>
      <c r="E146" s="24"/>
      <c r="F146" s="20"/>
      <c r="G146" s="24"/>
      <c r="H146" s="4" t="s">
        <v>0</v>
      </c>
      <c r="I146" s="15" t="str">
        <f t="shared" si="0"/>
        <v>-</v>
      </c>
      <c r="J146" s="13">
        <f t="shared" si="29"/>
        <v>0</v>
      </c>
      <c r="K146" s="14">
        <f t="shared" si="29"/>
        <v>0</v>
      </c>
      <c r="L146" s="16">
        <f t="shared" si="3"/>
        <v>0</v>
      </c>
      <c r="M146" s="17">
        <f t="shared" si="4"/>
        <v>0</v>
      </c>
      <c r="N146" s="13">
        <f t="shared" si="30"/>
        <v>0</v>
      </c>
      <c r="O146" s="14">
        <f t="shared" si="30"/>
        <v>0</v>
      </c>
      <c r="P146" s="16">
        <f t="shared" si="6"/>
        <v>0</v>
      </c>
      <c r="Q146" s="17">
        <f t="shared" si="7"/>
        <v>0</v>
      </c>
      <c r="R146" s="4" t="s">
        <v>0</v>
      </c>
      <c r="S146" s="15" t="str">
        <f t="shared" si="8"/>
        <v>-</v>
      </c>
      <c r="T146" s="13">
        <f t="shared" si="9"/>
        <v>0</v>
      </c>
      <c r="U146" s="17">
        <f t="shared" si="10"/>
        <v>1000</v>
      </c>
      <c r="V146" s="13">
        <f t="shared" si="26"/>
        <v>0</v>
      </c>
      <c r="W146" s="17">
        <f t="shared" si="11"/>
        <v>1000</v>
      </c>
      <c r="X146" s="13">
        <f t="shared" si="27"/>
        <v>0</v>
      </c>
      <c r="Y146" s="17">
        <f t="shared" si="12"/>
        <v>1000</v>
      </c>
      <c r="Z146" s="13">
        <f t="shared" si="28"/>
        <v>0</v>
      </c>
      <c r="AA146" s="17">
        <f t="shared" si="13"/>
        <v>1000</v>
      </c>
      <c r="AB146" s="4" t="s">
        <v>0</v>
      </c>
    </row>
    <row r="147" spans="1:28">
      <c r="A147" s="9" t="s">
        <v>77</v>
      </c>
      <c r="B147" s="19"/>
      <c r="C147" s="4"/>
      <c r="D147" s="20"/>
      <c r="E147" s="24"/>
      <c r="F147" s="20"/>
      <c r="G147" s="24"/>
      <c r="H147" s="4" t="s">
        <v>0</v>
      </c>
      <c r="I147" s="15" t="str">
        <f t="shared" si="0"/>
        <v>-</v>
      </c>
      <c r="J147" s="13">
        <f t="shared" si="29"/>
        <v>0</v>
      </c>
      <c r="K147" s="14">
        <f t="shared" si="29"/>
        <v>0</v>
      </c>
      <c r="L147" s="16">
        <f t="shared" si="3"/>
        <v>0</v>
      </c>
      <c r="M147" s="17">
        <f t="shared" si="4"/>
        <v>0</v>
      </c>
      <c r="N147" s="13">
        <f t="shared" si="30"/>
        <v>0</v>
      </c>
      <c r="O147" s="14">
        <f t="shared" si="30"/>
        <v>0</v>
      </c>
      <c r="P147" s="16">
        <f t="shared" si="6"/>
        <v>0</v>
      </c>
      <c r="Q147" s="17">
        <f t="shared" si="7"/>
        <v>0</v>
      </c>
      <c r="R147" s="4" t="s">
        <v>0</v>
      </c>
      <c r="S147" s="15" t="str">
        <f t="shared" si="8"/>
        <v>-</v>
      </c>
      <c r="T147" s="13">
        <f t="shared" si="9"/>
        <v>0</v>
      </c>
      <c r="U147" s="17">
        <f t="shared" si="10"/>
        <v>1000</v>
      </c>
      <c r="V147" s="13">
        <f t="shared" si="26"/>
        <v>0</v>
      </c>
      <c r="W147" s="17">
        <f t="shared" si="11"/>
        <v>1000</v>
      </c>
      <c r="X147" s="13">
        <f t="shared" si="27"/>
        <v>0</v>
      </c>
      <c r="Y147" s="17">
        <f t="shared" si="12"/>
        <v>1000</v>
      </c>
      <c r="Z147" s="13">
        <f t="shared" si="28"/>
        <v>0</v>
      </c>
      <c r="AA147" s="17">
        <f t="shared" si="13"/>
        <v>1000</v>
      </c>
      <c r="AB147" s="4" t="s">
        <v>0</v>
      </c>
    </row>
    <row r="148" spans="1:28">
      <c r="A148" s="9" t="s">
        <v>77</v>
      </c>
      <c r="B148" s="19"/>
      <c r="C148" s="4"/>
      <c r="D148" s="20"/>
      <c r="E148" s="24"/>
      <c r="F148" s="20"/>
      <c r="G148" s="24"/>
      <c r="H148" s="4" t="s">
        <v>0</v>
      </c>
      <c r="I148" s="15" t="str">
        <f t="shared" si="0"/>
        <v>-</v>
      </c>
      <c r="J148" s="13">
        <f t="shared" si="29"/>
        <v>0</v>
      </c>
      <c r="K148" s="14">
        <f t="shared" si="29"/>
        <v>0</v>
      </c>
      <c r="L148" s="16">
        <f t="shared" si="3"/>
        <v>0</v>
      </c>
      <c r="M148" s="17">
        <f t="shared" si="4"/>
        <v>0</v>
      </c>
      <c r="N148" s="13">
        <f t="shared" si="30"/>
        <v>0</v>
      </c>
      <c r="O148" s="14">
        <f t="shared" si="30"/>
        <v>0</v>
      </c>
      <c r="P148" s="16">
        <f t="shared" si="6"/>
        <v>0</v>
      </c>
      <c r="Q148" s="17">
        <f t="shared" si="7"/>
        <v>0</v>
      </c>
      <c r="R148" s="4" t="s">
        <v>0</v>
      </c>
      <c r="S148" s="15" t="str">
        <f t="shared" si="8"/>
        <v>-</v>
      </c>
      <c r="T148" s="13">
        <f t="shared" si="9"/>
        <v>0</v>
      </c>
      <c r="U148" s="17">
        <f t="shared" si="10"/>
        <v>1000</v>
      </c>
      <c r="V148" s="13">
        <f t="shared" si="26"/>
        <v>0</v>
      </c>
      <c r="W148" s="17">
        <f t="shared" si="11"/>
        <v>1000</v>
      </c>
      <c r="X148" s="13">
        <f t="shared" si="27"/>
        <v>0</v>
      </c>
      <c r="Y148" s="17">
        <f t="shared" si="12"/>
        <v>1000</v>
      </c>
      <c r="Z148" s="13">
        <f t="shared" si="28"/>
        <v>0</v>
      </c>
      <c r="AA148" s="17">
        <f t="shared" si="13"/>
        <v>1000</v>
      </c>
      <c r="AB148" s="4" t="s">
        <v>0</v>
      </c>
    </row>
    <row r="149" spans="1:28">
      <c r="A149" s="9" t="s">
        <v>77</v>
      </c>
      <c r="B149" s="19"/>
      <c r="C149" s="4"/>
      <c r="D149" s="20"/>
      <c r="E149" s="24"/>
      <c r="F149" s="20"/>
      <c r="G149" s="24"/>
      <c r="H149" s="4" t="s">
        <v>0</v>
      </c>
      <c r="I149" s="15" t="str">
        <f t="shared" si="0"/>
        <v>-</v>
      </c>
      <c r="J149" s="13">
        <f t="shared" si="29"/>
        <v>0</v>
      </c>
      <c r="K149" s="14">
        <f t="shared" si="29"/>
        <v>0</v>
      </c>
      <c r="L149" s="16">
        <f t="shared" si="3"/>
        <v>0</v>
      </c>
      <c r="M149" s="17">
        <f t="shared" si="4"/>
        <v>0</v>
      </c>
      <c r="N149" s="13">
        <f t="shared" si="30"/>
        <v>0</v>
      </c>
      <c r="O149" s="14">
        <f t="shared" si="30"/>
        <v>0</v>
      </c>
      <c r="P149" s="16">
        <f t="shared" si="6"/>
        <v>0</v>
      </c>
      <c r="Q149" s="17">
        <f t="shared" si="7"/>
        <v>0</v>
      </c>
      <c r="R149" s="4" t="s">
        <v>0</v>
      </c>
      <c r="S149" s="15" t="str">
        <f t="shared" si="8"/>
        <v>-</v>
      </c>
      <c r="T149" s="13">
        <f t="shared" si="9"/>
        <v>0</v>
      </c>
      <c r="U149" s="17">
        <f t="shared" si="10"/>
        <v>1000</v>
      </c>
      <c r="V149" s="13">
        <f t="shared" si="26"/>
        <v>0</v>
      </c>
      <c r="W149" s="17">
        <f t="shared" si="11"/>
        <v>1000</v>
      </c>
      <c r="X149" s="13">
        <f t="shared" si="27"/>
        <v>0</v>
      </c>
      <c r="Y149" s="17">
        <f t="shared" si="12"/>
        <v>1000</v>
      </c>
      <c r="Z149" s="13">
        <f t="shared" si="28"/>
        <v>0</v>
      </c>
      <c r="AA149" s="17">
        <f t="shared" si="13"/>
        <v>1000</v>
      </c>
      <c r="AB149" s="4" t="s">
        <v>0</v>
      </c>
    </row>
    <row r="150" spans="1:28">
      <c r="A150" s="9" t="s">
        <v>77</v>
      </c>
      <c r="B150" s="19"/>
      <c r="C150" s="4"/>
      <c r="D150" s="20"/>
      <c r="E150" s="24"/>
      <c r="F150" s="20"/>
      <c r="G150" s="24"/>
      <c r="H150" s="4" t="s">
        <v>0</v>
      </c>
      <c r="I150" s="15" t="str">
        <f t="shared" si="0"/>
        <v>-</v>
      </c>
      <c r="J150" s="13">
        <f t="shared" si="29"/>
        <v>0</v>
      </c>
      <c r="K150" s="14">
        <f t="shared" si="29"/>
        <v>0</v>
      </c>
      <c r="L150" s="16">
        <f t="shared" si="3"/>
        <v>0</v>
      </c>
      <c r="M150" s="17">
        <f t="shared" si="4"/>
        <v>0</v>
      </c>
      <c r="N150" s="13">
        <f t="shared" si="30"/>
        <v>0</v>
      </c>
      <c r="O150" s="14">
        <f t="shared" si="30"/>
        <v>0</v>
      </c>
      <c r="P150" s="16">
        <f t="shared" si="6"/>
        <v>0</v>
      </c>
      <c r="Q150" s="17">
        <f t="shared" si="7"/>
        <v>0</v>
      </c>
      <c r="R150" s="4" t="s">
        <v>0</v>
      </c>
      <c r="S150" s="15" t="str">
        <f t="shared" si="8"/>
        <v>-</v>
      </c>
      <c r="T150" s="13">
        <f t="shared" si="9"/>
        <v>0</v>
      </c>
      <c r="U150" s="17">
        <f t="shared" si="10"/>
        <v>1000</v>
      </c>
      <c r="V150" s="13">
        <f t="shared" si="26"/>
        <v>0</v>
      </c>
      <c r="W150" s="17">
        <f t="shared" si="11"/>
        <v>1000</v>
      </c>
      <c r="X150" s="13">
        <f t="shared" si="27"/>
        <v>0</v>
      </c>
      <c r="Y150" s="17">
        <f t="shared" si="12"/>
        <v>1000</v>
      </c>
      <c r="Z150" s="13">
        <f t="shared" si="28"/>
        <v>0</v>
      </c>
      <c r="AA150" s="17">
        <f t="shared" si="13"/>
        <v>1000</v>
      </c>
      <c r="AB150" s="4" t="s">
        <v>0</v>
      </c>
    </row>
    <row r="151" spans="1:28">
      <c r="A151" s="9" t="s">
        <v>77</v>
      </c>
      <c r="B151" s="19"/>
      <c r="C151" s="4"/>
      <c r="D151" s="20"/>
      <c r="E151" s="24"/>
      <c r="F151" s="20"/>
      <c r="G151" s="24"/>
      <c r="H151" s="4" t="s">
        <v>0</v>
      </c>
      <c r="I151" s="15" t="str">
        <f t="shared" si="0"/>
        <v>-</v>
      </c>
      <c r="J151" s="13">
        <f t="shared" si="29"/>
        <v>0</v>
      </c>
      <c r="K151" s="14">
        <f t="shared" si="29"/>
        <v>0</v>
      </c>
      <c r="L151" s="16">
        <f t="shared" si="3"/>
        <v>0</v>
      </c>
      <c r="M151" s="17">
        <f t="shared" si="4"/>
        <v>0</v>
      </c>
      <c r="N151" s="13">
        <f t="shared" si="30"/>
        <v>0</v>
      </c>
      <c r="O151" s="14">
        <f t="shared" si="30"/>
        <v>0</v>
      </c>
      <c r="P151" s="16">
        <f t="shared" si="6"/>
        <v>0</v>
      </c>
      <c r="Q151" s="17">
        <f t="shared" si="7"/>
        <v>0</v>
      </c>
      <c r="R151" s="4" t="s">
        <v>0</v>
      </c>
      <c r="S151" s="15" t="str">
        <f t="shared" si="8"/>
        <v>-</v>
      </c>
      <c r="T151" s="13">
        <f t="shared" si="9"/>
        <v>0</v>
      </c>
      <c r="U151" s="17">
        <f t="shared" si="10"/>
        <v>1000</v>
      </c>
      <c r="V151" s="13">
        <f t="shared" si="26"/>
        <v>0</v>
      </c>
      <c r="W151" s="17">
        <f t="shared" si="11"/>
        <v>1000</v>
      </c>
      <c r="X151" s="13">
        <f t="shared" si="27"/>
        <v>0</v>
      </c>
      <c r="Y151" s="17">
        <f t="shared" si="12"/>
        <v>1000</v>
      </c>
      <c r="Z151" s="13">
        <f t="shared" si="28"/>
        <v>0</v>
      </c>
      <c r="AA151" s="17">
        <f t="shared" si="13"/>
        <v>1000</v>
      </c>
      <c r="AB151" s="4" t="s">
        <v>0</v>
      </c>
    </row>
    <row r="152" spans="1:28">
      <c r="A152" s="9" t="s">
        <v>77</v>
      </c>
      <c r="B152" s="19"/>
      <c r="C152" s="4"/>
      <c r="D152" s="20"/>
      <c r="E152" s="24"/>
      <c r="F152" s="20"/>
      <c r="G152" s="24"/>
      <c r="H152" s="4" t="s">
        <v>0</v>
      </c>
      <c r="I152" s="15" t="str">
        <f t="shared" si="0"/>
        <v>-</v>
      </c>
      <c r="J152" s="13">
        <f t="shared" si="29"/>
        <v>0</v>
      </c>
      <c r="K152" s="14">
        <f t="shared" si="29"/>
        <v>0</v>
      </c>
      <c r="L152" s="16">
        <f t="shared" si="3"/>
        <v>0</v>
      </c>
      <c r="M152" s="17">
        <f t="shared" si="4"/>
        <v>0</v>
      </c>
      <c r="N152" s="13">
        <f t="shared" si="30"/>
        <v>0</v>
      </c>
      <c r="O152" s="14">
        <f t="shared" si="30"/>
        <v>0</v>
      </c>
      <c r="P152" s="16">
        <f t="shared" si="6"/>
        <v>0</v>
      </c>
      <c r="Q152" s="17">
        <f t="shared" si="7"/>
        <v>0</v>
      </c>
      <c r="R152" s="4" t="s">
        <v>0</v>
      </c>
      <c r="S152" s="15" t="str">
        <f t="shared" si="8"/>
        <v>-</v>
      </c>
      <c r="T152" s="13">
        <f t="shared" si="9"/>
        <v>0</v>
      </c>
      <c r="U152" s="17">
        <f t="shared" si="10"/>
        <v>1000</v>
      </c>
      <c r="V152" s="13">
        <f t="shared" si="26"/>
        <v>0</v>
      </c>
      <c r="W152" s="17">
        <f t="shared" si="11"/>
        <v>1000</v>
      </c>
      <c r="X152" s="13">
        <f t="shared" si="27"/>
        <v>0</v>
      </c>
      <c r="Y152" s="17">
        <f t="shared" si="12"/>
        <v>1000</v>
      </c>
      <c r="Z152" s="13">
        <f t="shared" si="28"/>
        <v>0</v>
      </c>
      <c r="AA152" s="17">
        <f t="shared" si="13"/>
        <v>1000</v>
      </c>
      <c r="AB152" s="4" t="s">
        <v>0</v>
      </c>
    </row>
    <row r="153" spans="1:28">
      <c r="A153" s="9" t="s">
        <v>77</v>
      </c>
      <c r="B153" s="19"/>
      <c r="C153" s="4"/>
      <c r="D153" s="20"/>
      <c r="E153" s="24"/>
      <c r="F153" s="20"/>
      <c r="G153" s="24"/>
      <c r="H153" s="4" t="s">
        <v>0</v>
      </c>
      <c r="I153" s="15" t="str">
        <f t="shared" si="0"/>
        <v>-</v>
      </c>
      <c r="J153" s="13">
        <f t="shared" si="29"/>
        <v>0</v>
      </c>
      <c r="K153" s="14">
        <f t="shared" si="29"/>
        <v>0</v>
      </c>
      <c r="L153" s="16">
        <f t="shared" si="3"/>
        <v>0</v>
      </c>
      <c r="M153" s="17">
        <f t="shared" si="4"/>
        <v>0</v>
      </c>
      <c r="N153" s="13">
        <f t="shared" si="30"/>
        <v>0</v>
      </c>
      <c r="O153" s="14">
        <f t="shared" si="30"/>
        <v>0</v>
      </c>
      <c r="P153" s="16">
        <f t="shared" si="6"/>
        <v>0</v>
      </c>
      <c r="Q153" s="17">
        <f t="shared" si="7"/>
        <v>0</v>
      </c>
      <c r="R153" s="4" t="s">
        <v>0</v>
      </c>
      <c r="S153" s="15" t="str">
        <f t="shared" si="8"/>
        <v>-</v>
      </c>
      <c r="T153" s="13">
        <f t="shared" si="9"/>
        <v>0</v>
      </c>
      <c r="U153" s="17">
        <f t="shared" si="10"/>
        <v>1000</v>
      </c>
      <c r="V153" s="13">
        <f t="shared" si="26"/>
        <v>0</v>
      </c>
      <c r="W153" s="17">
        <f t="shared" si="11"/>
        <v>1000</v>
      </c>
      <c r="X153" s="13">
        <f t="shared" si="27"/>
        <v>0</v>
      </c>
      <c r="Y153" s="17">
        <f t="shared" si="12"/>
        <v>1000</v>
      </c>
      <c r="Z153" s="13">
        <f t="shared" si="28"/>
        <v>0</v>
      </c>
      <c r="AA153" s="17">
        <f t="shared" si="13"/>
        <v>1000</v>
      </c>
      <c r="AB153" s="4" t="s">
        <v>0</v>
      </c>
    </row>
    <row r="154" spans="1:28">
      <c r="A154" s="9" t="s">
        <v>77</v>
      </c>
      <c r="B154" s="19"/>
      <c r="C154" s="4"/>
      <c r="D154" s="20"/>
      <c r="E154" s="24"/>
      <c r="F154" s="20"/>
      <c r="G154" s="24"/>
      <c r="H154" s="4" t="s">
        <v>0</v>
      </c>
      <c r="I154" s="15" t="str">
        <f t="shared" si="0"/>
        <v>-</v>
      </c>
      <c r="J154" s="13">
        <f t="shared" si="29"/>
        <v>0</v>
      </c>
      <c r="K154" s="14">
        <f t="shared" si="29"/>
        <v>0</v>
      </c>
      <c r="L154" s="16">
        <f t="shared" si="3"/>
        <v>0</v>
      </c>
      <c r="M154" s="17">
        <f t="shared" si="4"/>
        <v>0</v>
      </c>
      <c r="N154" s="13">
        <f t="shared" si="30"/>
        <v>0</v>
      </c>
      <c r="O154" s="14">
        <f t="shared" si="30"/>
        <v>0</v>
      </c>
      <c r="P154" s="16">
        <f t="shared" si="6"/>
        <v>0</v>
      </c>
      <c r="Q154" s="17">
        <f t="shared" si="7"/>
        <v>0</v>
      </c>
      <c r="R154" s="4" t="s">
        <v>0</v>
      </c>
      <c r="S154" s="15" t="str">
        <f t="shared" si="8"/>
        <v>-</v>
      </c>
      <c r="T154" s="13">
        <f t="shared" si="9"/>
        <v>0</v>
      </c>
      <c r="U154" s="17">
        <f t="shared" si="10"/>
        <v>1000</v>
      </c>
      <c r="V154" s="13">
        <f t="shared" si="26"/>
        <v>0</v>
      </c>
      <c r="W154" s="17">
        <f t="shared" si="11"/>
        <v>1000</v>
      </c>
      <c r="X154" s="13">
        <f t="shared" si="27"/>
        <v>0</v>
      </c>
      <c r="Y154" s="17">
        <f t="shared" si="12"/>
        <v>1000</v>
      </c>
      <c r="Z154" s="13">
        <f t="shared" si="28"/>
        <v>0</v>
      </c>
      <c r="AA154" s="17">
        <f t="shared" si="13"/>
        <v>1000</v>
      </c>
      <c r="AB154" s="4" t="s">
        <v>0</v>
      </c>
    </row>
    <row r="155" spans="1:28">
      <c r="A155" s="9" t="s">
        <v>77</v>
      </c>
      <c r="B155" s="19"/>
      <c r="C155" s="4"/>
      <c r="D155" s="20"/>
      <c r="E155" s="24"/>
      <c r="F155" s="20"/>
      <c r="G155" s="24"/>
      <c r="H155" s="4" t="s">
        <v>0</v>
      </c>
      <c r="I155" s="15" t="str">
        <f t="shared" si="0"/>
        <v>-</v>
      </c>
      <c r="J155" s="13">
        <f t="shared" si="29"/>
        <v>0</v>
      </c>
      <c r="K155" s="14">
        <f t="shared" si="29"/>
        <v>0</v>
      </c>
      <c r="L155" s="16">
        <f t="shared" si="3"/>
        <v>0</v>
      </c>
      <c r="M155" s="17">
        <f t="shared" si="4"/>
        <v>0</v>
      </c>
      <c r="N155" s="13">
        <f t="shared" si="30"/>
        <v>0</v>
      </c>
      <c r="O155" s="14">
        <f t="shared" si="30"/>
        <v>0</v>
      </c>
      <c r="P155" s="16">
        <f t="shared" si="6"/>
        <v>0</v>
      </c>
      <c r="Q155" s="17">
        <f t="shared" si="7"/>
        <v>0</v>
      </c>
      <c r="R155" s="4" t="s">
        <v>0</v>
      </c>
      <c r="S155" s="15" t="str">
        <f t="shared" si="8"/>
        <v>-</v>
      </c>
      <c r="T155" s="13">
        <f t="shared" si="9"/>
        <v>0</v>
      </c>
      <c r="U155" s="17">
        <f t="shared" si="10"/>
        <v>1000</v>
      </c>
      <c r="V155" s="13">
        <f t="shared" ref="V155:V172" si="31">IF(L155&lt;&gt;"",L155,"")</f>
        <v>0</v>
      </c>
      <c r="W155" s="17">
        <f t="shared" si="11"/>
        <v>1000</v>
      </c>
      <c r="X155" s="13">
        <f t="shared" ref="X155:X172" si="32">IF(N155&lt;&gt;"",N155,"")</f>
        <v>0</v>
      </c>
      <c r="Y155" s="17">
        <f t="shared" si="12"/>
        <v>1000</v>
      </c>
      <c r="Z155" s="13">
        <f t="shared" ref="Z155:Z172" si="33">IF(P155&lt;&gt;"",P155,"")</f>
        <v>0</v>
      </c>
      <c r="AA155" s="17">
        <f t="shared" si="13"/>
        <v>1000</v>
      </c>
      <c r="AB155" s="4" t="s">
        <v>0</v>
      </c>
    </row>
    <row r="156" spans="1:28">
      <c r="A156" s="9" t="s">
        <v>77</v>
      </c>
      <c r="B156" s="19"/>
      <c r="C156" s="4"/>
      <c r="D156" s="20"/>
      <c r="E156" s="24"/>
      <c r="F156" s="20"/>
      <c r="G156" s="24"/>
      <c r="H156" s="4" t="s">
        <v>0</v>
      </c>
      <c r="I156" s="15" t="str">
        <f t="shared" si="0"/>
        <v>-</v>
      </c>
      <c r="J156" s="13">
        <f t="shared" si="29"/>
        <v>0</v>
      </c>
      <c r="K156" s="14">
        <f t="shared" si="29"/>
        <v>0</v>
      </c>
      <c r="L156" s="16">
        <f t="shared" si="3"/>
        <v>0</v>
      </c>
      <c r="M156" s="17">
        <f t="shared" si="4"/>
        <v>0</v>
      </c>
      <c r="N156" s="13">
        <f t="shared" si="30"/>
        <v>0</v>
      </c>
      <c r="O156" s="14">
        <f t="shared" si="30"/>
        <v>0</v>
      </c>
      <c r="P156" s="16">
        <f t="shared" si="6"/>
        <v>0</v>
      </c>
      <c r="Q156" s="17">
        <f t="shared" si="7"/>
        <v>0</v>
      </c>
      <c r="R156" s="4" t="s">
        <v>0</v>
      </c>
      <c r="S156" s="15" t="str">
        <f t="shared" si="8"/>
        <v>-</v>
      </c>
      <c r="T156" s="13">
        <f t="shared" si="9"/>
        <v>0</v>
      </c>
      <c r="U156" s="17">
        <f t="shared" si="10"/>
        <v>1000</v>
      </c>
      <c r="V156" s="13">
        <f t="shared" si="31"/>
        <v>0</v>
      </c>
      <c r="W156" s="17">
        <f t="shared" si="11"/>
        <v>1000</v>
      </c>
      <c r="X156" s="13">
        <f t="shared" si="32"/>
        <v>0</v>
      </c>
      <c r="Y156" s="17">
        <f t="shared" si="12"/>
        <v>1000</v>
      </c>
      <c r="Z156" s="13">
        <f t="shared" si="33"/>
        <v>0</v>
      </c>
      <c r="AA156" s="17">
        <f t="shared" si="13"/>
        <v>1000</v>
      </c>
      <c r="AB156" s="4" t="s">
        <v>0</v>
      </c>
    </row>
    <row r="157" spans="1:28">
      <c r="A157" s="9" t="s">
        <v>77</v>
      </c>
      <c r="B157" s="19"/>
      <c r="C157" s="4"/>
      <c r="D157" s="20"/>
      <c r="E157" s="24"/>
      <c r="F157" s="20"/>
      <c r="G157" s="24"/>
      <c r="H157" s="4" t="s">
        <v>0</v>
      </c>
      <c r="I157" s="15" t="str">
        <f t="shared" si="0"/>
        <v>-</v>
      </c>
      <c r="J157" s="13">
        <f t="shared" si="29"/>
        <v>0</v>
      </c>
      <c r="K157" s="14">
        <f t="shared" si="29"/>
        <v>0</v>
      </c>
      <c r="L157" s="16">
        <f t="shared" si="3"/>
        <v>0</v>
      </c>
      <c r="M157" s="17">
        <f t="shared" si="4"/>
        <v>0</v>
      </c>
      <c r="N157" s="13">
        <f t="shared" si="30"/>
        <v>0</v>
      </c>
      <c r="O157" s="14">
        <f t="shared" si="30"/>
        <v>0</v>
      </c>
      <c r="P157" s="16">
        <f t="shared" si="6"/>
        <v>0</v>
      </c>
      <c r="Q157" s="17">
        <f t="shared" si="7"/>
        <v>0</v>
      </c>
      <c r="R157" s="4" t="s">
        <v>0</v>
      </c>
      <c r="S157" s="15" t="str">
        <f t="shared" si="8"/>
        <v>-</v>
      </c>
      <c r="T157" s="13">
        <f t="shared" si="9"/>
        <v>0</v>
      </c>
      <c r="U157" s="17">
        <f t="shared" si="10"/>
        <v>1000</v>
      </c>
      <c r="V157" s="13">
        <f t="shared" si="31"/>
        <v>0</v>
      </c>
      <c r="W157" s="17">
        <f t="shared" si="11"/>
        <v>1000</v>
      </c>
      <c r="X157" s="13">
        <f t="shared" si="32"/>
        <v>0</v>
      </c>
      <c r="Y157" s="17">
        <f t="shared" si="12"/>
        <v>1000</v>
      </c>
      <c r="Z157" s="13">
        <f t="shared" si="33"/>
        <v>0</v>
      </c>
      <c r="AA157" s="17">
        <f t="shared" si="13"/>
        <v>1000</v>
      </c>
      <c r="AB157" s="4" t="s">
        <v>0</v>
      </c>
    </row>
    <row r="158" spans="1:28">
      <c r="A158" s="9" t="s">
        <v>77</v>
      </c>
      <c r="B158" s="19"/>
      <c r="C158" s="4"/>
      <c r="D158" s="20"/>
      <c r="E158" s="24"/>
      <c r="F158" s="20"/>
      <c r="G158" s="24"/>
      <c r="H158" s="4" t="s">
        <v>0</v>
      </c>
      <c r="I158" s="15" t="str">
        <f t="shared" si="0"/>
        <v>-</v>
      </c>
      <c r="J158" s="13">
        <f t="shared" si="29"/>
        <v>0</v>
      </c>
      <c r="K158" s="14">
        <f t="shared" si="29"/>
        <v>0</v>
      </c>
      <c r="L158" s="16">
        <f t="shared" si="3"/>
        <v>0</v>
      </c>
      <c r="M158" s="17">
        <f t="shared" si="4"/>
        <v>0</v>
      </c>
      <c r="N158" s="13">
        <f t="shared" si="30"/>
        <v>0</v>
      </c>
      <c r="O158" s="14">
        <f t="shared" si="30"/>
        <v>0</v>
      </c>
      <c r="P158" s="16">
        <f t="shared" si="6"/>
        <v>0</v>
      </c>
      <c r="Q158" s="17">
        <f t="shared" si="7"/>
        <v>0</v>
      </c>
      <c r="R158" s="4" t="s">
        <v>0</v>
      </c>
      <c r="S158" s="15" t="str">
        <f t="shared" si="8"/>
        <v>-</v>
      </c>
      <c r="T158" s="13">
        <f t="shared" si="9"/>
        <v>0</v>
      </c>
      <c r="U158" s="17">
        <f t="shared" si="10"/>
        <v>1000</v>
      </c>
      <c r="V158" s="13">
        <f t="shared" si="31"/>
        <v>0</v>
      </c>
      <c r="W158" s="17">
        <f t="shared" si="11"/>
        <v>1000</v>
      </c>
      <c r="X158" s="13">
        <f t="shared" si="32"/>
        <v>0</v>
      </c>
      <c r="Y158" s="17">
        <f t="shared" si="12"/>
        <v>1000</v>
      </c>
      <c r="Z158" s="13">
        <f t="shared" si="33"/>
        <v>0</v>
      </c>
      <c r="AA158" s="17">
        <f t="shared" si="13"/>
        <v>1000</v>
      </c>
      <c r="AB158" s="4" t="s">
        <v>0</v>
      </c>
    </row>
    <row r="159" spans="1:28">
      <c r="A159" s="9" t="s">
        <v>77</v>
      </c>
      <c r="B159" s="19"/>
      <c r="C159" s="21"/>
      <c r="D159" s="20"/>
      <c r="E159" s="23"/>
      <c r="F159" s="20"/>
      <c r="G159" s="23"/>
      <c r="H159" s="4" t="s">
        <v>0</v>
      </c>
      <c r="I159" s="15" t="str">
        <f t="shared" si="0"/>
        <v>-</v>
      </c>
      <c r="J159" s="13">
        <f t="shared" si="29"/>
        <v>0</v>
      </c>
      <c r="K159" s="14">
        <f t="shared" si="29"/>
        <v>0</v>
      </c>
      <c r="L159" s="16">
        <f t="shared" si="3"/>
        <v>0</v>
      </c>
      <c r="M159" s="17">
        <f t="shared" si="4"/>
        <v>0</v>
      </c>
      <c r="N159" s="13">
        <f t="shared" si="30"/>
        <v>0</v>
      </c>
      <c r="O159" s="14">
        <f t="shared" si="30"/>
        <v>0</v>
      </c>
      <c r="P159" s="16">
        <f t="shared" si="6"/>
        <v>0</v>
      </c>
      <c r="Q159" s="17">
        <f t="shared" si="7"/>
        <v>0</v>
      </c>
      <c r="R159" s="4" t="s">
        <v>0</v>
      </c>
      <c r="S159" s="15" t="str">
        <f t="shared" si="8"/>
        <v>-</v>
      </c>
      <c r="T159" s="13">
        <f t="shared" si="9"/>
        <v>0</v>
      </c>
      <c r="U159" s="17">
        <f t="shared" si="10"/>
        <v>1000</v>
      </c>
      <c r="V159" s="13">
        <f t="shared" si="31"/>
        <v>0</v>
      </c>
      <c r="W159" s="17">
        <f t="shared" si="11"/>
        <v>1000</v>
      </c>
      <c r="X159" s="13">
        <f t="shared" si="32"/>
        <v>0</v>
      </c>
      <c r="Y159" s="17">
        <f t="shared" si="12"/>
        <v>1000</v>
      </c>
      <c r="Z159" s="13">
        <f t="shared" si="33"/>
        <v>0</v>
      </c>
      <c r="AA159" s="17">
        <f t="shared" si="13"/>
        <v>1000</v>
      </c>
      <c r="AB159" s="4" t="s">
        <v>0</v>
      </c>
    </row>
    <row r="160" spans="1:28">
      <c r="A160" s="9" t="s">
        <v>77</v>
      </c>
      <c r="B160" s="19"/>
      <c r="C160" s="21"/>
      <c r="D160" s="20"/>
      <c r="E160" s="24"/>
      <c r="F160" s="20"/>
      <c r="G160" s="24"/>
      <c r="H160" s="4" t="s">
        <v>0</v>
      </c>
      <c r="I160" s="15" t="str">
        <f t="shared" si="0"/>
        <v>-</v>
      </c>
      <c r="J160" s="13">
        <f t="shared" si="29"/>
        <v>0</v>
      </c>
      <c r="K160" s="14">
        <f t="shared" si="29"/>
        <v>0</v>
      </c>
      <c r="L160" s="16">
        <f t="shared" si="3"/>
        <v>0</v>
      </c>
      <c r="M160" s="17">
        <f t="shared" si="4"/>
        <v>0</v>
      </c>
      <c r="N160" s="13">
        <f t="shared" si="30"/>
        <v>0</v>
      </c>
      <c r="O160" s="14">
        <f t="shared" si="30"/>
        <v>0</v>
      </c>
      <c r="P160" s="16">
        <f t="shared" si="6"/>
        <v>0</v>
      </c>
      <c r="Q160" s="17">
        <f t="shared" si="7"/>
        <v>0</v>
      </c>
      <c r="R160" s="4" t="s">
        <v>0</v>
      </c>
      <c r="S160" s="15" t="str">
        <f t="shared" si="8"/>
        <v>-</v>
      </c>
      <c r="T160" s="13">
        <f t="shared" si="9"/>
        <v>0</v>
      </c>
      <c r="U160" s="17">
        <f t="shared" si="10"/>
        <v>1000</v>
      </c>
      <c r="V160" s="13">
        <f t="shared" si="31"/>
        <v>0</v>
      </c>
      <c r="W160" s="17">
        <f t="shared" si="11"/>
        <v>1000</v>
      </c>
      <c r="X160" s="13">
        <f t="shared" si="32"/>
        <v>0</v>
      </c>
      <c r="Y160" s="17">
        <f t="shared" si="12"/>
        <v>1000</v>
      </c>
      <c r="Z160" s="13">
        <f t="shared" si="33"/>
        <v>0</v>
      </c>
      <c r="AA160" s="17">
        <f t="shared" si="13"/>
        <v>1000</v>
      </c>
      <c r="AB160" s="4" t="s">
        <v>0</v>
      </c>
    </row>
    <row r="161" spans="1:28">
      <c r="A161" s="9" t="s">
        <v>77</v>
      </c>
      <c r="B161" s="19"/>
      <c r="C161" s="4"/>
      <c r="D161" s="20"/>
      <c r="E161" s="24"/>
      <c r="F161" s="20"/>
      <c r="G161" s="24"/>
      <c r="H161" s="4" t="s">
        <v>0</v>
      </c>
      <c r="I161" s="15" t="str">
        <f t="shared" si="0"/>
        <v>-</v>
      </c>
      <c r="J161" s="13">
        <f t="shared" si="29"/>
        <v>0</v>
      </c>
      <c r="K161" s="14">
        <f t="shared" si="29"/>
        <v>0</v>
      </c>
      <c r="L161" s="16">
        <f t="shared" si="3"/>
        <v>0</v>
      </c>
      <c r="M161" s="17">
        <f t="shared" si="4"/>
        <v>0</v>
      </c>
      <c r="N161" s="13">
        <f t="shared" si="30"/>
        <v>0</v>
      </c>
      <c r="O161" s="14">
        <f t="shared" si="30"/>
        <v>0</v>
      </c>
      <c r="P161" s="16">
        <f t="shared" si="6"/>
        <v>0</v>
      </c>
      <c r="Q161" s="17">
        <f t="shared" si="7"/>
        <v>0</v>
      </c>
      <c r="R161" s="4" t="s">
        <v>0</v>
      </c>
      <c r="S161" s="15" t="str">
        <f t="shared" si="8"/>
        <v>-</v>
      </c>
      <c r="T161" s="13">
        <f t="shared" si="9"/>
        <v>0</v>
      </c>
      <c r="U161" s="17">
        <f t="shared" si="10"/>
        <v>1000</v>
      </c>
      <c r="V161" s="13">
        <f t="shared" si="31"/>
        <v>0</v>
      </c>
      <c r="W161" s="17">
        <f t="shared" si="11"/>
        <v>1000</v>
      </c>
      <c r="X161" s="13">
        <f t="shared" si="32"/>
        <v>0</v>
      </c>
      <c r="Y161" s="17">
        <f t="shared" si="12"/>
        <v>1000</v>
      </c>
      <c r="Z161" s="13">
        <f t="shared" si="33"/>
        <v>0</v>
      </c>
      <c r="AA161" s="17">
        <f t="shared" si="13"/>
        <v>1000</v>
      </c>
      <c r="AB161" s="4" t="s">
        <v>0</v>
      </c>
    </row>
    <row r="162" spans="1:28">
      <c r="A162" s="9" t="s">
        <v>77</v>
      </c>
      <c r="B162" s="19"/>
      <c r="C162" s="4"/>
      <c r="D162" s="20"/>
      <c r="E162" s="24"/>
      <c r="F162" s="20"/>
      <c r="G162" s="24"/>
      <c r="H162" s="4" t="s">
        <v>0</v>
      </c>
      <c r="I162" s="10" t="str">
        <f t="shared" si="0"/>
        <v>-</v>
      </c>
      <c r="J162" s="13">
        <f t="shared" si="29"/>
        <v>0</v>
      </c>
      <c r="K162" s="14">
        <f t="shared" si="29"/>
        <v>0</v>
      </c>
      <c r="L162" s="16">
        <f t="shared" si="3"/>
        <v>0</v>
      </c>
      <c r="M162" s="17">
        <f t="shared" si="4"/>
        <v>0</v>
      </c>
      <c r="N162" s="13">
        <f t="shared" si="30"/>
        <v>0</v>
      </c>
      <c r="O162" s="14">
        <f t="shared" si="30"/>
        <v>0</v>
      </c>
      <c r="P162" s="16">
        <f t="shared" si="6"/>
        <v>0</v>
      </c>
      <c r="Q162" s="17">
        <f t="shared" si="7"/>
        <v>0</v>
      </c>
      <c r="R162" s="4" t="s">
        <v>0</v>
      </c>
      <c r="S162" s="15" t="str">
        <f t="shared" si="8"/>
        <v>-</v>
      </c>
      <c r="T162" s="13">
        <f t="shared" si="9"/>
        <v>0</v>
      </c>
      <c r="U162" s="17">
        <f t="shared" si="10"/>
        <v>1000</v>
      </c>
      <c r="V162" s="13">
        <f t="shared" si="31"/>
        <v>0</v>
      </c>
      <c r="W162" s="17">
        <f t="shared" si="11"/>
        <v>1000</v>
      </c>
      <c r="X162" s="13">
        <f t="shared" si="32"/>
        <v>0</v>
      </c>
      <c r="Y162" s="17">
        <f t="shared" si="12"/>
        <v>1000</v>
      </c>
      <c r="Z162" s="13">
        <f t="shared" si="33"/>
        <v>0</v>
      </c>
      <c r="AA162" s="17">
        <f t="shared" si="13"/>
        <v>1000</v>
      </c>
      <c r="AB162" s="4" t="s">
        <v>0</v>
      </c>
    </row>
    <row r="163" spans="1:28">
      <c r="A163" s="9" t="s">
        <v>77</v>
      </c>
      <c r="B163" s="19"/>
      <c r="C163" s="4"/>
      <c r="D163" s="20"/>
      <c r="E163" s="24"/>
      <c r="F163" s="20"/>
      <c r="G163" s="24"/>
      <c r="H163" s="4" t="s">
        <v>0</v>
      </c>
      <c r="I163" s="10" t="str">
        <f t="shared" si="0"/>
        <v>-</v>
      </c>
      <c r="J163" s="13">
        <f t="shared" si="29"/>
        <v>0</v>
      </c>
      <c r="K163" s="14">
        <f t="shared" si="29"/>
        <v>0</v>
      </c>
      <c r="L163" s="16">
        <f t="shared" si="3"/>
        <v>0</v>
      </c>
      <c r="M163" s="17">
        <f t="shared" si="4"/>
        <v>0</v>
      </c>
      <c r="N163" s="13">
        <f t="shared" si="30"/>
        <v>0</v>
      </c>
      <c r="O163" s="14">
        <f t="shared" si="30"/>
        <v>0</v>
      </c>
      <c r="P163" s="16">
        <f t="shared" si="6"/>
        <v>0</v>
      </c>
      <c r="Q163" s="17">
        <f t="shared" si="7"/>
        <v>0</v>
      </c>
      <c r="R163" s="4" t="s">
        <v>0</v>
      </c>
      <c r="S163" s="15" t="str">
        <f t="shared" si="8"/>
        <v>-</v>
      </c>
      <c r="T163" s="13">
        <f t="shared" si="9"/>
        <v>0</v>
      </c>
      <c r="U163" s="17">
        <f t="shared" si="10"/>
        <v>1000</v>
      </c>
      <c r="V163" s="13">
        <f t="shared" si="31"/>
        <v>0</v>
      </c>
      <c r="W163" s="17">
        <f t="shared" si="11"/>
        <v>1000</v>
      </c>
      <c r="X163" s="13">
        <f t="shared" si="32"/>
        <v>0</v>
      </c>
      <c r="Y163" s="17">
        <f t="shared" si="12"/>
        <v>1000</v>
      </c>
      <c r="Z163" s="13">
        <f t="shared" si="33"/>
        <v>0</v>
      </c>
      <c r="AA163" s="17">
        <f t="shared" si="13"/>
        <v>1000</v>
      </c>
      <c r="AB163" s="4" t="s">
        <v>0</v>
      </c>
    </row>
    <row r="164" spans="1:28">
      <c r="A164" s="9" t="s">
        <v>77</v>
      </c>
      <c r="B164" s="19"/>
      <c r="C164" s="4"/>
      <c r="D164" s="20"/>
      <c r="E164" s="24"/>
      <c r="F164" s="20"/>
      <c r="G164" s="24"/>
      <c r="H164" s="4" t="s">
        <v>0</v>
      </c>
      <c r="I164" s="10" t="str">
        <f t="shared" si="0"/>
        <v>-</v>
      </c>
      <c r="J164" s="13">
        <f t="shared" si="29"/>
        <v>0</v>
      </c>
      <c r="K164" s="14">
        <f t="shared" si="29"/>
        <v>0</v>
      </c>
      <c r="L164" s="16">
        <f t="shared" si="3"/>
        <v>0</v>
      </c>
      <c r="M164" s="17">
        <f t="shared" si="4"/>
        <v>0</v>
      </c>
      <c r="N164" s="13">
        <f t="shared" si="30"/>
        <v>0</v>
      </c>
      <c r="O164" s="14">
        <f t="shared" si="30"/>
        <v>0</v>
      </c>
      <c r="P164" s="16">
        <f t="shared" si="6"/>
        <v>0</v>
      </c>
      <c r="Q164" s="17">
        <f t="shared" si="7"/>
        <v>0</v>
      </c>
      <c r="R164" s="4" t="s">
        <v>0</v>
      </c>
      <c r="S164" s="15" t="str">
        <f t="shared" si="8"/>
        <v>-</v>
      </c>
      <c r="T164" s="13">
        <f t="shared" si="9"/>
        <v>0</v>
      </c>
      <c r="U164" s="17">
        <f t="shared" si="10"/>
        <v>1000</v>
      </c>
      <c r="V164" s="13">
        <f t="shared" si="31"/>
        <v>0</v>
      </c>
      <c r="W164" s="17">
        <f t="shared" si="11"/>
        <v>1000</v>
      </c>
      <c r="X164" s="13">
        <f t="shared" si="32"/>
        <v>0</v>
      </c>
      <c r="Y164" s="17">
        <f t="shared" si="12"/>
        <v>1000</v>
      </c>
      <c r="Z164" s="13">
        <f t="shared" si="33"/>
        <v>0</v>
      </c>
      <c r="AA164" s="17">
        <f t="shared" si="13"/>
        <v>1000</v>
      </c>
      <c r="AB164" s="4" t="s">
        <v>0</v>
      </c>
    </row>
    <row r="165" spans="1:28">
      <c r="A165" s="9" t="s">
        <v>77</v>
      </c>
      <c r="B165" s="19"/>
      <c r="C165" s="4"/>
      <c r="D165" s="20"/>
      <c r="E165" s="24"/>
      <c r="F165" s="20"/>
      <c r="G165" s="24"/>
      <c r="H165" s="4" t="s">
        <v>0</v>
      </c>
      <c r="I165" s="10" t="str">
        <f t="shared" si="0"/>
        <v>-</v>
      </c>
      <c r="J165" s="13">
        <f t="shared" si="29"/>
        <v>0</v>
      </c>
      <c r="K165" s="14">
        <f t="shared" si="29"/>
        <v>0</v>
      </c>
      <c r="L165" s="16">
        <f t="shared" si="3"/>
        <v>0</v>
      </c>
      <c r="M165" s="17">
        <f t="shared" si="4"/>
        <v>0</v>
      </c>
      <c r="N165" s="13">
        <f t="shared" si="30"/>
        <v>0</v>
      </c>
      <c r="O165" s="14">
        <f t="shared" si="30"/>
        <v>0</v>
      </c>
      <c r="P165" s="16">
        <f t="shared" si="6"/>
        <v>0</v>
      </c>
      <c r="Q165" s="17">
        <f t="shared" si="7"/>
        <v>0</v>
      </c>
      <c r="R165" s="4" t="s">
        <v>0</v>
      </c>
      <c r="S165" s="15" t="str">
        <f t="shared" si="8"/>
        <v>-</v>
      </c>
      <c r="T165" s="13">
        <f t="shared" si="9"/>
        <v>0</v>
      </c>
      <c r="U165" s="17">
        <f t="shared" si="10"/>
        <v>1000</v>
      </c>
      <c r="V165" s="13">
        <f t="shared" si="31"/>
        <v>0</v>
      </c>
      <c r="W165" s="17">
        <f t="shared" si="11"/>
        <v>1000</v>
      </c>
      <c r="X165" s="13">
        <f t="shared" si="32"/>
        <v>0</v>
      </c>
      <c r="Y165" s="17">
        <f t="shared" si="12"/>
        <v>1000</v>
      </c>
      <c r="Z165" s="13">
        <f t="shared" si="33"/>
        <v>0</v>
      </c>
      <c r="AA165" s="17">
        <f t="shared" si="13"/>
        <v>1000</v>
      </c>
      <c r="AB165" s="4" t="s">
        <v>0</v>
      </c>
    </row>
    <row r="166" spans="1:28">
      <c r="A166" s="9" t="s">
        <v>77</v>
      </c>
      <c r="B166" s="19"/>
      <c r="C166" s="4"/>
      <c r="D166" s="20"/>
      <c r="E166" s="24"/>
      <c r="F166" s="20"/>
      <c r="G166" s="24"/>
      <c r="H166" s="4" t="s">
        <v>0</v>
      </c>
      <c r="I166" s="10" t="str">
        <f t="shared" si="0"/>
        <v>-</v>
      </c>
      <c r="J166" s="13">
        <f t="shared" si="29"/>
        <v>0</v>
      </c>
      <c r="K166" s="14">
        <f t="shared" si="29"/>
        <v>0</v>
      </c>
      <c r="L166" s="16">
        <f t="shared" si="3"/>
        <v>0</v>
      </c>
      <c r="M166" s="17">
        <f t="shared" si="4"/>
        <v>0</v>
      </c>
      <c r="N166" s="13">
        <f t="shared" si="30"/>
        <v>0</v>
      </c>
      <c r="O166" s="14">
        <f t="shared" si="30"/>
        <v>0</v>
      </c>
      <c r="P166" s="16">
        <f t="shared" si="6"/>
        <v>0</v>
      </c>
      <c r="Q166" s="17">
        <f t="shared" si="7"/>
        <v>0</v>
      </c>
      <c r="R166" s="4" t="s">
        <v>0</v>
      </c>
      <c r="S166" s="15" t="str">
        <f t="shared" si="8"/>
        <v>-</v>
      </c>
      <c r="T166" s="13">
        <f t="shared" si="9"/>
        <v>0</v>
      </c>
      <c r="U166" s="17">
        <f t="shared" si="10"/>
        <v>1000</v>
      </c>
      <c r="V166" s="13">
        <f t="shared" si="31"/>
        <v>0</v>
      </c>
      <c r="W166" s="17">
        <f t="shared" si="11"/>
        <v>1000</v>
      </c>
      <c r="X166" s="13">
        <f t="shared" si="32"/>
        <v>0</v>
      </c>
      <c r="Y166" s="17">
        <f t="shared" si="12"/>
        <v>1000</v>
      </c>
      <c r="Z166" s="13">
        <f t="shared" si="33"/>
        <v>0</v>
      </c>
      <c r="AA166" s="17">
        <f t="shared" si="13"/>
        <v>1000</v>
      </c>
      <c r="AB166" s="4" t="s">
        <v>0</v>
      </c>
    </row>
    <row r="167" spans="1:28">
      <c r="A167" s="9" t="s">
        <v>77</v>
      </c>
      <c r="B167" s="19"/>
      <c r="C167" s="4"/>
      <c r="D167" s="20"/>
      <c r="E167" s="24"/>
      <c r="F167" s="20"/>
      <c r="G167" s="24"/>
      <c r="H167" s="4" t="s">
        <v>0</v>
      </c>
      <c r="I167" s="10" t="str">
        <f t="shared" si="0"/>
        <v>-</v>
      </c>
      <c r="J167" s="13">
        <f t="shared" si="29"/>
        <v>0</v>
      </c>
      <c r="K167" s="14">
        <f t="shared" si="29"/>
        <v>0</v>
      </c>
      <c r="L167" s="16">
        <f t="shared" si="3"/>
        <v>0</v>
      </c>
      <c r="M167" s="17">
        <f t="shared" si="4"/>
        <v>0</v>
      </c>
      <c r="N167" s="13">
        <f t="shared" si="30"/>
        <v>0</v>
      </c>
      <c r="O167" s="14">
        <f t="shared" si="30"/>
        <v>0</v>
      </c>
      <c r="P167" s="16">
        <f t="shared" si="6"/>
        <v>0</v>
      </c>
      <c r="Q167" s="17">
        <f t="shared" si="7"/>
        <v>0</v>
      </c>
      <c r="R167" s="4" t="s">
        <v>0</v>
      </c>
      <c r="S167" s="15" t="str">
        <f t="shared" si="8"/>
        <v>-</v>
      </c>
      <c r="T167" s="13">
        <f t="shared" si="9"/>
        <v>0</v>
      </c>
      <c r="U167" s="17">
        <f t="shared" si="10"/>
        <v>1000</v>
      </c>
      <c r="V167" s="13">
        <f t="shared" si="31"/>
        <v>0</v>
      </c>
      <c r="W167" s="17">
        <f t="shared" si="11"/>
        <v>1000</v>
      </c>
      <c r="X167" s="13">
        <f t="shared" si="32"/>
        <v>0</v>
      </c>
      <c r="Y167" s="17">
        <f t="shared" si="12"/>
        <v>1000</v>
      </c>
      <c r="Z167" s="13">
        <f t="shared" si="33"/>
        <v>0</v>
      </c>
      <c r="AA167" s="17">
        <f t="shared" si="13"/>
        <v>1000</v>
      </c>
      <c r="AB167" s="4" t="s">
        <v>0</v>
      </c>
    </row>
    <row r="168" spans="1:28">
      <c r="A168" s="9" t="s">
        <v>77</v>
      </c>
      <c r="B168" s="19"/>
      <c r="C168" s="4"/>
      <c r="D168" s="20"/>
      <c r="E168" s="24"/>
      <c r="F168" s="20"/>
      <c r="G168" s="24"/>
      <c r="H168" s="4" t="s">
        <v>0</v>
      </c>
      <c r="I168" s="10" t="str">
        <f t="shared" si="0"/>
        <v>-</v>
      </c>
      <c r="J168" s="13">
        <f t="shared" si="29"/>
        <v>0</v>
      </c>
      <c r="K168" s="14">
        <f t="shared" si="29"/>
        <v>0</v>
      </c>
      <c r="L168" s="16">
        <f t="shared" si="3"/>
        <v>0</v>
      </c>
      <c r="M168" s="17">
        <f t="shared" si="4"/>
        <v>0</v>
      </c>
      <c r="N168" s="13">
        <f t="shared" si="30"/>
        <v>0</v>
      </c>
      <c r="O168" s="14">
        <f t="shared" si="30"/>
        <v>0</v>
      </c>
      <c r="P168" s="16">
        <f t="shared" si="6"/>
        <v>0</v>
      </c>
      <c r="Q168" s="17">
        <f t="shared" si="7"/>
        <v>0</v>
      </c>
      <c r="R168" s="4" t="s">
        <v>0</v>
      </c>
      <c r="S168" s="15" t="str">
        <f t="shared" si="8"/>
        <v>-</v>
      </c>
      <c r="T168" s="13">
        <f t="shared" si="9"/>
        <v>0</v>
      </c>
      <c r="U168" s="17">
        <f t="shared" si="10"/>
        <v>1000</v>
      </c>
      <c r="V168" s="13">
        <f t="shared" si="31"/>
        <v>0</v>
      </c>
      <c r="W168" s="17">
        <f t="shared" si="11"/>
        <v>1000</v>
      </c>
      <c r="X168" s="13">
        <f t="shared" si="32"/>
        <v>0</v>
      </c>
      <c r="Y168" s="17">
        <f t="shared" si="12"/>
        <v>1000</v>
      </c>
      <c r="Z168" s="13">
        <f t="shared" si="33"/>
        <v>0</v>
      </c>
      <c r="AA168" s="17">
        <f t="shared" si="13"/>
        <v>1000</v>
      </c>
      <c r="AB168" s="4" t="s">
        <v>0</v>
      </c>
    </row>
    <row r="169" spans="1:28">
      <c r="A169" s="9" t="s">
        <v>77</v>
      </c>
      <c r="B169" s="19"/>
      <c r="C169" s="4"/>
      <c r="D169" s="20"/>
      <c r="E169" s="24"/>
      <c r="F169" s="20"/>
      <c r="G169" s="24"/>
      <c r="H169" s="4" t="s">
        <v>0</v>
      </c>
      <c r="I169" s="10" t="str">
        <f t="shared" si="0"/>
        <v>-</v>
      </c>
      <c r="J169" s="13">
        <f t="shared" si="29"/>
        <v>0</v>
      </c>
      <c r="K169" s="14">
        <f t="shared" si="29"/>
        <v>0</v>
      </c>
      <c r="L169" s="16">
        <f t="shared" si="3"/>
        <v>0</v>
      </c>
      <c r="M169" s="17">
        <f t="shared" si="4"/>
        <v>0</v>
      </c>
      <c r="N169" s="13">
        <f t="shared" si="30"/>
        <v>0</v>
      </c>
      <c r="O169" s="14">
        <f t="shared" si="30"/>
        <v>0</v>
      </c>
      <c r="P169" s="16">
        <f t="shared" si="6"/>
        <v>0</v>
      </c>
      <c r="Q169" s="17">
        <f t="shared" si="7"/>
        <v>0</v>
      </c>
      <c r="R169" s="4" t="s">
        <v>0</v>
      </c>
      <c r="S169" s="15" t="str">
        <f t="shared" si="8"/>
        <v>-</v>
      </c>
      <c r="T169" s="13">
        <f t="shared" si="9"/>
        <v>0</v>
      </c>
      <c r="U169" s="17">
        <f t="shared" si="10"/>
        <v>1000</v>
      </c>
      <c r="V169" s="13">
        <f t="shared" si="31"/>
        <v>0</v>
      </c>
      <c r="W169" s="17">
        <f t="shared" si="11"/>
        <v>1000</v>
      </c>
      <c r="X169" s="13">
        <f t="shared" si="32"/>
        <v>0</v>
      </c>
      <c r="Y169" s="17">
        <f t="shared" si="12"/>
        <v>1000</v>
      </c>
      <c r="Z169" s="13">
        <f t="shared" si="33"/>
        <v>0</v>
      </c>
      <c r="AA169" s="17">
        <f t="shared" si="13"/>
        <v>1000</v>
      </c>
      <c r="AB169" s="4" t="s">
        <v>0</v>
      </c>
    </row>
    <row r="170" spans="1:28">
      <c r="A170" s="9" t="s">
        <v>77</v>
      </c>
      <c r="B170" s="19"/>
      <c r="C170" s="4"/>
      <c r="D170" s="20"/>
      <c r="E170" s="24"/>
      <c r="F170" s="20"/>
      <c r="G170" s="24"/>
      <c r="H170" s="4" t="s">
        <v>0</v>
      </c>
      <c r="I170" s="10" t="str">
        <f t="shared" si="0"/>
        <v>-</v>
      </c>
      <c r="J170" s="13">
        <f t="shared" si="29"/>
        <v>0</v>
      </c>
      <c r="K170" s="14">
        <f t="shared" si="29"/>
        <v>0</v>
      </c>
      <c r="L170" s="16">
        <f t="shared" si="3"/>
        <v>0</v>
      </c>
      <c r="M170" s="17">
        <f t="shared" si="4"/>
        <v>0</v>
      </c>
      <c r="N170" s="13">
        <f t="shared" si="30"/>
        <v>0</v>
      </c>
      <c r="O170" s="14">
        <f t="shared" si="30"/>
        <v>0</v>
      </c>
      <c r="P170" s="16">
        <f t="shared" si="6"/>
        <v>0</v>
      </c>
      <c r="Q170" s="17">
        <f t="shared" si="7"/>
        <v>0</v>
      </c>
      <c r="R170" s="4" t="s">
        <v>0</v>
      </c>
      <c r="S170" s="15" t="str">
        <f t="shared" si="8"/>
        <v>-</v>
      </c>
      <c r="T170" s="13">
        <f t="shared" si="9"/>
        <v>0</v>
      </c>
      <c r="U170" s="17">
        <f t="shared" si="10"/>
        <v>1000</v>
      </c>
      <c r="V170" s="13">
        <f t="shared" si="31"/>
        <v>0</v>
      </c>
      <c r="W170" s="17">
        <f t="shared" si="11"/>
        <v>1000</v>
      </c>
      <c r="X170" s="13">
        <f t="shared" si="32"/>
        <v>0</v>
      </c>
      <c r="Y170" s="17">
        <f t="shared" si="12"/>
        <v>1000</v>
      </c>
      <c r="Z170" s="13">
        <f t="shared" si="33"/>
        <v>0</v>
      </c>
      <c r="AA170" s="17">
        <f t="shared" si="13"/>
        <v>1000</v>
      </c>
      <c r="AB170" s="4" t="s">
        <v>0</v>
      </c>
    </row>
    <row r="171" spans="1:28">
      <c r="A171" s="9" t="s">
        <v>77</v>
      </c>
      <c r="B171" s="19"/>
      <c r="C171" s="4"/>
      <c r="D171" s="20"/>
      <c r="E171" s="24"/>
      <c r="F171" s="20"/>
      <c r="G171" s="24"/>
      <c r="H171" s="4" t="s">
        <v>0</v>
      </c>
      <c r="I171" s="10" t="str">
        <f t="shared" si="0"/>
        <v>-</v>
      </c>
      <c r="J171" s="13">
        <f t="shared" si="29"/>
        <v>0</v>
      </c>
      <c r="K171" s="14">
        <f t="shared" si="29"/>
        <v>0</v>
      </c>
      <c r="L171" s="16">
        <f t="shared" si="3"/>
        <v>0</v>
      </c>
      <c r="M171" s="17">
        <f t="shared" si="4"/>
        <v>0</v>
      </c>
      <c r="N171" s="13">
        <f t="shared" si="30"/>
        <v>0</v>
      </c>
      <c r="O171" s="14">
        <f t="shared" si="30"/>
        <v>0</v>
      </c>
      <c r="P171" s="16">
        <f t="shared" si="6"/>
        <v>0</v>
      </c>
      <c r="Q171" s="17">
        <f t="shared" si="7"/>
        <v>0</v>
      </c>
      <c r="R171" s="4" t="s">
        <v>0</v>
      </c>
      <c r="S171" s="15" t="str">
        <f t="shared" si="8"/>
        <v>-</v>
      </c>
      <c r="T171" s="13">
        <f t="shared" si="9"/>
        <v>0</v>
      </c>
      <c r="U171" s="17">
        <f t="shared" si="10"/>
        <v>1000</v>
      </c>
      <c r="V171" s="13">
        <f t="shared" si="31"/>
        <v>0</v>
      </c>
      <c r="W171" s="17">
        <f t="shared" si="11"/>
        <v>1000</v>
      </c>
      <c r="X171" s="13">
        <f t="shared" si="32"/>
        <v>0</v>
      </c>
      <c r="Y171" s="17">
        <f t="shared" si="12"/>
        <v>1000</v>
      </c>
      <c r="Z171" s="13">
        <f t="shared" si="33"/>
        <v>0</v>
      </c>
      <c r="AA171" s="17">
        <f t="shared" si="13"/>
        <v>1000</v>
      </c>
      <c r="AB171" s="4" t="s">
        <v>0</v>
      </c>
    </row>
    <row r="172" spans="1:28">
      <c r="A172" s="9" t="s">
        <v>77</v>
      </c>
      <c r="B172" s="19"/>
      <c r="C172" s="4"/>
      <c r="D172" s="20"/>
      <c r="E172" s="24"/>
      <c r="F172" s="20"/>
      <c r="G172" s="24"/>
      <c r="H172" s="4" t="s">
        <v>0</v>
      </c>
      <c r="I172" s="10" t="str">
        <f t="shared" si="0"/>
        <v>-</v>
      </c>
      <c r="J172" s="13">
        <f t="shared" si="29"/>
        <v>0</v>
      </c>
      <c r="K172" s="14">
        <f t="shared" si="29"/>
        <v>0</v>
      </c>
      <c r="L172" s="16">
        <f t="shared" si="3"/>
        <v>0</v>
      </c>
      <c r="M172" s="17">
        <f t="shared" si="4"/>
        <v>0</v>
      </c>
      <c r="N172" s="13">
        <f t="shared" si="30"/>
        <v>0</v>
      </c>
      <c r="O172" s="14">
        <f t="shared" si="30"/>
        <v>0</v>
      </c>
      <c r="P172" s="16">
        <f t="shared" si="6"/>
        <v>0</v>
      </c>
      <c r="Q172" s="17">
        <f t="shared" si="7"/>
        <v>0</v>
      </c>
      <c r="R172" s="4" t="s">
        <v>0</v>
      </c>
      <c r="S172" s="15" t="str">
        <f t="shared" si="8"/>
        <v>-</v>
      </c>
      <c r="T172" s="13">
        <f t="shared" si="9"/>
        <v>0</v>
      </c>
      <c r="U172" s="17">
        <f t="shared" si="10"/>
        <v>1000</v>
      </c>
      <c r="V172" s="13">
        <f t="shared" si="31"/>
        <v>0</v>
      </c>
      <c r="W172" s="17">
        <f t="shared" si="11"/>
        <v>1000</v>
      </c>
      <c r="X172" s="13">
        <f t="shared" si="32"/>
        <v>0</v>
      </c>
      <c r="Y172" s="17">
        <f t="shared" si="12"/>
        <v>1000</v>
      </c>
      <c r="Z172" s="13">
        <f t="shared" si="33"/>
        <v>0</v>
      </c>
      <c r="AA172" s="17">
        <f t="shared" si="13"/>
        <v>1000</v>
      </c>
      <c r="AB172" s="4" t="s">
        <v>0</v>
      </c>
    </row>
  </sheetData>
  <autoFilter ref="A10:AB172" xr:uid="{00000000-0001-0000-0000-000000000000}"/>
  <mergeCells count="2">
    <mergeCell ref="D3:G3"/>
    <mergeCell ref="D4:G4"/>
  </mergeCells>
  <phoneticPr fontId="1"/>
  <pageMargins left="0.39370078740157483" right="0.39370078740157483" top="0.39370078740157483" bottom="0.39370078740157483" header="0.31496062992125984" footer="0.31496062992125984"/>
  <pageSetup paperSize="9" scale="57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ExportCemeteryData" altText="JSONファイル作成">
                <anchor moveWithCells="1" sizeWithCells="1">
                  <from>
                    <xdr:col>18</xdr:col>
                    <xdr:colOff>504825</xdr:colOff>
                    <xdr:row>1</xdr:row>
                    <xdr:rowOff>66675</xdr:rowOff>
                  </from>
                  <to>
                    <xdr:col>21</xdr:col>
                    <xdr:colOff>333375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11</vt:lpstr>
      <vt:lpstr>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higashijima</dc:creator>
  <cp:lastModifiedBy>潤一 東嶋</cp:lastModifiedBy>
  <cp:lastPrinted>2024-06-10T07:08:43Z</cp:lastPrinted>
  <dcterms:created xsi:type="dcterms:W3CDTF">2015-06-05T18:19:34Z</dcterms:created>
  <dcterms:modified xsi:type="dcterms:W3CDTF">2025-01-07T00:50:10Z</dcterms:modified>
</cp:coreProperties>
</file>