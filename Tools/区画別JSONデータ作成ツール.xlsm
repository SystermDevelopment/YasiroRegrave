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gashijima\Desktop\区画別JSONデータ作成ツール\"/>
    </mc:Choice>
  </mc:AlternateContent>
  <xr:revisionPtr revIDLastSave="0" documentId="13_ncr:1_{8310BAC3-7959-4825-9914-D6AF08307ADA}" xr6:coauthVersionLast="47" xr6:coauthVersionMax="47" xr10:uidLastSave="{00000000-0000-0000-0000-000000000000}"/>
  <bookViews>
    <workbookView xWindow="-120" yWindow="-120" windowWidth="29040" windowHeight="15840" tabRatio="793" xr2:uid="{00000000-000D-0000-FFFF-FFFF00000000}"/>
  </bookViews>
  <sheets>
    <sheet name="サンプル" sheetId="2" r:id="rId1"/>
    <sheet name="日" sheetId="38" r:id="rId2"/>
    <sheet name="日A" sheetId="1" r:id="rId3"/>
    <sheet name="日B" sheetId="18" r:id="rId4"/>
    <sheet name="日C" sheetId="19" r:id="rId5"/>
    <sheet name="日D" sheetId="20" r:id="rId6"/>
    <sheet name="親A" sheetId="21" r:id="rId7"/>
    <sheet name="親B" sheetId="22" r:id="rId8"/>
    <sheet name="親C" sheetId="23" r:id="rId9"/>
    <sheet name="親D" sheetId="24" r:id="rId10"/>
    <sheet name="親E" sheetId="25" r:id="rId11"/>
    <sheet name="親F" sheetId="26" r:id="rId12"/>
    <sheet name="釈A" sheetId="27" r:id="rId13"/>
    <sheet name="釈B" sheetId="39" r:id="rId14"/>
    <sheet name="釈C" sheetId="28" r:id="rId15"/>
    <sheet name="釈D" sheetId="29" r:id="rId16"/>
    <sheet name="釈E" sheetId="30" r:id="rId17"/>
    <sheet name="釈F" sheetId="31" r:id="rId18"/>
    <sheet name="釈ｼﾝB" sheetId="32" r:id="rId19"/>
    <sheet name="釈ｼﾝC" sheetId="33" r:id="rId20"/>
    <sheet name="釈ｼﾝD" sheetId="34" r:id="rId21"/>
    <sheet name="釈ｼﾝE" sheetId="35" r:id="rId22"/>
    <sheet name="釈ﾄｸA" sheetId="36" r:id="rId23"/>
    <sheet name="緑風" sheetId="37" r:id="rId24"/>
  </sheets>
  <definedNames>
    <definedName name="_xlnm._FilterDatabase" localSheetId="0" hidden="1">サンプル!$A$10:$AB$22</definedName>
    <definedName name="_xlnm._FilterDatabase" localSheetId="12" hidden="1">釈A!$A$10:$AB$256</definedName>
    <definedName name="_xlnm._FilterDatabase" localSheetId="13" hidden="1">釈B!$A$10:$AB$49</definedName>
    <definedName name="_xlnm._FilterDatabase" localSheetId="14" hidden="1">釈C!$A$10:$AB$183</definedName>
    <definedName name="_xlnm._FilterDatabase" localSheetId="15" hidden="1">釈D!$A$10:$AB$99</definedName>
    <definedName name="_xlnm._FilterDatabase" localSheetId="16" hidden="1">釈E!$A$10:$AB$70</definedName>
    <definedName name="_xlnm._FilterDatabase" localSheetId="17" hidden="1">釈F!$A$10:$AB$76</definedName>
    <definedName name="_xlnm._FilterDatabase" localSheetId="18" hidden="1">釈ｼﾝB!$A$10:$AB$54</definedName>
    <definedName name="_xlnm._FilterDatabase" localSheetId="19" hidden="1">釈ｼﾝC!$A$10:$AB$34</definedName>
    <definedName name="_xlnm._FilterDatabase" localSheetId="20" hidden="1">釈ｼﾝD!$A$10:$AB$25</definedName>
    <definedName name="_xlnm._FilterDatabase" localSheetId="21" hidden="1">釈ｼﾝE!$A$10:$AB$55</definedName>
    <definedName name="_xlnm._FilterDatabase" localSheetId="22" hidden="1">釈ﾄｸA!$A$10:$AB$68</definedName>
    <definedName name="_xlnm._FilterDatabase" localSheetId="6" hidden="1">親A!$A$10:$AB$176</definedName>
    <definedName name="_xlnm._FilterDatabase" localSheetId="7" hidden="1">親B!$A$10:$AB$307</definedName>
    <definedName name="_xlnm._FilterDatabase" localSheetId="8" hidden="1">親C!$A$10:$AB$191</definedName>
    <definedName name="_xlnm._FilterDatabase" localSheetId="9" hidden="1">親D!$A$10:$AB$70</definedName>
    <definedName name="_xlnm._FilterDatabase" localSheetId="10" hidden="1">親E!$A$10:$AA$100</definedName>
    <definedName name="_xlnm._FilterDatabase" localSheetId="11" hidden="1">親F!$A$10:$AB$56</definedName>
    <definedName name="_xlnm._FilterDatabase" localSheetId="1" hidden="1">日!$A$10:$AB$184</definedName>
    <definedName name="_xlnm._FilterDatabase" localSheetId="2" hidden="1">日A!$A$10:$AB$212</definedName>
    <definedName name="_xlnm._FilterDatabase" localSheetId="3" hidden="1">日B!$A$10:$AB$174</definedName>
    <definedName name="_xlnm._FilterDatabase" localSheetId="4" hidden="1">日C!$A$10:$AB$171</definedName>
    <definedName name="_xlnm._FilterDatabase" localSheetId="5" hidden="1">日D!$A$10:$AB$32</definedName>
    <definedName name="_xlnm._FilterDatabase" localSheetId="23" hidden="1">緑風!$A$10:$AB$55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39" l="1"/>
  <c r="D49" i="39"/>
  <c r="F48" i="39"/>
  <c r="D48" i="39"/>
  <c r="F47" i="39"/>
  <c r="D47" i="39"/>
  <c r="F46" i="39"/>
  <c r="D46" i="39"/>
  <c r="F45" i="39"/>
  <c r="D45" i="39"/>
  <c r="F44" i="39"/>
  <c r="D44" i="39"/>
  <c r="F43" i="39"/>
  <c r="D43" i="39"/>
  <c r="F42" i="39"/>
  <c r="D42" i="39"/>
  <c r="F41" i="39"/>
  <c r="D41" i="39"/>
  <c r="G40" i="39"/>
  <c r="G41" i="39" s="1"/>
  <c r="G42" i="39" s="1"/>
  <c r="G43" i="39" s="1"/>
  <c r="G44" i="39" s="1"/>
  <c r="G45" i="39" s="1"/>
  <c r="G46" i="39" s="1"/>
  <c r="G47" i="39" s="1"/>
  <c r="G48" i="39" s="1"/>
  <c r="G49" i="39" s="1"/>
  <c r="F40" i="39"/>
  <c r="N40" i="39" s="1"/>
  <c r="D40" i="39"/>
  <c r="G39" i="39"/>
  <c r="F39" i="39"/>
  <c r="E39" i="39"/>
  <c r="E40" i="39" s="1"/>
  <c r="E41" i="39" s="1"/>
  <c r="E42" i="39" s="1"/>
  <c r="D39" i="39"/>
  <c r="F38" i="39"/>
  <c r="N38" i="39" s="1"/>
  <c r="L38" i="39" s="1"/>
  <c r="V38" i="39" s="1"/>
  <c r="D38" i="39"/>
  <c r="G38" i="39"/>
  <c r="E38" i="39"/>
  <c r="G26" i="39"/>
  <c r="G27" i="39" s="1"/>
  <c r="E27" i="39"/>
  <c r="E28" i="39" s="1"/>
  <c r="E26" i="39"/>
  <c r="K26" i="39" s="1"/>
  <c r="M26" i="39" s="1"/>
  <c r="G12" i="39"/>
  <c r="G13" i="39" s="1"/>
  <c r="E13" i="39"/>
  <c r="E14" i="39" s="1"/>
  <c r="E12" i="39"/>
  <c r="F36" i="39"/>
  <c r="D36" i="39"/>
  <c r="F35" i="39"/>
  <c r="D35" i="39"/>
  <c r="F34" i="39"/>
  <c r="D34" i="39"/>
  <c r="F33" i="39"/>
  <c r="D33" i="39"/>
  <c r="J33" i="39" s="1"/>
  <c r="P33" i="39" s="1"/>
  <c r="Z33" i="39" s="1"/>
  <c r="F32" i="39"/>
  <c r="D32" i="39"/>
  <c r="F31" i="39"/>
  <c r="D31" i="39"/>
  <c r="J31" i="39" s="1"/>
  <c r="T31" i="39" s="1"/>
  <c r="F30" i="39"/>
  <c r="N30" i="39" s="1"/>
  <c r="X30" i="39" s="1"/>
  <c r="D30" i="39"/>
  <c r="F29" i="39"/>
  <c r="N29" i="39" s="1"/>
  <c r="X29" i="39" s="1"/>
  <c r="D29" i="39"/>
  <c r="J29" i="39" s="1"/>
  <c r="P29" i="39" s="1"/>
  <c r="Z29" i="39" s="1"/>
  <c r="F28" i="39"/>
  <c r="D28" i="39"/>
  <c r="F27" i="39"/>
  <c r="D27" i="39"/>
  <c r="J27" i="39" s="1"/>
  <c r="T27" i="39" s="1"/>
  <c r="F26" i="39"/>
  <c r="N26" i="39" s="1"/>
  <c r="X26" i="39" s="1"/>
  <c r="D26" i="39"/>
  <c r="J32" i="39"/>
  <c r="T32" i="39" s="1"/>
  <c r="N34" i="39"/>
  <c r="L34" i="39" s="1"/>
  <c r="V34" i="39" s="1"/>
  <c r="N36" i="39"/>
  <c r="J26" i="39"/>
  <c r="P26" i="39" s="1"/>
  <c r="Z26" i="39" s="1"/>
  <c r="J28" i="39"/>
  <c r="T28" i="39" s="1"/>
  <c r="D18" i="39"/>
  <c r="F18" i="39"/>
  <c r="D19" i="39"/>
  <c r="F19" i="39"/>
  <c r="D20" i="39"/>
  <c r="F20" i="39"/>
  <c r="D21" i="39"/>
  <c r="F21" i="39"/>
  <c r="D22" i="39"/>
  <c r="F22" i="39"/>
  <c r="D23" i="39"/>
  <c r="F23" i="39"/>
  <c r="D24" i="39"/>
  <c r="F24" i="39"/>
  <c r="F17" i="39"/>
  <c r="N17" i="39" s="1"/>
  <c r="D17" i="39"/>
  <c r="F16" i="39"/>
  <c r="D16" i="39"/>
  <c r="J16" i="39" s="1"/>
  <c r="T16" i="39" s="1"/>
  <c r="F15" i="39"/>
  <c r="N15" i="39" s="1"/>
  <c r="L15" i="39" s="1"/>
  <c r="V15" i="39" s="1"/>
  <c r="D15" i="39"/>
  <c r="F14" i="39"/>
  <c r="D14" i="39"/>
  <c r="F13" i="39"/>
  <c r="D13" i="39"/>
  <c r="J13" i="39" s="1"/>
  <c r="P13" i="39" s="1"/>
  <c r="Z13" i="39" s="1"/>
  <c r="F12" i="39"/>
  <c r="D12" i="39"/>
  <c r="N16" i="39"/>
  <c r="N14" i="39"/>
  <c r="X14" i="39" s="1"/>
  <c r="J12" i="39"/>
  <c r="T12" i="39" s="1"/>
  <c r="I49" i="39"/>
  <c r="S49" i="39" s="1"/>
  <c r="I48" i="39"/>
  <c r="S48" i="39" s="1"/>
  <c r="I47" i="39"/>
  <c r="S47" i="39" s="1"/>
  <c r="I46" i="39"/>
  <c r="S46" i="39" s="1"/>
  <c r="I45" i="39"/>
  <c r="S45" i="39" s="1"/>
  <c r="I44" i="39"/>
  <c r="S44" i="39" s="1"/>
  <c r="I43" i="39"/>
  <c r="S43" i="39" s="1"/>
  <c r="I42" i="39"/>
  <c r="S42" i="39" s="1"/>
  <c r="J41" i="39"/>
  <c r="P41" i="39" s="1"/>
  <c r="Z41" i="39" s="1"/>
  <c r="I41" i="39"/>
  <c r="S41" i="39" s="1"/>
  <c r="I40" i="39"/>
  <c r="S40" i="39" s="1"/>
  <c r="N39" i="39"/>
  <c r="X39" i="39" s="1"/>
  <c r="I39" i="39"/>
  <c r="S39" i="39" s="1"/>
  <c r="O38" i="39"/>
  <c r="I38" i="39"/>
  <c r="S38" i="39" s="1"/>
  <c r="O37" i="39"/>
  <c r="K37" i="39"/>
  <c r="M37" i="39" s="1"/>
  <c r="J37" i="39"/>
  <c r="T37" i="39" s="1"/>
  <c r="I37" i="39"/>
  <c r="S37" i="39" s="1"/>
  <c r="J36" i="39"/>
  <c r="P36" i="39" s="1"/>
  <c r="Z36" i="39" s="1"/>
  <c r="I36" i="39"/>
  <c r="S36" i="39" s="1"/>
  <c r="I35" i="39"/>
  <c r="S35" i="39" s="1"/>
  <c r="I34" i="39"/>
  <c r="S34" i="39" s="1"/>
  <c r="N33" i="39"/>
  <c r="X33" i="39" s="1"/>
  <c r="I33" i="39"/>
  <c r="S33" i="39" s="1"/>
  <c r="I32" i="39"/>
  <c r="S32" i="39" s="1"/>
  <c r="I31" i="39"/>
  <c r="S31" i="39" s="1"/>
  <c r="I30" i="39"/>
  <c r="S30" i="39" s="1"/>
  <c r="I29" i="39"/>
  <c r="S29" i="39" s="1"/>
  <c r="I28" i="39"/>
  <c r="S28" i="39" s="1"/>
  <c r="I27" i="39"/>
  <c r="S27" i="39" s="1"/>
  <c r="K27" i="39"/>
  <c r="O26" i="39"/>
  <c r="Q26" i="39" s="1"/>
  <c r="I26" i="39"/>
  <c r="S26" i="39" s="1"/>
  <c r="O25" i="39"/>
  <c r="Q25" i="39" s="1"/>
  <c r="I25" i="39"/>
  <c r="S25" i="39" s="1"/>
  <c r="K25" i="39"/>
  <c r="J25" i="39"/>
  <c r="N24" i="39"/>
  <c r="X24" i="39" s="1"/>
  <c r="I24" i="39"/>
  <c r="S24" i="39" s="1"/>
  <c r="N23" i="39"/>
  <c r="X23" i="39" s="1"/>
  <c r="J23" i="39"/>
  <c r="P23" i="39" s="1"/>
  <c r="Z23" i="39" s="1"/>
  <c r="I23" i="39"/>
  <c r="S23" i="39" s="1"/>
  <c r="J22" i="39"/>
  <c r="T22" i="39" s="1"/>
  <c r="I22" i="39"/>
  <c r="S22" i="39" s="1"/>
  <c r="J21" i="39"/>
  <c r="P21" i="39" s="1"/>
  <c r="Z21" i="39" s="1"/>
  <c r="I21" i="39"/>
  <c r="S21" i="39" s="1"/>
  <c r="J20" i="39"/>
  <c r="T20" i="39" s="1"/>
  <c r="I20" i="39"/>
  <c r="S20" i="39" s="1"/>
  <c r="N19" i="39"/>
  <c r="L19" i="39" s="1"/>
  <c r="V19" i="39" s="1"/>
  <c r="I19" i="39"/>
  <c r="S19" i="39" s="1"/>
  <c r="J48" i="39"/>
  <c r="N18" i="39"/>
  <c r="X18" i="39" s="1"/>
  <c r="I18" i="39"/>
  <c r="S18" i="39" s="1"/>
  <c r="I17" i="39"/>
  <c r="S17" i="39" s="1"/>
  <c r="J17" i="39"/>
  <c r="P17" i="39" s="1"/>
  <c r="Z17" i="39" s="1"/>
  <c r="I16" i="39"/>
  <c r="S16" i="39" s="1"/>
  <c r="I15" i="39"/>
  <c r="S15" i="39" s="1"/>
  <c r="I14" i="39"/>
  <c r="S14" i="39" s="1"/>
  <c r="I13" i="39"/>
  <c r="S13" i="39" s="1"/>
  <c r="K13" i="39"/>
  <c r="I12" i="39"/>
  <c r="S12" i="39" s="1"/>
  <c r="O12" i="39"/>
  <c r="K12" i="39"/>
  <c r="M12" i="39" s="1"/>
  <c r="T11" i="39"/>
  <c r="O11" i="39"/>
  <c r="N11" i="39"/>
  <c r="L11" i="39" s="1"/>
  <c r="V11" i="39" s="1"/>
  <c r="K11" i="39"/>
  <c r="J11" i="39"/>
  <c r="P11" i="39" s="1"/>
  <c r="Z11" i="39" s="1"/>
  <c r="I11" i="39"/>
  <c r="S11" i="39" s="1"/>
  <c r="G6" i="39"/>
  <c r="AA6" i="39" s="1"/>
  <c r="B5" i="39" a="1"/>
  <c r="B5" i="39" s="1"/>
  <c r="F184" i="38"/>
  <c r="D184" i="38"/>
  <c r="F183" i="38"/>
  <c r="D183" i="38"/>
  <c r="F182" i="38"/>
  <c r="D182" i="38"/>
  <c r="F181" i="38"/>
  <c r="N181" i="38" s="1"/>
  <c r="D181" i="38"/>
  <c r="F180" i="38"/>
  <c r="D180" i="38"/>
  <c r="F179" i="38"/>
  <c r="D179" i="38"/>
  <c r="F178" i="38"/>
  <c r="D178" i="38"/>
  <c r="G177" i="38"/>
  <c r="G178" i="38" s="1"/>
  <c r="G179" i="38" s="1"/>
  <c r="G180" i="38" s="1"/>
  <c r="G181" i="38" s="1"/>
  <c r="G182" i="38" s="1"/>
  <c r="G183" i="38" s="1"/>
  <c r="G184" i="38" s="1"/>
  <c r="F177" i="38"/>
  <c r="E177" i="38"/>
  <c r="E178" i="38" s="1"/>
  <c r="E179" i="38" s="1"/>
  <c r="E180" i="38" s="1"/>
  <c r="E181" i="38" s="1"/>
  <c r="E182" i="38" s="1"/>
  <c r="E183" i="38" s="1"/>
  <c r="E184" i="38" s="1"/>
  <c r="D177" i="38"/>
  <c r="F176" i="38"/>
  <c r="F175" i="38"/>
  <c r="F174" i="38"/>
  <c r="F173" i="38"/>
  <c r="F172" i="38"/>
  <c r="D176" i="38"/>
  <c r="D175" i="38"/>
  <c r="D174" i="38"/>
  <c r="D173" i="38"/>
  <c r="D172" i="38"/>
  <c r="F171" i="38"/>
  <c r="D171" i="38"/>
  <c r="G171" i="38"/>
  <c r="G172" i="38" s="1"/>
  <c r="G173" i="38" s="1"/>
  <c r="G174" i="38" s="1"/>
  <c r="G175" i="38" s="1"/>
  <c r="G176" i="38" s="1"/>
  <c r="E171" i="38"/>
  <c r="E172" i="38" s="1"/>
  <c r="E173" i="38" s="1"/>
  <c r="E174" i="38" s="1"/>
  <c r="E175" i="38" s="1"/>
  <c r="E176" i="38" s="1"/>
  <c r="G156" i="38"/>
  <c r="G157" i="38" s="1"/>
  <c r="G158" i="38" s="1"/>
  <c r="G159" i="38" s="1"/>
  <c r="G160" i="38" s="1"/>
  <c r="G161" i="38" s="1"/>
  <c r="G162" i="38" s="1"/>
  <c r="G163" i="38" s="1"/>
  <c r="G164" i="38" s="1"/>
  <c r="G165" i="38" s="1"/>
  <c r="G166" i="38" s="1"/>
  <c r="G167" i="38" s="1"/>
  <c r="G168" i="38" s="1"/>
  <c r="G169" i="38" s="1"/>
  <c r="G170" i="38" s="1"/>
  <c r="E156" i="38"/>
  <c r="E157" i="38" s="1"/>
  <c r="E158" i="38" s="1"/>
  <c r="E159" i="38" s="1"/>
  <c r="E160" i="38" s="1"/>
  <c r="E161" i="38" s="1"/>
  <c r="E162" i="38" s="1"/>
  <c r="E163" i="38" s="1"/>
  <c r="E164" i="38" s="1"/>
  <c r="E165" i="38" s="1"/>
  <c r="E166" i="38" s="1"/>
  <c r="E167" i="38" s="1"/>
  <c r="E168" i="38" s="1"/>
  <c r="E169" i="38" s="1"/>
  <c r="E170" i="38" s="1"/>
  <c r="G142" i="38"/>
  <c r="G143" i="38" s="1"/>
  <c r="G144" i="38" s="1"/>
  <c r="G145" i="38" s="1"/>
  <c r="G146" i="38" s="1"/>
  <c r="G147" i="38" s="1"/>
  <c r="G148" i="38" s="1"/>
  <c r="G149" i="38" s="1"/>
  <c r="G150" i="38" s="1"/>
  <c r="G151" i="38" s="1"/>
  <c r="G152" i="38" s="1"/>
  <c r="G153" i="38" s="1"/>
  <c r="G154" i="38" s="1"/>
  <c r="G155" i="38" s="1"/>
  <c r="E142" i="38"/>
  <c r="E143" i="38" s="1"/>
  <c r="E144" i="38" s="1"/>
  <c r="E145" i="38" s="1"/>
  <c r="E146" i="38" s="1"/>
  <c r="E147" i="38" s="1"/>
  <c r="E148" i="38" s="1"/>
  <c r="E149" i="38" s="1"/>
  <c r="E150" i="38" s="1"/>
  <c r="E151" i="38" s="1"/>
  <c r="E152" i="38" s="1"/>
  <c r="E153" i="38" s="1"/>
  <c r="E154" i="38" s="1"/>
  <c r="E155" i="38" s="1"/>
  <c r="G141" i="38"/>
  <c r="E141" i="38"/>
  <c r="G126" i="38"/>
  <c r="G127" i="38" s="1"/>
  <c r="G128" i="38" s="1"/>
  <c r="G129" i="38" s="1"/>
  <c r="G130" i="38" s="1"/>
  <c r="G131" i="38" s="1"/>
  <c r="G132" i="38" s="1"/>
  <c r="G133" i="38" s="1"/>
  <c r="G134" i="38" s="1"/>
  <c r="G135" i="38" s="1"/>
  <c r="G136" i="38" s="1"/>
  <c r="G137" i="38" s="1"/>
  <c r="G138" i="38" s="1"/>
  <c r="G139" i="38" s="1"/>
  <c r="G140" i="38" s="1"/>
  <c r="E126" i="38"/>
  <c r="E127" i="38" s="1"/>
  <c r="E128" i="38" s="1"/>
  <c r="E129" i="38" s="1"/>
  <c r="E130" i="38" s="1"/>
  <c r="E131" i="38" s="1"/>
  <c r="E132" i="38" s="1"/>
  <c r="E133" i="38" s="1"/>
  <c r="E134" i="38" s="1"/>
  <c r="E135" i="38" s="1"/>
  <c r="E136" i="38" s="1"/>
  <c r="E137" i="38" s="1"/>
  <c r="E138" i="38" s="1"/>
  <c r="E139" i="38" s="1"/>
  <c r="E140" i="38" s="1"/>
  <c r="G112" i="38"/>
  <c r="G113" i="38" s="1"/>
  <c r="G114" i="38" s="1"/>
  <c r="G115" i="38" s="1"/>
  <c r="G116" i="38" s="1"/>
  <c r="G117" i="38" s="1"/>
  <c r="G118" i="38" s="1"/>
  <c r="G119" i="38" s="1"/>
  <c r="G120" i="38" s="1"/>
  <c r="G121" i="38" s="1"/>
  <c r="G122" i="38" s="1"/>
  <c r="G123" i="38" s="1"/>
  <c r="G124" i="38" s="1"/>
  <c r="G125" i="38" s="1"/>
  <c r="E112" i="38"/>
  <c r="E113" i="38" s="1"/>
  <c r="E114" i="38" s="1"/>
  <c r="E115" i="38" s="1"/>
  <c r="E116" i="38" s="1"/>
  <c r="E117" i="38" s="1"/>
  <c r="E118" i="38" s="1"/>
  <c r="E119" i="38" s="1"/>
  <c r="E120" i="38" s="1"/>
  <c r="E121" i="38" s="1"/>
  <c r="E122" i="38" s="1"/>
  <c r="E123" i="38" s="1"/>
  <c r="E124" i="38" s="1"/>
  <c r="E125" i="38" s="1"/>
  <c r="G111" i="38"/>
  <c r="E111" i="38"/>
  <c r="G96" i="38"/>
  <c r="G97" i="38" s="1"/>
  <c r="G98" i="38" s="1"/>
  <c r="G99" i="38" s="1"/>
  <c r="G100" i="38" s="1"/>
  <c r="G101" i="38" s="1"/>
  <c r="G102" i="38" s="1"/>
  <c r="G103" i="38" s="1"/>
  <c r="G104" i="38" s="1"/>
  <c r="G105" i="38" s="1"/>
  <c r="G106" i="38" s="1"/>
  <c r="G107" i="38" s="1"/>
  <c r="G108" i="38" s="1"/>
  <c r="G109" i="38" s="1"/>
  <c r="G110" i="38" s="1"/>
  <c r="E96" i="38"/>
  <c r="E97" i="38" s="1"/>
  <c r="E98" i="38" s="1"/>
  <c r="E99" i="38" s="1"/>
  <c r="E100" i="38" s="1"/>
  <c r="E101" i="38" s="1"/>
  <c r="E102" i="38" s="1"/>
  <c r="E103" i="38" s="1"/>
  <c r="E104" i="38" s="1"/>
  <c r="E105" i="38" s="1"/>
  <c r="E106" i="38" s="1"/>
  <c r="E107" i="38" s="1"/>
  <c r="E108" i="38" s="1"/>
  <c r="E109" i="38" s="1"/>
  <c r="E110" i="38" s="1"/>
  <c r="G82" i="38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E82" i="38"/>
  <c r="E83" i="38" s="1"/>
  <c r="E84" i="38" s="1"/>
  <c r="E85" i="38" s="1"/>
  <c r="E86" i="38" s="1"/>
  <c r="E87" i="38" s="1"/>
  <c r="E88" i="38" s="1"/>
  <c r="E89" i="38" s="1"/>
  <c r="E90" i="38" s="1"/>
  <c r="E91" i="38" s="1"/>
  <c r="E92" i="38" s="1"/>
  <c r="E93" i="38" s="1"/>
  <c r="E94" i="38" s="1"/>
  <c r="E95" i="38" s="1"/>
  <c r="G81" i="38"/>
  <c r="E81" i="38"/>
  <c r="D79" i="38"/>
  <c r="D94" i="38" s="1"/>
  <c r="D109" i="38" s="1"/>
  <c r="D124" i="38" s="1"/>
  <c r="D139" i="38" s="1"/>
  <c r="D154" i="38" s="1"/>
  <c r="D169" i="38" s="1"/>
  <c r="D77" i="38"/>
  <c r="D92" i="38" s="1"/>
  <c r="D107" i="38" s="1"/>
  <c r="D122" i="38" s="1"/>
  <c r="D137" i="38" s="1"/>
  <c r="D152" i="38" s="1"/>
  <c r="D167" i="38" s="1"/>
  <c r="D75" i="38"/>
  <c r="D90" i="38" s="1"/>
  <c r="D105" i="38" s="1"/>
  <c r="D120" i="38" s="1"/>
  <c r="D135" i="38" s="1"/>
  <c r="D150" i="38" s="1"/>
  <c r="D165" i="38" s="1"/>
  <c r="D73" i="38"/>
  <c r="D88" i="38" s="1"/>
  <c r="D103" i="38" s="1"/>
  <c r="D118" i="38" s="1"/>
  <c r="D133" i="38" s="1"/>
  <c r="D148" i="38" s="1"/>
  <c r="D163" i="38" s="1"/>
  <c r="D71" i="38"/>
  <c r="D86" i="38" s="1"/>
  <c r="D101" i="38" s="1"/>
  <c r="D116" i="38" s="1"/>
  <c r="D131" i="38" s="1"/>
  <c r="D146" i="38" s="1"/>
  <c r="D161" i="38" s="1"/>
  <c r="D69" i="38"/>
  <c r="D84" i="38" s="1"/>
  <c r="D99" i="38" s="1"/>
  <c r="D114" i="38" s="1"/>
  <c r="D129" i="38" s="1"/>
  <c r="D144" i="38" s="1"/>
  <c r="D159" i="38" s="1"/>
  <c r="D67" i="38"/>
  <c r="D82" i="38" s="1"/>
  <c r="D97" i="38" s="1"/>
  <c r="D112" i="38" s="1"/>
  <c r="D127" i="38" s="1"/>
  <c r="D142" i="38" s="1"/>
  <c r="D157" i="38" s="1"/>
  <c r="G66" i="38"/>
  <c r="G67" i="38" s="1"/>
  <c r="G68" i="38" s="1"/>
  <c r="G69" i="38" s="1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E66" i="38"/>
  <c r="E67" i="38" s="1"/>
  <c r="E68" i="38" s="1"/>
  <c r="E69" i="38" s="1"/>
  <c r="E70" i="38" s="1"/>
  <c r="E71" i="38" s="1"/>
  <c r="E72" i="38" s="1"/>
  <c r="E73" i="38" s="1"/>
  <c r="E74" i="38" s="1"/>
  <c r="E75" i="38" s="1"/>
  <c r="E76" i="38" s="1"/>
  <c r="E77" i="38" s="1"/>
  <c r="E78" i="38" s="1"/>
  <c r="E79" i="38" s="1"/>
  <c r="E80" i="38" s="1"/>
  <c r="F65" i="38"/>
  <c r="F80" i="38" s="1"/>
  <c r="F95" i="38" s="1"/>
  <c r="F110" i="38" s="1"/>
  <c r="F125" i="38" s="1"/>
  <c r="F140" i="38" s="1"/>
  <c r="F155" i="38" s="1"/>
  <c r="F170" i="38" s="1"/>
  <c r="D65" i="38"/>
  <c r="D80" i="38" s="1"/>
  <c r="D95" i="38" s="1"/>
  <c r="D110" i="38" s="1"/>
  <c r="D125" i="38" s="1"/>
  <c r="D140" i="38" s="1"/>
  <c r="D155" i="38" s="1"/>
  <c r="D170" i="38" s="1"/>
  <c r="F64" i="38"/>
  <c r="F79" i="38" s="1"/>
  <c r="F94" i="38" s="1"/>
  <c r="F109" i="38" s="1"/>
  <c r="F124" i="38" s="1"/>
  <c r="F139" i="38" s="1"/>
  <c r="F154" i="38" s="1"/>
  <c r="F169" i="38" s="1"/>
  <c r="D64" i="38"/>
  <c r="F63" i="38"/>
  <c r="F78" i="38" s="1"/>
  <c r="F93" i="38" s="1"/>
  <c r="F108" i="38" s="1"/>
  <c r="F123" i="38" s="1"/>
  <c r="F138" i="38" s="1"/>
  <c r="F153" i="38" s="1"/>
  <c r="F168" i="38" s="1"/>
  <c r="D63" i="38"/>
  <c r="D78" i="38" s="1"/>
  <c r="D93" i="38" s="1"/>
  <c r="D108" i="38" s="1"/>
  <c r="D123" i="38" s="1"/>
  <c r="D138" i="38" s="1"/>
  <c r="D153" i="38" s="1"/>
  <c r="D168" i="38" s="1"/>
  <c r="F62" i="38"/>
  <c r="F77" i="38" s="1"/>
  <c r="F92" i="38" s="1"/>
  <c r="F107" i="38" s="1"/>
  <c r="F122" i="38" s="1"/>
  <c r="F137" i="38" s="1"/>
  <c r="F152" i="38" s="1"/>
  <c r="F167" i="38" s="1"/>
  <c r="D62" i="38"/>
  <c r="F61" i="38"/>
  <c r="F76" i="38" s="1"/>
  <c r="F91" i="38" s="1"/>
  <c r="F106" i="38" s="1"/>
  <c r="F121" i="38" s="1"/>
  <c r="F136" i="38" s="1"/>
  <c r="F151" i="38" s="1"/>
  <c r="F166" i="38" s="1"/>
  <c r="D61" i="38"/>
  <c r="D76" i="38" s="1"/>
  <c r="D91" i="38" s="1"/>
  <c r="D106" i="38" s="1"/>
  <c r="D121" i="38" s="1"/>
  <c r="D136" i="38" s="1"/>
  <c r="D151" i="38" s="1"/>
  <c r="D166" i="38" s="1"/>
  <c r="F60" i="38"/>
  <c r="F75" i="38" s="1"/>
  <c r="F90" i="38" s="1"/>
  <c r="F105" i="38" s="1"/>
  <c r="F120" i="38" s="1"/>
  <c r="F135" i="38" s="1"/>
  <c r="F150" i="38" s="1"/>
  <c r="F165" i="38" s="1"/>
  <c r="D60" i="38"/>
  <c r="F59" i="38"/>
  <c r="F74" i="38" s="1"/>
  <c r="F89" i="38" s="1"/>
  <c r="F104" i="38" s="1"/>
  <c r="F119" i="38" s="1"/>
  <c r="F134" i="38" s="1"/>
  <c r="F149" i="38" s="1"/>
  <c r="F164" i="38" s="1"/>
  <c r="N164" i="38" s="1"/>
  <c r="L164" i="38" s="1"/>
  <c r="V164" i="38" s="1"/>
  <c r="D59" i="38"/>
  <c r="D74" i="38" s="1"/>
  <c r="D89" i="38" s="1"/>
  <c r="D104" i="38" s="1"/>
  <c r="D119" i="38" s="1"/>
  <c r="D134" i="38" s="1"/>
  <c r="D149" i="38" s="1"/>
  <c r="D164" i="38" s="1"/>
  <c r="J164" i="38" s="1"/>
  <c r="F58" i="38"/>
  <c r="F73" i="38" s="1"/>
  <c r="F88" i="38" s="1"/>
  <c r="F103" i="38" s="1"/>
  <c r="F118" i="38" s="1"/>
  <c r="F133" i="38" s="1"/>
  <c r="F148" i="38" s="1"/>
  <c r="F163" i="38" s="1"/>
  <c r="D58" i="38"/>
  <c r="F57" i="38"/>
  <c r="F72" i="38" s="1"/>
  <c r="F87" i="38" s="1"/>
  <c r="F102" i="38" s="1"/>
  <c r="F117" i="38" s="1"/>
  <c r="F132" i="38" s="1"/>
  <c r="F147" i="38" s="1"/>
  <c r="F162" i="38" s="1"/>
  <c r="D57" i="38"/>
  <c r="D72" i="38" s="1"/>
  <c r="D87" i="38" s="1"/>
  <c r="D102" i="38" s="1"/>
  <c r="D117" i="38" s="1"/>
  <c r="D132" i="38" s="1"/>
  <c r="D147" i="38" s="1"/>
  <c r="D162" i="38" s="1"/>
  <c r="F56" i="38"/>
  <c r="F71" i="38" s="1"/>
  <c r="F86" i="38" s="1"/>
  <c r="F101" i="38" s="1"/>
  <c r="F116" i="38" s="1"/>
  <c r="F131" i="38" s="1"/>
  <c r="F146" i="38" s="1"/>
  <c r="F161" i="38" s="1"/>
  <c r="D56" i="38"/>
  <c r="F55" i="38"/>
  <c r="F70" i="38" s="1"/>
  <c r="F85" i="38" s="1"/>
  <c r="F100" i="38" s="1"/>
  <c r="F115" i="38" s="1"/>
  <c r="F130" i="38" s="1"/>
  <c r="F145" i="38" s="1"/>
  <c r="F160" i="38" s="1"/>
  <c r="D55" i="38"/>
  <c r="D70" i="38" s="1"/>
  <c r="D85" i="38" s="1"/>
  <c r="D100" i="38" s="1"/>
  <c r="D115" i="38" s="1"/>
  <c r="D130" i="38" s="1"/>
  <c r="D145" i="38" s="1"/>
  <c r="D160" i="38" s="1"/>
  <c r="F54" i="38"/>
  <c r="F69" i="38" s="1"/>
  <c r="F84" i="38" s="1"/>
  <c r="F99" i="38" s="1"/>
  <c r="F114" i="38" s="1"/>
  <c r="F129" i="38" s="1"/>
  <c r="F144" i="38" s="1"/>
  <c r="F159" i="38" s="1"/>
  <c r="D54" i="38"/>
  <c r="F53" i="38"/>
  <c r="F68" i="38" s="1"/>
  <c r="F83" i="38" s="1"/>
  <c r="F98" i="38" s="1"/>
  <c r="F113" i="38" s="1"/>
  <c r="F128" i="38" s="1"/>
  <c r="F143" i="38" s="1"/>
  <c r="F158" i="38" s="1"/>
  <c r="D53" i="38"/>
  <c r="D68" i="38" s="1"/>
  <c r="D83" i="38" s="1"/>
  <c r="D98" i="38" s="1"/>
  <c r="D113" i="38" s="1"/>
  <c r="D128" i="38" s="1"/>
  <c r="D143" i="38" s="1"/>
  <c r="D158" i="38" s="1"/>
  <c r="F52" i="38"/>
  <c r="F67" i="38" s="1"/>
  <c r="F82" i="38" s="1"/>
  <c r="F97" i="38" s="1"/>
  <c r="F112" i="38" s="1"/>
  <c r="F127" i="38" s="1"/>
  <c r="F142" i="38" s="1"/>
  <c r="F157" i="38" s="1"/>
  <c r="D52" i="38"/>
  <c r="G51" i="38"/>
  <c r="G52" i="38" s="1"/>
  <c r="G53" i="38" s="1"/>
  <c r="G54" i="38" s="1"/>
  <c r="G55" i="38" s="1"/>
  <c r="G56" i="38" s="1"/>
  <c r="G57" i="38" s="1"/>
  <c r="G58" i="38" s="1"/>
  <c r="G59" i="38" s="1"/>
  <c r="G60" i="38" s="1"/>
  <c r="G61" i="38" s="1"/>
  <c r="G62" i="38" s="1"/>
  <c r="G63" i="38" s="1"/>
  <c r="G64" i="38" s="1"/>
  <c r="G65" i="38" s="1"/>
  <c r="F51" i="38"/>
  <c r="F66" i="38" s="1"/>
  <c r="F81" i="38" s="1"/>
  <c r="F96" i="38" s="1"/>
  <c r="F111" i="38" s="1"/>
  <c r="F126" i="38" s="1"/>
  <c r="F141" i="38" s="1"/>
  <c r="F156" i="38" s="1"/>
  <c r="E51" i="38"/>
  <c r="E52" i="38" s="1"/>
  <c r="E53" i="38" s="1"/>
  <c r="E54" i="38" s="1"/>
  <c r="E55" i="38" s="1"/>
  <c r="E56" i="38" s="1"/>
  <c r="E57" i="38" s="1"/>
  <c r="E58" i="38" s="1"/>
  <c r="E59" i="38" s="1"/>
  <c r="E60" i="38" s="1"/>
  <c r="E61" i="38" s="1"/>
  <c r="E62" i="38" s="1"/>
  <c r="E63" i="38" s="1"/>
  <c r="E64" i="38" s="1"/>
  <c r="E65" i="38" s="1"/>
  <c r="D51" i="38"/>
  <c r="D66" i="38" s="1"/>
  <c r="D81" i="38" s="1"/>
  <c r="D96" i="38" s="1"/>
  <c r="D111" i="38" s="1"/>
  <c r="D126" i="38" s="1"/>
  <c r="D141" i="38" s="1"/>
  <c r="D156" i="38" s="1"/>
  <c r="G36" i="38"/>
  <c r="G37" i="38" s="1"/>
  <c r="G38" i="38" s="1"/>
  <c r="G39" i="38" s="1"/>
  <c r="G40" i="38" s="1"/>
  <c r="G41" i="38" s="1"/>
  <c r="G42" i="38" s="1"/>
  <c r="G43" i="38" s="1"/>
  <c r="G44" i="38" s="1"/>
  <c r="G45" i="38" s="1"/>
  <c r="G46" i="38" s="1"/>
  <c r="G47" i="38" s="1"/>
  <c r="G48" i="38" s="1"/>
  <c r="G49" i="38" s="1"/>
  <c r="G50" i="38" s="1"/>
  <c r="E36" i="38"/>
  <c r="E37" i="38" s="1"/>
  <c r="E38" i="38" s="1"/>
  <c r="E39" i="38" s="1"/>
  <c r="E40" i="38" s="1"/>
  <c r="E41" i="38" s="1"/>
  <c r="E42" i="38" s="1"/>
  <c r="E43" i="38" s="1"/>
  <c r="E44" i="38" s="1"/>
  <c r="E45" i="38" s="1"/>
  <c r="E46" i="38" s="1"/>
  <c r="E47" i="38" s="1"/>
  <c r="E48" i="38" s="1"/>
  <c r="E49" i="38" s="1"/>
  <c r="E50" i="38" s="1"/>
  <c r="F46" i="38"/>
  <c r="F44" i="38"/>
  <c r="F42" i="38"/>
  <c r="F36" i="38"/>
  <c r="D46" i="38"/>
  <c r="D44" i="38"/>
  <c r="D42" i="38"/>
  <c r="D36" i="38"/>
  <c r="F35" i="38"/>
  <c r="N35" i="38" s="1"/>
  <c r="D35" i="38"/>
  <c r="D50" i="38" s="1"/>
  <c r="F34" i="38"/>
  <c r="F49" i="38" s="1"/>
  <c r="D34" i="38"/>
  <c r="J34" i="38" s="1"/>
  <c r="T34" i="38" s="1"/>
  <c r="F33" i="38"/>
  <c r="F48" i="38" s="1"/>
  <c r="D33" i="38"/>
  <c r="D48" i="38" s="1"/>
  <c r="F32" i="38"/>
  <c r="F47" i="38" s="1"/>
  <c r="N62" i="38" s="1"/>
  <c r="L62" i="38" s="1"/>
  <c r="V62" i="38" s="1"/>
  <c r="D32" i="38"/>
  <c r="D47" i="38" s="1"/>
  <c r="D27" i="38"/>
  <c r="J27" i="38" s="1"/>
  <c r="T27" i="38" s="1"/>
  <c r="F27" i="38"/>
  <c r="D28" i="38"/>
  <c r="D43" i="38" s="1"/>
  <c r="F28" i="38"/>
  <c r="F43" i="38" s="1"/>
  <c r="D29" i="38"/>
  <c r="F29" i="38"/>
  <c r="D30" i="38"/>
  <c r="J30" i="38" s="1"/>
  <c r="T30" i="38" s="1"/>
  <c r="F30" i="38"/>
  <c r="F45" i="38" s="1"/>
  <c r="G22" i="38"/>
  <c r="O22" i="38" s="1"/>
  <c r="Q22" i="38" s="1"/>
  <c r="E22" i="38"/>
  <c r="K22" i="38" s="1"/>
  <c r="F26" i="38"/>
  <c r="F41" i="38" s="1"/>
  <c r="D26" i="38"/>
  <c r="D41" i="38" s="1"/>
  <c r="F25" i="38"/>
  <c r="F40" i="38" s="1"/>
  <c r="D25" i="38"/>
  <c r="J25" i="38" s="1"/>
  <c r="P25" i="38" s="1"/>
  <c r="Z25" i="38" s="1"/>
  <c r="F24" i="38"/>
  <c r="F39" i="38" s="1"/>
  <c r="D24" i="38"/>
  <c r="D39" i="38" s="1"/>
  <c r="F23" i="38"/>
  <c r="F38" i="38" s="1"/>
  <c r="D23" i="38"/>
  <c r="J23" i="38" s="1"/>
  <c r="T23" i="38" s="1"/>
  <c r="F22" i="38"/>
  <c r="N22" i="38" s="1"/>
  <c r="D22" i="38"/>
  <c r="D37" i="38" s="1"/>
  <c r="D15" i="38"/>
  <c r="E15" i="38"/>
  <c r="F15" i="38"/>
  <c r="N15" i="38" s="1"/>
  <c r="L15" i="38" s="1"/>
  <c r="V15" i="38" s="1"/>
  <c r="G15" i="38"/>
  <c r="D16" i="38"/>
  <c r="E16" i="38"/>
  <c r="K16" i="38" s="1"/>
  <c r="M16" i="38" s="1"/>
  <c r="F16" i="38"/>
  <c r="G16" i="38"/>
  <c r="O16" i="38" s="1"/>
  <c r="D17" i="38"/>
  <c r="J17" i="38" s="1"/>
  <c r="P17" i="38" s="1"/>
  <c r="Z17" i="38" s="1"/>
  <c r="E17" i="38"/>
  <c r="F17" i="38"/>
  <c r="G17" i="38"/>
  <c r="D18" i="38"/>
  <c r="E18" i="38"/>
  <c r="K18" i="38" s="1"/>
  <c r="F18" i="38"/>
  <c r="N18" i="38" s="1"/>
  <c r="G18" i="38"/>
  <c r="O18" i="38" s="1"/>
  <c r="Q18" i="38" s="1"/>
  <c r="D19" i="38"/>
  <c r="E19" i="38"/>
  <c r="F19" i="38"/>
  <c r="N19" i="38" s="1"/>
  <c r="L19" i="38" s="1"/>
  <c r="V19" i="38" s="1"/>
  <c r="G19" i="38"/>
  <c r="D20" i="38"/>
  <c r="E20" i="38"/>
  <c r="K20" i="38" s="1"/>
  <c r="M20" i="38" s="1"/>
  <c r="F20" i="38"/>
  <c r="G20" i="38"/>
  <c r="O20" i="38" s="1"/>
  <c r="Q20" i="38" s="1"/>
  <c r="G14" i="38"/>
  <c r="F14" i="38"/>
  <c r="N14" i="38" s="1"/>
  <c r="X14" i="38" s="1"/>
  <c r="E14" i="38"/>
  <c r="D14" i="38"/>
  <c r="J14" i="38" s="1"/>
  <c r="P14" i="38" s="1"/>
  <c r="Z14" i="38" s="1"/>
  <c r="G13" i="38"/>
  <c r="F13" i="38"/>
  <c r="N13" i="38" s="1"/>
  <c r="X13" i="38" s="1"/>
  <c r="E13" i="38"/>
  <c r="D13" i="38"/>
  <c r="J13" i="38" s="1"/>
  <c r="F12" i="38"/>
  <c r="D12" i="38"/>
  <c r="J12" i="38" s="1"/>
  <c r="I184" i="38"/>
  <c r="S184" i="38" s="1"/>
  <c r="I183" i="38"/>
  <c r="S183" i="38" s="1"/>
  <c r="I182" i="38"/>
  <c r="S182" i="38" s="1"/>
  <c r="J181" i="38"/>
  <c r="I181" i="38"/>
  <c r="S181" i="38" s="1"/>
  <c r="I180" i="38"/>
  <c r="S180" i="38" s="1"/>
  <c r="I179" i="38"/>
  <c r="S179" i="38" s="1"/>
  <c r="I178" i="38"/>
  <c r="S178" i="38" s="1"/>
  <c r="I177" i="38"/>
  <c r="S177" i="38" s="1"/>
  <c r="I176" i="38"/>
  <c r="S176" i="38" s="1"/>
  <c r="I175" i="38"/>
  <c r="S175" i="38" s="1"/>
  <c r="I174" i="38"/>
  <c r="S174" i="38" s="1"/>
  <c r="I173" i="38"/>
  <c r="S173" i="38" s="1"/>
  <c r="I172" i="38"/>
  <c r="S172" i="38" s="1"/>
  <c r="I171" i="38"/>
  <c r="S171" i="38" s="1"/>
  <c r="I170" i="38"/>
  <c r="S170" i="38" s="1"/>
  <c r="I169" i="38"/>
  <c r="S169" i="38" s="1"/>
  <c r="I168" i="38"/>
  <c r="S168" i="38" s="1"/>
  <c r="I167" i="38"/>
  <c r="S167" i="38" s="1"/>
  <c r="I166" i="38"/>
  <c r="S166" i="38" s="1"/>
  <c r="I165" i="38"/>
  <c r="S165" i="38" s="1"/>
  <c r="I164" i="38"/>
  <c r="S164" i="38" s="1"/>
  <c r="I163" i="38"/>
  <c r="S163" i="38" s="1"/>
  <c r="I162" i="38"/>
  <c r="S162" i="38" s="1"/>
  <c r="I161" i="38"/>
  <c r="S161" i="38" s="1"/>
  <c r="I160" i="38"/>
  <c r="S160" i="38" s="1"/>
  <c r="I159" i="38"/>
  <c r="S159" i="38" s="1"/>
  <c r="I158" i="38"/>
  <c r="S158" i="38" s="1"/>
  <c r="I157" i="38"/>
  <c r="S157" i="38" s="1"/>
  <c r="I156" i="38"/>
  <c r="S156" i="38" s="1"/>
  <c r="I155" i="38"/>
  <c r="S155" i="38" s="1"/>
  <c r="I154" i="38"/>
  <c r="S154" i="38" s="1"/>
  <c r="I153" i="38"/>
  <c r="S153" i="38" s="1"/>
  <c r="I152" i="38"/>
  <c r="S152" i="38" s="1"/>
  <c r="I151" i="38"/>
  <c r="S151" i="38" s="1"/>
  <c r="I150" i="38"/>
  <c r="S150" i="38" s="1"/>
  <c r="I149" i="38"/>
  <c r="S149" i="38" s="1"/>
  <c r="I148" i="38"/>
  <c r="S148" i="38" s="1"/>
  <c r="I147" i="38"/>
  <c r="S147" i="38" s="1"/>
  <c r="I146" i="38"/>
  <c r="S146" i="38" s="1"/>
  <c r="I145" i="38"/>
  <c r="S145" i="38" s="1"/>
  <c r="I144" i="38"/>
  <c r="S144" i="38" s="1"/>
  <c r="I143" i="38"/>
  <c r="S143" i="38" s="1"/>
  <c r="I142" i="38"/>
  <c r="S142" i="38" s="1"/>
  <c r="I141" i="38"/>
  <c r="S141" i="38" s="1"/>
  <c r="I140" i="38"/>
  <c r="S140" i="38" s="1"/>
  <c r="I139" i="38"/>
  <c r="S139" i="38" s="1"/>
  <c r="I138" i="38"/>
  <c r="S138" i="38" s="1"/>
  <c r="I137" i="38"/>
  <c r="S137" i="38" s="1"/>
  <c r="I136" i="38"/>
  <c r="S136" i="38" s="1"/>
  <c r="I135" i="38"/>
  <c r="S135" i="38" s="1"/>
  <c r="I134" i="38"/>
  <c r="S134" i="38" s="1"/>
  <c r="I133" i="38"/>
  <c r="S133" i="38" s="1"/>
  <c r="I132" i="38"/>
  <c r="S132" i="38" s="1"/>
  <c r="I131" i="38"/>
  <c r="S131" i="38" s="1"/>
  <c r="I130" i="38"/>
  <c r="S130" i="38" s="1"/>
  <c r="I129" i="38"/>
  <c r="S129" i="38" s="1"/>
  <c r="I128" i="38"/>
  <c r="S128" i="38" s="1"/>
  <c r="I127" i="38"/>
  <c r="S127" i="38" s="1"/>
  <c r="I126" i="38"/>
  <c r="S126" i="38" s="1"/>
  <c r="I125" i="38"/>
  <c r="S125" i="38" s="1"/>
  <c r="I124" i="38"/>
  <c r="S124" i="38" s="1"/>
  <c r="I123" i="38"/>
  <c r="S123" i="38" s="1"/>
  <c r="I122" i="38"/>
  <c r="S122" i="38" s="1"/>
  <c r="I121" i="38"/>
  <c r="S121" i="38" s="1"/>
  <c r="I120" i="38"/>
  <c r="S120" i="38" s="1"/>
  <c r="I119" i="38"/>
  <c r="S119" i="38" s="1"/>
  <c r="I118" i="38"/>
  <c r="S118" i="38" s="1"/>
  <c r="I117" i="38"/>
  <c r="S117" i="38" s="1"/>
  <c r="I116" i="38"/>
  <c r="S116" i="38" s="1"/>
  <c r="I115" i="38"/>
  <c r="S115" i="38" s="1"/>
  <c r="I114" i="38"/>
  <c r="S114" i="38" s="1"/>
  <c r="I113" i="38"/>
  <c r="S113" i="38" s="1"/>
  <c r="I112" i="38"/>
  <c r="S112" i="38" s="1"/>
  <c r="I111" i="38"/>
  <c r="S111" i="38" s="1"/>
  <c r="I110" i="38"/>
  <c r="S110" i="38" s="1"/>
  <c r="I109" i="38"/>
  <c r="S109" i="38" s="1"/>
  <c r="I108" i="38"/>
  <c r="S108" i="38" s="1"/>
  <c r="I107" i="38"/>
  <c r="S107" i="38" s="1"/>
  <c r="I106" i="38"/>
  <c r="S106" i="38" s="1"/>
  <c r="I105" i="38"/>
  <c r="S105" i="38" s="1"/>
  <c r="I104" i="38"/>
  <c r="S104" i="38" s="1"/>
  <c r="I103" i="38"/>
  <c r="S103" i="38" s="1"/>
  <c r="I102" i="38"/>
  <c r="S102" i="38" s="1"/>
  <c r="I101" i="38"/>
  <c r="S101" i="38" s="1"/>
  <c r="I100" i="38"/>
  <c r="S100" i="38" s="1"/>
  <c r="I99" i="38"/>
  <c r="S99" i="38" s="1"/>
  <c r="I98" i="38"/>
  <c r="S98" i="38" s="1"/>
  <c r="I97" i="38"/>
  <c r="S97" i="38" s="1"/>
  <c r="I96" i="38"/>
  <c r="S96" i="38" s="1"/>
  <c r="I95" i="38"/>
  <c r="S95" i="38" s="1"/>
  <c r="I94" i="38"/>
  <c r="S94" i="38" s="1"/>
  <c r="I93" i="38"/>
  <c r="S93" i="38" s="1"/>
  <c r="I92" i="38"/>
  <c r="S92" i="38" s="1"/>
  <c r="I91" i="38"/>
  <c r="S91" i="38" s="1"/>
  <c r="I90" i="38"/>
  <c r="S90" i="38" s="1"/>
  <c r="I89" i="38"/>
  <c r="S89" i="38" s="1"/>
  <c r="I88" i="38"/>
  <c r="S88" i="38" s="1"/>
  <c r="I87" i="38"/>
  <c r="S87" i="38" s="1"/>
  <c r="I86" i="38"/>
  <c r="S86" i="38" s="1"/>
  <c r="I85" i="38"/>
  <c r="S85" i="38" s="1"/>
  <c r="I84" i="38"/>
  <c r="S84" i="38" s="1"/>
  <c r="I83" i="38"/>
  <c r="S83" i="38" s="1"/>
  <c r="I82" i="38"/>
  <c r="S82" i="38" s="1"/>
  <c r="I81" i="38"/>
  <c r="S81" i="38" s="1"/>
  <c r="I80" i="38"/>
  <c r="S80" i="38" s="1"/>
  <c r="I79" i="38"/>
  <c r="S79" i="38" s="1"/>
  <c r="I78" i="38"/>
  <c r="S78" i="38" s="1"/>
  <c r="I77" i="38"/>
  <c r="S77" i="38" s="1"/>
  <c r="I76" i="38"/>
  <c r="S76" i="38" s="1"/>
  <c r="I75" i="38"/>
  <c r="S75" i="38" s="1"/>
  <c r="I74" i="38"/>
  <c r="S74" i="38" s="1"/>
  <c r="I73" i="38"/>
  <c r="S73" i="38" s="1"/>
  <c r="I72" i="38"/>
  <c r="S72" i="38" s="1"/>
  <c r="I71" i="38"/>
  <c r="S71" i="38" s="1"/>
  <c r="I70" i="38"/>
  <c r="S70" i="38" s="1"/>
  <c r="I69" i="38"/>
  <c r="S69" i="38" s="1"/>
  <c r="I68" i="38"/>
  <c r="S68" i="38" s="1"/>
  <c r="I67" i="38"/>
  <c r="S67" i="38" s="1"/>
  <c r="I66" i="38"/>
  <c r="S66" i="38" s="1"/>
  <c r="I65" i="38"/>
  <c r="S65" i="38" s="1"/>
  <c r="I64" i="38"/>
  <c r="S64" i="38" s="1"/>
  <c r="I63" i="38"/>
  <c r="S63" i="38" s="1"/>
  <c r="I62" i="38"/>
  <c r="S62" i="38" s="1"/>
  <c r="I61" i="38"/>
  <c r="S61" i="38" s="1"/>
  <c r="I60" i="38"/>
  <c r="S60" i="38" s="1"/>
  <c r="I59" i="38"/>
  <c r="S59" i="38" s="1"/>
  <c r="I58" i="38"/>
  <c r="S58" i="38" s="1"/>
  <c r="I57" i="38"/>
  <c r="S57" i="38" s="1"/>
  <c r="I56" i="38"/>
  <c r="S56" i="38" s="1"/>
  <c r="I55" i="38"/>
  <c r="S55" i="38" s="1"/>
  <c r="I54" i="38"/>
  <c r="S54" i="38" s="1"/>
  <c r="I53" i="38"/>
  <c r="S53" i="38" s="1"/>
  <c r="I52" i="38"/>
  <c r="S52" i="38" s="1"/>
  <c r="I51" i="38"/>
  <c r="S51" i="38" s="1"/>
  <c r="I50" i="38"/>
  <c r="S50" i="38" s="1"/>
  <c r="I49" i="38"/>
  <c r="S49" i="38" s="1"/>
  <c r="I48" i="38"/>
  <c r="S48" i="38" s="1"/>
  <c r="I47" i="38"/>
  <c r="S47" i="38" s="1"/>
  <c r="I46" i="38"/>
  <c r="S46" i="38" s="1"/>
  <c r="I45" i="38"/>
  <c r="S45" i="38" s="1"/>
  <c r="I44" i="38"/>
  <c r="S44" i="38" s="1"/>
  <c r="I43" i="38"/>
  <c r="S43" i="38" s="1"/>
  <c r="I42" i="38"/>
  <c r="S42" i="38" s="1"/>
  <c r="I41" i="38"/>
  <c r="S41" i="38" s="1"/>
  <c r="I40" i="38"/>
  <c r="S40" i="38" s="1"/>
  <c r="I39" i="38"/>
  <c r="S39" i="38" s="1"/>
  <c r="I38" i="38"/>
  <c r="S38" i="38" s="1"/>
  <c r="I37" i="38"/>
  <c r="S37" i="38" s="1"/>
  <c r="I36" i="38"/>
  <c r="S36" i="38" s="1"/>
  <c r="I35" i="38"/>
  <c r="S35" i="38" s="1"/>
  <c r="I34" i="38"/>
  <c r="S34" i="38" s="1"/>
  <c r="I33" i="38"/>
  <c r="S33" i="38" s="1"/>
  <c r="I32" i="38"/>
  <c r="S32" i="38" s="1"/>
  <c r="I31" i="38"/>
  <c r="S31" i="38" s="1"/>
  <c r="N31" i="38"/>
  <c r="I30" i="38"/>
  <c r="S30" i="38" s="1"/>
  <c r="I29" i="38"/>
  <c r="S29" i="38" s="1"/>
  <c r="N28" i="38"/>
  <c r="X28" i="38" s="1"/>
  <c r="J28" i="38"/>
  <c r="P28" i="38" s="1"/>
  <c r="Z28" i="38" s="1"/>
  <c r="I28" i="38"/>
  <c r="S28" i="38" s="1"/>
  <c r="I27" i="38"/>
  <c r="S27" i="38" s="1"/>
  <c r="N26" i="38"/>
  <c r="I26" i="38"/>
  <c r="S26" i="38" s="1"/>
  <c r="I25" i="38"/>
  <c r="S25" i="38" s="1"/>
  <c r="I24" i="38"/>
  <c r="S24" i="38" s="1"/>
  <c r="N24" i="38"/>
  <c r="I23" i="38"/>
  <c r="S23" i="38" s="1"/>
  <c r="I22" i="38"/>
  <c r="S22" i="38" s="1"/>
  <c r="J21" i="38"/>
  <c r="P21" i="38" s="1"/>
  <c r="Z21" i="38" s="1"/>
  <c r="I21" i="38"/>
  <c r="S21" i="38" s="1"/>
  <c r="N21" i="38"/>
  <c r="X21" i="38" s="1"/>
  <c r="I20" i="38"/>
  <c r="S20" i="38" s="1"/>
  <c r="J20" i="38"/>
  <c r="O19" i="38"/>
  <c r="Q19" i="38" s="1"/>
  <c r="K19" i="38"/>
  <c r="I19" i="38"/>
  <c r="S19" i="38" s="1"/>
  <c r="I18" i="38"/>
  <c r="S18" i="38" s="1"/>
  <c r="J18" i="38"/>
  <c r="P18" i="38" s="1"/>
  <c r="Z18" i="38" s="1"/>
  <c r="O17" i="38"/>
  <c r="Q17" i="38" s="1"/>
  <c r="K17" i="38"/>
  <c r="M17" i="38" s="1"/>
  <c r="I17" i="38"/>
  <c r="S17" i="38" s="1"/>
  <c r="N17" i="38"/>
  <c r="X17" i="38" s="1"/>
  <c r="I16" i="38"/>
  <c r="S16" i="38" s="1"/>
  <c r="I15" i="38"/>
  <c r="S15" i="38" s="1"/>
  <c r="O15" i="38"/>
  <c r="K15" i="38"/>
  <c r="I14" i="38"/>
  <c r="S14" i="38" s="1"/>
  <c r="O14" i="38"/>
  <c r="Q14" i="38" s="1"/>
  <c r="K14" i="38"/>
  <c r="I13" i="38"/>
  <c r="S13" i="38" s="1"/>
  <c r="O13" i="38"/>
  <c r="Q13" i="38" s="1"/>
  <c r="K13" i="38"/>
  <c r="M13" i="38" s="1"/>
  <c r="I12" i="38"/>
  <c r="S12" i="38" s="1"/>
  <c r="G12" i="38"/>
  <c r="O12" i="38" s="1"/>
  <c r="E12" i="38"/>
  <c r="K12" i="38" s="1"/>
  <c r="M12" i="38" s="1"/>
  <c r="O11" i="38"/>
  <c r="Q11" i="38" s="1"/>
  <c r="N11" i="38"/>
  <c r="L11" i="38" s="1"/>
  <c r="V11" i="38" s="1"/>
  <c r="K11" i="38"/>
  <c r="M11" i="38" s="1"/>
  <c r="J11" i="38"/>
  <c r="T11" i="38" s="1"/>
  <c r="I11" i="38"/>
  <c r="S11" i="38" s="1"/>
  <c r="G6" i="38"/>
  <c r="W6" i="38" s="1"/>
  <c r="B5" i="38" a="1"/>
  <c r="B5" i="38" s="1"/>
  <c r="G53" i="37"/>
  <c r="G54" i="37" s="1"/>
  <c r="G55" i="37" s="1"/>
  <c r="E53" i="37"/>
  <c r="E54" i="37" s="1"/>
  <c r="E55" i="37" s="1"/>
  <c r="F52" i="37"/>
  <c r="F55" i="37" s="1"/>
  <c r="N55" i="37" s="1"/>
  <c r="L55" i="37" s="1"/>
  <c r="V55" i="37" s="1"/>
  <c r="D52" i="37"/>
  <c r="D55" i="37" s="1"/>
  <c r="J55" i="37" s="1"/>
  <c r="P55" i="37" s="1"/>
  <c r="Z55" i="37" s="1"/>
  <c r="G51" i="37"/>
  <c r="G52" i="37" s="1"/>
  <c r="E51" i="37"/>
  <c r="E52" i="37" s="1"/>
  <c r="G50" i="37"/>
  <c r="F50" i="37"/>
  <c r="F53" i="37" s="1"/>
  <c r="N53" i="37" s="1"/>
  <c r="L53" i="37" s="1"/>
  <c r="V53" i="37" s="1"/>
  <c r="E50" i="37"/>
  <c r="D50" i="37"/>
  <c r="D53" i="37" s="1"/>
  <c r="J53" i="37" s="1"/>
  <c r="P53" i="37" s="1"/>
  <c r="Z53" i="37" s="1"/>
  <c r="F49" i="37"/>
  <c r="D49" i="37"/>
  <c r="F48" i="37"/>
  <c r="F51" i="37" s="1"/>
  <c r="F54" i="37" s="1"/>
  <c r="D48" i="37"/>
  <c r="J48" i="37" s="1"/>
  <c r="P48" i="37" s="1"/>
  <c r="Z48" i="37" s="1"/>
  <c r="G47" i="37"/>
  <c r="G48" i="37" s="1"/>
  <c r="G49" i="37" s="1"/>
  <c r="F47" i="37"/>
  <c r="E47" i="37"/>
  <c r="E48" i="37" s="1"/>
  <c r="E49" i="37" s="1"/>
  <c r="D47" i="37"/>
  <c r="G44" i="37"/>
  <c r="G45" i="37" s="1"/>
  <c r="E44" i="37"/>
  <c r="E45" i="37" s="1"/>
  <c r="F46" i="37"/>
  <c r="D46" i="37"/>
  <c r="F45" i="37"/>
  <c r="D45" i="37"/>
  <c r="J45" i="37" s="1"/>
  <c r="P45" i="37" s="1"/>
  <c r="Z45" i="37" s="1"/>
  <c r="F44" i="37"/>
  <c r="D44" i="37"/>
  <c r="F43" i="37"/>
  <c r="G42" i="37"/>
  <c r="G43" i="37" s="1"/>
  <c r="O43" i="37" s="1"/>
  <c r="E42" i="37"/>
  <c r="K42" i="37" s="1"/>
  <c r="J42" i="37"/>
  <c r="F40" i="37"/>
  <c r="D40" i="37"/>
  <c r="F39" i="37"/>
  <c r="N39" i="37" s="1"/>
  <c r="L39" i="37" s="1"/>
  <c r="V39" i="37" s="1"/>
  <c r="D39" i="37"/>
  <c r="J39" i="37" s="1"/>
  <c r="P39" i="37" s="1"/>
  <c r="Z39" i="37" s="1"/>
  <c r="G38" i="37"/>
  <c r="G39" i="37" s="1"/>
  <c r="F38" i="37"/>
  <c r="E38" i="37"/>
  <c r="E39" i="37" s="1"/>
  <c r="D38" i="37"/>
  <c r="F37" i="37"/>
  <c r="D37" i="37"/>
  <c r="F36" i="37"/>
  <c r="D36" i="37"/>
  <c r="J36" i="37" s="1"/>
  <c r="P36" i="37" s="1"/>
  <c r="Z36" i="37" s="1"/>
  <c r="G35" i="37"/>
  <c r="G36" i="37" s="1"/>
  <c r="F35" i="37"/>
  <c r="E35" i="37"/>
  <c r="E36" i="37" s="1"/>
  <c r="D35" i="37"/>
  <c r="F34" i="37"/>
  <c r="D34" i="37"/>
  <c r="F33" i="37"/>
  <c r="D33" i="37"/>
  <c r="J33" i="37" s="1"/>
  <c r="G32" i="37"/>
  <c r="G33" i="37" s="1"/>
  <c r="F32" i="37"/>
  <c r="E32" i="37"/>
  <c r="E33" i="37" s="1"/>
  <c r="D32" i="37"/>
  <c r="G29" i="37"/>
  <c r="G30" i="37" s="1"/>
  <c r="E29" i="37"/>
  <c r="F31" i="37"/>
  <c r="D31" i="37"/>
  <c r="F30" i="37"/>
  <c r="D30" i="37"/>
  <c r="J30" i="37" s="1"/>
  <c r="F29" i="37"/>
  <c r="E30" i="37"/>
  <c r="D29" i="37"/>
  <c r="F28" i="37"/>
  <c r="D28" i="37"/>
  <c r="F27" i="37"/>
  <c r="N27" i="37" s="1"/>
  <c r="L27" i="37" s="1"/>
  <c r="V27" i="37" s="1"/>
  <c r="D27" i="37"/>
  <c r="J27" i="37" s="1"/>
  <c r="G27" i="37"/>
  <c r="F26" i="37"/>
  <c r="E27" i="37"/>
  <c r="D26" i="37"/>
  <c r="G23" i="37"/>
  <c r="G24" i="37" s="1"/>
  <c r="G25" i="37" s="1"/>
  <c r="E23" i="37"/>
  <c r="E24" i="37" s="1"/>
  <c r="E25" i="37" s="1"/>
  <c r="G21" i="37"/>
  <c r="G22" i="37" s="1"/>
  <c r="E21" i="37"/>
  <c r="E22" i="37" s="1"/>
  <c r="K22" i="37" s="1"/>
  <c r="M22" i="37" s="1"/>
  <c r="G20" i="37"/>
  <c r="E20" i="37"/>
  <c r="D20" i="37"/>
  <c r="J20" i="37" s="1"/>
  <c r="F19" i="37"/>
  <c r="F22" i="37" s="1"/>
  <c r="G17" i="37"/>
  <c r="G18" i="37" s="1"/>
  <c r="G19" i="37" s="1"/>
  <c r="F17" i="37"/>
  <c r="F20" i="37" s="1"/>
  <c r="E17" i="37"/>
  <c r="E18" i="37" s="1"/>
  <c r="E19" i="37" s="1"/>
  <c r="K19" i="37" s="1"/>
  <c r="M19" i="37" s="1"/>
  <c r="D17" i="37"/>
  <c r="G14" i="37"/>
  <c r="G15" i="37" s="1"/>
  <c r="E14" i="37"/>
  <c r="F16" i="37"/>
  <c r="D16" i="37"/>
  <c r="D19" i="37" s="1"/>
  <c r="E15" i="37"/>
  <c r="K15" i="37" s="1"/>
  <c r="M15" i="37" s="1"/>
  <c r="F15" i="37"/>
  <c r="F18" i="37" s="1"/>
  <c r="F14" i="37"/>
  <c r="D15" i="37"/>
  <c r="D18" i="37" s="1"/>
  <c r="J18" i="37" s="1"/>
  <c r="D14" i="37"/>
  <c r="J14" i="37" s="1"/>
  <c r="G13" i="37"/>
  <c r="E13" i="37"/>
  <c r="J13" i="37"/>
  <c r="G12" i="37"/>
  <c r="E12" i="37"/>
  <c r="F68" i="36"/>
  <c r="F67" i="36"/>
  <c r="F66" i="36"/>
  <c r="F65" i="36"/>
  <c r="F64" i="36"/>
  <c r="F63" i="36"/>
  <c r="F62" i="36"/>
  <c r="F61" i="36"/>
  <c r="N61" i="36" s="1"/>
  <c r="L61" i="36" s="1"/>
  <c r="V61" i="36" s="1"/>
  <c r="F60" i="36"/>
  <c r="F59" i="36"/>
  <c r="D68" i="36"/>
  <c r="D67" i="36"/>
  <c r="D66" i="36"/>
  <c r="D65" i="36"/>
  <c r="D64" i="36"/>
  <c r="D63" i="36"/>
  <c r="J63" i="36" s="1"/>
  <c r="D62" i="36"/>
  <c r="D61" i="36"/>
  <c r="D60" i="36"/>
  <c r="D59" i="36"/>
  <c r="F58" i="36"/>
  <c r="D58" i="36"/>
  <c r="N65" i="36"/>
  <c r="L65" i="36" s="1"/>
  <c r="V65" i="36" s="1"/>
  <c r="N63" i="36"/>
  <c r="L63" i="36" s="1"/>
  <c r="V63" i="36" s="1"/>
  <c r="G58" i="36"/>
  <c r="G59" i="36" s="1"/>
  <c r="E58" i="36"/>
  <c r="E59" i="36" s="1"/>
  <c r="F57" i="36"/>
  <c r="D57" i="36"/>
  <c r="J57" i="36" s="1"/>
  <c r="P57" i="36" s="1"/>
  <c r="Z57" i="36" s="1"/>
  <c r="F56" i="36"/>
  <c r="D56" i="36"/>
  <c r="F55" i="36"/>
  <c r="D55" i="36"/>
  <c r="J55" i="36" s="1"/>
  <c r="P55" i="36" s="1"/>
  <c r="Z55" i="36" s="1"/>
  <c r="F54" i="36"/>
  <c r="D54" i="36"/>
  <c r="F53" i="36"/>
  <c r="D53" i="36"/>
  <c r="J53" i="36" s="1"/>
  <c r="P53" i="36" s="1"/>
  <c r="Z53" i="36" s="1"/>
  <c r="F52" i="36"/>
  <c r="D52" i="36"/>
  <c r="F51" i="36"/>
  <c r="D51" i="36"/>
  <c r="J51" i="36" s="1"/>
  <c r="P51" i="36" s="1"/>
  <c r="Z51" i="36" s="1"/>
  <c r="F50" i="36"/>
  <c r="D50" i="36"/>
  <c r="F49" i="36"/>
  <c r="D49" i="36"/>
  <c r="J49" i="36" s="1"/>
  <c r="P49" i="36" s="1"/>
  <c r="Z49" i="36" s="1"/>
  <c r="F48" i="36"/>
  <c r="D48" i="36"/>
  <c r="G47" i="36"/>
  <c r="G48" i="36" s="1"/>
  <c r="F47" i="36"/>
  <c r="E47" i="36"/>
  <c r="E48" i="36" s="1"/>
  <c r="D47" i="36"/>
  <c r="J47" i="36" s="1"/>
  <c r="P47" i="36" s="1"/>
  <c r="Z47" i="36" s="1"/>
  <c r="F46" i="36"/>
  <c r="D46" i="36"/>
  <c r="F45" i="36"/>
  <c r="D45" i="36"/>
  <c r="J45" i="36" s="1"/>
  <c r="P45" i="36" s="1"/>
  <c r="Z45" i="36" s="1"/>
  <c r="F44" i="36"/>
  <c r="D44" i="36"/>
  <c r="F43" i="36"/>
  <c r="D43" i="36"/>
  <c r="J43" i="36" s="1"/>
  <c r="P43" i="36" s="1"/>
  <c r="Z43" i="36" s="1"/>
  <c r="F42" i="36"/>
  <c r="D42" i="36"/>
  <c r="F41" i="36"/>
  <c r="D41" i="36"/>
  <c r="J41" i="36" s="1"/>
  <c r="P41" i="36" s="1"/>
  <c r="Z41" i="36" s="1"/>
  <c r="F40" i="36"/>
  <c r="D40" i="36"/>
  <c r="F39" i="36"/>
  <c r="D39" i="36"/>
  <c r="J39" i="36" s="1"/>
  <c r="P39" i="36" s="1"/>
  <c r="Z39" i="36" s="1"/>
  <c r="F38" i="36"/>
  <c r="D38" i="36"/>
  <c r="F37" i="36"/>
  <c r="D37" i="36"/>
  <c r="J37" i="36" s="1"/>
  <c r="P37" i="36" s="1"/>
  <c r="Z37" i="36" s="1"/>
  <c r="F36" i="36"/>
  <c r="D36" i="36"/>
  <c r="G35" i="36"/>
  <c r="G36" i="36" s="1"/>
  <c r="F35" i="36"/>
  <c r="E35" i="36"/>
  <c r="E36" i="36" s="1"/>
  <c r="D35" i="36"/>
  <c r="J35" i="36" s="1"/>
  <c r="P35" i="36" s="1"/>
  <c r="Z35" i="36" s="1"/>
  <c r="F34" i="36"/>
  <c r="D34" i="36"/>
  <c r="F33" i="36"/>
  <c r="D33" i="36"/>
  <c r="J33" i="36" s="1"/>
  <c r="P33" i="36" s="1"/>
  <c r="Z33" i="36" s="1"/>
  <c r="F32" i="36"/>
  <c r="D32" i="36"/>
  <c r="F31" i="36"/>
  <c r="D31" i="36"/>
  <c r="J31" i="36" s="1"/>
  <c r="P31" i="36" s="1"/>
  <c r="Z31" i="36" s="1"/>
  <c r="F30" i="36"/>
  <c r="D30" i="36"/>
  <c r="F29" i="36"/>
  <c r="D29" i="36"/>
  <c r="F28" i="36"/>
  <c r="D28" i="36"/>
  <c r="F27" i="36"/>
  <c r="E27" i="36"/>
  <c r="E28" i="36" s="1"/>
  <c r="D27" i="36"/>
  <c r="J27" i="36" s="1"/>
  <c r="P27" i="36" s="1"/>
  <c r="Z27" i="36" s="1"/>
  <c r="G26" i="36"/>
  <c r="G27" i="36" s="1"/>
  <c r="F26" i="36"/>
  <c r="E26" i="36"/>
  <c r="D26" i="36"/>
  <c r="G23" i="36"/>
  <c r="G24" i="36" s="1"/>
  <c r="E23" i="36"/>
  <c r="E24" i="36" s="1"/>
  <c r="F25" i="36"/>
  <c r="F24" i="36"/>
  <c r="F23" i="36"/>
  <c r="D25" i="36"/>
  <c r="D24" i="36"/>
  <c r="D23" i="36"/>
  <c r="N24" i="36"/>
  <c r="L24" i="36" s="1"/>
  <c r="V24" i="36" s="1"/>
  <c r="F22" i="36"/>
  <c r="D22" i="36"/>
  <c r="F21" i="36"/>
  <c r="D21" i="36"/>
  <c r="J21" i="36" s="1"/>
  <c r="P21" i="36" s="1"/>
  <c r="Z21" i="36" s="1"/>
  <c r="F20" i="36"/>
  <c r="D20" i="36"/>
  <c r="F19" i="36"/>
  <c r="D19" i="36"/>
  <c r="J19" i="36" s="1"/>
  <c r="F18" i="36"/>
  <c r="D18" i="36"/>
  <c r="F17" i="36"/>
  <c r="N17" i="36" s="1"/>
  <c r="L17" i="36" s="1"/>
  <c r="V17" i="36" s="1"/>
  <c r="D17" i="36"/>
  <c r="J17" i="36" s="1"/>
  <c r="P17" i="36" s="1"/>
  <c r="Z17" i="36" s="1"/>
  <c r="F16" i="36"/>
  <c r="D16" i="36"/>
  <c r="F15" i="36"/>
  <c r="D15" i="36"/>
  <c r="J15" i="36" s="1"/>
  <c r="F14" i="36"/>
  <c r="N14" i="36" s="1"/>
  <c r="L14" i="36" s="1"/>
  <c r="V14" i="36" s="1"/>
  <c r="D14" i="36"/>
  <c r="G13" i="36"/>
  <c r="G14" i="36" s="1"/>
  <c r="G15" i="36" s="1"/>
  <c r="G16" i="36" s="1"/>
  <c r="F13" i="36"/>
  <c r="E13" i="36"/>
  <c r="E14" i="36" s="1"/>
  <c r="E15" i="36" s="1"/>
  <c r="E16" i="36" s="1"/>
  <c r="D13" i="36"/>
  <c r="J13" i="36" s="1"/>
  <c r="F12" i="36"/>
  <c r="N12" i="36" s="1"/>
  <c r="X12" i="36" s="1"/>
  <c r="D12" i="36"/>
  <c r="N21" i="36"/>
  <c r="L21" i="36" s="1"/>
  <c r="V21" i="36" s="1"/>
  <c r="J14" i="36"/>
  <c r="G12" i="36"/>
  <c r="E12" i="36"/>
  <c r="O12" i="36"/>
  <c r="Q12" i="36" s="1"/>
  <c r="J12" i="36"/>
  <c r="G53" i="35"/>
  <c r="G54" i="35" s="1"/>
  <c r="G55" i="35" s="1"/>
  <c r="E53" i="35"/>
  <c r="E54" i="35" s="1"/>
  <c r="E55" i="35" s="1"/>
  <c r="G51" i="35"/>
  <c r="G52" i="35" s="1"/>
  <c r="E51" i="35"/>
  <c r="E52" i="35" s="1"/>
  <c r="G50" i="35"/>
  <c r="E50" i="35"/>
  <c r="G47" i="35"/>
  <c r="G48" i="35" s="1"/>
  <c r="G49" i="35" s="1"/>
  <c r="E47" i="35"/>
  <c r="E48" i="35" s="1"/>
  <c r="E49" i="35" s="1"/>
  <c r="G45" i="35"/>
  <c r="G46" i="35" s="1"/>
  <c r="E45" i="35"/>
  <c r="E46" i="35" s="1"/>
  <c r="G44" i="35"/>
  <c r="E44" i="35"/>
  <c r="G41" i="35"/>
  <c r="G42" i="35" s="1"/>
  <c r="G43" i="35" s="1"/>
  <c r="E41" i="35"/>
  <c r="E42" i="35" s="1"/>
  <c r="E43" i="35" s="1"/>
  <c r="G39" i="35"/>
  <c r="G40" i="35" s="1"/>
  <c r="E39" i="35"/>
  <c r="E40" i="35" s="1"/>
  <c r="G38" i="35"/>
  <c r="E38" i="35"/>
  <c r="G35" i="35"/>
  <c r="G36" i="35" s="1"/>
  <c r="G37" i="35" s="1"/>
  <c r="E35" i="35"/>
  <c r="E36" i="35" s="1"/>
  <c r="E37" i="35" s="1"/>
  <c r="E33" i="35"/>
  <c r="E34" i="35" s="1"/>
  <c r="G32" i="35"/>
  <c r="G33" i="35" s="1"/>
  <c r="G34" i="35" s="1"/>
  <c r="E32" i="35"/>
  <c r="G29" i="35"/>
  <c r="G30" i="35" s="1"/>
  <c r="G31" i="35" s="1"/>
  <c r="E29" i="35"/>
  <c r="E30" i="35" s="1"/>
  <c r="E31" i="35" s="1"/>
  <c r="G27" i="35"/>
  <c r="G28" i="35" s="1"/>
  <c r="E27" i="35"/>
  <c r="E28" i="35" s="1"/>
  <c r="G26" i="35"/>
  <c r="E26" i="35"/>
  <c r="G23" i="35"/>
  <c r="G24" i="35" s="1"/>
  <c r="G25" i="35" s="1"/>
  <c r="E23" i="35"/>
  <c r="E24" i="35" s="1"/>
  <c r="E25" i="35" s="1"/>
  <c r="D22" i="35"/>
  <c r="D25" i="35" s="1"/>
  <c r="D28" i="35" s="1"/>
  <c r="D31" i="35" s="1"/>
  <c r="D34" i="35" s="1"/>
  <c r="D37" i="35" s="1"/>
  <c r="D40" i="35" s="1"/>
  <c r="D43" i="35" s="1"/>
  <c r="D46" i="35" s="1"/>
  <c r="D49" i="35" s="1"/>
  <c r="D52" i="35" s="1"/>
  <c r="D55" i="35" s="1"/>
  <c r="E21" i="35"/>
  <c r="E22" i="35" s="1"/>
  <c r="K22" i="35" s="1"/>
  <c r="M22" i="35" s="1"/>
  <c r="G20" i="35"/>
  <c r="G21" i="35" s="1"/>
  <c r="G22" i="35" s="1"/>
  <c r="E20" i="35"/>
  <c r="D20" i="35"/>
  <c r="D23" i="35" s="1"/>
  <c r="D26" i="35" s="1"/>
  <c r="D29" i="35" s="1"/>
  <c r="D32" i="35" s="1"/>
  <c r="D35" i="35" s="1"/>
  <c r="D38" i="35" s="1"/>
  <c r="D41" i="35" s="1"/>
  <c r="D44" i="35" s="1"/>
  <c r="D47" i="35" s="1"/>
  <c r="D50" i="35" s="1"/>
  <c r="D53" i="35" s="1"/>
  <c r="F19" i="35"/>
  <c r="F22" i="35" s="1"/>
  <c r="F25" i="35" s="1"/>
  <c r="F28" i="35" s="1"/>
  <c r="F31" i="35" s="1"/>
  <c r="F34" i="35" s="1"/>
  <c r="F37" i="35" s="1"/>
  <c r="F40" i="35" s="1"/>
  <c r="F43" i="35" s="1"/>
  <c r="F46" i="35" s="1"/>
  <c r="F49" i="35" s="1"/>
  <c r="F52" i="35" s="1"/>
  <c r="F55" i="35" s="1"/>
  <c r="D19" i="35"/>
  <c r="F18" i="35"/>
  <c r="F21" i="35" s="1"/>
  <c r="F24" i="35" s="1"/>
  <c r="F27" i="35" s="1"/>
  <c r="F30" i="35" s="1"/>
  <c r="F33" i="35" s="1"/>
  <c r="F36" i="35" s="1"/>
  <c r="F39" i="35" s="1"/>
  <c r="F42" i="35" s="1"/>
  <c r="F45" i="35" s="1"/>
  <c r="F48" i="35" s="1"/>
  <c r="F51" i="35" s="1"/>
  <c r="F54" i="35" s="1"/>
  <c r="D18" i="35"/>
  <c r="D21" i="35" s="1"/>
  <c r="D24" i="35" s="1"/>
  <c r="D27" i="35" s="1"/>
  <c r="D30" i="35" s="1"/>
  <c r="D33" i="35" s="1"/>
  <c r="D36" i="35" s="1"/>
  <c r="D39" i="35" s="1"/>
  <c r="D42" i="35" s="1"/>
  <c r="D45" i="35" s="1"/>
  <c r="D48" i="35" s="1"/>
  <c r="D51" i="35" s="1"/>
  <c r="D54" i="35" s="1"/>
  <c r="G17" i="35"/>
  <c r="G18" i="35" s="1"/>
  <c r="G19" i="35" s="1"/>
  <c r="F17" i="35"/>
  <c r="F20" i="35" s="1"/>
  <c r="F23" i="35" s="1"/>
  <c r="F26" i="35" s="1"/>
  <c r="F29" i="35" s="1"/>
  <c r="F32" i="35" s="1"/>
  <c r="F35" i="35" s="1"/>
  <c r="F38" i="35" s="1"/>
  <c r="F41" i="35" s="1"/>
  <c r="F44" i="35" s="1"/>
  <c r="F47" i="35" s="1"/>
  <c r="F50" i="35" s="1"/>
  <c r="F53" i="35" s="1"/>
  <c r="E17" i="35"/>
  <c r="E18" i="35" s="1"/>
  <c r="E19" i="35" s="1"/>
  <c r="D17" i="35"/>
  <c r="G14" i="35"/>
  <c r="E14" i="35"/>
  <c r="E15" i="35" s="1"/>
  <c r="O38" i="35"/>
  <c r="Q38" i="35" s="1"/>
  <c r="G15" i="35"/>
  <c r="F16" i="35"/>
  <c r="D16" i="35"/>
  <c r="F15" i="35"/>
  <c r="F14" i="35"/>
  <c r="D15" i="35"/>
  <c r="D14" i="35"/>
  <c r="N14" i="35"/>
  <c r="L14" i="35" s="1"/>
  <c r="V14" i="35" s="1"/>
  <c r="F12" i="35"/>
  <c r="F13" i="35"/>
  <c r="D13" i="35"/>
  <c r="D12" i="35"/>
  <c r="J12" i="35" s="1"/>
  <c r="G12" i="35"/>
  <c r="G13" i="35" s="1"/>
  <c r="O13" i="35" s="1"/>
  <c r="Q13" i="35" s="1"/>
  <c r="E12" i="35"/>
  <c r="E13" i="35" s="1"/>
  <c r="K13" i="35" s="1"/>
  <c r="M13" i="35" s="1"/>
  <c r="F24" i="34"/>
  <c r="F25" i="34"/>
  <c r="D25" i="34"/>
  <c r="D24" i="34"/>
  <c r="F21" i="34"/>
  <c r="D22" i="34"/>
  <c r="D21" i="34"/>
  <c r="J21" i="34" s="1"/>
  <c r="P21" i="34" s="1"/>
  <c r="Z21" i="34" s="1"/>
  <c r="G24" i="34"/>
  <c r="G25" i="34" s="1"/>
  <c r="O25" i="34" s="1"/>
  <c r="N24" i="34"/>
  <c r="L24" i="34" s="1"/>
  <c r="V24" i="34" s="1"/>
  <c r="E24" i="34"/>
  <c r="E25" i="34" s="1"/>
  <c r="K25" i="34" s="1"/>
  <c r="F22" i="34"/>
  <c r="G21" i="34"/>
  <c r="G22" i="34" s="1"/>
  <c r="O22" i="34" s="1"/>
  <c r="E21" i="34"/>
  <c r="E22" i="34" s="1"/>
  <c r="K22" i="34" s="1"/>
  <c r="F18" i="34"/>
  <c r="N18" i="34" s="1"/>
  <c r="F19" i="34"/>
  <c r="D19" i="34"/>
  <c r="D18" i="34"/>
  <c r="J18" i="34" s="1"/>
  <c r="P18" i="34" s="1"/>
  <c r="Z18" i="34" s="1"/>
  <c r="G18" i="34"/>
  <c r="G19" i="34" s="1"/>
  <c r="O19" i="34" s="1"/>
  <c r="E18" i="34"/>
  <c r="E19" i="34" s="1"/>
  <c r="K19" i="34" s="1"/>
  <c r="G15" i="34"/>
  <c r="G16" i="34" s="1"/>
  <c r="O16" i="34" s="1"/>
  <c r="E15" i="34"/>
  <c r="E16" i="34" s="1"/>
  <c r="K16" i="34" s="1"/>
  <c r="G12" i="34"/>
  <c r="G13" i="34" s="1"/>
  <c r="O13" i="34" s="1"/>
  <c r="E13" i="34"/>
  <c r="E12" i="34"/>
  <c r="F15" i="34"/>
  <c r="N15" i="34" s="1"/>
  <c r="L15" i="34" s="1"/>
  <c r="V15" i="34" s="1"/>
  <c r="F16" i="34"/>
  <c r="D16" i="34"/>
  <c r="D15" i="34"/>
  <c r="F13" i="34"/>
  <c r="F12" i="34"/>
  <c r="D13" i="34"/>
  <c r="D12" i="34"/>
  <c r="J12" i="34" s="1"/>
  <c r="T12" i="34" s="1"/>
  <c r="O12" i="34"/>
  <c r="Q12" i="34" s="1"/>
  <c r="N12" i="34"/>
  <c r="L12" i="34" s="1"/>
  <c r="V12" i="34" s="1"/>
  <c r="F34" i="33"/>
  <c r="D34" i="33"/>
  <c r="F33" i="33"/>
  <c r="N33" i="33" s="1"/>
  <c r="L33" i="33" s="1"/>
  <c r="V33" i="33" s="1"/>
  <c r="D33" i="33"/>
  <c r="J33" i="33" s="1"/>
  <c r="G32" i="33"/>
  <c r="G33" i="33" s="1"/>
  <c r="F32" i="33"/>
  <c r="E32" i="33"/>
  <c r="E33" i="33" s="1"/>
  <c r="D32" i="33"/>
  <c r="F31" i="33"/>
  <c r="D31" i="33"/>
  <c r="F30" i="33"/>
  <c r="N30" i="33" s="1"/>
  <c r="L30" i="33" s="1"/>
  <c r="V30" i="33" s="1"/>
  <c r="D30" i="33"/>
  <c r="G29" i="33"/>
  <c r="G30" i="33" s="1"/>
  <c r="F29" i="33"/>
  <c r="E29" i="33"/>
  <c r="E30" i="33" s="1"/>
  <c r="D29" i="33"/>
  <c r="F28" i="33"/>
  <c r="D28" i="33"/>
  <c r="F27" i="33"/>
  <c r="D27" i="33"/>
  <c r="J27" i="33" s="1"/>
  <c r="G26" i="33"/>
  <c r="G27" i="33" s="1"/>
  <c r="F26" i="33"/>
  <c r="E26" i="33"/>
  <c r="K26" i="33" s="1"/>
  <c r="D26" i="33"/>
  <c r="F25" i="33"/>
  <c r="D25" i="33"/>
  <c r="F24" i="33"/>
  <c r="N24" i="33" s="1"/>
  <c r="L24" i="33" s="1"/>
  <c r="V24" i="33" s="1"/>
  <c r="D24" i="33"/>
  <c r="J24" i="33" s="1"/>
  <c r="G23" i="33"/>
  <c r="G24" i="33" s="1"/>
  <c r="F23" i="33"/>
  <c r="E23" i="33"/>
  <c r="E24" i="33" s="1"/>
  <c r="D23" i="33"/>
  <c r="F22" i="33"/>
  <c r="D22" i="33"/>
  <c r="F21" i="33"/>
  <c r="D21" i="33"/>
  <c r="J21" i="33" s="1"/>
  <c r="P21" i="33" s="1"/>
  <c r="Z21" i="33" s="1"/>
  <c r="G20" i="33"/>
  <c r="G21" i="33" s="1"/>
  <c r="F20" i="33"/>
  <c r="E20" i="33"/>
  <c r="E21" i="33" s="1"/>
  <c r="K21" i="33" s="1"/>
  <c r="D20" i="33"/>
  <c r="F19" i="33"/>
  <c r="D19" i="33"/>
  <c r="F18" i="33"/>
  <c r="D18" i="33"/>
  <c r="G17" i="33"/>
  <c r="O17" i="33" s="1"/>
  <c r="F17" i="33"/>
  <c r="E17" i="33"/>
  <c r="E18" i="33" s="1"/>
  <c r="D17" i="33"/>
  <c r="G14" i="33"/>
  <c r="G15" i="33" s="1"/>
  <c r="E14" i="33"/>
  <c r="E15" i="33" s="1"/>
  <c r="F16" i="33"/>
  <c r="D16" i="33"/>
  <c r="F15" i="33"/>
  <c r="F14" i="33"/>
  <c r="N14" i="33" s="1"/>
  <c r="L14" i="33" s="1"/>
  <c r="V14" i="33" s="1"/>
  <c r="D15" i="33"/>
  <c r="D14" i="33"/>
  <c r="G13" i="33"/>
  <c r="F13" i="33"/>
  <c r="E13" i="33"/>
  <c r="D13" i="33"/>
  <c r="F12" i="33"/>
  <c r="D12" i="33"/>
  <c r="N13" i="33"/>
  <c r="L13" i="33" s="1"/>
  <c r="V13" i="33" s="1"/>
  <c r="J13" i="33"/>
  <c r="P13" i="33" s="1"/>
  <c r="Z13" i="33" s="1"/>
  <c r="G12" i="33"/>
  <c r="E12" i="33"/>
  <c r="K12" i="33" s="1"/>
  <c r="F54" i="32"/>
  <c r="D54" i="32"/>
  <c r="G54" i="32"/>
  <c r="E54" i="32"/>
  <c r="F53" i="32"/>
  <c r="D53" i="32"/>
  <c r="G52" i="32"/>
  <c r="G53" i="32" s="1"/>
  <c r="O53" i="32" s="1"/>
  <c r="Q53" i="32" s="1"/>
  <c r="F52" i="32"/>
  <c r="N52" i="32" s="1"/>
  <c r="X52" i="32" s="1"/>
  <c r="E52" i="32"/>
  <c r="E53" i="32" s="1"/>
  <c r="K53" i="32" s="1"/>
  <c r="M53" i="32" s="1"/>
  <c r="D52" i="32"/>
  <c r="F51" i="32"/>
  <c r="F50" i="32"/>
  <c r="D51" i="32"/>
  <c r="D50" i="32"/>
  <c r="G50" i="32"/>
  <c r="G51" i="32" s="1"/>
  <c r="O51" i="32" s="1"/>
  <c r="Q51" i="32" s="1"/>
  <c r="E50" i="32"/>
  <c r="E51" i="32" s="1"/>
  <c r="K51" i="32" s="1"/>
  <c r="M51" i="32" s="1"/>
  <c r="J50" i="32"/>
  <c r="D49" i="32"/>
  <c r="D48" i="32"/>
  <c r="F49" i="32"/>
  <c r="F48" i="32"/>
  <c r="F47" i="32"/>
  <c r="D47" i="32"/>
  <c r="N48" i="32"/>
  <c r="X48" i="32" s="1"/>
  <c r="G47" i="32"/>
  <c r="G48" i="32" s="1"/>
  <c r="E47" i="32"/>
  <c r="E48" i="32" s="1"/>
  <c r="F46" i="32"/>
  <c r="D46" i="32"/>
  <c r="F45" i="32"/>
  <c r="D45" i="32"/>
  <c r="J45" i="32" s="1"/>
  <c r="F44" i="32"/>
  <c r="D44" i="32"/>
  <c r="G43" i="32"/>
  <c r="G44" i="32" s="1"/>
  <c r="F43" i="32"/>
  <c r="E43" i="32"/>
  <c r="E44" i="32" s="1"/>
  <c r="D43" i="32"/>
  <c r="J43" i="32" s="1"/>
  <c r="T43" i="32" s="1"/>
  <c r="G39" i="32"/>
  <c r="G40" i="32" s="1"/>
  <c r="E39" i="32"/>
  <c r="E40" i="32" s="1"/>
  <c r="D39" i="32"/>
  <c r="F42" i="32"/>
  <c r="D42" i="32"/>
  <c r="F41" i="32"/>
  <c r="D41" i="32"/>
  <c r="F40" i="32"/>
  <c r="D40" i="32"/>
  <c r="F39" i="32"/>
  <c r="J39" i="32"/>
  <c r="F38" i="32"/>
  <c r="F37" i="32"/>
  <c r="F36" i="32"/>
  <c r="F35" i="32"/>
  <c r="D38" i="32"/>
  <c r="D37" i="32"/>
  <c r="J37" i="32" s="1"/>
  <c r="D36" i="32"/>
  <c r="D35" i="32"/>
  <c r="J35" i="32" s="1"/>
  <c r="G36" i="32"/>
  <c r="E36" i="32"/>
  <c r="G31" i="32"/>
  <c r="G32" i="32" s="1"/>
  <c r="G33" i="32" s="1"/>
  <c r="G34" i="32" s="1"/>
  <c r="E31" i="32"/>
  <c r="E32" i="32" s="1"/>
  <c r="E33" i="32" s="1"/>
  <c r="E34" i="32" s="1"/>
  <c r="G27" i="32"/>
  <c r="G28" i="32" s="1"/>
  <c r="G29" i="32" s="1"/>
  <c r="G30" i="32" s="1"/>
  <c r="E27" i="32"/>
  <c r="E28" i="32" s="1"/>
  <c r="E29" i="32" s="1"/>
  <c r="E30" i="32" s="1"/>
  <c r="F26" i="32"/>
  <c r="F30" i="32" s="1"/>
  <c r="F34" i="32" s="1"/>
  <c r="D26" i="32"/>
  <c r="D30" i="32" s="1"/>
  <c r="D34" i="32" s="1"/>
  <c r="F25" i="32"/>
  <c r="F29" i="32" s="1"/>
  <c r="F33" i="32" s="1"/>
  <c r="D25" i="32"/>
  <c r="J25" i="32" s="1"/>
  <c r="F24" i="32"/>
  <c r="F28" i="32" s="1"/>
  <c r="F32" i="32" s="1"/>
  <c r="D24" i="32"/>
  <c r="D28" i="32" s="1"/>
  <c r="D32" i="32" s="1"/>
  <c r="G23" i="32"/>
  <c r="G24" i="32" s="1"/>
  <c r="G25" i="32" s="1"/>
  <c r="G26" i="32" s="1"/>
  <c r="F23" i="32"/>
  <c r="F27" i="32" s="1"/>
  <c r="F31" i="32" s="1"/>
  <c r="E23" i="32"/>
  <c r="E24" i="32" s="1"/>
  <c r="E25" i="32" s="1"/>
  <c r="E26" i="32" s="1"/>
  <c r="D23" i="32"/>
  <c r="D27" i="32" s="1"/>
  <c r="D31" i="32" s="1"/>
  <c r="G19" i="32"/>
  <c r="E19" i="32"/>
  <c r="E20" i="32" s="1"/>
  <c r="N25" i="32"/>
  <c r="X25" i="32" s="1"/>
  <c r="N23" i="32"/>
  <c r="X23" i="32" s="1"/>
  <c r="G20" i="32"/>
  <c r="F22" i="32"/>
  <c r="F21" i="32"/>
  <c r="F20" i="32"/>
  <c r="F19" i="32"/>
  <c r="D22" i="32"/>
  <c r="D21" i="32"/>
  <c r="D20" i="32"/>
  <c r="D19" i="32"/>
  <c r="J19" i="32" s="1"/>
  <c r="F18" i="32"/>
  <c r="D18" i="32"/>
  <c r="F16" i="32"/>
  <c r="D16" i="32"/>
  <c r="G18" i="32"/>
  <c r="E18" i="32"/>
  <c r="G16" i="32"/>
  <c r="N16" i="32"/>
  <c r="X16" i="32" s="1"/>
  <c r="E16" i="32"/>
  <c r="J16" i="32"/>
  <c r="J12" i="32"/>
  <c r="O12" i="32"/>
  <c r="Q12" i="32" s="1"/>
  <c r="O14" i="32"/>
  <c r="Q14" i="32" s="1"/>
  <c r="J13" i="32"/>
  <c r="E67" i="31"/>
  <c r="E68" i="31" s="1"/>
  <c r="E69" i="31" s="1"/>
  <c r="E70" i="31" s="1"/>
  <c r="E71" i="31" s="1"/>
  <c r="E72" i="31" s="1"/>
  <c r="E73" i="31" s="1"/>
  <c r="E74" i="31" s="1"/>
  <c r="E75" i="31" s="1"/>
  <c r="E76" i="31" s="1"/>
  <c r="G66" i="31"/>
  <c r="G67" i="31" s="1"/>
  <c r="G68" i="31" s="1"/>
  <c r="G69" i="31" s="1"/>
  <c r="G70" i="31" s="1"/>
  <c r="G71" i="31" s="1"/>
  <c r="G72" i="31" s="1"/>
  <c r="G73" i="31" s="1"/>
  <c r="G74" i="31" s="1"/>
  <c r="G75" i="31" s="1"/>
  <c r="G76" i="31" s="1"/>
  <c r="E66" i="31"/>
  <c r="G56" i="31"/>
  <c r="G57" i="31" s="1"/>
  <c r="G58" i="31" s="1"/>
  <c r="G59" i="31" s="1"/>
  <c r="G60" i="31" s="1"/>
  <c r="G61" i="31" s="1"/>
  <c r="G62" i="31" s="1"/>
  <c r="G63" i="31" s="1"/>
  <c r="G64" i="31" s="1"/>
  <c r="G65" i="31" s="1"/>
  <c r="G55" i="31"/>
  <c r="E55" i="31"/>
  <c r="E56" i="31" s="1"/>
  <c r="E57" i="31" s="1"/>
  <c r="E58" i="31" s="1"/>
  <c r="E59" i="31" s="1"/>
  <c r="E60" i="31" s="1"/>
  <c r="E61" i="31" s="1"/>
  <c r="E62" i="31" s="1"/>
  <c r="E63" i="31" s="1"/>
  <c r="E64" i="31" s="1"/>
  <c r="E65" i="31" s="1"/>
  <c r="D53" i="31"/>
  <c r="D64" i="31" s="1"/>
  <c r="D75" i="31" s="1"/>
  <c r="J75" i="31" s="1"/>
  <c r="D51" i="31"/>
  <c r="D62" i="31" s="1"/>
  <c r="D73" i="31" s="1"/>
  <c r="J73" i="31" s="1"/>
  <c r="D49" i="31"/>
  <c r="D60" i="31" s="1"/>
  <c r="D71" i="31" s="1"/>
  <c r="J71" i="31" s="1"/>
  <c r="T71" i="31" s="1"/>
  <c r="D47" i="31"/>
  <c r="D58" i="31" s="1"/>
  <c r="D69" i="31" s="1"/>
  <c r="J69" i="31" s="1"/>
  <c r="T69" i="31" s="1"/>
  <c r="E45" i="31"/>
  <c r="E46" i="31" s="1"/>
  <c r="E47" i="31" s="1"/>
  <c r="E48" i="31" s="1"/>
  <c r="E49" i="31" s="1"/>
  <c r="E50" i="31" s="1"/>
  <c r="E51" i="31" s="1"/>
  <c r="E52" i="31" s="1"/>
  <c r="E53" i="31" s="1"/>
  <c r="E54" i="31" s="1"/>
  <c r="D45" i="31"/>
  <c r="D56" i="31" s="1"/>
  <c r="D67" i="31" s="1"/>
  <c r="J67" i="31" s="1"/>
  <c r="T67" i="31" s="1"/>
  <c r="G44" i="31"/>
  <c r="G45" i="31" s="1"/>
  <c r="G46" i="31" s="1"/>
  <c r="G47" i="31" s="1"/>
  <c r="G48" i="31" s="1"/>
  <c r="G49" i="31" s="1"/>
  <c r="G50" i="31" s="1"/>
  <c r="G51" i="31" s="1"/>
  <c r="G52" i="31" s="1"/>
  <c r="G53" i="31" s="1"/>
  <c r="G54" i="31" s="1"/>
  <c r="E44" i="31"/>
  <c r="F43" i="31"/>
  <c r="F54" i="31" s="1"/>
  <c r="F65" i="31" s="1"/>
  <c r="F76" i="31" s="1"/>
  <c r="N76" i="31" s="1"/>
  <c r="L76" i="31" s="1"/>
  <c r="V76" i="31" s="1"/>
  <c r="D43" i="31"/>
  <c r="D54" i="31" s="1"/>
  <c r="D65" i="31" s="1"/>
  <c r="D76" i="31" s="1"/>
  <c r="J76" i="31" s="1"/>
  <c r="T76" i="31" s="1"/>
  <c r="F42" i="31"/>
  <c r="F53" i="31" s="1"/>
  <c r="F64" i="31" s="1"/>
  <c r="F75" i="31" s="1"/>
  <c r="N75" i="31" s="1"/>
  <c r="X75" i="31" s="1"/>
  <c r="D42" i="31"/>
  <c r="F41" i="31"/>
  <c r="F52" i="31" s="1"/>
  <c r="F63" i="31" s="1"/>
  <c r="F74" i="31" s="1"/>
  <c r="N74" i="31" s="1"/>
  <c r="X74" i="31" s="1"/>
  <c r="D41" i="31"/>
  <c r="D52" i="31" s="1"/>
  <c r="D63" i="31" s="1"/>
  <c r="D74" i="31" s="1"/>
  <c r="J74" i="31" s="1"/>
  <c r="T74" i="31" s="1"/>
  <c r="F40" i="31"/>
  <c r="F51" i="31" s="1"/>
  <c r="F62" i="31" s="1"/>
  <c r="F73" i="31" s="1"/>
  <c r="N73" i="31" s="1"/>
  <c r="L73" i="31" s="1"/>
  <c r="V73" i="31" s="1"/>
  <c r="D40" i="31"/>
  <c r="F39" i="31"/>
  <c r="F50" i="31" s="1"/>
  <c r="F61" i="31" s="1"/>
  <c r="F72" i="31" s="1"/>
  <c r="N72" i="31" s="1"/>
  <c r="X72" i="31" s="1"/>
  <c r="D39" i="31"/>
  <c r="D50" i="31" s="1"/>
  <c r="D61" i="31" s="1"/>
  <c r="D72" i="31" s="1"/>
  <c r="J72" i="31" s="1"/>
  <c r="P72" i="31" s="1"/>
  <c r="Z72" i="31" s="1"/>
  <c r="F38" i="31"/>
  <c r="F49" i="31" s="1"/>
  <c r="F60" i="31" s="1"/>
  <c r="F71" i="31" s="1"/>
  <c r="N71" i="31" s="1"/>
  <c r="X71" i="31" s="1"/>
  <c r="D38" i="31"/>
  <c r="F37" i="31"/>
  <c r="F48" i="31" s="1"/>
  <c r="F59" i="31" s="1"/>
  <c r="F70" i="31" s="1"/>
  <c r="N70" i="31" s="1"/>
  <c r="X70" i="31" s="1"/>
  <c r="D37" i="31"/>
  <c r="D48" i="31" s="1"/>
  <c r="D59" i="31" s="1"/>
  <c r="D70" i="31" s="1"/>
  <c r="J70" i="31" s="1"/>
  <c r="F36" i="31"/>
  <c r="F47" i="31" s="1"/>
  <c r="F58" i="31" s="1"/>
  <c r="F69" i="31" s="1"/>
  <c r="N69" i="31" s="1"/>
  <c r="D36" i="31"/>
  <c r="F35" i="31"/>
  <c r="F46" i="31" s="1"/>
  <c r="F57" i="31" s="1"/>
  <c r="F68" i="31" s="1"/>
  <c r="N68" i="31" s="1"/>
  <c r="X68" i="31" s="1"/>
  <c r="D35" i="31"/>
  <c r="D46" i="31" s="1"/>
  <c r="D57" i="31" s="1"/>
  <c r="D68" i="31" s="1"/>
  <c r="J68" i="31" s="1"/>
  <c r="G34" i="31"/>
  <c r="G35" i="31" s="1"/>
  <c r="G36" i="31" s="1"/>
  <c r="G37" i="31" s="1"/>
  <c r="G38" i="31" s="1"/>
  <c r="G39" i="31" s="1"/>
  <c r="G40" i="31" s="1"/>
  <c r="G41" i="31" s="1"/>
  <c r="G42" i="31" s="1"/>
  <c r="G43" i="31" s="1"/>
  <c r="F34" i="31"/>
  <c r="F45" i="31" s="1"/>
  <c r="F56" i="31" s="1"/>
  <c r="F67" i="31" s="1"/>
  <c r="N67" i="31" s="1"/>
  <c r="L67" i="31" s="1"/>
  <c r="V67" i="31" s="1"/>
  <c r="D34" i="31"/>
  <c r="G33" i="31"/>
  <c r="F33" i="31"/>
  <c r="F44" i="31" s="1"/>
  <c r="F55" i="31" s="1"/>
  <c r="F66" i="31" s="1"/>
  <c r="N66" i="31" s="1"/>
  <c r="L66" i="31" s="1"/>
  <c r="V66" i="31" s="1"/>
  <c r="E33" i="31"/>
  <c r="E34" i="31" s="1"/>
  <c r="E35" i="31" s="1"/>
  <c r="E36" i="31" s="1"/>
  <c r="E37" i="31" s="1"/>
  <c r="E38" i="31" s="1"/>
  <c r="E39" i="31" s="1"/>
  <c r="E40" i="31" s="1"/>
  <c r="E41" i="31" s="1"/>
  <c r="E42" i="31" s="1"/>
  <c r="E43" i="31" s="1"/>
  <c r="D33" i="31"/>
  <c r="D44" i="31" s="1"/>
  <c r="D55" i="31" s="1"/>
  <c r="D66" i="31" s="1"/>
  <c r="J66" i="31" s="1"/>
  <c r="G22" i="31"/>
  <c r="G23" i="31" s="1"/>
  <c r="E22" i="31"/>
  <c r="E23" i="31" s="1"/>
  <c r="I72" i="31"/>
  <c r="S72" i="31" s="1"/>
  <c r="F31" i="31"/>
  <c r="N31" i="31" s="1"/>
  <c r="F27" i="31"/>
  <c r="N27" i="31" s="1"/>
  <c r="D27" i="31"/>
  <c r="F23" i="31"/>
  <c r="N23" i="31" s="1"/>
  <c r="X23" i="31" s="1"/>
  <c r="F22" i="31"/>
  <c r="D22" i="31"/>
  <c r="J22" i="31" s="1"/>
  <c r="G21" i="31"/>
  <c r="F21" i="31"/>
  <c r="N21" i="31" s="1"/>
  <c r="L21" i="31" s="1"/>
  <c r="V21" i="31" s="1"/>
  <c r="E21" i="31"/>
  <c r="D21" i="31"/>
  <c r="D32" i="31" s="1"/>
  <c r="G20" i="31"/>
  <c r="F20" i="31"/>
  <c r="N20" i="31" s="1"/>
  <c r="L20" i="31" s="1"/>
  <c r="V20" i="31" s="1"/>
  <c r="E20" i="31"/>
  <c r="D20" i="31"/>
  <c r="J20" i="31" s="1"/>
  <c r="G19" i="31"/>
  <c r="F19" i="31"/>
  <c r="N19" i="31" s="1"/>
  <c r="L19" i="31" s="1"/>
  <c r="V19" i="31" s="1"/>
  <c r="E19" i="31"/>
  <c r="D19" i="31"/>
  <c r="J19" i="31" s="1"/>
  <c r="G18" i="31"/>
  <c r="F18" i="31"/>
  <c r="N18" i="31" s="1"/>
  <c r="L18" i="31" s="1"/>
  <c r="V18" i="31" s="1"/>
  <c r="E18" i="31"/>
  <c r="D18" i="31"/>
  <c r="J18" i="31" s="1"/>
  <c r="F17" i="31"/>
  <c r="F28" i="31" s="1"/>
  <c r="D17" i="31"/>
  <c r="J17" i="31" s="1"/>
  <c r="G17" i="31"/>
  <c r="E17" i="31"/>
  <c r="G15" i="31"/>
  <c r="F15" i="31"/>
  <c r="F26" i="31" s="1"/>
  <c r="E15" i="31"/>
  <c r="D15" i="31"/>
  <c r="D26" i="31" s="1"/>
  <c r="G14" i="31"/>
  <c r="F14" i="31"/>
  <c r="F25" i="31" s="1"/>
  <c r="E14" i="31"/>
  <c r="D14" i="31"/>
  <c r="J14" i="31" s="1"/>
  <c r="G13" i="31"/>
  <c r="F13" i="31"/>
  <c r="N13" i="31" s="1"/>
  <c r="X13" i="31" s="1"/>
  <c r="E13" i="31"/>
  <c r="K13" i="31" s="1"/>
  <c r="M13" i="31" s="1"/>
  <c r="D13" i="31"/>
  <c r="J13" i="31" s="1"/>
  <c r="F12" i="31"/>
  <c r="D12" i="31"/>
  <c r="D23" i="31" s="1"/>
  <c r="G12" i="31"/>
  <c r="O12" i="31" s="1"/>
  <c r="Q12" i="31" s="1"/>
  <c r="E12" i="31"/>
  <c r="D69" i="30"/>
  <c r="J69" i="30" s="1"/>
  <c r="T69" i="30" s="1"/>
  <c r="D67" i="30"/>
  <c r="D65" i="30"/>
  <c r="D63" i="30"/>
  <c r="D61" i="30"/>
  <c r="J61" i="30" s="1"/>
  <c r="D59" i="30"/>
  <c r="D57" i="30"/>
  <c r="G56" i="30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E56" i="30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F55" i="30"/>
  <c r="F70" i="30" s="1"/>
  <c r="D55" i="30"/>
  <c r="D70" i="30" s="1"/>
  <c r="F54" i="30"/>
  <c r="F69" i="30" s="1"/>
  <c r="D54" i="30"/>
  <c r="F53" i="30"/>
  <c r="F68" i="30" s="1"/>
  <c r="D53" i="30"/>
  <c r="D68" i="30" s="1"/>
  <c r="F52" i="30"/>
  <c r="F67" i="30" s="1"/>
  <c r="D52" i="30"/>
  <c r="F51" i="30"/>
  <c r="F66" i="30" s="1"/>
  <c r="D51" i="30"/>
  <c r="D66" i="30" s="1"/>
  <c r="J66" i="30" s="1"/>
  <c r="P66" i="30" s="1"/>
  <c r="Z66" i="30" s="1"/>
  <c r="F50" i="30"/>
  <c r="F65" i="30" s="1"/>
  <c r="D50" i="30"/>
  <c r="F49" i="30"/>
  <c r="F64" i="30" s="1"/>
  <c r="D49" i="30"/>
  <c r="D64" i="30" s="1"/>
  <c r="F48" i="30"/>
  <c r="F63" i="30" s="1"/>
  <c r="D48" i="30"/>
  <c r="F47" i="30"/>
  <c r="F62" i="30" s="1"/>
  <c r="D47" i="30"/>
  <c r="D62" i="30" s="1"/>
  <c r="F46" i="30"/>
  <c r="F61" i="30" s="1"/>
  <c r="D46" i="30"/>
  <c r="F45" i="30"/>
  <c r="F60" i="30" s="1"/>
  <c r="D45" i="30"/>
  <c r="D60" i="30" s="1"/>
  <c r="F44" i="30"/>
  <c r="F59" i="30" s="1"/>
  <c r="D44" i="30"/>
  <c r="F43" i="30"/>
  <c r="F58" i="30" s="1"/>
  <c r="D43" i="30"/>
  <c r="D58" i="30" s="1"/>
  <c r="G42" i="30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F42" i="30"/>
  <c r="F57" i="30" s="1"/>
  <c r="E42" i="30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D42" i="30"/>
  <c r="G41" i="30"/>
  <c r="F41" i="30"/>
  <c r="F56" i="30" s="1"/>
  <c r="E41" i="30"/>
  <c r="D41" i="30"/>
  <c r="D56" i="30" s="1"/>
  <c r="G26" i="30"/>
  <c r="E26" i="30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J52" i="30"/>
  <c r="P52" i="30" s="1"/>
  <c r="Z52" i="30" s="1"/>
  <c r="F40" i="30"/>
  <c r="D40" i="30"/>
  <c r="F39" i="30"/>
  <c r="D39" i="30"/>
  <c r="F38" i="30"/>
  <c r="D38" i="30"/>
  <c r="F37" i="30"/>
  <c r="D37" i="30"/>
  <c r="J37" i="30" s="1"/>
  <c r="F36" i="30"/>
  <c r="D36" i="30"/>
  <c r="F35" i="30"/>
  <c r="D35" i="30"/>
  <c r="F34" i="30"/>
  <c r="D34" i="30"/>
  <c r="F33" i="30"/>
  <c r="D33" i="30"/>
  <c r="F32" i="30"/>
  <c r="D32" i="30"/>
  <c r="F31" i="30"/>
  <c r="D31" i="30"/>
  <c r="J31" i="30" s="1"/>
  <c r="T31" i="30" s="1"/>
  <c r="F30" i="30"/>
  <c r="D30" i="30"/>
  <c r="F29" i="30"/>
  <c r="D29" i="30"/>
  <c r="G27" i="30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F28" i="30"/>
  <c r="F27" i="30"/>
  <c r="F26" i="30"/>
  <c r="D28" i="30"/>
  <c r="D27" i="30"/>
  <c r="J28" i="30"/>
  <c r="P28" i="30" s="1"/>
  <c r="Z28" i="30" s="1"/>
  <c r="D26" i="30"/>
  <c r="G25" i="30"/>
  <c r="F25" i="30"/>
  <c r="E25" i="30"/>
  <c r="D25" i="30"/>
  <c r="G24" i="30"/>
  <c r="F24" i="30"/>
  <c r="E24" i="30"/>
  <c r="D24" i="30"/>
  <c r="J24" i="30" s="1"/>
  <c r="P24" i="30" s="1"/>
  <c r="Z24" i="30" s="1"/>
  <c r="G23" i="30"/>
  <c r="F23" i="30"/>
  <c r="E23" i="30"/>
  <c r="D23" i="30"/>
  <c r="G22" i="30"/>
  <c r="F22" i="30"/>
  <c r="E22" i="30"/>
  <c r="D22" i="30"/>
  <c r="G21" i="30"/>
  <c r="F21" i="30"/>
  <c r="E21" i="30"/>
  <c r="D21" i="30"/>
  <c r="G20" i="30"/>
  <c r="F20" i="30"/>
  <c r="E20" i="30"/>
  <c r="D20" i="30"/>
  <c r="J20" i="30" s="1"/>
  <c r="P20" i="30" s="1"/>
  <c r="Z20" i="30" s="1"/>
  <c r="F19" i="30"/>
  <c r="D19" i="30"/>
  <c r="G19" i="30"/>
  <c r="E19" i="30"/>
  <c r="G17" i="30"/>
  <c r="F17" i="30"/>
  <c r="E17" i="30"/>
  <c r="D17" i="30"/>
  <c r="J17" i="30" s="1"/>
  <c r="T17" i="30" s="1"/>
  <c r="G16" i="30"/>
  <c r="F16" i="30"/>
  <c r="E16" i="30"/>
  <c r="D16" i="30"/>
  <c r="G15" i="30"/>
  <c r="F15" i="30"/>
  <c r="E15" i="30"/>
  <c r="D15" i="30"/>
  <c r="G14" i="30"/>
  <c r="F14" i="30"/>
  <c r="E14" i="30"/>
  <c r="D14" i="30"/>
  <c r="G13" i="30"/>
  <c r="F13" i="30"/>
  <c r="E13" i="30"/>
  <c r="D13" i="30"/>
  <c r="F12" i="30"/>
  <c r="D12" i="30"/>
  <c r="J13" i="30"/>
  <c r="G12" i="30"/>
  <c r="E12" i="30"/>
  <c r="F183" i="28"/>
  <c r="D183" i="28"/>
  <c r="F182" i="28"/>
  <c r="D182" i="28"/>
  <c r="J182" i="28" s="1"/>
  <c r="F181" i="28"/>
  <c r="D181" i="28"/>
  <c r="F180" i="28"/>
  <c r="D180" i="28"/>
  <c r="J180" i="28" s="1"/>
  <c r="F179" i="28"/>
  <c r="D179" i="28"/>
  <c r="F178" i="28"/>
  <c r="D178" i="28"/>
  <c r="J178" i="28" s="1"/>
  <c r="F177" i="28"/>
  <c r="D177" i="28"/>
  <c r="F176" i="28"/>
  <c r="D176" i="28"/>
  <c r="J176" i="28" s="1"/>
  <c r="F175" i="28"/>
  <c r="D175" i="28"/>
  <c r="F174" i="28"/>
  <c r="D174" i="28"/>
  <c r="J174" i="28" s="1"/>
  <c r="P174" i="28" s="1"/>
  <c r="Z174" i="28" s="1"/>
  <c r="F173" i="28"/>
  <c r="D173" i="28"/>
  <c r="G172" i="28"/>
  <c r="G173" i="28" s="1"/>
  <c r="F172" i="28"/>
  <c r="E172" i="28"/>
  <c r="E173" i="28" s="1"/>
  <c r="D172" i="28"/>
  <c r="J172" i="28" s="1"/>
  <c r="F171" i="28"/>
  <c r="D171" i="28"/>
  <c r="F170" i="28"/>
  <c r="D170" i="28"/>
  <c r="J170" i="28" s="1"/>
  <c r="P170" i="28" s="1"/>
  <c r="Z170" i="28" s="1"/>
  <c r="F169" i="28"/>
  <c r="D169" i="28"/>
  <c r="F168" i="28"/>
  <c r="D168" i="28"/>
  <c r="J168" i="28" s="1"/>
  <c r="P168" i="28" s="1"/>
  <c r="Z168" i="28" s="1"/>
  <c r="F167" i="28"/>
  <c r="D167" i="28"/>
  <c r="F166" i="28"/>
  <c r="D166" i="28"/>
  <c r="J166" i="28" s="1"/>
  <c r="P166" i="28" s="1"/>
  <c r="Z166" i="28" s="1"/>
  <c r="F165" i="28"/>
  <c r="D165" i="28"/>
  <c r="F164" i="28"/>
  <c r="D164" i="28"/>
  <c r="J164" i="28" s="1"/>
  <c r="F163" i="28"/>
  <c r="D163" i="28"/>
  <c r="F162" i="28"/>
  <c r="D162" i="28"/>
  <c r="J162" i="28" s="1"/>
  <c r="P162" i="28" s="1"/>
  <c r="Z162" i="28" s="1"/>
  <c r="F161" i="28"/>
  <c r="D161" i="28"/>
  <c r="F160" i="28"/>
  <c r="D160" i="28"/>
  <c r="J160" i="28" s="1"/>
  <c r="T160" i="28" s="1"/>
  <c r="F159" i="28"/>
  <c r="D159" i="28"/>
  <c r="F158" i="28"/>
  <c r="D158" i="28"/>
  <c r="J158" i="28" s="1"/>
  <c r="T158" i="28" s="1"/>
  <c r="F157" i="28"/>
  <c r="D157" i="28"/>
  <c r="G156" i="28"/>
  <c r="G157" i="28" s="1"/>
  <c r="F156" i="28"/>
  <c r="E156" i="28"/>
  <c r="E157" i="28" s="1"/>
  <c r="D156" i="28"/>
  <c r="J156" i="28" s="1"/>
  <c r="G127" i="28"/>
  <c r="G128" i="28" s="1"/>
  <c r="G129" i="28" s="1"/>
  <c r="G130" i="28" s="1"/>
  <c r="G131" i="28" s="1"/>
  <c r="G132" i="28" s="1"/>
  <c r="G133" i="28" s="1"/>
  <c r="G134" i="28" s="1"/>
  <c r="G135" i="28" s="1"/>
  <c r="G136" i="28" s="1"/>
  <c r="G137" i="28" s="1"/>
  <c r="G138" i="28" s="1"/>
  <c r="G139" i="28" s="1"/>
  <c r="G140" i="28" s="1"/>
  <c r="G141" i="28" s="1"/>
  <c r="G142" i="28" s="1"/>
  <c r="G143" i="28" s="1"/>
  <c r="G144" i="28" s="1"/>
  <c r="G145" i="28" s="1"/>
  <c r="G146" i="28" s="1"/>
  <c r="G147" i="28" s="1"/>
  <c r="G148" i="28" s="1"/>
  <c r="G149" i="28" s="1"/>
  <c r="G150" i="28" s="1"/>
  <c r="G151" i="28" s="1"/>
  <c r="G152" i="28" s="1"/>
  <c r="G153" i="28" s="1"/>
  <c r="G154" i="28" s="1"/>
  <c r="G155" i="28" s="1"/>
  <c r="E127" i="28"/>
  <c r="E128" i="28" s="1"/>
  <c r="E129" i="28" s="1"/>
  <c r="E130" i="28" s="1"/>
  <c r="E131" i="28" s="1"/>
  <c r="E132" i="28" s="1"/>
  <c r="E133" i="28" s="1"/>
  <c r="E134" i="28" s="1"/>
  <c r="E135" i="28" s="1"/>
  <c r="E136" i="28" s="1"/>
  <c r="E137" i="28" s="1"/>
  <c r="E138" i="28" s="1"/>
  <c r="E139" i="28" s="1"/>
  <c r="E140" i="28" s="1"/>
  <c r="E141" i="28" s="1"/>
  <c r="E142" i="28" s="1"/>
  <c r="E143" i="28" s="1"/>
  <c r="E144" i="28" s="1"/>
  <c r="E145" i="28" s="1"/>
  <c r="E146" i="28" s="1"/>
  <c r="E147" i="28" s="1"/>
  <c r="E148" i="28" s="1"/>
  <c r="E149" i="28" s="1"/>
  <c r="E150" i="28" s="1"/>
  <c r="E151" i="28" s="1"/>
  <c r="E152" i="28" s="1"/>
  <c r="E153" i="28" s="1"/>
  <c r="E154" i="28" s="1"/>
  <c r="E155" i="28" s="1"/>
  <c r="D126" i="28"/>
  <c r="D155" i="28" s="1"/>
  <c r="J155" i="28" s="1"/>
  <c r="P155" i="28" s="1"/>
  <c r="Z155" i="28" s="1"/>
  <c r="D124" i="28"/>
  <c r="J124" i="28" s="1"/>
  <c r="T124" i="28" s="1"/>
  <c r="D122" i="28"/>
  <c r="D151" i="28" s="1"/>
  <c r="J151" i="28" s="1"/>
  <c r="D120" i="28"/>
  <c r="J120" i="28" s="1"/>
  <c r="T120" i="28" s="1"/>
  <c r="D118" i="28"/>
  <c r="D147" i="28" s="1"/>
  <c r="J147" i="28" s="1"/>
  <c r="T147" i="28" s="1"/>
  <c r="D116" i="28"/>
  <c r="D145" i="28" s="1"/>
  <c r="J145" i="28" s="1"/>
  <c r="D114" i="28"/>
  <c r="D143" i="28" s="1"/>
  <c r="J143" i="28" s="1"/>
  <c r="D112" i="28"/>
  <c r="D141" i="28" s="1"/>
  <c r="J141" i="28" s="1"/>
  <c r="D110" i="28"/>
  <c r="J110" i="28" s="1"/>
  <c r="T110" i="28" s="1"/>
  <c r="D108" i="28"/>
  <c r="D137" i="28" s="1"/>
  <c r="J137" i="28" s="1"/>
  <c r="D106" i="28"/>
  <c r="J106" i="28" s="1"/>
  <c r="T106" i="28" s="1"/>
  <c r="D104" i="28"/>
  <c r="D133" i="28" s="1"/>
  <c r="J133" i="28" s="1"/>
  <c r="D102" i="28"/>
  <c r="J102" i="28" s="1"/>
  <c r="T102" i="28" s="1"/>
  <c r="D100" i="28"/>
  <c r="D129" i="28" s="1"/>
  <c r="J129" i="28" s="1"/>
  <c r="G99" i="28"/>
  <c r="G100" i="28" s="1"/>
  <c r="G101" i="28" s="1"/>
  <c r="G102" i="28" s="1"/>
  <c r="G103" i="28" s="1"/>
  <c r="G104" i="28" s="1"/>
  <c r="G105" i="28" s="1"/>
  <c r="G106" i="28" s="1"/>
  <c r="G107" i="28" s="1"/>
  <c r="G108" i="28" s="1"/>
  <c r="G109" i="28" s="1"/>
  <c r="G110" i="28" s="1"/>
  <c r="G111" i="28" s="1"/>
  <c r="G112" i="28" s="1"/>
  <c r="G113" i="28" s="1"/>
  <c r="G114" i="28" s="1"/>
  <c r="G115" i="28" s="1"/>
  <c r="G116" i="28" s="1"/>
  <c r="G117" i="28" s="1"/>
  <c r="G118" i="28" s="1"/>
  <c r="G119" i="28" s="1"/>
  <c r="G120" i="28" s="1"/>
  <c r="G121" i="28" s="1"/>
  <c r="G122" i="28" s="1"/>
  <c r="G123" i="28" s="1"/>
  <c r="G124" i="28" s="1"/>
  <c r="G125" i="28" s="1"/>
  <c r="G126" i="28" s="1"/>
  <c r="E99" i="28"/>
  <c r="E100" i="28" s="1"/>
  <c r="E101" i="28" s="1"/>
  <c r="E102" i="28" s="1"/>
  <c r="E103" i="28" s="1"/>
  <c r="E104" i="28" s="1"/>
  <c r="E105" i="28" s="1"/>
  <c r="E106" i="28" s="1"/>
  <c r="E107" i="28" s="1"/>
  <c r="E108" i="28" s="1"/>
  <c r="E109" i="28" s="1"/>
  <c r="E110" i="28" s="1"/>
  <c r="E111" i="28" s="1"/>
  <c r="E112" i="28" s="1"/>
  <c r="E113" i="28" s="1"/>
  <c r="E114" i="28" s="1"/>
  <c r="E115" i="28" s="1"/>
  <c r="E116" i="28" s="1"/>
  <c r="E117" i="28" s="1"/>
  <c r="E118" i="28" s="1"/>
  <c r="E119" i="28" s="1"/>
  <c r="E120" i="28" s="1"/>
  <c r="E121" i="28" s="1"/>
  <c r="E122" i="28" s="1"/>
  <c r="E123" i="28" s="1"/>
  <c r="E124" i="28" s="1"/>
  <c r="E125" i="28" s="1"/>
  <c r="E126" i="28" s="1"/>
  <c r="G98" i="28"/>
  <c r="E98" i="28"/>
  <c r="D98" i="28"/>
  <c r="D127" i="28" s="1"/>
  <c r="J127" i="28" s="1"/>
  <c r="F97" i="28"/>
  <c r="F126" i="28" s="1"/>
  <c r="D97" i="28"/>
  <c r="F96" i="28"/>
  <c r="F125" i="28" s="1"/>
  <c r="D96" i="28"/>
  <c r="D125" i="28" s="1"/>
  <c r="F95" i="28"/>
  <c r="F124" i="28" s="1"/>
  <c r="D95" i="28"/>
  <c r="F94" i="28"/>
  <c r="F123" i="28" s="1"/>
  <c r="D94" i="28"/>
  <c r="D123" i="28" s="1"/>
  <c r="F93" i="28"/>
  <c r="F122" i="28" s="1"/>
  <c r="D93" i="28"/>
  <c r="F92" i="28"/>
  <c r="F121" i="28" s="1"/>
  <c r="D92" i="28"/>
  <c r="D121" i="28" s="1"/>
  <c r="F91" i="28"/>
  <c r="F120" i="28" s="1"/>
  <c r="D91" i="28"/>
  <c r="F90" i="28"/>
  <c r="F119" i="28" s="1"/>
  <c r="D90" i="28"/>
  <c r="D119" i="28" s="1"/>
  <c r="F89" i="28"/>
  <c r="F118" i="28" s="1"/>
  <c r="D89" i="28"/>
  <c r="F88" i="28"/>
  <c r="F117" i="28" s="1"/>
  <c r="D88" i="28"/>
  <c r="J88" i="28" s="1"/>
  <c r="T88" i="28" s="1"/>
  <c r="F87" i="28"/>
  <c r="F116" i="28" s="1"/>
  <c r="D87" i="28"/>
  <c r="F86" i="28"/>
  <c r="F115" i="28" s="1"/>
  <c r="D86" i="28"/>
  <c r="J86" i="28" s="1"/>
  <c r="T86" i="28" s="1"/>
  <c r="F85" i="28"/>
  <c r="F114" i="28" s="1"/>
  <c r="D85" i="28"/>
  <c r="F84" i="28"/>
  <c r="F113" i="28" s="1"/>
  <c r="D84" i="28"/>
  <c r="J84" i="28" s="1"/>
  <c r="T84" i="28" s="1"/>
  <c r="F83" i="28"/>
  <c r="F112" i="28" s="1"/>
  <c r="D83" i="28"/>
  <c r="F82" i="28"/>
  <c r="F111" i="28" s="1"/>
  <c r="D82" i="28"/>
  <c r="J82" i="28" s="1"/>
  <c r="T82" i="28" s="1"/>
  <c r="F81" i="28"/>
  <c r="F110" i="28" s="1"/>
  <c r="D81" i="28"/>
  <c r="F80" i="28"/>
  <c r="F109" i="28" s="1"/>
  <c r="D80" i="28"/>
  <c r="D109" i="28" s="1"/>
  <c r="F79" i="28"/>
  <c r="F108" i="28" s="1"/>
  <c r="D79" i="28"/>
  <c r="F78" i="28"/>
  <c r="F107" i="28" s="1"/>
  <c r="D78" i="28"/>
  <c r="D107" i="28" s="1"/>
  <c r="F77" i="28"/>
  <c r="F106" i="28" s="1"/>
  <c r="D77" i="28"/>
  <c r="F76" i="28"/>
  <c r="F105" i="28" s="1"/>
  <c r="D76" i="28"/>
  <c r="D105" i="28" s="1"/>
  <c r="F75" i="28"/>
  <c r="F104" i="28" s="1"/>
  <c r="D75" i="28"/>
  <c r="F74" i="28"/>
  <c r="F103" i="28" s="1"/>
  <c r="D74" i="28"/>
  <c r="D103" i="28" s="1"/>
  <c r="F73" i="28"/>
  <c r="F102" i="28" s="1"/>
  <c r="D73" i="28"/>
  <c r="F72" i="28"/>
  <c r="F101" i="28" s="1"/>
  <c r="D72" i="28"/>
  <c r="J72" i="28" s="1"/>
  <c r="T72" i="28" s="1"/>
  <c r="F71" i="28"/>
  <c r="F100" i="28" s="1"/>
  <c r="D71" i="28"/>
  <c r="F70" i="28"/>
  <c r="F99" i="28" s="1"/>
  <c r="D70" i="28"/>
  <c r="D99" i="28" s="1"/>
  <c r="G69" i="28"/>
  <c r="G70" i="28" s="1"/>
  <c r="G71" i="28" s="1"/>
  <c r="G72" i="28" s="1"/>
  <c r="G73" i="28" s="1"/>
  <c r="G74" i="28" s="1"/>
  <c r="G75" i="28" s="1"/>
  <c r="G76" i="28" s="1"/>
  <c r="G77" i="28" s="1"/>
  <c r="G78" i="28" s="1"/>
  <c r="G79" i="28" s="1"/>
  <c r="G80" i="28" s="1"/>
  <c r="G81" i="28" s="1"/>
  <c r="G82" i="28" s="1"/>
  <c r="G83" i="28" s="1"/>
  <c r="G84" i="28" s="1"/>
  <c r="G85" i="28" s="1"/>
  <c r="G86" i="28" s="1"/>
  <c r="G87" i="28" s="1"/>
  <c r="G88" i="28" s="1"/>
  <c r="G89" i="28" s="1"/>
  <c r="G90" i="28" s="1"/>
  <c r="G91" i="28" s="1"/>
  <c r="G92" i="28" s="1"/>
  <c r="G93" i="28" s="1"/>
  <c r="G94" i="28" s="1"/>
  <c r="G95" i="28" s="1"/>
  <c r="G96" i="28" s="1"/>
  <c r="G97" i="28" s="1"/>
  <c r="F69" i="28"/>
  <c r="F98" i="28" s="1"/>
  <c r="E69" i="28"/>
  <c r="E70" i="28" s="1"/>
  <c r="E71" i="28" s="1"/>
  <c r="E72" i="28" s="1"/>
  <c r="E73" i="28" s="1"/>
  <c r="E74" i="28" s="1"/>
  <c r="E75" i="28" s="1"/>
  <c r="E76" i="28" s="1"/>
  <c r="E77" i="28" s="1"/>
  <c r="E78" i="28" s="1"/>
  <c r="E79" i="28" s="1"/>
  <c r="E80" i="28" s="1"/>
  <c r="E81" i="28" s="1"/>
  <c r="E82" i="28" s="1"/>
  <c r="E83" i="28" s="1"/>
  <c r="E84" i="28" s="1"/>
  <c r="E85" i="28" s="1"/>
  <c r="E86" i="28" s="1"/>
  <c r="E87" i="28" s="1"/>
  <c r="E88" i="28" s="1"/>
  <c r="E89" i="28" s="1"/>
  <c r="E90" i="28" s="1"/>
  <c r="E91" i="28" s="1"/>
  <c r="E92" i="28" s="1"/>
  <c r="E93" i="28" s="1"/>
  <c r="E94" i="28" s="1"/>
  <c r="E95" i="28" s="1"/>
  <c r="E96" i="28" s="1"/>
  <c r="E97" i="28" s="1"/>
  <c r="D69" i="28"/>
  <c r="G40" i="28"/>
  <c r="E40" i="28"/>
  <c r="E41" i="28" s="1"/>
  <c r="J90" i="28"/>
  <c r="T90" i="28" s="1"/>
  <c r="F68" i="28"/>
  <c r="D68" i="28"/>
  <c r="F67" i="28"/>
  <c r="D67" i="28"/>
  <c r="J67" i="28" s="1"/>
  <c r="T67" i="28" s="1"/>
  <c r="F66" i="28"/>
  <c r="D66" i="28"/>
  <c r="F65" i="28"/>
  <c r="D65" i="28"/>
  <c r="J65" i="28" s="1"/>
  <c r="T65" i="28" s="1"/>
  <c r="F64" i="28"/>
  <c r="D64" i="28"/>
  <c r="F63" i="28"/>
  <c r="D63" i="28"/>
  <c r="J63" i="28" s="1"/>
  <c r="T63" i="28" s="1"/>
  <c r="F62" i="28"/>
  <c r="D62" i="28"/>
  <c r="F61" i="28"/>
  <c r="D61" i="28"/>
  <c r="J61" i="28" s="1"/>
  <c r="T61" i="28" s="1"/>
  <c r="F60" i="28"/>
  <c r="D60" i="28"/>
  <c r="F59" i="28"/>
  <c r="D59" i="28"/>
  <c r="J59" i="28" s="1"/>
  <c r="T59" i="28" s="1"/>
  <c r="F58" i="28"/>
  <c r="D58" i="28"/>
  <c r="F57" i="28"/>
  <c r="D57" i="28"/>
  <c r="J57" i="28" s="1"/>
  <c r="T57" i="28" s="1"/>
  <c r="F56" i="28"/>
  <c r="D56" i="28"/>
  <c r="F55" i="28"/>
  <c r="D55" i="28"/>
  <c r="J55" i="28" s="1"/>
  <c r="T55" i="28" s="1"/>
  <c r="F54" i="28"/>
  <c r="D54" i="28"/>
  <c r="F53" i="28"/>
  <c r="D53" i="28"/>
  <c r="J53" i="28" s="1"/>
  <c r="T53" i="28" s="1"/>
  <c r="F52" i="28"/>
  <c r="D52" i="28"/>
  <c r="F51" i="28"/>
  <c r="D51" i="28"/>
  <c r="F50" i="28"/>
  <c r="D50" i="28"/>
  <c r="F49" i="28"/>
  <c r="D49" i="28"/>
  <c r="J49" i="28" s="1"/>
  <c r="T49" i="28" s="1"/>
  <c r="F48" i="28"/>
  <c r="D48" i="28"/>
  <c r="F47" i="28"/>
  <c r="D47" i="28"/>
  <c r="J47" i="28" s="1"/>
  <c r="T47" i="28" s="1"/>
  <c r="F46" i="28"/>
  <c r="D46" i="28"/>
  <c r="F45" i="28"/>
  <c r="D45" i="28"/>
  <c r="J45" i="28" s="1"/>
  <c r="T45" i="28" s="1"/>
  <c r="F44" i="28"/>
  <c r="D44" i="28"/>
  <c r="F43" i="28"/>
  <c r="D43" i="28"/>
  <c r="F42" i="28"/>
  <c r="F41" i="28"/>
  <c r="N41" i="28" s="1"/>
  <c r="F40" i="28"/>
  <c r="D42" i="28"/>
  <c r="D41" i="28"/>
  <c r="J41" i="28" s="1"/>
  <c r="T41" i="28" s="1"/>
  <c r="D40" i="28"/>
  <c r="G41" i="28"/>
  <c r="D32" i="28"/>
  <c r="E32" i="28"/>
  <c r="F32" i="28"/>
  <c r="G32" i="28"/>
  <c r="D33" i="28"/>
  <c r="E33" i="28"/>
  <c r="K33" i="28" s="1"/>
  <c r="M33" i="28" s="1"/>
  <c r="F33" i="28"/>
  <c r="G33" i="28"/>
  <c r="O33" i="28" s="1"/>
  <c r="Q33" i="28" s="1"/>
  <c r="D34" i="28"/>
  <c r="E34" i="28"/>
  <c r="F34" i="28"/>
  <c r="G34" i="28"/>
  <c r="D35" i="28"/>
  <c r="E35" i="28"/>
  <c r="K35" i="28" s="1"/>
  <c r="M35" i="28" s="1"/>
  <c r="F35" i="28"/>
  <c r="G35" i="28"/>
  <c r="O35" i="28" s="1"/>
  <c r="Q35" i="28" s="1"/>
  <c r="D36" i="28"/>
  <c r="E36" i="28"/>
  <c r="F36" i="28"/>
  <c r="G36" i="28"/>
  <c r="D37" i="28"/>
  <c r="E37" i="28"/>
  <c r="K37" i="28" s="1"/>
  <c r="M37" i="28" s="1"/>
  <c r="F37" i="28"/>
  <c r="G37" i="28"/>
  <c r="O37" i="28" s="1"/>
  <c r="Q37" i="28" s="1"/>
  <c r="D38" i="28"/>
  <c r="E38" i="28"/>
  <c r="F38" i="28"/>
  <c r="G38" i="28"/>
  <c r="D39" i="28"/>
  <c r="E39" i="28"/>
  <c r="K39" i="28" s="1"/>
  <c r="M39" i="28" s="1"/>
  <c r="F39" i="28"/>
  <c r="G39" i="28"/>
  <c r="O39" i="28" s="1"/>
  <c r="Q39" i="28" s="1"/>
  <c r="G31" i="28"/>
  <c r="F31" i="28"/>
  <c r="E31" i="28"/>
  <c r="D31" i="28"/>
  <c r="G30" i="28"/>
  <c r="F30" i="28"/>
  <c r="N30" i="28" s="1"/>
  <c r="E30" i="28"/>
  <c r="D30" i="28"/>
  <c r="J30" i="28" s="1"/>
  <c r="G29" i="28"/>
  <c r="F29" i="28"/>
  <c r="E29" i="28"/>
  <c r="D29" i="28"/>
  <c r="G28" i="28"/>
  <c r="F28" i="28"/>
  <c r="N28" i="28" s="1"/>
  <c r="E28" i="28"/>
  <c r="D28" i="28"/>
  <c r="J28" i="28" s="1"/>
  <c r="F27" i="28"/>
  <c r="D27" i="28"/>
  <c r="G27" i="28"/>
  <c r="E27" i="28"/>
  <c r="G25" i="28"/>
  <c r="F25" i="28"/>
  <c r="E25" i="28"/>
  <c r="D25" i="28"/>
  <c r="G24" i="28"/>
  <c r="F24" i="28"/>
  <c r="N24" i="28" s="1"/>
  <c r="E24" i="28"/>
  <c r="D24" i="28"/>
  <c r="J24" i="28" s="1"/>
  <c r="G23" i="28"/>
  <c r="F23" i="28"/>
  <c r="E23" i="28"/>
  <c r="D23" i="28"/>
  <c r="G22" i="28"/>
  <c r="F22" i="28"/>
  <c r="N22" i="28" s="1"/>
  <c r="E22" i="28"/>
  <c r="D22" i="28"/>
  <c r="J22" i="28" s="1"/>
  <c r="G21" i="28"/>
  <c r="F21" i="28"/>
  <c r="E21" i="28"/>
  <c r="D21" i="28"/>
  <c r="G20" i="28"/>
  <c r="F20" i="28"/>
  <c r="N20" i="28" s="1"/>
  <c r="E20" i="28"/>
  <c r="D20" i="28"/>
  <c r="G19" i="28"/>
  <c r="F19" i="28"/>
  <c r="E19" i="28"/>
  <c r="D19" i="28"/>
  <c r="G18" i="28"/>
  <c r="F18" i="28"/>
  <c r="N18" i="28" s="1"/>
  <c r="E18" i="28"/>
  <c r="D18" i="28"/>
  <c r="G17" i="28"/>
  <c r="F17" i="28"/>
  <c r="E17" i="28"/>
  <c r="D17" i="28"/>
  <c r="J17" i="28" s="1"/>
  <c r="G16" i="28"/>
  <c r="F16" i="28"/>
  <c r="N16" i="28" s="1"/>
  <c r="E16" i="28"/>
  <c r="D16" i="28"/>
  <c r="G15" i="28"/>
  <c r="F15" i="28"/>
  <c r="N15" i="28" s="1"/>
  <c r="E15" i="28"/>
  <c r="D15" i="28"/>
  <c r="G14" i="28"/>
  <c r="F14" i="28"/>
  <c r="N14" i="28" s="1"/>
  <c r="E14" i="28"/>
  <c r="D14" i="28"/>
  <c r="G13" i="28"/>
  <c r="F13" i="28"/>
  <c r="E13" i="28"/>
  <c r="D13" i="28"/>
  <c r="J13" i="28" s="1"/>
  <c r="F12" i="28"/>
  <c r="D12" i="28"/>
  <c r="O20" i="28"/>
  <c r="Q20" i="28" s="1"/>
  <c r="O22" i="28"/>
  <c r="Q22" i="28" s="1"/>
  <c r="O24" i="28"/>
  <c r="Q24" i="28" s="1"/>
  <c r="N17" i="28"/>
  <c r="N13" i="28"/>
  <c r="J15" i="28"/>
  <c r="G12" i="28"/>
  <c r="E12" i="28"/>
  <c r="F256" i="27"/>
  <c r="D256" i="27"/>
  <c r="F255" i="27"/>
  <c r="D255" i="27"/>
  <c r="J255" i="27" s="1"/>
  <c r="F254" i="27"/>
  <c r="D254" i="27"/>
  <c r="F253" i="27"/>
  <c r="N253" i="27" s="1"/>
  <c r="X253" i="27" s="1"/>
  <c r="D253" i="27"/>
  <c r="J253" i="27" s="1"/>
  <c r="F252" i="27"/>
  <c r="D252" i="27"/>
  <c r="F251" i="27"/>
  <c r="N251" i="27" s="1"/>
  <c r="X251" i="27" s="1"/>
  <c r="D251" i="27"/>
  <c r="J251" i="27" s="1"/>
  <c r="F250" i="27"/>
  <c r="D250" i="27"/>
  <c r="F249" i="27"/>
  <c r="D249" i="27"/>
  <c r="J249" i="27" s="1"/>
  <c r="G248" i="27"/>
  <c r="G249" i="27" s="1"/>
  <c r="F248" i="27"/>
  <c r="E248" i="27"/>
  <c r="E249" i="27" s="1"/>
  <c r="D248" i="27"/>
  <c r="F247" i="27"/>
  <c r="F246" i="27"/>
  <c r="D247" i="27"/>
  <c r="D246" i="27"/>
  <c r="D233" i="27"/>
  <c r="F245" i="27"/>
  <c r="D245" i="27"/>
  <c r="N246" i="27"/>
  <c r="X246" i="27" s="1"/>
  <c r="G245" i="27"/>
  <c r="G246" i="27" s="1"/>
  <c r="E245" i="27"/>
  <c r="E246" i="27" s="1"/>
  <c r="F244" i="27"/>
  <c r="D244" i="27"/>
  <c r="F243" i="27"/>
  <c r="D243" i="27"/>
  <c r="J243" i="27" s="1"/>
  <c r="F242" i="27"/>
  <c r="D242" i="27"/>
  <c r="F241" i="27"/>
  <c r="D241" i="27"/>
  <c r="J241" i="27" s="1"/>
  <c r="T241" i="27" s="1"/>
  <c r="F240" i="27"/>
  <c r="D240" i="27"/>
  <c r="F239" i="27"/>
  <c r="D239" i="27"/>
  <c r="J239" i="27" s="1"/>
  <c r="F238" i="27"/>
  <c r="D238" i="27"/>
  <c r="F237" i="27"/>
  <c r="D237" i="27"/>
  <c r="J237" i="27" s="1"/>
  <c r="F236" i="27"/>
  <c r="D236" i="27"/>
  <c r="G235" i="27"/>
  <c r="G236" i="27" s="1"/>
  <c r="F235" i="27"/>
  <c r="E235" i="27"/>
  <c r="E236" i="27" s="1"/>
  <c r="D235" i="27"/>
  <c r="J235" i="27" s="1"/>
  <c r="F234" i="27"/>
  <c r="D234" i="27"/>
  <c r="G233" i="27"/>
  <c r="G234" i="27" s="1"/>
  <c r="O234" i="27" s="1"/>
  <c r="F233" i="27"/>
  <c r="E233" i="27"/>
  <c r="E234" i="27" s="1"/>
  <c r="K234" i="27" s="1"/>
  <c r="M234" i="27" s="1"/>
  <c r="J233" i="27"/>
  <c r="F232" i="27"/>
  <c r="D232" i="27"/>
  <c r="F231" i="27"/>
  <c r="D231" i="27"/>
  <c r="J231" i="27" s="1"/>
  <c r="F230" i="27"/>
  <c r="D230" i="27"/>
  <c r="F229" i="27"/>
  <c r="D229" i="27"/>
  <c r="J229" i="27" s="1"/>
  <c r="F228" i="27"/>
  <c r="D228" i="27"/>
  <c r="F227" i="27"/>
  <c r="D227" i="27"/>
  <c r="J227" i="27" s="1"/>
  <c r="F226" i="27"/>
  <c r="D226" i="27"/>
  <c r="F225" i="27"/>
  <c r="D225" i="27"/>
  <c r="J225" i="27" s="1"/>
  <c r="G224" i="27"/>
  <c r="G225" i="27" s="1"/>
  <c r="F224" i="27"/>
  <c r="E224" i="27"/>
  <c r="E225" i="27" s="1"/>
  <c r="D224" i="27"/>
  <c r="F223" i="27"/>
  <c r="F222" i="27"/>
  <c r="F221" i="27"/>
  <c r="F220" i="27"/>
  <c r="D223" i="27"/>
  <c r="D222" i="27"/>
  <c r="D221" i="27"/>
  <c r="D220" i="27"/>
  <c r="F219" i="27"/>
  <c r="D219" i="27"/>
  <c r="N222" i="27"/>
  <c r="X222" i="27" s="1"/>
  <c r="J222" i="27"/>
  <c r="J220" i="27"/>
  <c r="G219" i="27"/>
  <c r="G220" i="27" s="1"/>
  <c r="E219" i="27"/>
  <c r="E220" i="27" s="1"/>
  <c r="F218" i="27"/>
  <c r="D218" i="27"/>
  <c r="F217" i="27"/>
  <c r="N217" i="27" s="1"/>
  <c r="L217" i="27" s="1"/>
  <c r="V217" i="27" s="1"/>
  <c r="D217" i="27"/>
  <c r="F216" i="27"/>
  <c r="D216" i="27"/>
  <c r="F215" i="27"/>
  <c r="N215" i="27" s="1"/>
  <c r="X215" i="27" s="1"/>
  <c r="D215" i="27"/>
  <c r="F214" i="27"/>
  <c r="D214" i="27"/>
  <c r="F213" i="27"/>
  <c r="N213" i="27" s="1"/>
  <c r="D213" i="27"/>
  <c r="F212" i="27"/>
  <c r="D212" i="27"/>
  <c r="F211" i="27"/>
  <c r="N211" i="27" s="1"/>
  <c r="X211" i="27" s="1"/>
  <c r="D211" i="27"/>
  <c r="F210" i="27"/>
  <c r="D210" i="27"/>
  <c r="F209" i="27"/>
  <c r="N209" i="27" s="1"/>
  <c r="X209" i="27" s="1"/>
  <c r="D209" i="27"/>
  <c r="F208" i="27"/>
  <c r="D208" i="27"/>
  <c r="F207" i="27"/>
  <c r="N207" i="27" s="1"/>
  <c r="L207" i="27" s="1"/>
  <c r="V207" i="27" s="1"/>
  <c r="D207" i="27"/>
  <c r="F206" i="27"/>
  <c r="D206" i="27"/>
  <c r="F205" i="27"/>
  <c r="N205" i="27" s="1"/>
  <c r="L205" i="27" s="1"/>
  <c r="V205" i="27" s="1"/>
  <c r="D205" i="27"/>
  <c r="F204" i="27"/>
  <c r="D204" i="27"/>
  <c r="G203" i="27"/>
  <c r="G204" i="27" s="1"/>
  <c r="F203" i="27"/>
  <c r="N203" i="27" s="1"/>
  <c r="L203" i="27" s="1"/>
  <c r="V203" i="27" s="1"/>
  <c r="E203" i="27"/>
  <c r="E204" i="27" s="1"/>
  <c r="D203" i="27"/>
  <c r="G187" i="27"/>
  <c r="G188" i="27" s="1"/>
  <c r="G189" i="27" s="1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E187" i="27"/>
  <c r="E188" i="27" s="1"/>
  <c r="E189" i="27" s="1"/>
  <c r="E190" i="27" s="1"/>
  <c r="E191" i="27" s="1"/>
  <c r="E192" i="27" s="1"/>
  <c r="E193" i="27" s="1"/>
  <c r="E194" i="27" s="1"/>
  <c r="E195" i="27" s="1"/>
  <c r="E196" i="27" s="1"/>
  <c r="E197" i="27" s="1"/>
  <c r="E198" i="27" s="1"/>
  <c r="E199" i="27" s="1"/>
  <c r="E200" i="27" s="1"/>
  <c r="E201" i="27" s="1"/>
  <c r="E202" i="27" s="1"/>
  <c r="G171" i="27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E171" i="27"/>
  <c r="E172" i="27" s="1"/>
  <c r="E173" i="27" s="1"/>
  <c r="E174" i="27" s="1"/>
  <c r="E175" i="27" s="1"/>
  <c r="E176" i="27" s="1"/>
  <c r="E177" i="27" s="1"/>
  <c r="E178" i="27" s="1"/>
  <c r="E179" i="27" s="1"/>
  <c r="E180" i="27" s="1"/>
  <c r="E181" i="27" s="1"/>
  <c r="E182" i="27" s="1"/>
  <c r="E183" i="27" s="1"/>
  <c r="E184" i="27" s="1"/>
  <c r="E185" i="27" s="1"/>
  <c r="E186" i="27" s="1"/>
  <c r="G155" i="27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E155" i="27"/>
  <c r="E156" i="27" s="1"/>
  <c r="E157" i="27" s="1"/>
  <c r="E158" i="27" s="1"/>
  <c r="E159" i="27" s="1"/>
  <c r="E160" i="27" s="1"/>
  <c r="E161" i="27" s="1"/>
  <c r="E162" i="27" s="1"/>
  <c r="E163" i="27" s="1"/>
  <c r="E164" i="27" s="1"/>
  <c r="E165" i="27" s="1"/>
  <c r="E166" i="27" s="1"/>
  <c r="E167" i="27" s="1"/>
  <c r="E168" i="27" s="1"/>
  <c r="E169" i="27" s="1"/>
  <c r="E170" i="27" s="1"/>
  <c r="G139" i="27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E139" i="27"/>
  <c r="E140" i="27" s="1"/>
  <c r="E141" i="27" s="1"/>
  <c r="E142" i="27" s="1"/>
  <c r="E143" i="27" s="1"/>
  <c r="E144" i="27" s="1"/>
  <c r="E145" i="27" s="1"/>
  <c r="E146" i="27" s="1"/>
  <c r="E147" i="27" s="1"/>
  <c r="E148" i="27" s="1"/>
  <c r="E149" i="27" s="1"/>
  <c r="E150" i="27" s="1"/>
  <c r="E151" i="27" s="1"/>
  <c r="E152" i="27" s="1"/>
  <c r="E153" i="27" s="1"/>
  <c r="E154" i="27" s="1"/>
  <c r="G123" i="27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E123" i="27"/>
  <c r="E124" i="27" s="1"/>
  <c r="E125" i="27" s="1"/>
  <c r="E126" i="27" s="1"/>
  <c r="E127" i="27" s="1"/>
  <c r="E128" i="27" s="1"/>
  <c r="E129" i="27" s="1"/>
  <c r="E130" i="27" s="1"/>
  <c r="E131" i="27" s="1"/>
  <c r="E132" i="27" s="1"/>
  <c r="E133" i="27" s="1"/>
  <c r="E134" i="27" s="1"/>
  <c r="E135" i="27" s="1"/>
  <c r="E136" i="27" s="1"/>
  <c r="E137" i="27" s="1"/>
  <c r="E138" i="27" s="1"/>
  <c r="G107" i="27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E107" i="27"/>
  <c r="E108" i="27" s="1"/>
  <c r="E109" i="27" s="1"/>
  <c r="E110" i="27" s="1"/>
  <c r="E111" i="27" s="1"/>
  <c r="E112" i="27" s="1"/>
  <c r="E113" i="27" s="1"/>
  <c r="E114" i="27" s="1"/>
  <c r="E115" i="27" s="1"/>
  <c r="E116" i="27" s="1"/>
  <c r="E117" i="27" s="1"/>
  <c r="E118" i="27" s="1"/>
  <c r="E119" i="27" s="1"/>
  <c r="E120" i="27" s="1"/>
  <c r="E121" i="27" s="1"/>
  <c r="E122" i="27" s="1"/>
  <c r="G91" i="27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E91" i="27"/>
  <c r="E92" i="27" s="1"/>
  <c r="E93" i="27" s="1"/>
  <c r="E94" i="27" s="1"/>
  <c r="E95" i="27" s="1"/>
  <c r="E96" i="27" s="1"/>
  <c r="E97" i="27" s="1"/>
  <c r="E98" i="27" s="1"/>
  <c r="E99" i="27" s="1"/>
  <c r="E100" i="27" s="1"/>
  <c r="E101" i="27" s="1"/>
  <c r="E102" i="27" s="1"/>
  <c r="E103" i="27" s="1"/>
  <c r="E104" i="27" s="1"/>
  <c r="E105" i="27" s="1"/>
  <c r="E106" i="27" s="1"/>
  <c r="G75" i="27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E75" i="27"/>
  <c r="E76" i="27" s="1"/>
  <c r="E77" i="27" s="1"/>
  <c r="E78" i="27" s="1"/>
  <c r="E79" i="27" s="1"/>
  <c r="E80" i="27" s="1"/>
  <c r="E81" i="27" s="1"/>
  <c r="E82" i="27" s="1"/>
  <c r="E83" i="27" s="1"/>
  <c r="E84" i="27" s="1"/>
  <c r="E85" i="27" s="1"/>
  <c r="E86" i="27" s="1"/>
  <c r="E87" i="27" s="1"/>
  <c r="E88" i="27" s="1"/>
  <c r="E89" i="27" s="1"/>
  <c r="E90" i="27" s="1"/>
  <c r="D67" i="27"/>
  <c r="D83" i="27" s="1"/>
  <c r="D99" i="27" s="1"/>
  <c r="D115" i="27" s="1"/>
  <c r="D131" i="27" s="1"/>
  <c r="D147" i="27" s="1"/>
  <c r="D163" i="27" s="1"/>
  <c r="D179" i="27" s="1"/>
  <c r="D195" i="27" s="1"/>
  <c r="G59" i="27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E59" i="27"/>
  <c r="E60" i="27" s="1"/>
  <c r="E61" i="27" s="1"/>
  <c r="E62" i="27" s="1"/>
  <c r="E63" i="27" s="1"/>
  <c r="E64" i="27" s="1"/>
  <c r="E65" i="27" s="1"/>
  <c r="E66" i="27" s="1"/>
  <c r="E67" i="27" s="1"/>
  <c r="E68" i="27" s="1"/>
  <c r="E69" i="27" s="1"/>
  <c r="E70" i="27" s="1"/>
  <c r="E71" i="27" s="1"/>
  <c r="E72" i="27" s="1"/>
  <c r="E73" i="27" s="1"/>
  <c r="E74" i="27" s="1"/>
  <c r="F58" i="27"/>
  <c r="F74" i="27" s="1"/>
  <c r="F90" i="27" s="1"/>
  <c r="F106" i="27" s="1"/>
  <c r="F122" i="27" s="1"/>
  <c r="F138" i="27" s="1"/>
  <c r="F154" i="27" s="1"/>
  <c r="F170" i="27" s="1"/>
  <c r="F186" i="27" s="1"/>
  <c r="F202" i="27" s="1"/>
  <c r="D58" i="27"/>
  <c r="D74" i="27" s="1"/>
  <c r="D90" i="27" s="1"/>
  <c r="D106" i="27" s="1"/>
  <c r="D122" i="27" s="1"/>
  <c r="D138" i="27" s="1"/>
  <c r="D154" i="27" s="1"/>
  <c r="D170" i="27" s="1"/>
  <c r="D186" i="27" s="1"/>
  <c r="D202" i="27" s="1"/>
  <c r="F57" i="27"/>
  <c r="F73" i="27" s="1"/>
  <c r="F89" i="27" s="1"/>
  <c r="F105" i="27" s="1"/>
  <c r="F121" i="27" s="1"/>
  <c r="F137" i="27" s="1"/>
  <c r="F153" i="27" s="1"/>
  <c r="F169" i="27" s="1"/>
  <c r="F185" i="27" s="1"/>
  <c r="F201" i="27" s="1"/>
  <c r="D57" i="27"/>
  <c r="J57" i="27" s="1"/>
  <c r="P57" i="27" s="1"/>
  <c r="Z57" i="27" s="1"/>
  <c r="F56" i="27"/>
  <c r="F72" i="27" s="1"/>
  <c r="F88" i="27" s="1"/>
  <c r="F104" i="27" s="1"/>
  <c r="F120" i="27" s="1"/>
  <c r="F136" i="27" s="1"/>
  <c r="F152" i="27" s="1"/>
  <c r="F168" i="27" s="1"/>
  <c r="F184" i="27" s="1"/>
  <c r="F200" i="27" s="1"/>
  <c r="D56" i="27"/>
  <c r="D72" i="27" s="1"/>
  <c r="D88" i="27" s="1"/>
  <c r="D104" i="27" s="1"/>
  <c r="D120" i="27" s="1"/>
  <c r="D136" i="27" s="1"/>
  <c r="D152" i="27" s="1"/>
  <c r="D168" i="27" s="1"/>
  <c r="D184" i="27" s="1"/>
  <c r="D200" i="27" s="1"/>
  <c r="F55" i="27"/>
  <c r="F71" i="27" s="1"/>
  <c r="F87" i="27" s="1"/>
  <c r="F103" i="27" s="1"/>
  <c r="F119" i="27" s="1"/>
  <c r="F135" i="27" s="1"/>
  <c r="F151" i="27" s="1"/>
  <c r="F167" i="27" s="1"/>
  <c r="F183" i="27" s="1"/>
  <c r="F199" i="27" s="1"/>
  <c r="D55" i="27"/>
  <c r="D71" i="27" s="1"/>
  <c r="D87" i="27" s="1"/>
  <c r="D103" i="27" s="1"/>
  <c r="D119" i="27" s="1"/>
  <c r="D135" i="27" s="1"/>
  <c r="D151" i="27" s="1"/>
  <c r="D167" i="27" s="1"/>
  <c r="D183" i="27" s="1"/>
  <c r="D199" i="27" s="1"/>
  <c r="F54" i="27"/>
  <c r="F70" i="27" s="1"/>
  <c r="F86" i="27" s="1"/>
  <c r="F102" i="27" s="1"/>
  <c r="F118" i="27" s="1"/>
  <c r="F134" i="27" s="1"/>
  <c r="F150" i="27" s="1"/>
  <c r="F166" i="27" s="1"/>
  <c r="F182" i="27" s="1"/>
  <c r="F198" i="27" s="1"/>
  <c r="D54" i="27"/>
  <c r="D70" i="27" s="1"/>
  <c r="D86" i="27" s="1"/>
  <c r="D102" i="27" s="1"/>
  <c r="D118" i="27" s="1"/>
  <c r="D134" i="27" s="1"/>
  <c r="D150" i="27" s="1"/>
  <c r="D166" i="27" s="1"/>
  <c r="D182" i="27" s="1"/>
  <c r="D198" i="27" s="1"/>
  <c r="F53" i="27"/>
  <c r="F69" i="27" s="1"/>
  <c r="F85" i="27" s="1"/>
  <c r="F101" i="27" s="1"/>
  <c r="F117" i="27" s="1"/>
  <c r="F133" i="27" s="1"/>
  <c r="F149" i="27" s="1"/>
  <c r="F165" i="27" s="1"/>
  <c r="F181" i="27" s="1"/>
  <c r="F197" i="27" s="1"/>
  <c r="D53" i="27"/>
  <c r="J53" i="27" s="1"/>
  <c r="T53" i="27" s="1"/>
  <c r="F52" i="27"/>
  <c r="F68" i="27" s="1"/>
  <c r="F84" i="27" s="1"/>
  <c r="F100" i="27" s="1"/>
  <c r="F116" i="27" s="1"/>
  <c r="F132" i="27" s="1"/>
  <c r="F148" i="27" s="1"/>
  <c r="F164" i="27" s="1"/>
  <c r="F180" i="27" s="1"/>
  <c r="F196" i="27" s="1"/>
  <c r="D52" i="27"/>
  <c r="D68" i="27" s="1"/>
  <c r="D84" i="27" s="1"/>
  <c r="D100" i="27" s="1"/>
  <c r="D116" i="27" s="1"/>
  <c r="D132" i="27" s="1"/>
  <c r="D148" i="27" s="1"/>
  <c r="D164" i="27" s="1"/>
  <c r="D180" i="27" s="1"/>
  <c r="D196" i="27" s="1"/>
  <c r="F51" i="27"/>
  <c r="F67" i="27" s="1"/>
  <c r="F83" i="27" s="1"/>
  <c r="F99" i="27" s="1"/>
  <c r="F115" i="27" s="1"/>
  <c r="F131" i="27" s="1"/>
  <c r="F147" i="27" s="1"/>
  <c r="F163" i="27" s="1"/>
  <c r="F179" i="27" s="1"/>
  <c r="F195" i="27" s="1"/>
  <c r="D51" i="27"/>
  <c r="J51" i="27" s="1"/>
  <c r="T51" i="27" s="1"/>
  <c r="F50" i="27"/>
  <c r="F66" i="27" s="1"/>
  <c r="F82" i="27" s="1"/>
  <c r="F98" i="27" s="1"/>
  <c r="F114" i="27" s="1"/>
  <c r="F130" i="27" s="1"/>
  <c r="F146" i="27" s="1"/>
  <c r="F162" i="27" s="1"/>
  <c r="F178" i="27" s="1"/>
  <c r="F194" i="27" s="1"/>
  <c r="D50" i="27"/>
  <c r="D66" i="27" s="1"/>
  <c r="D82" i="27" s="1"/>
  <c r="D98" i="27" s="1"/>
  <c r="D114" i="27" s="1"/>
  <c r="D130" i="27" s="1"/>
  <c r="D146" i="27" s="1"/>
  <c r="D162" i="27" s="1"/>
  <c r="D178" i="27" s="1"/>
  <c r="D194" i="27" s="1"/>
  <c r="F49" i="27"/>
  <c r="F65" i="27" s="1"/>
  <c r="F81" i="27" s="1"/>
  <c r="F97" i="27" s="1"/>
  <c r="F113" i="27" s="1"/>
  <c r="F129" i="27" s="1"/>
  <c r="F145" i="27" s="1"/>
  <c r="F161" i="27" s="1"/>
  <c r="F177" i="27" s="1"/>
  <c r="F193" i="27" s="1"/>
  <c r="D49" i="27"/>
  <c r="J49" i="27" s="1"/>
  <c r="F48" i="27"/>
  <c r="F64" i="27" s="1"/>
  <c r="F80" i="27" s="1"/>
  <c r="F96" i="27" s="1"/>
  <c r="F112" i="27" s="1"/>
  <c r="F128" i="27" s="1"/>
  <c r="F144" i="27" s="1"/>
  <c r="F160" i="27" s="1"/>
  <c r="F176" i="27" s="1"/>
  <c r="F192" i="27" s="1"/>
  <c r="D48" i="27"/>
  <c r="D64" i="27" s="1"/>
  <c r="D80" i="27" s="1"/>
  <c r="D96" i="27" s="1"/>
  <c r="D112" i="27" s="1"/>
  <c r="D128" i="27" s="1"/>
  <c r="D144" i="27" s="1"/>
  <c r="D160" i="27" s="1"/>
  <c r="D176" i="27" s="1"/>
  <c r="D192" i="27" s="1"/>
  <c r="F47" i="27"/>
  <c r="F63" i="27" s="1"/>
  <c r="F79" i="27" s="1"/>
  <c r="F95" i="27" s="1"/>
  <c r="F111" i="27" s="1"/>
  <c r="F127" i="27" s="1"/>
  <c r="F143" i="27" s="1"/>
  <c r="F159" i="27" s="1"/>
  <c r="F175" i="27" s="1"/>
  <c r="F191" i="27" s="1"/>
  <c r="D47" i="27"/>
  <c r="D63" i="27" s="1"/>
  <c r="D79" i="27" s="1"/>
  <c r="D95" i="27" s="1"/>
  <c r="D111" i="27" s="1"/>
  <c r="D127" i="27" s="1"/>
  <c r="D143" i="27" s="1"/>
  <c r="D159" i="27" s="1"/>
  <c r="D175" i="27" s="1"/>
  <c r="D191" i="27" s="1"/>
  <c r="F46" i="27"/>
  <c r="F62" i="27" s="1"/>
  <c r="F78" i="27" s="1"/>
  <c r="F94" i="27" s="1"/>
  <c r="F110" i="27" s="1"/>
  <c r="F126" i="27" s="1"/>
  <c r="F142" i="27" s="1"/>
  <c r="F158" i="27" s="1"/>
  <c r="F174" i="27" s="1"/>
  <c r="F190" i="27" s="1"/>
  <c r="D46" i="27"/>
  <c r="D62" i="27" s="1"/>
  <c r="D78" i="27" s="1"/>
  <c r="D94" i="27" s="1"/>
  <c r="D110" i="27" s="1"/>
  <c r="D126" i="27" s="1"/>
  <c r="D142" i="27" s="1"/>
  <c r="D158" i="27" s="1"/>
  <c r="D174" i="27" s="1"/>
  <c r="D190" i="27" s="1"/>
  <c r="F45" i="27"/>
  <c r="F61" i="27" s="1"/>
  <c r="F77" i="27" s="1"/>
  <c r="F93" i="27" s="1"/>
  <c r="F109" i="27" s="1"/>
  <c r="F125" i="27" s="1"/>
  <c r="F141" i="27" s="1"/>
  <c r="F157" i="27" s="1"/>
  <c r="F173" i="27" s="1"/>
  <c r="F189" i="27" s="1"/>
  <c r="D45" i="27"/>
  <c r="D61" i="27" s="1"/>
  <c r="D77" i="27" s="1"/>
  <c r="D93" i="27" s="1"/>
  <c r="D109" i="27" s="1"/>
  <c r="D125" i="27" s="1"/>
  <c r="D141" i="27" s="1"/>
  <c r="D157" i="27" s="1"/>
  <c r="D173" i="27" s="1"/>
  <c r="D189" i="27" s="1"/>
  <c r="F44" i="27"/>
  <c r="F60" i="27" s="1"/>
  <c r="F76" i="27" s="1"/>
  <c r="F92" i="27" s="1"/>
  <c r="F108" i="27" s="1"/>
  <c r="F124" i="27" s="1"/>
  <c r="F140" i="27" s="1"/>
  <c r="F156" i="27" s="1"/>
  <c r="F172" i="27" s="1"/>
  <c r="F188" i="27" s="1"/>
  <c r="D44" i="27"/>
  <c r="D60" i="27" s="1"/>
  <c r="D76" i="27" s="1"/>
  <c r="D92" i="27" s="1"/>
  <c r="D108" i="27" s="1"/>
  <c r="D124" i="27" s="1"/>
  <c r="D140" i="27" s="1"/>
  <c r="D156" i="27" s="1"/>
  <c r="D172" i="27" s="1"/>
  <c r="D188" i="27" s="1"/>
  <c r="G43" i="27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F43" i="27"/>
  <c r="N43" i="27" s="1"/>
  <c r="L43" i="27" s="1"/>
  <c r="V43" i="27" s="1"/>
  <c r="E43" i="27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E54" i="27" s="1"/>
  <c r="E55" i="27" s="1"/>
  <c r="E56" i="27" s="1"/>
  <c r="E57" i="27" s="1"/>
  <c r="E58" i="27" s="1"/>
  <c r="D43" i="27"/>
  <c r="J43" i="27" s="1"/>
  <c r="T43" i="27" s="1"/>
  <c r="G27" i="27"/>
  <c r="E27" i="27"/>
  <c r="N56" i="27"/>
  <c r="X56" i="27" s="1"/>
  <c r="J45" i="27"/>
  <c r="T45" i="27" s="1"/>
  <c r="N57" i="27"/>
  <c r="L57" i="27" s="1"/>
  <c r="V57" i="27" s="1"/>
  <c r="N55" i="27"/>
  <c r="N51" i="27"/>
  <c r="L51" i="27" s="1"/>
  <c r="V51" i="27" s="1"/>
  <c r="N47" i="27"/>
  <c r="N45" i="27"/>
  <c r="X45" i="27" s="1"/>
  <c r="F42" i="27"/>
  <c r="D42" i="27"/>
  <c r="F41" i="27"/>
  <c r="D41" i="27"/>
  <c r="F40" i="27"/>
  <c r="D40" i="27"/>
  <c r="F39" i="27"/>
  <c r="D39" i="27"/>
  <c r="J39" i="27" s="1"/>
  <c r="T39" i="27" s="1"/>
  <c r="F38" i="27"/>
  <c r="D38" i="27"/>
  <c r="F37" i="27"/>
  <c r="D37" i="27"/>
  <c r="J37" i="27" s="1"/>
  <c r="T37" i="27" s="1"/>
  <c r="F36" i="27"/>
  <c r="D36" i="27"/>
  <c r="F35" i="27"/>
  <c r="D35" i="27"/>
  <c r="J35" i="27" s="1"/>
  <c r="F34" i="27"/>
  <c r="D34" i="27"/>
  <c r="F33" i="27"/>
  <c r="D33" i="27"/>
  <c r="F32" i="27"/>
  <c r="D32" i="27"/>
  <c r="F31" i="27"/>
  <c r="D31" i="27"/>
  <c r="J31" i="27" s="1"/>
  <c r="F30" i="27"/>
  <c r="D30" i="27"/>
  <c r="F29" i="27"/>
  <c r="D29" i="27"/>
  <c r="J29" i="27" s="1"/>
  <c r="P29" i="27" s="1"/>
  <c r="Z29" i="27" s="1"/>
  <c r="D28" i="27"/>
  <c r="F28" i="27"/>
  <c r="N28" i="27" s="1"/>
  <c r="L28" i="27" s="1"/>
  <c r="V28" i="27" s="1"/>
  <c r="F27" i="27"/>
  <c r="N27" i="27" s="1"/>
  <c r="D27" i="27"/>
  <c r="G25" i="27"/>
  <c r="G26" i="27" s="1"/>
  <c r="O26" i="27" s="1"/>
  <c r="Q26" i="27" s="1"/>
  <c r="F25" i="27"/>
  <c r="F26" i="27" s="1"/>
  <c r="N26" i="27" s="1"/>
  <c r="E25" i="27"/>
  <c r="E26" i="27" s="1"/>
  <c r="K26" i="27" s="1"/>
  <c r="M26" i="27" s="1"/>
  <c r="D25" i="27"/>
  <c r="D26" i="27" s="1"/>
  <c r="J26" i="27" s="1"/>
  <c r="P26" i="27" s="1"/>
  <c r="Z26" i="27" s="1"/>
  <c r="G23" i="27"/>
  <c r="G24" i="27" s="1"/>
  <c r="O24" i="27" s="1"/>
  <c r="Q24" i="27" s="1"/>
  <c r="F23" i="27"/>
  <c r="F24" i="27" s="1"/>
  <c r="N24" i="27" s="1"/>
  <c r="X24" i="27" s="1"/>
  <c r="E23" i="27"/>
  <c r="E24" i="27" s="1"/>
  <c r="K24" i="27" s="1"/>
  <c r="M24" i="27" s="1"/>
  <c r="D23" i="27"/>
  <c r="J23" i="27" s="1"/>
  <c r="P23" i="27" s="1"/>
  <c r="Z23" i="27" s="1"/>
  <c r="G21" i="27"/>
  <c r="G22" i="27" s="1"/>
  <c r="O22" i="27" s="1"/>
  <c r="F21" i="27"/>
  <c r="F22" i="27" s="1"/>
  <c r="N22" i="27" s="1"/>
  <c r="E21" i="27"/>
  <c r="E22" i="27" s="1"/>
  <c r="K22" i="27" s="1"/>
  <c r="M22" i="27" s="1"/>
  <c r="D21" i="27"/>
  <c r="J21" i="27" s="1"/>
  <c r="G19" i="27"/>
  <c r="G20" i="27" s="1"/>
  <c r="O20" i="27" s="1"/>
  <c r="Q20" i="27" s="1"/>
  <c r="F19" i="27"/>
  <c r="F20" i="27" s="1"/>
  <c r="N20" i="27" s="1"/>
  <c r="L20" i="27" s="1"/>
  <c r="V20" i="27" s="1"/>
  <c r="E19" i="27"/>
  <c r="E20" i="27" s="1"/>
  <c r="K20" i="27" s="1"/>
  <c r="M20" i="27" s="1"/>
  <c r="D19" i="27"/>
  <c r="D20" i="27" s="1"/>
  <c r="J20" i="27" s="1"/>
  <c r="P20" i="27" s="1"/>
  <c r="Z20" i="27" s="1"/>
  <c r="G17" i="27"/>
  <c r="G18" i="27" s="1"/>
  <c r="O18" i="27" s="1"/>
  <c r="Q18" i="27" s="1"/>
  <c r="F17" i="27"/>
  <c r="F18" i="27" s="1"/>
  <c r="N18" i="27" s="1"/>
  <c r="X18" i="27" s="1"/>
  <c r="E17" i="27"/>
  <c r="E18" i="27" s="1"/>
  <c r="D17" i="27"/>
  <c r="J17" i="27" s="1"/>
  <c r="T17" i="27" s="1"/>
  <c r="G15" i="27"/>
  <c r="G16" i="27" s="1"/>
  <c r="O16" i="27" s="1"/>
  <c r="Q16" i="27" s="1"/>
  <c r="F15" i="27"/>
  <c r="F16" i="27" s="1"/>
  <c r="N16" i="27" s="1"/>
  <c r="E15" i="27"/>
  <c r="E16" i="27" s="1"/>
  <c r="K16" i="27" s="1"/>
  <c r="M16" i="27" s="1"/>
  <c r="D15" i="27"/>
  <c r="D16" i="27" s="1"/>
  <c r="J16" i="27" s="1"/>
  <c r="D13" i="27"/>
  <c r="K17" i="27"/>
  <c r="M17" i="27" s="1"/>
  <c r="F13" i="27"/>
  <c r="F14" i="27" s="1"/>
  <c r="N14" i="27" s="1"/>
  <c r="X14" i="27" s="1"/>
  <c r="D14" i="27"/>
  <c r="J14" i="27" s="1"/>
  <c r="P14" i="27" s="1"/>
  <c r="Z14" i="27" s="1"/>
  <c r="G13" i="27"/>
  <c r="G14" i="27" s="1"/>
  <c r="O14" i="27" s="1"/>
  <c r="E13" i="27"/>
  <c r="E14" i="27"/>
  <c r="F12" i="27"/>
  <c r="D12" i="27"/>
  <c r="G12" i="27"/>
  <c r="E12" i="27"/>
  <c r="G38" i="26"/>
  <c r="E38" i="26"/>
  <c r="G29" i="26"/>
  <c r="E29" i="26"/>
  <c r="E56" i="26"/>
  <c r="G56" i="26"/>
  <c r="E47" i="26"/>
  <c r="G47" i="26"/>
  <c r="F55" i="26"/>
  <c r="D55" i="26"/>
  <c r="F54" i="26"/>
  <c r="N54" i="26" s="1"/>
  <c r="X54" i="26" s="1"/>
  <c r="D54" i="26"/>
  <c r="F53" i="26"/>
  <c r="D53" i="26"/>
  <c r="F52" i="26"/>
  <c r="N52" i="26" s="1"/>
  <c r="L52" i="26" s="1"/>
  <c r="V52" i="26" s="1"/>
  <c r="D52" i="26"/>
  <c r="J52" i="26" s="1"/>
  <c r="F51" i="26"/>
  <c r="D51" i="26"/>
  <c r="F50" i="26"/>
  <c r="N50" i="26" s="1"/>
  <c r="D50" i="26"/>
  <c r="F49" i="26"/>
  <c r="D49" i="26"/>
  <c r="J50" i="26"/>
  <c r="G49" i="26"/>
  <c r="G50" i="26" s="1"/>
  <c r="G51" i="26" s="1"/>
  <c r="G52" i="26" s="1"/>
  <c r="G53" i="26" s="1"/>
  <c r="G54" i="26" s="1"/>
  <c r="G55" i="26" s="1"/>
  <c r="E49" i="26"/>
  <c r="E50" i="26" s="1"/>
  <c r="E51" i="26" s="1"/>
  <c r="E52" i="26" s="1"/>
  <c r="E53" i="26" s="1"/>
  <c r="E54" i="26" s="1"/>
  <c r="E55" i="26" s="1"/>
  <c r="F46" i="26"/>
  <c r="D46" i="26"/>
  <c r="F45" i="26"/>
  <c r="N45" i="26" s="1"/>
  <c r="L45" i="26" s="1"/>
  <c r="V45" i="26" s="1"/>
  <c r="D45" i="26"/>
  <c r="J45" i="26" s="1"/>
  <c r="F44" i="26"/>
  <c r="D44" i="26"/>
  <c r="F43" i="26"/>
  <c r="D43" i="26"/>
  <c r="J43" i="26" s="1"/>
  <c r="T43" i="26" s="1"/>
  <c r="F42" i="26"/>
  <c r="D42" i="26"/>
  <c r="G41" i="26"/>
  <c r="G42" i="26" s="1"/>
  <c r="G43" i="26" s="1"/>
  <c r="G44" i="26" s="1"/>
  <c r="G45" i="26" s="1"/>
  <c r="G46" i="26" s="1"/>
  <c r="F41" i="26"/>
  <c r="N41" i="26" s="1"/>
  <c r="L41" i="26" s="1"/>
  <c r="V41" i="26" s="1"/>
  <c r="E41" i="26"/>
  <c r="E42" i="26" s="1"/>
  <c r="E43" i="26" s="1"/>
  <c r="E44" i="26" s="1"/>
  <c r="E45" i="26" s="1"/>
  <c r="E46" i="26" s="1"/>
  <c r="D41" i="26"/>
  <c r="J41" i="26" s="1"/>
  <c r="T41" i="26" s="1"/>
  <c r="F40" i="26"/>
  <c r="D40" i="26"/>
  <c r="N43" i="26"/>
  <c r="X43" i="26" s="1"/>
  <c r="G40" i="26"/>
  <c r="E40" i="26"/>
  <c r="D37" i="26"/>
  <c r="E37" i="26"/>
  <c r="F37" i="26"/>
  <c r="G37" i="26"/>
  <c r="F36" i="26"/>
  <c r="D36" i="26"/>
  <c r="F35" i="26"/>
  <c r="D35" i="26"/>
  <c r="J35" i="26" s="1"/>
  <c r="F34" i="26"/>
  <c r="D34" i="26"/>
  <c r="F33" i="26"/>
  <c r="D33" i="26"/>
  <c r="G32" i="26"/>
  <c r="G33" i="26" s="1"/>
  <c r="G34" i="26" s="1"/>
  <c r="G35" i="26" s="1"/>
  <c r="G36" i="26" s="1"/>
  <c r="O36" i="26" s="1"/>
  <c r="Q36" i="26" s="1"/>
  <c r="F32" i="26"/>
  <c r="E32" i="26"/>
  <c r="E33" i="26" s="1"/>
  <c r="E34" i="26" s="1"/>
  <c r="E35" i="26" s="1"/>
  <c r="E36" i="26" s="1"/>
  <c r="K36" i="26" s="1"/>
  <c r="M36" i="26" s="1"/>
  <c r="D32" i="26"/>
  <c r="J32" i="26" s="1"/>
  <c r="F31" i="26"/>
  <c r="D31" i="26"/>
  <c r="N34" i="26"/>
  <c r="X34" i="26" s="1"/>
  <c r="J34" i="26"/>
  <c r="N31" i="26"/>
  <c r="X31" i="26" s="1"/>
  <c r="G31" i="26"/>
  <c r="E31" i="26"/>
  <c r="F28" i="26"/>
  <c r="D28" i="26"/>
  <c r="F27" i="26"/>
  <c r="D27" i="26"/>
  <c r="J27" i="26" s="1"/>
  <c r="F26" i="26"/>
  <c r="D26" i="26"/>
  <c r="G25" i="26"/>
  <c r="G26" i="26" s="1"/>
  <c r="G27" i="26" s="1"/>
  <c r="G28" i="26" s="1"/>
  <c r="F25" i="26"/>
  <c r="E25" i="26"/>
  <c r="E26" i="26" s="1"/>
  <c r="E27" i="26" s="1"/>
  <c r="E28" i="26" s="1"/>
  <c r="D25" i="26"/>
  <c r="J25" i="26" s="1"/>
  <c r="F24" i="26"/>
  <c r="D24" i="26"/>
  <c r="F22" i="26"/>
  <c r="D22" i="26"/>
  <c r="F21" i="26"/>
  <c r="D21" i="26"/>
  <c r="J21" i="26" s="1"/>
  <c r="F20" i="26"/>
  <c r="D20" i="26"/>
  <c r="G19" i="26"/>
  <c r="G20" i="26" s="1"/>
  <c r="G21" i="26" s="1"/>
  <c r="G22" i="26" s="1"/>
  <c r="F19" i="26"/>
  <c r="E19" i="26"/>
  <c r="E20" i="26" s="1"/>
  <c r="E21" i="26" s="1"/>
  <c r="E22" i="26" s="1"/>
  <c r="D19" i="26"/>
  <c r="J19" i="26" s="1"/>
  <c r="F18" i="26"/>
  <c r="D18" i="26"/>
  <c r="G24" i="26"/>
  <c r="E24" i="26"/>
  <c r="N19" i="26"/>
  <c r="X19" i="26" s="1"/>
  <c r="N18" i="26"/>
  <c r="X18" i="26" s="1"/>
  <c r="F16" i="26"/>
  <c r="D16" i="26"/>
  <c r="G15" i="26"/>
  <c r="G16" i="26" s="1"/>
  <c r="F15" i="26"/>
  <c r="N15" i="26" s="1"/>
  <c r="X15" i="26" s="1"/>
  <c r="E15" i="26"/>
  <c r="E16" i="26" s="1"/>
  <c r="D15" i="26"/>
  <c r="J15" i="26" s="1"/>
  <c r="F14" i="26"/>
  <c r="D14" i="26"/>
  <c r="G18" i="26"/>
  <c r="E18" i="26"/>
  <c r="G14" i="26"/>
  <c r="E14" i="26"/>
  <c r="J13" i="26"/>
  <c r="F12" i="26"/>
  <c r="D12" i="26"/>
  <c r="G12" i="26"/>
  <c r="E12" i="26"/>
  <c r="F70" i="24"/>
  <c r="D70" i="24"/>
  <c r="F69" i="24"/>
  <c r="N69" i="24" s="1"/>
  <c r="L69" i="24" s="1"/>
  <c r="V69" i="24" s="1"/>
  <c r="D69" i="24"/>
  <c r="F68" i="24"/>
  <c r="D68" i="24"/>
  <c r="F67" i="24"/>
  <c r="N67" i="24" s="1"/>
  <c r="D67" i="24"/>
  <c r="J67" i="24" s="1"/>
  <c r="T67" i="24" s="1"/>
  <c r="F66" i="24"/>
  <c r="D66" i="24"/>
  <c r="F65" i="24"/>
  <c r="N65" i="24" s="1"/>
  <c r="L65" i="24" s="1"/>
  <c r="V65" i="24" s="1"/>
  <c r="D65" i="24"/>
  <c r="J65" i="24" s="1"/>
  <c r="T65" i="24" s="1"/>
  <c r="F64" i="24"/>
  <c r="D64" i="24"/>
  <c r="F63" i="24"/>
  <c r="N63" i="24" s="1"/>
  <c r="L63" i="24" s="1"/>
  <c r="V63" i="24" s="1"/>
  <c r="D63" i="24"/>
  <c r="F62" i="24"/>
  <c r="D62" i="24"/>
  <c r="F61" i="24"/>
  <c r="N61" i="24" s="1"/>
  <c r="L61" i="24" s="1"/>
  <c r="V61" i="24" s="1"/>
  <c r="D61" i="24"/>
  <c r="F60" i="24"/>
  <c r="D60" i="24"/>
  <c r="F59" i="24"/>
  <c r="N59" i="24" s="1"/>
  <c r="D59" i="24"/>
  <c r="J59" i="24" s="1"/>
  <c r="T59" i="24" s="1"/>
  <c r="F58" i="24"/>
  <c r="D58" i="24"/>
  <c r="F57" i="24"/>
  <c r="N57" i="24" s="1"/>
  <c r="D57" i="24"/>
  <c r="J57" i="24" s="1"/>
  <c r="T57" i="24" s="1"/>
  <c r="G56" i="24"/>
  <c r="G57" i="24" s="1"/>
  <c r="F56" i="24"/>
  <c r="E56" i="24"/>
  <c r="E57" i="24" s="1"/>
  <c r="D56" i="24"/>
  <c r="G41" i="24"/>
  <c r="G42" i="24" s="1"/>
  <c r="F41" i="24"/>
  <c r="E41" i="24"/>
  <c r="D41" i="24"/>
  <c r="G26" i="24"/>
  <c r="E26" i="24"/>
  <c r="E27" i="24" s="1"/>
  <c r="F55" i="24"/>
  <c r="D55" i="24"/>
  <c r="F54" i="24"/>
  <c r="D54" i="24"/>
  <c r="J54" i="24" s="1"/>
  <c r="P54" i="24" s="1"/>
  <c r="Z54" i="24" s="1"/>
  <c r="F53" i="24"/>
  <c r="D53" i="24"/>
  <c r="F52" i="24"/>
  <c r="D52" i="24"/>
  <c r="J52" i="24" s="1"/>
  <c r="P52" i="24" s="1"/>
  <c r="Z52" i="24" s="1"/>
  <c r="F51" i="24"/>
  <c r="D51" i="24"/>
  <c r="F50" i="24"/>
  <c r="D50" i="24"/>
  <c r="J50" i="24" s="1"/>
  <c r="P50" i="24" s="1"/>
  <c r="Z50" i="24" s="1"/>
  <c r="F49" i="24"/>
  <c r="D49" i="24"/>
  <c r="F48" i="24"/>
  <c r="D48" i="24"/>
  <c r="J48" i="24" s="1"/>
  <c r="P48" i="24" s="1"/>
  <c r="Z48" i="24" s="1"/>
  <c r="F47" i="24"/>
  <c r="D47" i="24"/>
  <c r="F46" i="24"/>
  <c r="D46" i="24"/>
  <c r="J46" i="24" s="1"/>
  <c r="F45" i="24"/>
  <c r="D45" i="24"/>
  <c r="F44" i="24"/>
  <c r="D44" i="24"/>
  <c r="J44" i="24" s="1"/>
  <c r="P44" i="24" s="1"/>
  <c r="Z44" i="24" s="1"/>
  <c r="F43" i="24"/>
  <c r="D43" i="24"/>
  <c r="F42" i="24"/>
  <c r="E42" i="24"/>
  <c r="E43" i="24" s="1"/>
  <c r="D42" i="24"/>
  <c r="J42" i="24" s="1"/>
  <c r="P42" i="24" s="1"/>
  <c r="Z42" i="24" s="1"/>
  <c r="F40" i="24"/>
  <c r="D40" i="24"/>
  <c r="F39" i="24"/>
  <c r="D39" i="24"/>
  <c r="J39" i="24" s="1"/>
  <c r="F38" i="24"/>
  <c r="D38" i="24"/>
  <c r="F37" i="24"/>
  <c r="D37" i="24"/>
  <c r="J37" i="24" s="1"/>
  <c r="F36" i="24"/>
  <c r="D36" i="24"/>
  <c r="F35" i="24"/>
  <c r="D35" i="24"/>
  <c r="F34" i="24"/>
  <c r="D34" i="24"/>
  <c r="F33" i="24"/>
  <c r="D33" i="24"/>
  <c r="J33" i="24" s="1"/>
  <c r="F32" i="24"/>
  <c r="D32" i="24"/>
  <c r="F31" i="24"/>
  <c r="D31" i="24"/>
  <c r="J31" i="24" s="1"/>
  <c r="F30" i="24"/>
  <c r="F29" i="24"/>
  <c r="N29" i="24" s="1"/>
  <c r="F28" i="24"/>
  <c r="F27" i="24"/>
  <c r="D30" i="24"/>
  <c r="D29" i="24"/>
  <c r="D28" i="24"/>
  <c r="D27" i="24"/>
  <c r="G27" i="24"/>
  <c r="G28" i="24" s="1"/>
  <c r="F26" i="24"/>
  <c r="D26" i="24"/>
  <c r="N27" i="24"/>
  <c r="L27" i="24" s="1"/>
  <c r="V27" i="24" s="1"/>
  <c r="F25" i="24"/>
  <c r="D25" i="24"/>
  <c r="J25" i="24" s="1"/>
  <c r="F24" i="24"/>
  <c r="D24" i="24"/>
  <c r="J24" i="24" s="1"/>
  <c r="P24" i="24" s="1"/>
  <c r="Z24" i="24" s="1"/>
  <c r="F23" i="24"/>
  <c r="D23" i="24"/>
  <c r="J23" i="24" s="1"/>
  <c r="F22" i="24"/>
  <c r="N22" i="24" s="1"/>
  <c r="D22" i="24"/>
  <c r="J22" i="24" s="1"/>
  <c r="G21" i="24"/>
  <c r="G22" i="24" s="1"/>
  <c r="G23" i="24" s="1"/>
  <c r="G24" i="24" s="1"/>
  <c r="G25" i="24" s="1"/>
  <c r="F21" i="24"/>
  <c r="E21" i="24"/>
  <c r="E22" i="24" s="1"/>
  <c r="E23" i="24" s="1"/>
  <c r="E24" i="24" s="1"/>
  <c r="E25" i="24" s="1"/>
  <c r="D21" i="24"/>
  <c r="J21" i="24" s="1"/>
  <c r="F20" i="24"/>
  <c r="D20" i="24"/>
  <c r="J20" i="24" s="1"/>
  <c r="P20" i="24" s="1"/>
  <c r="Z20" i="24" s="1"/>
  <c r="G20" i="24"/>
  <c r="E20" i="24"/>
  <c r="F18" i="24"/>
  <c r="D18" i="24"/>
  <c r="F17" i="24"/>
  <c r="N17" i="24" s="1"/>
  <c r="D17" i="24"/>
  <c r="J17" i="24" s="1"/>
  <c r="P17" i="24" s="1"/>
  <c r="Z17" i="24" s="1"/>
  <c r="F16" i="24"/>
  <c r="D16" i="24"/>
  <c r="J16" i="24" s="1"/>
  <c r="F15" i="24"/>
  <c r="N15" i="24" s="1"/>
  <c r="D15" i="24"/>
  <c r="J15" i="24" s="1"/>
  <c r="F14" i="24"/>
  <c r="D14" i="24"/>
  <c r="J14" i="24" s="1"/>
  <c r="G13" i="24"/>
  <c r="G14" i="24" s="1"/>
  <c r="G15" i="24" s="1"/>
  <c r="G16" i="24" s="1"/>
  <c r="G17" i="24" s="1"/>
  <c r="G18" i="24" s="1"/>
  <c r="F13" i="24"/>
  <c r="N13" i="24" s="1"/>
  <c r="E13" i="24"/>
  <c r="E14" i="24" s="1"/>
  <c r="E15" i="24" s="1"/>
  <c r="E16" i="24" s="1"/>
  <c r="E17" i="24" s="1"/>
  <c r="E18" i="24" s="1"/>
  <c r="D13" i="24"/>
  <c r="F12" i="24"/>
  <c r="D12" i="24"/>
  <c r="J12" i="24" s="1"/>
  <c r="J13" i="24"/>
  <c r="P13" i="24" s="1"/>
  <c r="Z13" i="24" s="1"/>
  <c r="N12" i="24"/>
  <c r="L12" i="24" s="1"/>
  <c r="V12" i="24" s="1"/>
  <c r="G12" i="24"/>
  <c r="E12" i="24"/>
  <c r="G170" i="23"/>
  <c r="F191" i="23"/>
  <c r="D191" i="23"/>
  <c r="F190" i="23"/>
  <c r="D190" i="23"/>
  <c r="J190" i="23" s="1"/>
  <c r="F189" i="23"/>
  <c r="D189" i="23"/>
  <c r="F188" i="23"/>
  <c r="D188" i="23"/>
  <c r="J188" i="23" s="1"/>
  <c r="F187" i="23"/>
  <c r="D187" i="23"/>
  <c r="F186" i="23"/>
  <c r="D186" i="23"/>
  <c r="J186" i="23" s="1"/>
  <c r="F185" i="23"/>
  <c r="D185" i="23"/>
  <c r="F184" i="23"/>
  <c r="D184" i="23"/>
  <c r="J184" i="23" s="1"/>
  <c r="F183" i="23"/>
  <c r="D183" i="23"/>
  <c r="F182" i="23"/>
  <c r="D182" i="23"/>
  <c r="J182" i="23" s="1"/>
  <c r="F181" i="23"/>
  <c r="D181" i="23"/>
  <c r="F180" i="23"/>
  <c r="D180" i="23"/>
  <c r="J180" i="23" s="1"/>
  <c r="F179" i="23"/>
  <c r="D179" i="23"/>
  <c r="F178" i="23"/>
  <c r="D178" i="23"/>
  <c r="J178" i="23" s="1"/>
  <c r="F177" i="23"/>
  <c r="D177" i="23"/>
  <c r="F176" i="23"/>
  <c r="D176" i="23"/>
  <c r="J176" i="23" s="1"/>
  <c r="F175" i="23"/>
  <c r="D175" i="23"/>
  <c r="F174" i="23"/>
  <c r="D174" i="23"/>
  <c r="J174" i="23" s="1"/>
  <c r="F173" i="23"/>
  <c r="D173" i="23"/>
  <c r="F172" i="23"/>
  <c r="D172" i="23"/>
  <c r="J172" i="23" s="1"/>
  <c r="T172" i="23" s="1"/>
  <c r="F171" i="23"/>
  <c r="D171" i="23"/>
  <c r="F170" i="23"/>
  <c r="D170" i="23"/>
  <c r="F169" i="23"/>
  <c r="E170" i="23"/>
  <c r="D169" i="23"/>
  <c r="F168" i="23"/>
  <c r="D168" i="23"/>
  <c r="F167" i="23"/>
  <c r="N167" i="23" s="1"/>
  <c r="D167" i="23"/>
  <c r="J167" i="23" s="1"/>
  <c r="F166" i="23"/>
  <c r="D166" i="23"/>
  <c r="F165" i="23"/>
  <c r="D165" i="23"/>
  <c r="J165" i="23" s="1"/>
  <c r="F164" i="23"/>
  <c r="D164" i="23"/>
  <c r="F163" i="23"/>
  <c r="D163" i="23"/>
  <c r="J163" i="23" s="1"/>
  <c r="F162" i="23"/>
  <c r="D162" i="23"/>
  <c r="F161" i="23"/>
  <c r="N161" i="23" s="1"/>
  <c r="D161" i="23"/>
  <c r="J161" i="23" s="1"/>
  <c r="P161" i="23" s="1"/>
  <c r="Z161" i="23" s="1"/>
  <c r="F160" i="23"/>
  <c r="D160" i="23"/>
  <c r="F159" i="23"/>
  <c r="N159" i="23" s="1"/>
  <c r="X159" i="23" s="1"/>
  <c r="D159" i="23"/>
  <c r="J159" i="23" s="1"/>
  <c r="F158" i="23"/>
  <c r="D158" i="23"/>
  <c r="F157" i="23"/>
  <c r="D157" i="23"/>
  <c r="J157" i="23" s="1"/>
  <c r="F156" i="23"/>
  <c r="D156" i="23"/>
  <c r="F155" i="23"/>
  <c r="D155" i="23"/>
  <c r="J155" i="23" s="1"/>
  <c r="F154" i="23"/>
  <c r="D154" i="23"/>
  <c r="F153" i="23"/>
  <c r="N153" i="23" s="1"/>
  <c r="X153" i="23" s="1"/>
  <c r="D153" i="23"/>
  <c r="J153" i="23" s="1"/>
  <c r="F152" i="23"/>
  <c r="D152" i="23"/>
  <c r="F151" i="23"/>
  <c r="N151" i="23" s="1"/>
  <c r="X151" i="23" s="1"/>
  <c r="D151" i="23"/>
  <c r="J151" i="23" s="1"/>
  <c r="F150" i="23"/>
  <c r="D150" i="23"/>
  <c r="F149" i="23"/>
  <c r="D149" i="23"/>
  <c r="J149" i="23" s="1"/>
  <c r="P149" i="23" s="1"/>
  <c r="Z149" i="23" s="1"/>
  <c r="F148" i="23"/>
  <c r="D148" i="23"/>
  <c r="F147" i="23"/>
  <c r="D147" i="23"/>
  <c r="J147" i="23" s="1"/>
  <c r="G146" i="23"/>
  <c r="G147" i="23" s="1"/>
  <c r="F146" i="23"/>
  <c r="E146" i="23"/>
  <c r="E147" i="23" s="1"/>
  <c r="D146" i="23"/>
  <c r="F145" i="23"/>
  <c r="D145" i="23"/>
  <c r="F144" i="23"/>
  <c r="D144" i="23"/>
  <c r="J144" i="23" s="1"/>
  <c r="F143" i="23"/>
  <c r="D143" i="23"/>
  <c r="F142" i="23"/>
  <c r="D142" i="23"/>
  <c r="J142" i="23" s="1"/>
  <c r="F141" i="23"/>
  <c r="D141" i="23"/>
  <c r="F140" i="23"/>
  <c r="D140" i="23"/>
  <c r="F139" i="23"/>
  <c r="D139" i="23"/>
  <c r="F138" i="23"/>
  <c r="D138" i="23"/>
  <c r="J138" i="23" s="1"/>
  <c r="F137" i="23"/>
  <c r="D137" i="23"/>
  <c r="F136" i="23"/>
  <c r="D136" i="23"/>
  <c r="J136" i="23" s="1"/>
  <c r="T136" i="23" s="1"/>
  <c r="F135" i="23"/>
  <c r="D135" i="23"/>
  <c r="G134" i="23"/>
  <c r="G135" i="23" s="1"/>
  <c r="F134" i="23"/>
  <c r="E134" i="23"/>
  <c r="E135" i="23" s="1"/>
  <c r="D134" i="23"/>
  <c r="J134" i="23" s="1"/>
  <c r="F133" i="23"/>
  <c r="D133" i="23"/>
  <c r="F132" i="23"/>
  <c r="D132" i="23"/>
  <c r="F131" i="23"/>
  <c r="D131" i="23"/>
  <c r="F130" i="23"/>
  <c r="D130" i="23"/>
  <c r="J130" i="23" s="1"/>
  <c r="G129" i="23"/>
  <c r="G130" i="23" s="1"/>
  <c r="F129" i="23"/>
  <c r="E129" i="23"/>
  <c r="E130" i="23" s="1"/>
  <c r="D129" i="23"/>
  <c r="G123" i="23"/>
  <c r="G124" i="23" s="1"/>
  <c r="E123" i="23"/>
  <c r="K123" i="23" s="1"/>
  <c r="M123" i="23" s="1"/>
  <c r="F128" i="23"/>
  <c r="F127" i="23"/>
  <c r="F126" i="23"/>
  <c r="F125" i="23"/>
  <c r="F124" i="23"/>
  <c r="D128" i="23"/>
  <c r="D127" i="23"/>
  <c r="D126" i="23"/>
  <c r="D125" i="23"/>
  <c r="J125" i="23" s="1"/>
  <c r="D124" i="23"/>
  <c r="F123" i="23"/>
  <c r="D123" i="23"/>
  <c r="J123" i="23" s="1"/>
  <c r="F122" i="23"/>
  <c r="D122" i="23"/>
  <c r="F121" i="23"/>
  <c r="N121" i="23" s="1"/>
  <c r="D121" i="23"/>
  <c r="J121" i="23" s="1"/>
  <c r="T121" i="23" s="1"/>
  <c r="F120" i="23"/>
  <c r="D120" i="23"/>
  <c r="F119" i="23"/>
  <c r="N119" i="23" s="1"/>
  <c r="D119" i="23"/>
  <c r="J119" i="23" s="1"/>
  <c r="T119" i="23" s="1"/>
  <c r="F118" i="23"/>
  <c r="D118" i="23"/>
  <c r="F117" i="23"/>
  <c r="N117" i="23" s="1"/>
  <c r="L117" i="23" s="1"/>
  <c r="V117" i="23" s="1"/>
  <c r="D117" i="23"/>
  <c r="J117" i="23" s="1"/>
  <c r="F116" i="23"/>
  <c r="N116" i="23" s="1"/>
  <c r="L116" i="23" s="1"/>
  <c r="V116" i="23" s="1"/>
  <c r="D116" i="23"/>
  <c r="F115" i="23"/>
  <c r="D115" i="23"/>
  <c r="F114" i="23"/>
  <c r="D114" i="23"/>
  <c r="J114" i="23" s="1"/>
  <c r="G113" i="23"/>
  <c r="G114" i="23" s="1"/>
  <c r="G115" i="23" s="1"/>
  <c r="G116" i="23" s="1"/>
  <c r="G117" i="23" s="1"/>
  <c r="G118" i="23" s="1"/>
  <c r="G119" i="23" s="1"/>
  <c r="G120" i="23" s="1"/>
  <c r="F113" i="23"/>
  <c r="N113" i="23" s="1"/>
  <c r="L113" i="23" s="1"/>
  <c r="V113" i="23" s="1"/>
  <c r="E113" i="23"/>
  <c r="E114" i="23" s="1"/>
  <c r="E115" i="23" s="1"/>
  <c r="E116" i="23" s="1"/>
  <c r="E117" i="23" s="1"/>
  <c r="E118" i="23" s="1"/>
  <c r="E119" i="23" s="1"/>
  <c r="E120" i="23" s="1"/>
  <c r="D113" i="23"/>
  <c r="F112" i="23"/>
  <c r="D112" i="23"/>
  <c r="J112" i="23" s="1"/>
  <c r="J118" i="23"/>
  <c r="T118" i="23" s="1"/>
  <c r="J116" i="23"/>
  <c r="J113" i="23"/>
  <c r="G112" i="23"/>
  <c r="E112" i="23"/>
  <c r="F110" i="23"/>
  <c r="D110" i="23"/>
  <c r="F109" i="23"/>
  <c r="D109" i="23"/>
  <c r="F108" i="23"/>
  <c r="D108" i="23"/>
  <c r="J108" i="23" s="1"/>
  <c r="P108" i="23" s="1"/>
  <c r="Z108" i="23" s="1"/>
  <c r="F107" i="23"/>
  <c r="D107" i="23"/>
  <c r="F106" i="23"/>
  <c r="N106" i="23" s="1"/>
  <c r="D106" i="23"/>
  <c r="J106" i="23" s="1"/>
  <c r="T106" i="23" s="1"/>
  <c r="F105" i="23"/>
  <c r="D105" i="23"/>
  <c r="J105" i="23" s="1"/>
  <c r="F104" i="23"/>
  <c r="D104" i="23"/>
  <c r="J104" i="23" s="1"/>
  <c r="G103" i="23"/>
  <c r="G104" i="23" s="1"/>
  <c r="G105" i="23" s="1"/>
  <c r="G106" i="23" s="1"/>
  <c r="G107" i="23" s="1"/>
  <c r="G108" i="23" s="1"/>
  <c r="G109" i="23" s="1"/>
  <c r="G110" i="23" s="1"/>
  <c r="F103" i="23"/>
  <c r="D103" i="23"/>
  <c r="J103" i="23" s="1"/>
  <c r="T103" i="23" s="1"/>
  <c r="G102" i="23"/>
  <c r="F102" i="23"/>
  <c r="N102" i="23" s="1"/>
  <c r="L102" i="23" s="1"/>
  <c r="V102" i="23" s="1"/>
  <c r="E102" i="23"/>
  <c r="E103" i="23" s="1"/>
  <c r="E104" i="23" s="1"/>
  <c r="E105" i="23" s="1"/>
  <c r="E106" i="23" s="1"/>
  <c r="E107" i="23" s="1"/>
  <c r="E108" i="23" s="1"/>
  <c r="E109" i="23" s="1"/>
  <c r="E110" i="23" s="1"/>
  <c r="D102" i="23"/>
  <c r="J102" i="23" s="1"/>
  <c r="T102" i="23" s="1"/>
  <c r="F101" i="23"/>
  <c r="D101" i="23"/>
  <c r="J107" i="23"/>
  <c r="P107" i="23" s="1"/>
  <c r="Z107" i="23" s="1"/>
  <c r="N104" i="23"/>
  <c r="L104" i="23" s="1"/>
  <c r="V104" i="23" s="1"/>
  <c r="N110" i="23"/>
  <c r="J109" i="23"/>
  <c r="P109" i="23" s="1"/>
  <c r="Z109" i="23" s="1"/>
  <c r="N108" i="23"/>
  <c r="G101" i="23"/>
  <c r="E101" i="23"/>
  <c r="F99" i="23"/>
  <c r="D99" i="23"/>
  <c r="F98" i="23"/>
  <c r="D98" i="23"/>
  <c r="J98" i="23" s="1"/>
  <c r="F97" i="23"/>
  <c r="D97" i="23"/>
  <c r="F96" i="23"/>
  <c r="D96" i="23"/>
  <c r="G95" i="23"/>
  <c r="G96" i="23" s="1"/>
  <c r="F95" i="23"/>
  <c r="E95" i="23"/>
  <c r="E96" i="23" s="1"/>
  <c r="D95" i="23"/>
  <c r="F94" i="23"/>
  <c r="D94" i="23"/>
  <c r="F93" i="23"/>
  <c r="D93" i="23"/>
  <c r="J93" i="23" s="1"/>
  <c r="F92" i="23"/>
  <c r="D92" i="23"/>
  <c r="F91" i="23"/>
  <c r="N91" i="23" s="1"/>
  <c r="D91" i="23"/>
  <c r="F90" i="23"/>
  <c r="D90" i="23"/>
  <c r="F89" i="23"/>
  <c r="F88" i="23"/>
  <c r="F87" i="23"/>
  <c r="N87" i="23" s="1"/>
  <c r="X87" i="23" s="1"/>
  <c r="F86" i="23"/>
  <c r="F85" i="23"/>
  <c r="F84" i="23"/>
  <c r="F83" i="23"/>
  <c r="F82" i="23"/>
  <c r="F81" i="23"/>
  <c r="D89" i="23"/>
  <c r="D88" i="23"/>
  <c r="D87" i="23"/>
  <c r="J87" i="23" s="1"/>
  <c r="P87" i="23" s="1"/>
  <c r="Z87" i="23" s="1"/>
  <c r="D86" i="23"/>
  <c r="D85" i="23"/>
  <c r="D84" i="23"/>
  <c r="D83" i="23"/>
  <c r="D82" i="23"/>
  <c r="D81" i="23"/>
  <c r="F80" i="23"/>
  <c r="D80" i="23"/>
  <c r="J91" i="23"/>
  <c r="P91" i="23" s="1"/>
  <c r="Z91" i="23" s="1"/>
  <c r="J85" i="23"/>
  <c r="P85" i="23" s="1"/>
  <c r="Z85" i="23" s="1"/>
  <c r="J83" i="23"/>
  <c r="P83" i="23" s="1"/>
  <c r="Z83" i="23" s="1"/>
  <c r="J81" i="23"/>
  <c r="P81" i="23" s="1"/>
  <c r="Z81" i="23" s="1"/>
  <c r="G81" i="23"/>
  <c r="E81" i="23"/>
  <c r="F79" i="23"/>
  <c r="D79" i="23"/>
  <c r="F78" i="23"/>
  <c r="D78" i="23"/>
  <c r="J78" i="23" s="1"/>
  <c r="F77" i="23"/>
  <c r="D77" i="23"/>
  <c r="F76" i="23"/>
  <c r="D76" i="23"/>
  <c r="J76" i="23" s="1"/>
  <c r="F75" i="23"/>
  <c r="D75" i="23"/>
  <c r="F74" i="23"/>
  <c r="D74" i="23"/>
  <c r="J74" i="23" s="1"/>
  <c r="T74" i="23" s="1"/>
  <c r="F73" i="23"/>
  <c r="D73" i="23"/>
  <c r="F72" i="23"/>
  <c r="D72" i="23"/>
  <c r="J72" i="23" s="1"/>
  <c r="T72" i="23" s="1"/>
  <c r="F71" i="23"/>
  <c r="D71" i="23"/>
  <c r="F70" i="23"/>
  <c r="D70" i="23"/>
  <c r="J70" i="23" s="1"/>
  <c r="F69" i="23"/>
  <c r="D69" i="23"/>
  <c r="F68" i="23"/>
  <c r="D68" i="23"/>
  <c r="J68" i="23" s="1"/>
  <c r="T68" i="23" s="1"/>
  <c r="F67" i="23"/>
  <c r="D67" i="23"/>
  <c r="F66" i="23"/>
  <c r="D66" i="23"/>
  <c r="J66" i="23" s="1"/>
  <c r="T66" i="23" s="1"/>
  <c r="F65" i="23"/>
  <c r="D65" i="23"/>
  <c r="F64" i="23"/>
  <c r="D64" i="23"/>
  <c r="J64" i="23" s="1"/>
  <c r="F63" i="23"/>
  <c r="D63" i="23"/>
  <c r="F62" i="23"/>
  <c r="D62" i="23"/>
  <c r="F61" i="23"/>
  <c r="D61" i="23"/>
  <c r="F60" i="23"/>
  <c r="D60" i="23"/>
  <c r="J60" i="23" s="1"/>
  <c r="F59" i="23"/>
  <c r="D59" i="23"/>
  <c r="F58" i="23"/>
  <c r="D58" i="23"/>
  <c r="J58" i="23" s="1"/>
  <c r="T58" i="23" s="1"/>
  <c r="G57" i="23"/>
  <c r="G58" i="23" s="1"/>
  <c r="F57" i="23"/>
  <c r="E57" i="23"/>
  <c r="E58" i="23" s="1"/>
  <c r="K58" i="23" s="1"/>
  <c r="M58" i="23" s="1"/>
  <c r="D57" i="23"/>
  <c r="F56" i="23"/>
  <c r="D56" i="23"/>
  <c r="F55" i="23"/>
  <c r="D55" i="23"/>
  <c r="J55" i="23" s="1"/>
  <c r="P55" i="23" s="1"/>
  <c r="Z55" i="23" s="1"/>
  <c r="F54" i="23"/>
  <c r="D54" i="23"/>
  <c r="F53" i="23"/>
  <c r="D53" i="23"/>
  <c r="J53" i="23" s="1"/>
  <c r="P53" i="23" s="1"/>
  <c r="Z53" i="23" s="1"/>
  <c r="F52" i="23"/>
  <c r="D52" i="23"/>
  <c r="F51" i="23"/>
  <c r="D51" i="23"/>
  <c r="J51" i="23" s="1"/>
  <c r="P51" i="23" s="1"/>
  <c r="Z51" i="23" s="1"/>
  <c r="F50" i="23"/>
  <c r="D50" i="23"/>
  <c r="F49" i="23"/>
  <c r="D49" i="23"/>
  <c r="J49" i="23" s="1"/>
  <c r="P49" i="23" s="1"/>
  <c r="Z49" i="23" s="1"/>
  <c r="F48" i="23"/>
  <c r="D48" i="23"/>
  <c r="F47" i="23"/>
  <c r="D47" i="23"/>
  <c r="J47" i="23" s="1"/>
  <c r="P47" i="23" s="1"/>
  <c r="Z47" i="23" s="1"/>
  <c r="F46" i="23"/>
  <c r="D46" i="23"/>
  <c r="F45" i="23"/>
  <c r="D45" i="23"/>
  <c r="J45" i="23" s="1"/>
  <c r="P45" i="23" s="1"/>
  <c r="Z45" i="23" s="1"/>
  <c r="F44" i="23"/>
  <c r="D44" i="23"/>
  <c r="F43" i="23"/>
  <c r="D43" i="23"/>
  <c r="J43" i="23" s="1"/>
  <c r="P43" i="23" s="1"/>
  <c r="Z43" i="23" s="1"/>
  <c r="F42" i="23"/>
  <c r="D42" i="23"/>
  <c r="G41" i="23"/>
  <c r="G42" i="23" s="1"/>
  <c r="F41" i="23"/>
  <c r="E41" i="23"/>
  <c r="K41" i="23" s="1"/>
  <c r="M41" i="23" s="1"/>
  <c r="D41" i="23"/>
  <c r="J41" i="23" s="1"/>
  <c r="P41" i="23" s="1"/>
  <c r="Z41" i="23" s="1"/>
  <c r="G34" i="23"/>
  <c r="E34" i="23"/>
  <c r="F40" i="23"/>
  <c r="D40" i="23"/>
  <c r="F39" i="23"/>
  <c r="D39" i="23"/>
  <c r="J39" i="23" s="1"/>
  <c r="P39" i="23" s="1"/>
  <c r="Z39" i="23" s="1"/>
  <c r="F38" i="23"/>
  <c r="D38" i="23"/>
  <c r="F37" i="23"/>
  <c r="D37" i="23"/>
  <c r="J37" i="23" s="1"/>
  <c r="P37" i="23" s="1"/>
  <c r="Z37" i="23" s="1"/>
  <c r="F36" i="23"/>
  <c r="D36" i="23"/>
  <c r="F35" i="23"/>
  <c r="E35" i="23"/>
  <c r="K35" i="23" s="1"/>
  <c r="M35" i="23" s="1"/>
  <c r="D35" i="23"/>
  <c r="J35" i="23" s="1"/>
  <c r="P35" i="23" s="1"/>
  <c r="Z35" i="23" s="1"/>
  <c r="G35" i="23"/>
  <c r="F34" i="23"/>
  <c r="D34" i="23"/>
  <c r="D29" i="23"/>
  <c r="E29" i="23"/>
  <c r="E30" i="23" s="1"/>
  <c r="F29" i="23"/>
  <c r="G29" i="23"/>
  <c r="D30" i="23"/>
  <c r="F30" i="23"/>
  <c r="G30" i="23"/>
  <c r="G31" i="23" s="1"/>
  <c r="D31" i="23"/>
  <c r="F31" i="23"/>
  <c r="D32" i="23"/>
  <c r="F32" i="23"/>
  <c r="D33" i="23"/>
  <c r="F33" i="23"/>
  <c r="F28" i="23"/>
  <c r="D28" i="23"/>
  <c r="F27" i="23"/>
  <c r="D27" i="23"/>
  <c r="J27" i="23" s="1"/>
  <c r="P27" i="23" s="1"/>
  <c r="Z27" i="23" s="1"/>
  <c r="F26" i="23"/>
  <c r="D26" i="23"/>
  <c r="J26" i="23" s="1"/>
  <c r="T26" i="23" s="1"/>
  <c r="G25" i="23"/>
  <c r="G26" i="23" s="1"/>
  <c r="G27" i="23" s="1"/>
  <c r="G28" i="23" s="1"/>
  <c r="F25" i="23"/>
  <c r="N25" i="23" s="1"/>
  <c r="E25" i="23"/>
  <c r="E26" i="23" s="1"/>
  <c r="E27" i="23" s="1"/>
  <c r="E28" i="23" s="1"/>
  <c r="D25" i="23"/>
  <c r="J25" i="23" s="1"/>
  <c r="P25" i="23" s="1"/>
  <c r="Z25" i="23" s="1"/>
  <c r="F24" i="23"/>
  <c r="D24" i="23"/>
  <c r="G24" i="23"/>
  <c r="E24" i="23"/>
  <c r="F22" i="23"/>
  <c r="D22" i="23"/>
  <c r="J22" i="23" s="1"/>
  <c r="F21" i="23"/>
  <c r="D21" i="23"/>
  <c r="J21" i="23" s="1"/>
  <c r="P21" i="23" s="1"/>
  <c r="Z21" i="23" s="1"/>
  <c r="F20" i="23"/>
  <c r="D20" i="23"/>
  <c r="J20" i="23" s="1"/>
  <c r="F19" i="23"/>
  <c r="N19" i="23" s="1"/>
  <c r="X19" i="23" s="1"/>
  <c r="D19" i="23"/>
  <c r="J19" i="23" s="1"/>
  <c r="P19" i="23" s="1"/>
  <c r="Z19" i="23" s="1"/>
  <c r="F18" i="23"/>
  <c r="N18" i="23" s="1"/>
  <c r="D18" i="23"/>
  <c r="F17" i="23"/>
  <c r="D17" i="23"/>
  <c r="J17" i="23" s="1"/>
  <c r="P17" i="23" s="1"/>
  <c r="Z17" i="23" s="1"/>
  <c r="F16" i="23"/>
  <c r="N16" i="23" s="1"/>
  <c r="D16" i="23"/>
  <c r="J16" i="23" s="1"/>
  <c r="F15" i="23"/>
  <c r="N15" i="23" s="1"/>
  <c r="L15" i="23" s="1"/>
  <c r="V15" i="23" s="1"/>
  <c r="D15" i="23"/>
  <c r="F14" i="23"/>
  <c r="D14" i="23"/>
  <c r="J14" i="23" s="1"/>
  <c r="G13" i="23"/>
  <c r="G14" i="23" s="1"/>
  <c r="G15" i="23" s="1"/>
  <c r="G16" i="23" s="1"/>
  <c r="G17" i="23" s="1"/>
  <c r="G18" i="23" s="1"/>
  <c r="G19" i="23" s="1"/>
  <c r="G20" i="23" s="1"/>
  <c r="G21" i="23" s="1"/>
  <c r="G22" i="23" s="1"/>
  <c r="F13" i="23"/>
  <c r="N13" i="23" s="1"/>
  <c r="X13" i="23" s="1"/>
  <c r="E13" i="23"/>
  <c r="E14" i="23" s="1"/>
  <c r="E15" i="23" s="1"/>
  <c r="E16" i="23" s="1"/>
  <c r="E17" i="23" s="1"/>
  <c r="E18" i="23" s="1"/>
  <c r="E19" i="23" s="1"/>
  <c r="E20" i="23" s="1"/>
  <c r="E21" i="23" s="1"/>
  <c r="E22" i="23" s="1"/>
  <c r="D13" i="23"/>
  <c r="J13" i="23" s="1"/>
  <c r="P13" i="23" s="1"/>
  <c r="Z13" i="23" s="1"/>
  <c r="F12" i="23"/>
  <c r="N12" i="23" s="1"/>
  <c r="D12" i="23"/>
  <c r="J12" i="23" s="1"/>
  <c r="T12" i="23" s="1"/>
  <c r="J18" i="23"/>
  <c r="T18" i="23" s="1"/>
  <c r="J15" i="23"/>
  <c r="P15" i="23" s="1"/>
  <c r="Z15" i="23" s="1"/>
  <c r="N20" i="23"/>
  <c r="G12" i="23"/>
  <c r="O12" i="23" s="1"/>
  <c r="Q12" i="23" s="1"/>
  <c r="E12" i="23"/>
  <c r="F307" i="22"/>
  <c r="D307" i="22"/>
  <c r="F306" i="22"/>
  <c r="D306" i="22"/>
  <c r="J306" i="22" s="1"/>
  <c r="F305" i="22"/>
  <c r="D305" i="22"/>
  <c r="F304" i="22"/>
  <c r="D304" i="22"/>
  <c r="J304" i="22" s="1"/>
  <c r="P304" i="22" s="1"/>
  <c r="Z304" i="22" s="1"/>
  <c r="F303" i="22"/>
  <c r="D303" i="22"/>
  <c r="F302" i="22"/>
  <c r="D302" i="22"/>
  <c r="J302" i="22" s="1"/>
  <c r="T302" i="22" s="1"/>
  <c r="G301" i="22"/>
  <c r="G302" i="22" s="1"/>
  <c r="F301" i="22"/>
  <c r="E301" i="22"/>
  <c r="E302" i="22" s="1"/>
  <c r="D301" i="22"/>
  <c r="F300" i="22"/>
  <c r="F299" i="22"/>
  <c r="N299" i="22" s="1"/>
  <c r="X299" i="22" s="1"/>
  <c r="D300" i="22"/>
  <c r="D299" i="22"/>
  <c r="J299" i="22" s="1"/>
  <c r="P299" i="22" s="1"/>
  <c r="Z299" i="22" s="1"/>
  <c r="F298" i="22"/>
  <c r="D298" i="22"/>
  <c r="G298" i="22"/>
  <c r="G299" i="22" s="1"/>
  <c r="E298" i="22"/>
  <c r="E299" i="22" s="1"/>
  <c r="G286" i="22"/>
  <c r="G287" i="22" s="1"/>
  <c r="G288" i="22" s="1"/>
  <c r="G289" i="22" s="1"/>
  <c r="G290" i="22" s="1"/>
  <c r="G291" i="22" s="1"/>
  <c r="G292" i="22" s="1"/>
  <c r="G293" i="22" s="1"/>
  <c r="G294" i="22" s="1"/>
  <c r="G295" i="22" s="1"/>
  <c r="G296" i="22" s="1"/>
  <c r="G297" i="22" s="1"/>
  <c r="E286" i="22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G274" i="22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E274" i="22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G262" i="22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E262" i="22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G250" i="22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E250" i="22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G238" i="22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E238" i="22"/>
  <c r="K238" i="22" s="1"/>
  <c r="M238" i="22" s="1"/>
  <c r="G226" i="22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E226" i="22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G214" i="22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E214" i="22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D204" i="22"/>
  <c r="D216" i="22" s="1"/>
  <c r="D228" i="22" s="1"/>
  <c r="D240" i="22" s="1"/>
  <c r="D252" i="22" s="1"/>
  <c r="D264" i="22" s="1"/>
  <c r="D276" i="22" s="1"/>
  <c r="D288" i="22" s="1"/>
  <c r="G202" i="22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O213" i="22" s="1"/>
  <c r="E202" i="22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F201" i="22"/>
  <c r="F213" i="22" s="1"/>
  <c r="F225" i="22" s="1"/>
  <c r="F237" i="22" s="1"/>
  <c r="F249" i="22" s="1"/>
  <c r="F261" i="22" s="1"/>
  <c r="F273" i="22" s="1"/>
  <c r="F285" i="22" s="1"/>
  <c r="F297" i="22" s="1"/>
  <c r="D201" i="22"/>
  <c r="D213" i="22" s="1"/>
  <c r="D225" i="22" s="1"/>
  <c r="D237" i="22" s="1"/>
  <c r="D249" i="22" s="1"/>
  <c r="D261" i="22" s="1"/>
  <c r="D273" i="22" s="1"/>
  <c r="D285" i="22" s="1"/>
  <c r="D297" i="22" s="1"/>
  <c r="F200" i="22"/>
  <c r="F212" i="22" s="1"/>
  <c r="F224" i="22" s="1"/>
  <c r="F236" i="22" s="1"/>
  <c r="F248" i="22" s="1"/>
  <c r="F260" i="22" s="1"/>
  <c r="F272" i="22" s="1"/>
  <c r="F284" i="22" s="1"/>
  <c r="F296" i="22" s="1"/>
  <c r="D200" i="22"/>
  <c r="J200" i="22" s="1"/>
  <c r="P200" i="22" s="1"/>
  <c r="Z200" i="22" s="1"/>
  <c r="F199" i="22"/>
  <c r="F211" i="22" s="1"/>
  <c r="F223" i="22" s="1"/>
  <c r="F235" i="22" s="1"/>
  <c r="F247" i="22" s="1"/>
  <c r="F259" i="22" s="1"/>
  <c r="F271" i="22" s="1"/>
  <c r="F283" i="22" s="1"/>
  <c r="F295" i="22" s="1"/>
  <c r="D199" i="22"/>
  <c r="D211" i="22" s="1"/>
  <c r="D223" i="22" s="1"/>
  <c r="D235" i="22" s="1"/>
  <c r="D247" i="22" s="1"/>
  <c r="D259" i="22" s="1"/>
  <c r="D271" i="22" s="1"/>
  <c r="D283" i="22" s="1"/>
  <c r="D295" i="22" s="1"/>
  <c r="F198" i="22"/>
  <c r="F210" i="22" s="1"/>
  <c r="F222" i="22" s="1"/>
  <c r="F234" i="22" s="1"/>
  <c r="F246" i="22" s="1"/>
  <c r="F258" i="22" s="1"/>
  <c r="F270" i="22" s="1"/>
  <c r="F282" i="22" s="1"/>
  <c r="F294" i="22" s="1"/>
  <c r="D198" i="22"/>
  <c r="D210" i="22" s="1"/>
  <c r="D222" i="22" s="1"/>
  <c r="D234" i="22" s="1"/>
  <c r="D246" i="22" s="1"/>
  <c r="D258" i="22" s="1"/>
  <c r="D270" i="22" s="1"/>
  <c r="D282" i="22" s="1"/>
  <c r="D294" i="22" s="1"/>
  <c r="F197" i="22"/>
  <c r="F209" i="22" s="1"/>
  <c r="F221" i="22" s="1"/>
  <c r="F233" i="22" s="1"/>
  <c r="F245" i="22" s="1"/>
  <c r="F257" i="22" s="1"/>
  <c r="F269" i="22" s="1"/>
  <c r="F281" i="22" s="1"/>
  <c r="F293" i="22" s="1"/>
  <c r="D197" i="22"/>
  <c r="D209" i="22" s="1"/>
  <c r="D221" i="22" s="1"/>
  <c r="D233" i="22" s="1"/>
  <c r="D245" i="22" s="1"/>
  <c r="D257" i="22" s="1"/>
  <c r="D269" i="22" s="1"/>
  <c r="D281" i="22" s="1"/>
  <c r="D293" i="22" s="1"/>
  <c r="F196" i="22"/>
  <c r="F208" i="22" s="1"/>
  <c r="F220" i="22" s="1"/>
  <c r="F232" i="22" s="1"/>
  <c r="F244" i="22" s="1"/>
  <c r="F256" i="22" s="1"/>
  <c r="F268" i="22" s="1"/>
  <c r="F280" i="22" s="1"/>
  <c r="F292" i="22" s="1"/>
  <c r="D196" i="22"/>
  <c r="D208" i="22" s="1"/>
  <c r="D220" i="22" s="1"/>
  <c r="D232" i="22" s="1"/>
  <c r="D244" i="22" s="1"/>
  <c r="D256" i="22" s="1"/>
  <c r="D268" i="22" s="1"/>
  <c r="D280" i="22" s="1"/>
  <c r="D292" i="22" s="1"/>
  <c r="F195" i="22"/>
  <c r="F207" i="22" s="1"/>
  <c r="F219" i="22" s="1"/>
  <c r="F231" i="22" s="1"/>
  <c r="F243" i="22" s="1"/>
  <c r="F255" i="22" s="1"/>
  <c r="F267" i="22" s="1"/>
  <c r="F279" i="22" s="1"/>
  <c r="F291" i="22" s="1"/>
  <c r="D195" i="22"/>
  <c r="D207" i="22" s="1"/>
  <c r="D219" i="22" s="1"/>
  <c r="D231" i="22" s="1"/>
  <c r="D243" i="22" s="1"/>
  <c r="D255" i="22" s="1"/>
  <c r="D267" i="22" s="1"/>
  <c r="D279" i="22" s="1"/>
  <c r="D291" i="22" s="1"/>
  <c r="F194" i="22"/>
  <c r="F206" i="22" s="1"/>
  <c r="F218" i="22" s="1"/>
  <c r="F230" i="22" s="1"/>
  <c r="F242" i="22" s="1"/>
  <c r="F254" i="22" s="1"/>
  <c r="F266" i="22" s="1"/>
  <c r="F278" i="22" s="1"/>
  <c r="F290" i="22" s="1"/>
  <c r="D194" i="22"/>
  <c r="D206" i="22" s="1"/>
  <c r="D218" i="22" s="1"/>
  <c r="D230" i="22" s="1"/>
  <c r="D242" i="22" s="1"/>
  <c r="D254" i="22" s="1"/>
  <c r="D266" i="22" s="1"/>
  <c r="D278" i="22" s="1"/>
  <c r="D290" i="22" s="1"/>
  <c r="F193" i="22"/>
  <c r="F205" i="22" s="1"/>
  <c r="F217" i="22" s="1"/>
  <c r="F229" i="22" s="1"/>
  <c r="F241" i="22" s="1"/>
  <c r="F253" i="22" s="1"/>
  <c r="F265" i="22" s="1"/>
  <c r="F277" i="22" s="1"/>
  <c r="F289" i="22" s="1"/>
  <c r="D193" i="22"/>
  <c r="D205" i="22" s="1"/>
  <c r="D217" i="22" s="1"/>
  <c r="D229" i="22" s="1"/>
  <c r="D241" i="22" s="1"/>
  <c r="D253" i="22" s="1"/>
  <c r="D265" i="22" s="1"/>
  <c r="D277" i="22" s="1"/>
  <c r="D289" i="22" s="1"/>
  <c r="F192" i="22"/>
  <c r="F204" i="22" s="1"/>
  <c r="F216" i="22" s="1"/>
  <c r="F228" i="22" s="1"/>
  <c r="F240" i="22" s="1"/>
  <c r="F252" i="22" s="1"/>
  <c r="F264" i="22" s="1"/>
  <c r="F276" i="22" s="1"/>
  <c r="F288" i="22" s="1"/>
  <c r="D192" i="22"/>
  <c r="F191" i="22"/>
  <c r="F203" i="22" s="1"/>
  <c r="F215" i="22" s="1"/>
  <c r="F227" i="22" s="1"/>
  <c r="F239" i="22" s="1"/>
  <c r="F251" i="22" s="1"/>
  <c r="F263" i="22" s="1"/>
  <c r="F275" i="22" s="1"/>
  <c r="F287" i="22" s="1"/>
  <c r="D191" i="22"/>
  <c r="D203" i="22" s="1"/>
  <c r="D215" i="22" s="1"/>
  <c r="D227" i="22" s="1"/>
  <c r="D239" i="22" s="1"/>
  <c r="D251" i="22" s="1"/>
  <c r="D263" i="22" s="1"/>
  <c r="D275" i="22" s="1"/>
  <c r="D287" i="22" s="1"/>
  <c r="G190" i="22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F190" i="22"/>
  <c r="F202" i="22" s="1"/>
  <c r="F214" i="22" s="1"/>
  <c r="F226" i="22" s="1"/>
  <c r="F238" i="22" s="1"/>
  <c r="F250" i="22" s="1"/>
  <c r="F262" i="22" s="1"/>
  <c r="F274" i="22" s="1"/>
  <c r="F286" i="22" s="1"/>
  <c r="E190" i="22"/>
  <c r="K190" i="22" s="1"/>
  <c r="M190" i="22" s="1"/>
  <c r="D190" i="22"/>
  <c r="D202" i="22" s="1"/>
  <c r="D214" i="22" s="1"/>
  <c r="D226" i="22" s="1"/>
  <c r="D238" i="22" s="1"/>
  <c r="D250" i="22" s="1"/>
  <c r="D262" i="22" s="1"/>
  <c r="D274" i="22" s="1"/>
  <c r="D286" i="22" s="1"/>
  <c r="G178" i="22"/>
  <c r="E178" i="22"/>
  <c r="E179" i="22" s="1"/>
  <c r="N194" i="22"/>
  <c r="L194" i="22" s="1"/>
  <c r="V194" i="22" s="1"/>
  <c r="N198" i="22"/>
  <c r="N196" i="22"/>
  <c r="X196" i="22" s="1"/>
  <c r="N192" i="22"/>
  <c r="L192" i="22" s="1"/>
  <c r="V192" i="22" s="1"/>
  <c r="G179" i="22"/>
  <c r="F189" i="22"/>
  <c r="D189" i="22"/>
  <c r="F188" i="22"/>
  <c r="D188" i="22"/>
  <c r="J188" i="22" s="1"/>
  <c r="F187" i="22"/>
  <c r="D187" i="22"/>
  <c r="F186" i="22"/>
  <c r="D186" i="22"/>
  <c r="F185" i="22"/>
  <c r="D185" i="22"/>
  <c r="F184" i="22"/>
  <c r="D184" i="22"/>
  <c r="J184" i="22" s="1"/>
  <c r="F183" i="22"/>
  <c r="D183" i="22"/>
  <c r="F182" i="22"/>
  <c r="D182" i="22"/>
  <c r="J182" i="22" s="1"/>
  <c r="T182" i="22" s="1"/>
  <c r="F181" i="22"/>
  <c r="D181" i="22"/>
  <c r="F180" i="22"/>
  <c r="D180" i="22"/>
  <c r="J180" i="22" s="1"/>
  <c r="F179" i="22"/>
  <c r="F178" i="22"/>
  <c r="N178" i="22" s="1"/>
  <c r="D179" i="22"/>
  <c r="D178" i="22"/>
  <c r="J178" i="22" s="1"/>
  <c r="F177" i="22"/>
  <c r="D177" i="22"/>
  <c r="F176" i="22"/>
  <c r="D176" i="22"/>
  <c r="J176" i="22" s="1"/>
  <c r="T176" i="22" s="1"/>
  <c r="F175" i="22"/>
  <c r="N175" i="22" s="1"/>
  <c r="X175" i="22" s="1"/>
  <c r="D175" i="22"/>
  <c r="F174" i="22"/>
  <c r="N174" i="22" s="1"/>
  <c r="X174" i="22" s="1"/>
  <c r="D174" i="22"/>
  <c r="J174" i="22" s="1"/>
  <c r="P174" i="22" s="1"/>
  <c r="Z174" i="22" s="1"/>
  <c r="F173" i="22"/>
  <c r="D173" i="22"/>
  <c r="F172" i="22"/>
  <c r="N172" i="22" s="1"/>
  <c r="D172" i="22"/>
  <c r="J172" i="22" s="1"/>
  <c r="T172" i="22" s="1"/>
  <c r="F171" i="22"/>
  <c r="D171" i="22"/>
  <c r="F170" i="22"/>
  <c r="D170" i="22"/>
  <c r="J170" i="22" s="1"/>
  <c r="P170" i="22" s="1"/>
  <c r="Z170" i="22" s="1"/>
  <c r="F169" i="22"/>
  <c r="D169" i="22"/>
  <c r="G168" i="22"/>
  <c r="G169" i="22" s="1"/>
  <c r="G170" i="22" s="1"/>
  <c r="G171" i="22" s="1"/>
  <c r="G172" i="22" s="1"/>
  <c r="G173" i="22" s="1"/>
  <c r="G174" i="22" s="1"/>
  <c r="G175" i="22" s="1"/>
  <c r="G176" i="22" s="1"/>
  <c r="G177" i="22" s="1"/>
  <c r="F168" i="22"/>
  <c r="E168" i="22"/>
  <c r="E169" i="22" s="1"/>
  <c r="E170" i="22" s="1"/>
  <c r="E171" i="22" s="1"/>
  <c r="E172" i="22" s="1"/>
  <c r="E173" i="22" s="1"/>
  <c r="E174" i="22" s="1"/>
  <c r="E175" i="22" s="1"/>
  <c r="E176" i="22" s="1"/>
  <c r="E177" i="22" s="1"/>
  <c r="D168" i="22"/>
  <c r="J168" i="22" s="1"/>
  <c r="F167" i="22"/>
  <c r="D167" i="22"/>
  <c r="N170" i="22"/>
  <c r="X170" i="22" s="1"/>
  <c r="N168" i="22"/>
  <c r="X168" i="22" s="1"/>
  <c r="G167" i="22"/>
  <c r="E167" i="22"/>
  <c r="F165" i="22"/>
  <c r="D165" i="22"/>
  <c r="F164" i="22"/>
  <c r="D164" i="22"/>
  <c r="J164" i="22" s="1"/>
  <c r="F163" i="22"/>
  <c r="D163" i="22"/>
  <c r="F162" i="22"/>
  <c r="D162" i="22"/>
  <c r="J162" i="22" s="1"/>
  <c r="F161" i="22"/>
  <c r="D161" i="22"/>
  <c r="F160" i="22"/>
  <c r="D160" i="22"/>
  <c r="J160" i="22" s="1"/>
  <c r="T160" i="22" s="1"/>
  <c r="F159" i="22"/>
  <c r="D159" i="22"/>
  <c r="F158" i="22"/>
  <c r="D158" i="22"/>
  <c r="F157" i="22"/>
  <c r="D157" i="22"/>
  <c r="F156" i="22"/>
  <c r="D156" i="22"/>
  <c r="J156" i="22" s="1"/>
  <c r="T156" i="22" s="1"/>
  <c r="F155" i="22"/>
  <c r="D155" i="22"/>
  <c r="F154" i="22"/>
  <c r="D154" i="22"/>
  <c r="J154" i="22" s="1"/>
  <c r="P154" i="22" s="1"/>
  <c r="Z154" i="22" s="1"/>
  <c r="F153" i="22"/>
  <c r="D153" i="22"/>
  <c r="F152" i="22"/>
  <c r="D152" i="22"/>
  <c r="J152" i="22" s="1"/>
  <c r="T152" i="22" s="1"/>
  <c r="F151" i="22"/>
  <c r="D151" i="22"/>
  <c r="F150" i="22"/>
  <c r="E150" i="22"/>
  <c r="E151" i="22" s="1"/>
  <c r="D150" i="22"/>
  <c r="E34" i="22"/>
  <c r="E35" i="22" s="1"/>
  <c r="E36" i="22" s="1"/>
  <c r="G34" i="22"/>
  <c r="G35" i="22" s="1"/>
  <c r="D57" i="22"/>
  <c r="E57" i="22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F57" i="22"/>
  <c r="G57" i="22"/>
  <c r="D58" i="22"/>
  <c r="F58" i="22"/>
  <c r="G58" i="22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D59" i="22"/>
  <c r="F59" i="22"/>
  <c r="D60" i="22"/>
  <c r="F60" i="22"/>
  <c r="D61" i="22"/>
  <c r="F61" i="22"/>
  <c r="D62" i="22"/>
  <c r="F62" i="22"/>
  <c r="D63" i="22"/>
  <c r="F63" i="22"/>
  <c r="D64" i="22"/>
  <c r="F64" i="22"/>
  <c r="D65" i="22"/>
  <c r="F65" i="22"/>
  <c r="D66" i="22"/>
  <c r="F66" i="22"/>
  <c r="D67" i="22"/>
  <c r="F67" i="22"/>
  <c r="D68" i="22"/>
  <c r="F68" i="22"/>
  <c r="D69" i="22"/>
  <c r="F69" i="22"/>
  <c r="D70" i="22"/>
  <c r="F70" i="22"/>
  <c r="D71" i="22"/>
  <c r="F71" i="22"/>
  <c r="D72" i="22"/>
  <c r="F72" i="22"/>
  <c r="D73" i="22"/>
  <c r="F73" i="22"/>
  <c r="D74" i="22"/>
  <c r="F74" i="22"/>
  <c r="D75" i="22"/>
  <c r="F75" i="22"/>
  <c r="D76" i="22"/>
  <c r="F76" i="22"/>
  <c r="D77" i="22"/>
  <c r="F77" i="22"/>
  <c r="D78" i="22"/>
  <c r="F78" i="22"/>
  <c r="D79" i="22"/>
  <c r="F79" i="22"/>
  <c r="D101" i="22"/>
  <c r="D124" i="22" s="1"/>
  <c r="D145" i="22" s="1"/>
  <c r="J145" i="22" s="1"/>
  <c r="T145" i="22" s="1"/>
  <c r="D99" i="22"/>
  <c r="D122" i="22" s="1"/>
  <c r="D143" i="22" s="1"/>
  <c r="J143" i="22" s="1"/>
  <c r="D97" i="22"/>
  <c r="D120" i="22" s="1"/>
  <c r="D141" i="22" s="1"/>
  <c r="J141" i="22" s="1"/>
  <c r="T141" i="22" s="1"/>
  <c r="D95" i="22"/>
  <c r="D118" i="22" s="1"/>
  <c r="D139" i="22" s="1"/>
  <c r="J139" i="22" s="1"/>
  <c r="T139" i="22" s="1"/>
  <c r="D93" i="22"/>
  <c r="D116" i="22" s="1"/>
  <c r="D137" i="22" s="1"/>
  <c r="J137" i="22" s="1"/>
  <c r="D91" i="22"/>
  <c r="D114" i="22" s="1"/>
  <c r="J64" i="22"/>
  <c r="D85" i="22"/>
  <c r="D108" i="22" s="1"/>
  <c r="D131" i="22" s="1"/>
  <c r="J131" i="22" s="1"/>
  <c r="D83" i="22"/>
  <c r="D106" i="22" s="1"/>
  <c r="D129" i="22" s="1"/>
  <c r="J58" i="22"/>
  <c r="E146" i="22"/>
  <c r="E147" i="22" s="1"/>
  <c r="G147" i="22"/>
  <c r="E138" i="22"/>
  <c r="E139" i="22" s="1"/>
  <c r="G137" i="22"/>
  <c r="G138" i="22" s="1"/>
  <c r="E137" i="22"/>
  <c r="G136" i="22"/>
  <c r="E136" i="22"/>
  <c r="G126" i="22"/>
  <c r="G127" i="22" s="1"/>
  <c r="E126" i="22"/>
  <c r="E127" i="22" s="1"/>
  <c r="G103" i="22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E103" i="22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D102" i="22"/>
  <c r="D125" i="22" s="1"/>
  <c r="D100" i="22"/>
  <c r="D123" i="22" s="1"/>
  <c r="D144" i="22" s="1"/>
  <c r="J144" i="22" s="1"/>
  <c r="P144" i="22" s="1"/>
  <c r="Z144" i="22" s="1"/>
  <c r="D98" i="22"/>
  <c r="D121" i="22" s="1"/>
  <c r="D142" i="22" s="1"/>
  <c r="J142" i="22" s="1"/>
  <c r="D96" i="22"/>
  <c r="J96" i="22" s="1"/>
  <c r="D94" i="22"/>
  <c r="J94" i="22" s="1"/>
  <c r="D92" i="22"/>
  <c r="D115" i="22" s="1"/>
  <c r="J115" i="22" s="1"/>
  <c r="D90" i="22"/>
  <c r="D113" i="22" s="1"/>
  <c r="D88" i="22"/>
  <c r="D111" i="22" s="1"/>
  <c r="J111" i="22" s="1"/>
  <c r="D86" i="22"/>
  <c r="D109" i="22" s="1"/>
  <c r="D132" i="22" s="1"/>
  <c r="J132" i="22" s="1"/>
  <c r="D84" i="22"/>
  <c r="D107" i="22" s="1"/>
  <c r="J107" i="22" s="1"/>
  <c r="D82" i="22"/>
  <c r="D105" i="22" s="1"/>
  <c r="D128" i="22" s="1"/>
  <c r="J128" i="22" s="1"/>
  <c r="P128" i="22" s="1"/>
  <c r="Z128" i="22" s="1"/>
  <c r="G81" i="22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E81" i="22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G80" i="22"/>
  <c r="E80" i="22"/>
  <c r="D80" i="22"/>
  <c r="D103" i="22" s="1"/>
  <c r="D126" i="22" s="1"/>
  <c r="F102" i="22"/>
  <c r="F125" i="22" s="1"/>
  <c r="F101" i="22"/>
  <c r="F124" i="22" s="1"/>
  <c r="F145" i="22" s="1"/>
  <c r="N145" i="22" s="1"/>
  <c r="F100" i="22"/>
  <c r="F123" i="22" s="1"/>
  <c r="F144" i="22" s="1"/>
  <c r="N144" i="22" s="1"/>
  <c r="F99" i="22"/>
  <c r="F122" i="22" s="1"/>
  <c r="F143" i="22" s="1"/>
  <c r="N143" i="22" s="1"/>
  <c r="F98" i="22"/>
  <c r="F121" i="22" s="1"/>
  <c r="F142" i="22" s="1"/>
  <c r="N142" i="22" s="1"/>
  <c r="F97" i="22"/>
  <c r="F120" i="22" s="1"/>
  <c r="F141" i="22" s="1"/>
  <c r="N141" i="22" s="1"/>
  <c r="F96" i="22"/>
  <c r="F119" i="22" s="1"/>
  <c r="F140" i="22" s="1"/>
  <c r="N140" i="22" s="1"/>
  <c r="L140" i="22" s="1"/>
  <c r="V140" i="22" s="1"/>
  <c r="F95" i="22"/>
  <c r="F118" i="22" s="1"/>
  <c r="F139" i="22" s="1"/>
  <c r="N139" i="22" s="1"/>
  <c r="L139" i="22" s="1"/>
  <c r="V139" i="22" s="1"/>
  <c r="F94" i="22"/>
  <c r="F117" i="22" s="1"/>
  <c r="F138" i="22" s="1"/>
  <c r="N138" i="22" s="1"/>
  <c r="X138" i="22" s="1"/>
  <c r="F93" i="22"/>
  <c r="F116" i="22" s="1"/>
  <c r="F137" i="22" s="1"/>
  <c r="N137" i="22" s="1"/>
  <c r="L137" i="22" s="1"/>
  <c r="V137" i="22" s="1"/>
  <c r="F92" i="22"/>
  <c r="F115" i="22" s="1"/>
  <c r="F136" i="22" s="1"/>
  <c r="N136" i="22" s="1"/>
  <c r="X136" i="22" s="1"/>
  <c r="F91" i="22"/>
  <c r="F114" i="22" s="1"/>
  <c r="F90" i="22"/>
  <c r="F113" i="22" s="1"/>
  <c r="F89" i="22"/>
  <c r="F112" i="22" s="1"/>
  <c r="F135" i="22" s="1"/>
  <c r="N135" i="22" s="1"/>
  <c r="L135" i="22" s="1"/>
  <c r="V135" i="22" s="1"/>
  <c r="D89" i="22"/>
  <c r="D112" i="22" s="1"/>
  <c r="D135" i="22" s="1"/>
  <c r="J135" i="22" s="1"/>
  <c r="F88" i="22"/>
  <c r="F111" i="22" s="1"/>
  <c r="F134" i="22" s="1"/>
  <c r="N134" i="22" s="1"/>
  <c r="X134" i="22" s="1"/>
  <c r="F87" i="22"/>
  <c r="F110" i="22" s="1"/>
  <c r="F133" i="22" s="1"/>
  <c r="N133" i="22" s="1"/>
  <c r="F86" i="22"/>
  <c r="F109" i="22" s="1"/>
  <c r="F132" i="22" s="1"/>
  <c r="N132" i="22" s="1"/>
  <c r="X132" i="22" s="1"/>
  <c r="F85" i="22"/>
  <c r="F108" i="22" s="1"/>
  <c r="F131" i="22" s="1"/>
  <c r="N131" i="22" s="1"/>
  <c r="F84" i="22"/>
  <c r="F107" i="22" s="1"/>
  <c r="F130" i="22" s="1"/>
  <c r="N130" i="22" s="1"/>
  <c r="F83" i="22"/>
  <c r="F106" i="22" s="1"/>
  <c r="F129" i="22" s="1"/>
  <c r="F82" i="22"/>
  <c r="F105" i="22" s="1"/>
  <c r="F128" i="22" s="1"/>
  <c r="F81" i="22"/>
  <c r="F104" i="22" s="1"/>
  <c r="F127" i="22" s="1"/>
  <c r="F80" i="22"/>
  <c r="F103" i="22" s="1"/>
  <c r="F126" i="22" s="1"/>
  <c r="J100" i="22"/>
  <c r="N68" i="22"/>
  <c r="X68" i="22" s="1"/>
  <c r="N64" i="22"/>
  <c r="X64" i="22" s="1"/>
  <c r="F56" i="22"/>
  <c r="D56" i="22"/>
  <c r="F55" i="22"/>
  <c r="D55" i="22"/>
  <c r="F54" i="22"/>
  <c r="D54" i="22"/>
  <c r="F53" i="22"/>
  <c r="D53" i="22"/>
  <c r="J53" i="22" s="1"/>
  <c r="F52" i="22"/>
  <c r="D52" i="22"/>
  <c r="F51" i="22"/>
  <c r="D51" i="22"/>
  <c r="J51" i="22" s="1"/>
  <c r="F50" i="22"/>
  <c r="D50" i="22"/>
  <c r="F49" i="22"/>
  <c r="D49" i="22"/>
  <c r="J49" i="22" s="1"/>
  <c r="F48" i="22"/>
  <c r="D48" i="22"/>
  <c r="F47" i="22"/>
  <c r="D47" i="22"/>
  <c r="F46" i="22"/>
  <c r="D46" i="22"/>
  <c r="F45" i="22"/>
  <c r="D45" i="22"/>
  <c r="J45" i="22" s="1"/>
  <c r="F44" i="22"/>
  <c r="D44" i="22"/>
  <c r="F43" i="22"/>
  <c r="D43" i="22"/>
  <c r="J43" i="22" s="1"/>
  <c r="F42" i="22"/>
  <c r="D42" i="22"/>
  <c r="F41" i="22"/>
  <c r="D41" i="22"/>
  <c r="J41" i="22" s="1"/>
  <c r="F40" i="22"/>
  <c r="D40" i="22"/>
  <c r="F39" i="22"/>
  <c r="D39" i="22"/>
  <c r="F38" i="22"/>
  <c r="D38" i="22"/>
  <c r="F37" i="22"/>
  <c r="D37" i="22"/>
  <c r="J37" i="22" s="1"/>
  <c r="F36" i="22"/>
  <c r="D36" i="22"/>
  <c r="F35" i="22"/>
  <c r="D35" i="22"/>
  <c r="F34" i="22"/>
  <c r="D34" i="22"/>
  <c r="F33" i="22"/>
  <c r="D33" i="22"/>
  <c r="F32" i="22"/>
  <c r="D32" i="22"/>
  <c r="F31" i="22"/>
  <c r="D31" i="22"/>
  <c r="F30" i="22"/>
  <c r="D30" i="22"/>
  <c r="J30" i="22" s="1"/>
  <c r="F29" i="22"/>
  <c r="N29" i="22" s="1"/>
  <c r="D29" i="22"/>
  <c r="F28" i="22"/>
  <c r="D28" i="22"/>
  <c r="J28" i="22" s="1"/>
  <c r="F27" i="22"/>
  <c r="N27" i="22" s="1"/>
  <c r="L27" i="22" s="1"/>
  <c r="V27" i="22" s="1"/>
  <c r="D27" i="22"/>
  <c r="F26" i="22"/>
  <c r="D26" i="22"/>
  <c r="J26" i="22" s="1"/>
  <c r="F25" i="22"/>
  <c r="N25" i="22" s="1"/>
  <c r="L25" i="22" s="1"/>
  <c r="V25" i="22" s="1"/>
  <c r="D25" i="22"/>
  <c r="G24" i="22"/>
  <c r="G25" i="22" s="1"/>
  <c r="G26" i="22" s="1"/>
  <c r="G27" i="22" s="1"/>
  <c r="G28" i="22" s="1"/>
  <c r="G29" i="22" s="1"/>
  <c r="G30" i="22" s="1"/>
  <c r="G31" i="22" s="1"/>
  <c r="G32" i="22" s="1"/>
  <c r="G33" i="22" s="1"/>
  <c r="F24" i="22"/>
  <c r="E24" i="22"/>
  <c r="E25" i="22" s="1"/>
  <c r="E26" i="22" s="1"/>
  <c r="E27" i="22" s="1"/>
  <c r="E28" i="22" s="1"/>
  <c r="E29" i="22" s="1"/>
  <c r="E30" i="22" s="1"/>
  <c r="E31" i="22" s="1"/>
  <c r="E32" i="22" s="1"/>
  <c r="E33" i="22" s="1"/>
  <c r="D24" i="22"/>
  <c r="J24" i="22" s="1"/>
  <c r="F23" i="22"/>
  <c r="N23" i="22" s="1"/>
  <c r="D23" i="22"/>
  <c r="J31" i="22"/>
  <c r="J29" i="22"/>
  <c r="J27" i="22"/>
  <c r="J25" i="22"/>
  <c r="G23" i="22"/>
  <c r="E23" i="22"/>
  <c r="F21" i="22"/>
  <c r="D21" i="22"/>
  <c r="F20" i="22"/>
  <c r="N20" i="22" s="1"/>
  <c r="X20" i="22" s="1"/>
  <c r="D20" i="22"/>
  <c r="J34" i="22" s="1"/>
  <c r="F19" i="22"/>
  <c r="D19" i="22"/>
  <c r="F18" i="22"/>
  <c r="N18" i="22" s="1"/>
  <c r="L18" i="22" s="1"/>
  <c r="V18" i="22" s="1"/>
  <c r="D18" i="22"/>
  <c r="J18" i="22" s="1"/>
  <c r="P18" i="22" s="1"/>
  <c r="Z18" i="22" s="1"/>
  <c r="F17" i="22"/>
  <c r="D17" i="22"/>
  <c r="F16" i="22"/>
  <c r="N16" i="22" s="1"/>
  <c r="X16" i="22" s="1"/>
  <c r="D16" i="22"/>
  <c r="F15" i="22"/>
  <c r="D15" i="22"/>
  <c r="J15" i="22" s="1"/>
  <c r="F14" i="22"/>
  <c r="N14" i="22" s="1"/>
  <c r="X14" i="22" s="1"/>
  <c r="D14" i="22"/>
  <c r="J14" i="22" s="1"/>
  <c r="G13" i="22"/>
  <c r="G14" i="22" s="1"/>
  <c r="G15" i="22" s="1"/>
  <c r="G16" i="22" s="1"/>
  <c r="G17" i="22" s="1"/>
  <c r="G18" i="22" s="1"/>
  <c r="G19" i="22" s="1"/>
  <c r="G20" i="22" s="1"/>
  <c r="G21" i="22" s="1"/>
  <c r="F13" i="22"/>
  <c r="N13" i="22" s="1"/>
  <c r="L13" i="22" s="1"/>
  <c r="V13" i="22" s="1"/>
  <c r="E13" i="22"/>
  <c r="E14" i="22" s="1"/>
  <c r="E15" i="22" s="1"/>
  <c r="E16" i="22" s="1"/>
  <c r="E17" i="22" s="1"/>
  <c r="E18" i="22" s="1"/>
  <c r="E19" i="22" s="1"/>
  <c r="E20" i="22" s="1"/>
  <c r="E21" i="22" s="1"/>
  <c r="D13" i="22"/>
  <c r="F12" i="22"/>
  <c r="D12" i="22"/>
  <c r="J20" i="22"/>
  <c r="N19" i="22"/>
  <c r="N17" i="22"/>
  <c r="J16" i="22"/>
  <c r="P16" i="22" s="1"/>
  <c r="Z16" i="22" s="1"/>
  <c r="N15" i="22"/>
  <c r="L15" i="22" s="1"/>
  <c r="V15" i="22" s="1"/>
  <c r="J22" i="22"/>
  <c r="N21" i="22"/>
  <c r="L21" i="22" s="1"/>
  <c r="V21" i="22" s="1"/>
  <c r="J19" i="22"/>
  <c r="G12" i="22"/>
  <c r="E12" i="22"/>
  <c r="G136" i="2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52" i="2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26" i="2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F25" i="21"/>
  <c r="F39" i="21" s="1"/>
  <c r="D25" i="21"/>
  <c r="D39" i="21" s="1"/>
  <c r="J52" i="21"/>
  <c r="G24" i="21"/>
  <c r="E24" i="21"/>
  <c r="K24" i="21" s="1"/>
  <c r="J25" i="21"/>
  <c r="T25" i="21" s="1"/>
  <c r="G25" i="2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F23" i="21"/>
  <c r="F37" i="21" s="1"/>
  <c r="D23" i="21"/>
  <c r="D37" i="21" s="1"/>
  <c r="F22" i="21"/>
  <c r="N22" i="21" s="1"/>
  <c r="D22" i="21"/>
  <c r="J22" i="21" s="1"/>
  <c r="P22" i="21" s="1"/>
  <c r="Z22" i="21" s="1"/>
  <c r="F21" i="21"/>
  <c r="N21" i="21" s="1"/>
  <c r="D21" i="21"/>
  <c r="D35" i="21" s="1"/>
  <c r="F20" i="21"/>
  <c r="N20" i="21" s="1"/>
  <c r="D20" i="21"/>
  <c r="D34" i="21" s="1"/>
  <c r="F19" i="21"/>
  <c r="F33" i="21" s="1"/>
  <c r="D19" i="21"/>
  <c r="D33" i="21" s="1"/>
  <c r="F18" i="21"/>
  <c r="N18" i="21" s="1"/>
  <c r="X18" i="21" s="1"/>
  <c r="D18" i="21"/>
  <c r="J18" i="21" s="1"/>
  <c r="T18" i="21" s="1"/>
  <c r="F17" i="21"/>
  <c r="F31" i="21" s="1"/>
  <c r="D17" i="21"/>
  <c r="J17" i="21" s="1"/>
  <c r="T17" i="21" s="1"/>
  <c r="F16" i="21"/>
  <c r="N16" i="21" s="1"/>
  <c r="X16" i="21" s="1"/>
  <c r="D16" i="21"/>
  <c r="J16" i="21" s="1"/>
  <c r="T16" i="21" s="1"/>
  <c r="F15" i="21"/>
  <c r="N15" i="21" s="1"/>
  <c r="X15" i="21" s="1"/>
  <c r="D15" i="21"/>
  <c r="D29" i="21" s="1"/>
  <c r="F14" i="21"/>
  <c r="N14" i="21" s="1"/>
  <c r="X14" i="21" s="1"/>
  <c r="D14" i="21"/>
  <c r="J14" i="21" s="1"/>
  <c r="T14" i="21" s="1"/>
  <c r="F13" i="21"/>
  <c r="F27" i="21" s="1"/>
  <c r="D13" i="21"/>
  <c r="D27" i="21" s="1"/>
  <c r="J21" i="21"/>
  <c r="T21" i="21" s="1"/>
  <c r="J20" i="21"/>
  <c r="T20" i="21" s="1"/>
  <c r="N17" i="21"/>
  <c r="J13" i="21"/>
  <c r="T13" i="21" s="1"/>
  <c r="F12" i="21"/>
  <c r="N12" i="21" s="1"/>
  <c r="X12" i="21" s="1"/>
  <c r="D12" i="21"/>
  <c r="J12" i="21" s="1"/>
  <c r="P12" i="21" s="1"/>
  <c r="Z12" i="21" s="1"/>
  <c r="G12" i="2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E12" i="21"/>
  <c r="K12" i="21" s="1"/>
  <c r="M12" i="21" s="1"/>
  <c r="F32" i="20"/>
  <c r="D32" i="20"/>
  <c r="F31" i="20"/>
  <c r="E31" i="20"/>
  <c r="K31" i="20" s="1"/>
  <c r="M31" i="20" s="1"/>
  <c r="D31" i="20"/>
  <c r="J31" i="20" s="1"/>
  <c r="G30" i="20"/>
  <c r="G31" i="20" s="1"/>
  <c r="F30" i="20"/>
  <c r="E30" i="20"/>
  <c r="D30" i="20"/>
  <c r="F25" i="20"/>
  <c r="D25" i="20"/>
  <c r="G24" i="20"/>
  <c r="G25" i="20" s="1"/>
  <c r="F24" i="20"/>
  <c r="N24" i="20" s="1"/>
  <c r="E24" i="20"/>
  <c r="E25" i="20" s="1"/>
  <c r="D24" i="20"/>
  <c r="J24" i="20" s="1"/>
  <c r="G26" i="20"/>
  <c r="G27" i="20" s="1"/>
  <c r="G28" i="20" s="1"/>
  <c r="G29" i="20" s="1"/>
  <c r="O29" i="20" s="1"/>
  <c r="Q29" i="20" s="1"/>
  <c r="E26" i="20"/>
  <c r="F26" i="20"/>
  <c r="D26" i="20"/>
  <c r="E27" i="20"/>
  <c r="E28" i="20" s="1"/>
  <c r="F29" i="20"/>
  <c r="D29" i="20"/>
  <c r="F28" i="20"/>
  <c r="N28" i="20" s="1"/>
  <c r="D28" i="20"/>
  <c r="F27" i="20"/>
  <c r="D27" i="20"/>
  <c r="G20" i="20"/>
  <c r="E20" i="20"/>
  <c r="F23" i="20"/>
  <c r="D23" i="20"/>
  <c r="F22" i="20"/>
  <c r="E22" i="20"/>
  <c r="E23" i="20" s="1"/>
  <c r="K23" i="20" s="1"/>
  <c r="M23" i="20" s="1"/>
  <c r="D22" i="20"/>
  <c r="J22" i="20" s="1"/>
  <c r="G21" i="20"/>
  <c r="G22" i="20" s="1"/>
  <c r="F21" i="20"/>
  <c r="E21" i="20"/>
  <c r="D21" i="20"/>
  <c r="F20" i="20"/>
  <c r="D20" i="20"/>
  <c r="G16" i="20"/>
  <c r="G17" i="20" s="1"/>
  <c r="E16" i="20"/>
  <c r="E17" i="20" s="1"/>
  <c r="E18" i="20" s="1"/>
  <c r="F19" i="20"/>
  <c r="D19" i="20"/>
  <c r="F16" i="20"/>
  <c r="D16" i="20"/>
  <c r="F18" i="20"/>
  <c r="D18" i="20"/>
  <c r="F17" i="20"/>
  <c r="D17" i="20"/>
  <c r="J17" i="20" s="1"/>
  <c r="G15" i="20"/>
  <c r="F15" i="20"/>
  <c r="E15" i="20"/>
  <c r="D15" i="20"/>
  <c r="E13" i="20"/>
  <c r="E14" i="20" s="1"/>
  <c r="K14" i="20" s="1"/>
  <c r="M14" i="20" s="1"/>
  <c r="G13" i="20"/>
  <c r="G14" i="20" s="1"/>
  <c r="O14" i="20" s="1"/>
  <c r="Q14" i="20" s="1"/>
  <c r="F14" i="20"/>
  <c r="D14" i="20"/>
  <c r="J14" i="20" s="1"/>
  <c r="F13" i="20"/>
  <c r="N13" i="20" s="1"/>
  <c r="D13" i="20"/>
  <c r="J13" i="20" s="1"/>
  <c r="E36" i="18"/>
  <c r="D12" i="20"/>
  <c r="F12" i="20"/>
  <c r="G12" i="20"/>
  <c r="E12" i="20"/>
  <c r="F174" i="18"/>
  <c r="D174" i="18"/>
  <c r="F173" i="18"/>
  <c r="D173" i="18"/>
  <c r="J173" i="18" s="1"/>
  <c r="P173" i="18" s="1"/>
  <c r="Z173" i="18" s="1"/>
  <c r="F172" i="18"/>
  <c r="D172" i="18"/>
  <c r="F171" i="18"/>
  <c r="D171" i="18"/>
  <c r="J171" i="18" s="1"/>
  <c r="P171" i="18" s="1"/>
  <c r="Z171" i="18" s="1"/>
  <c r="F170" i="18"/>
  <c r="D170" i="18"/>
  <c r="F169" i="18"/>
  <c r="D169" i="18"/>
  <c r="J169" i="18" s="1"/>
  <c r="F168" i="18"/>
  <c r="D168" i="18"/>
  <c r="F167" i="18"/>
  <c r="D167" i="18"/>
  <c r="J167" i="18" s="1"/>
  <c r="G166" i="18"/>
  <c r="G167" i="18" s="1"/>
  <c r="F166" i="18"/>
  <c r="D166" i="18"/>
  <c r="G165" i="18"/>
  <c r="F165" i="18"/>
  <c r="D165" i="18"/>
  <c r="F164" i="18"/>
  <c r="D164" i="18"/>
  <c r="F163" i="18"/>
  <c r="N163" i="18" s="1"/>
  <c r="L163" i="18" s="1"/>
  <c r="V163" i="18" s="1"/>
  <c r="D163" i="18"/>
  <c r="F162" i="18"/>
  <c r="D162" i="18"/>
  <c r="F161" i="18"/>
  <c r="N161" i="18" s="1"/>
  <c r="L161" i="18" s="1"/>
  <c r="V161" i="18" s="1"/>
  <c r="D161" i="18"/>
  <c r="F160" i="18"/>
  <c r="D160" i="18"/>
  <c r="F159" i="18"/>
  <c r="N159" i="18" s="1"/>
  <c r="L159" i="18" s="1"/>
  <c r="V159" i="18" s="1"/>
  <c r="D159" i="18"/>
  <c r="F158" i="18"/>
  <c r="D158" i="18"/>
  <c r="G157" i="18"/>
  <c r="G158" i="18" s="1"/>
  <c r="F157" i="18"/>
  <c r="N157" i="18" s="1"/>
  <c r="L157" i="18" s="1"/>
  <c r="V157" i="18" s="1"/>
  <c r="D157" i="18"/>
  <c r="G156" i="18"/>
  <c r="F156" i="18"/>
  <c r="D156" i="18"/>
  <c r="G154" i="18"/>
  <c r="G133" i="18"/>
  <c r="G134" i="18" s="1"/>
  <c r="F155" i="18"/>
  <c r="D155" i="18"/>
  <c r="F153" i="18"/>
  <c r="D153" i="18"/>
  <c r="F152" i="18"/>
  <c r="N152" i="18" s="1"/>
  <c r="L152" i="18" s="1"/>
  <c r="V152" i="18" s="1"/>
  <c r="D152" i="18"/>
  <c r="J152" i="18" s="1"/>
  <c r="P152" i="18" s="1"/>
  <c r="Z152" i="18" s="1"/>
  <c r="F151" i="18"/>
  <c r="D151" i="18"/>
  <c r="F150" i="18"/>
  <c r="N150" i="18" s="1"/>
  <c r="D150" i="18"/>
  <c r="J150" i="18" s="1"/>
  <c r="P150" i="18" s="1"/>
  <c r="Z150" i="18" s="1"/>
  <c r="F149" i="18"/>
  <c r="D149" i="18"/>
  <c r="F148" i="18"/>
  <c r="N148" i="18" s="1"/>
  <c r="L148" i="18" s="1"/>
  <c r="V148" i="18" s="1"/>
  <c r="D148" i="18"/>
  <c r="J148" i="18" s="1"/>
  <c r="P148" i="18" s="1"/>
  <c r="Z148" i="18" s="1"/>
  <c r="F147" i="18"/>
  <c r="D147" i="18"/>
  <c r="F146" i="18"/>
  <c r="N146" i="18" s="1"/>
  <c r="L146" i="18" s="1"/>
  <c r="V146" i="18" s="1"/>
  <c r="D146" i="18"/>
  <c r="F145" i="18"/>
  <c r="D145" i="18"/>
  <c r="F144" i="18"/>
  <c r="D144" i="18"/>
  <c r="F143" i="18"/>
  <c r="D143" i="18"/>
  <c r="F142" i="18"/>
  <c r="D142" i="18"/>
  <c r="J142" i="18" s="1"/>
  <c r="F141" i="18"/>
  <c r="D141" i="18"/>
  <c r="F140" i="18"/>
  <c r="D140" i="18"/>
  <c r="J140" i="18" s="1"/>
  <c r="F139" i="18"/>
  <c r="D139" i="18"/>
  <c r="F138" i="18"/>
  <c r="D138" i="18"/>
  <c r="J138" i="18" s="1"/>
  <c r="F137" i="18"/>
  <c r="D137" i="18"/>
  <c r="F136" i="18"/>
  <c r="D136" i="18"/>
  <c r="J136" i="18" s="1"/>
  <c r="F135" i="18"/>
  <c r="D135" i="18"/>
  <c r="F134" i="18"/>
  <c r="D134" i="18"/>
  <c r="F132" i="18"/>
  <c r="D132" i="18"/>
  <c r="F131" i="18"/>
  <c r="D131" i="18"/>
  <c r="J131" i="18" s="1"/>
  <c r="F130" i="18"/>
  <c r="D130" i="18"/>
  <c r="F129" i="18"/>
  <c r="D129" i="18"/>
  <c r="J129" i="18" s="1"/>
  <c r="P129" i="18" s="1"/>
  <c r="Z129" i="18" s="1"/>
  <c r="F128" i="18"/>
  <c r="D128" i="18"/>
  <c r="F127" i="18"/>
  <c r="D127" i="18"/>
  <c r="J127" i="18" s="1"/>
  <c r="F126" i="18"/>
  <c r="D126" i="18"/>
  <c r="F125" i="18"/>
  <c r="D125" i="18"/>
  <c r="J125" i="18" s="1"/>
  <c r="P125" i="18" s="1"/>
  <c r="Z125" i="18" s="1"/>
  <c r="F124" i="18"/>
  <c r="D124" i="18"/>
  <c r="F123" i="18"/>
  <c r="D123" i="18"/>
  <c r="J123" i="18" s="1"/>
  <c r="F122" i="18"/>
  <c r="D122" i="18"/>
  <c r="F121" i="18"/>
  <c r="D121" i="18"/>
  <c r="J121" i="18" s="1"/>
  <c r="F120" i="18"/>
  <c r="D120" i="18"/>
  <c r="F119" i="18"/>
  <c r="D119" i="18"/>
  <c r="J119" i="18" s="1"/>
  <c r="P119" i="18" s="1"/>
  <c r="Z119" i="18" s="1"/>
  <c r="F118" i="18"/>
  <c r="D118" i="18"/>
  <c r="F117" i="18"/>
  <c r="D117" i="18"/>
  <c r="J117" i="18" s="1"/>
  <c r="F116" i="18"/>
  <c r="D116" i="18"/>
  <c r="F115" i="18"/>
  <c r="D115" i="18"/>
  <c r="J115" i="18" s="1"/>
  <c r="F114" i="18"/>
  <c r="D114" i="18"/>
  <c r="F113" i="18"/>
  <c r="D113" i="18"/>
  <c r="J113" i="18" s="1"/>
  <c r="F112" i="18"/>
  <c r="D112" i="18"/>
  <c r="F111" i="18"/>
  <c r="D111" i="18"/>
  <c r="J111" i="18" s="1"/>
  <c r="F110" i="18"/>
  <c r="D110" i="18"/>
  <c r="G109" i="18"/>
  <c r="G110" i="18" s="1"/>
  <c r="G111" i="18" s="1"/>
  <c r="G112" i="18" s="1"/>
  <c r="G113" i="18" s="1"/>
  <c r="G114" i="18" s="1"/>
  <c r="G115" i="18" s="1"/>
  <c r="G116" i="18" s="1"/>
  <c r="G117" i="18" s="1"/>
  <c r="G118" i="18" s="1"/>
  <c r="G119" i="18" s="1"/>
  <c r="G120" i="18" s="1"/>
  <c r="G121" i="18" s="1"/>
  <c r="G122" i="18" s="1"/>
  <c r="G123" i="18" s="1"/>
  <c r="G124" i="18" s="1"/>
  <c r="G125" i="18" s="1"/>
  <c r="G126" i="18" s="1"/>
  <c r="G127" i="18" s="1"/>
  <c r="G128" i="18" s="1"/>
  <c r="G129" i="18" s="1"/>
  <c r="G130" i="18" s="1"/>
  <c r="G131" i="18" s="1"/>
  <c r="G132" i="18" s="1"/>
  <c r="F108" i="18"/>
  <c r="D108" i="18"/>
  <c r="F107" i="18"/>
  <c r="D107" i="18"/>
  <c r="J132" i="18" s="1"/>
  <c r="P132" i="18" s="1"/>
  <c r="Z132" i="18" s="1"/>
  <c r="F106" i="18"/>
  <c r="D106" i="18"/>
  <c r="F105" i="18"/>
  <c r="D105" i="18"/>
  <c r="J130" i="18" s="1"/>
  <c r="P130" i="18" s="1"/>
  <c r="Z130" i="18" s="1"/>
  <c r="F104" i="18"/>
  <c r="D104" i="18"/>
  <c r="F103" i="18"/>
  <c r="D103" i="18"/>
  <c r="J128" i="18" s="1"/>
  <c r="F102" i="18"/>
  <c r="D102" i="18"/>
  <c r="F101" i="18"/>
  <c r="D101" i="18"/>
  <c r="F100" i="18"/>
  <c r="D100" i="18"/>
  <c r="F99" i="18"/>
  <c r="D99" i="18"/>
  <c r="J124" i="18" s="1"/>
  <c r="P124" i="18" s="1"/>
  <c r="Z124" i="18" s="1"/>
  <c r="F98" i="18"/>
  <c r="D98" i="18"/>
  <c r="F97" i="18"/>
  <c r="D97" i="18"/>
  <c r="J97" i="18" s="1"/>
  <c r="T97" i="18" s="1"/>
  <c r="F96" i="18"/>
  <c r="D96" i="18"/>
  <c r="F95" i="18"/>
  <c r="D95" i="18"/>
  <c r="J95" i="18" s="1"/>
  <c r="F94" i="18"/>
  <c r="D94" i="18"/>
  <c r="F93" i="18"/>
  <c r="D93" i="18"/>
  <c r="J93" i="18" s="1"/>
  <c r="F92" i="18"/>
  <c r="D92" i="18"/>
  <c r="F91" i="18"/>
  <c r="D91" i="18"/>
  <c r="J91" i="18" s="1"/>
  <c r="F90" i="18"/>
  <c r="D90" i="18"/>
  <c r="F89" i="18"/>
  <c r="D89" i="18"/>
  <c r="J89" i="18" s="1"/>
  <c r="T89" i="18" s="1"/>
  <c r="F88" i="18"/>
  <c r="D88" i="18"/>
  <c r="G87" i="18"/>
  <c r="G88" i="18" s="1"/>
  <c r="G89" i="18" s="1"/>
  <c r="G90" i="18" s="1"/>
  <c r="G91" i="18" s="1"/>
  <c r="G92" i="18" s="1"/>
  <c r="G93" i="18" s="1"/>
  <c r="G94" i="18" s="1"/>
  <c r="G95" i="18" s="1"/>
  <c r="G96" i="18" s="1"/>
  <c r="G97" i="18" s="1"/>
  <c r="G98" i="18" s="1"/>
  <c r="G99" i="18" s="1"/>
  <c r="G100" i="18" s="1"/>
  <c r="G101" i="18" s="1"/>
  <c r="G102" i="18" s="1"/>
  <c r="G103" i="18" s="1"/>
  <c r="G104" i="18" s="1"/>
  <c r="G105" i="18" s="1"/>
  <c r="G106" i="18" s="1"/>
  <c r="G107" i="18" s="1"/>
  <c r="G108" i="18" s="1"/>
  <c r="F87" i="18"/>
  <c r="D87" i="18"/>
  <c r="J112" i="18" s="1"/>
  <c r="T112" i="18" s="1"/>
  <c r="F86" i="18"/>
  <c r="N111" i="18" s="1"/>
  <c r="D86" i="18"/>
  <c r="J126" i="18"/>
  <c r="J122" i="18"/>
  <c r="J118" i="18"/>
  <c r="P118" i="18" s="1"/>
  <c r="Z118" i="18" s="1"/>
  <c r="J114" i="18"/>
  <c r="T114" i="18" s="1"/>
  <c r="G85" i="18"/>
  <c r="E85" i="18"/>
  <c r="E109" i="18" s="1"/>
  <c r="N131" i="18"/>
  <c r="X131" i="18" s="1"/>
  <c r="N129" i="18"/>
  <c r="X129" i="18" s="1"/>
  <c r="N123" i="18"/>
  <c r="L123" i="18" s="1"/>
  <c r="V123" i="18" s="1"/>
  <c r="N121" i="18"/>
  <c r="L121" i="18" s="1"/>
  <c r="V121" i="18" s="1"/>
  <c r="N119" i="18"/>
  <c r="L119" i="18" s="1"/>
  <c r="V119" i="18" s="1"/>
  <c r="N117" i="18"/>
  <c r="X117" i="18" s="1"/>
  <c r="N115" i="18"/>
  <c r="X115" i="18" s="1"/>
  <c r="N113" i="18"/>
  <c r="X113" i="18" s="1"/>
  <c r="J101" i="18"/>
  <c r="P101" i="18" s="1"/>
  <c r="Z101" i="18" s="1"/>
  <c r="G86" i="18"/>
  <c r="F84" i="18"/>
  <c r="D84" i="18"/>
  <c r="F83" i="18"/>
  <c r="D83" i="18"/>
  <c r="J83" i="18" s="1"/>
  <c r="F82" i="18"/>
  <c r="D82" i="18"/>
  <c r="F81" i="18"/>
  <c r="D81" i="18"/>
  <c r="J81" i="18" s="1"/>
  <c r="F80" i="18"/>
  <c r="D80" i="18"/>
  <c r="F79" i="18"/>
  <c r="D79" i="18"/>
  <c r="J79" i="18" s="1"/>
  <c r="F78" i="18"/>
  <c r="D78" i="18"/>
  <c r="F77" i="18"/>
  <c r="D77" i="18"/>
  <c r="J77" i="18" s="1"/>
  <c r="F76" i="18"/>
  <c r="D76" i="18"/>
  <c r="F75" i="18"/>
  <c r="D75" i="18"/>
  <c r="J75" i="18" s="1"/>
  <c r="F74" i="18"/>
  <c r="D74" i="18"/>
  <c r="F73" i="18"/>
  <c r="D73" i="18"/>
  <c r="J73" i="18" s="1"/>
  <c r="F72" i="18"/>
  <c r="D72" i="18"/>
  <c r="F71" i="18"/>
  <c r="D71" i="18"/>
  <c r="J71" i="18" s="1"/>
  <c r="P71" i="18" s="1"/>
  <c r="Z71" i="18" s="1"/>
  <c r="F70" i="18"/>
  <c r="D70" i="18"/>
  <c r="F69" i="18"/>
  <c r="D69" i="18"/>
  <c r="J69" i="18" s="1"/>
  <c r="P69" i="18" s="1"/>
  <c r="Z69" i="18" s="1"/>
  <c r="G68" i="18"/>
  <c r="G69" i="18" s="1"/>
  <c r="F68" i="18"/>
  <c r="D68" i="18"/>
  <c r="F67" i="18"/>
  <c r="D67" i="18"/>
  <c r="F66" i="18"/>
  <c r="D66" i="18"/>
  <c r="J66" i="18" s="1"/>
  <c r="F65" i="18"/>
  <c r="D65" i="18"/>
  <c r="F64" i="18"/>
  <c r="D64" i="18"/>
  <c r="J64" i="18" s="1"/>
  <c r="F63" i="18"/>
  <c r="D63" i="18"/>
  <c r="F62" i="18"/>
  <c r="D62" i="18"/>
  <c r="J62" i="18" s="1"/>
  <c r="P62" i="18" s="1"/>
  <c r="Z62" i="18" s="1"/>
  <c r="G61" i="18"/>
  <c r="G62" i="18" s="1"/>
  <c r="E61" i="18"/>
  <c r="E62" i="18" s="1"/>
  <c r="D12" i="18"/>
  <c r="D37" i="18" s="1"/>
  <c r="J37" i="18" s="1"/>
  <c r="F12" i="18"/>
  <c r="F37" i="18" s="1"/>
  <c r="N37" i="18" s="1"/>
  <c r="X37" i="18" s="1"/>
  <c r="D50" i="18"/>
  <c r="J50" i="18" s="1"/>
  <c r="P50" i="18" s="1"/>
  <c r="Z50" i="18" s="1"/>
  <c r="F49" i="18"/>
  <c r="D49" i="18"/>
  <c r="F48" i="18"/>
  <c r="D48" i="18"/>
  <c r="F47" i="18"/>
  <c r="D47" i="18"/>
  <c r="J47" i="18" s="1"/>
  <c r="F46" i="18"/>
  <c r="D46" i="18"/>
  <c r="F45" i="18"/>
  <c r="D45" i="18"/>
  <c r="J45" i="18" s="1"/>
  <c r="F44" i="18"/>
  <c r="D44" i="18"/>
  <c r="F43" i="18"/>
  <c r="D43" i="18"/>
  <c r="J43" i="18" s="1"/>
  <c r="T43" i="18" s="1"/>
  <c r="F42" i="18"/>
  <c r="D42" i="18"/>
  <c r="F41" i="18"/>
  <c r="D41" i="18"/>
  <c r="J41" i="18" s="1"/>
  <c r="F40" i="18"/>
  <c r="D40" i="18"/>
  <c r="F39" i="18"/>
  <c r="D39" i="18"/>
  <c r="G38" i="18"/>
  <c r="G39" i="18" s="1"/>
  <c r="F38" i="18"/>
  <c r="D38" i="18"/>
  <c r="G37" i="18"/>
  <c r="E37" i="18"/>
  <c r="E38" i="18" s="1"/>
  <c r="G36" i="18"/>
  <c r="D25" i="18"/>
  <c r="J25" i="18" s="1"/>
  <c r="E25" i="18"/>
  <c r="F25" i="18"/>
  <c r="F50" i="18" s="1"/>
  <c r="N50" i="18" s="1"/>
  <c r="X50" i="18" s="1"/>
  <c r="G25" i="18"/>
  <c r="G26" i="18" s="1"/>
  <c r="F35" i="18"/>
  <c r="N35" i="18" s="1"/>
  <c r="X35" i="18" s="1"/>
  <c r="D35" i="18"/>
  <c r="J35" i="18" s="1"/>
  <c r="T35" i="18" s="1"/>
  <c r="F34" i="18"/>
  <c r="F59" i="18" s="1"/>
  <c r="N59" i="18" s="1"/>
  <c r="L59" i="18" s="1"/>
  <c r="V59" i="18" s="1"/>
  <c r="D34" i="18"/>
  <c r="J34" i="18" s="1"/>
  <c r="P34" i="18" s="1"/>
  <c r="Z34" i="18" s="1"/>
  <c r="F33" i="18"/>
  <c r="F58" i="18" s="1"/>
  <c r="N58" i="18" s="1"/>
  <c r="L58" i="18" s="1"/>
  <c r="V58" i="18" s="1"/>
  <c r="D33" i="18"/>
  <c r="J33" i="18" s="1"/>
  <c r="T33" i="18" s="1"/>
  <c r="F32" i="18"/>
  <c r="N32" i="18" s="1"/>
  <c r="L32" i="18" s="1"/>
  <c r="V32" i="18" s="1"/>
  <c r="D32" i="18"/>
  <c r="J32" i="18" s="1"/>
  <c r="F31" i="18"/>
  <c r="N31" i="18" s="1"/>
  <c r="L31" i="18" s="1"/>
  <c r="V31" i="18" s="1"/>
  <c r="D31" i="18"/>
  <c r="J31" i="18" s="1"/>
  <c r="T31" i="18" s="1"/>
  <c r="F30" i="18"/>
  <c r="F55" i="18" s="1"/>
  <c r="N55" i="18" s="1"/>
  <c r="L55" i="18" s="1"/>
  <c r="V55" i="18" s="1"/>
  <c r="D30" i="18"/>
  <c r="J30" i="18" s="1"/>
  <c r="P30" i="18" s="1"/>
  <c r="Z30" i="18" s="1"/>
  <c r="F29" i="18"/>
  <c r="F54" i="18" s="1"/>
  <c r="N54" i="18" s="1"/>
  <c r="D29" i="18"/>
  <c r="J29" i="18" s="1"/>
  <c r="F28" i="18"/>
  <c r="N28" i="18" s="1"/>
  <c r="X28" i="18" s="1"/>
  <c r="D28" i="18"/>
  <c r="J28" i="18" s="1"/>
  <c r="F27" i="18"/>
  <c r="N27" i="18" s="1"/>
  <c r="X27" i="18" s="1"/>
  <c r="D27" i="18"/>
  <c r="J27" i="18" s="1"/>
  <c r="T27" i="18" s="1"/>
  <c r="F26" i="18"/>
  <c r="F51" i="18" s="1"/>
  <c r="N51" i="18" s="1"/>
  <c r="L51" i="18" s="1"/>
  <c r="V51" i="18" s="1"/>
  <c r="E26" i="18"/>
  <c r="E27" i="18" s="1"/>
  <c r="D26" i="18"/>
  <c r="J26" i="18" s="1"/>
  <c r="P26" i="18" s="1"/>
  <c r="Z26" i="18" s="1"/>
  <c r="G13" i="18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12" i="18"/>
  <c r="E14" i="18"/>
  <c r="E15" i="18" s="1"/>
  <c r="E13" i="18"/>
  <c r="E12" i="18"/>
  <c r="K12" i="18" s="1"/>
  <c r="M12" i="18" s="1"/>
  <c r="F23" i="18"/>
  <c r="D23" i="18"/>
  <c r="F22" i="18"/>
  <c r="N22" i="18" s="1"/>
  <c r="L22" i="18" s="1"/>
  <c r="V22" i="18" s="1"/>
  <c r="D22" i="18"/>
  <c r="J22" i="18" s="1"/>
  <c r="P22" i="18" s="1"/>
  <c r="Z22" i="18" s="1"/>
  <c r="F21" i="18"/>
  <c r="D21" i="18"/>
  <c r="F20" i="18"/>
  <c r="N20" i="18" s="1"/>
  <c r="X20" i="18" s="1"/>
  <c r="D20" i="18"/>
  <c r="J20" i="18" s="1"/>
  <c r="F19" i="18"/>
  <c r="D19" i="18"/>
  <c r="F18" i="18"/>
  <c r="D18" i="18"/>
  <c r="J18" i="18" s="1"/>
  <c r="F17" i="18"/>
  <c r="D17" i="18"/>
  <c r="F16" i="18"/>
  <c r="N16" i="18" s="1"/>
  <c r="L16" i="18" s="1"/>
  <c r="V16" i="18" s="1"/>
  <c r="D16" i="18"/>
  <c r="F15" i="18"/>
  <c r="D15" i="18"/>
  <c r="J15" i="18" s="1"/>
  <c r="P15" i="18" s="1"/>
  <c r="Z15" i="18" s="1"/>
  <c r="F14" i="18"/>
  <c r="N14" i="18" s="1"/>
  <c r="X14" i="18" s="1"/>
  <c r="D14" i="18"/>
  <c r="J14" i="18" s="1"/>
  <c r="P14" i="18" s="1"/>
  <c r="Z14" i="18" s="1"/>
  <c r="F13" i="18"/>
  <c r="D13" i="18"/>
  <c r="J16" i="18"/>
  <c r="P16" i="18" s="1"/>
  <c r="Z16" i="18" s="1"/>
  <c r="J13" i="18"/>
  <c r="T13" i="18" s="1"/>
  <c r="F212" i="1"/>
  <c r="D212" i="1"/>
  <c r="F211" i="1"/>
  <c r="D211" i="1"/>
  <c r="F210" i="1"/>
  <c r="D210" i="1"/>
  <c r="F209" i="1"/>
  <c r="D209" i="1"/>
  <c r="F208" i="1"/>
  <c r="D208" i="1"/>
  <c r="F207" i="1"/>
  <c r="D207" i="1"/>
  <c r="F206" i="1"/>
  <c r="D206" i="1"/>
  <c r="F205" i="1"/>
  <c r="D205" i="1"/>
  <c r="F204" i="1"/>
  <c r="D204" i="1"/>
  <c r="G203" i="1"/>
  <c r="G204" i="1" s="1"/>
  <c r="G205" i="1" s="1"/>
  <c r="G206" i="1" s="1"/>
  <c r="G207" i="1" s="1"/>
  <c r="G208" i="1" s="1"/>
  <c r="G209" i="1" s="1"/>
  <c r="G210" i="1" s="1"/>
  <c r="G211" i="1" s="1"/>
  <c r="G212" i="1" s="1"/>
  <c r="F203" i="1"/>
  <c r="E203" i="1"/>
  <c r="E204" i="1" s="1"/>
  <c r="E205" i="1" s="1"/>
  <c r="E206" i="1" s="1"/>
  <c r="E207" i="1" s="1"/>
  <c r="E208" i="1" s="1"/>
  <c r="E209" i="1" s="1"/>
  <c r="E210" i="1" s="1"/>
  <c r="E211" i="1" s="1"/>
  <c r="E212" i="1" s="1"/>
  <c r="D203" i="1"/>
  <c r="F202" i="1"/>
  <c r="D202" i="1"/>
  <c r="F201" i="1"/>
  <c r="D201" i="1"/>
  <c r="G200" i="1"/>
  <c r="G201" i="1" s="1"/>
  <c r="G202" i="1" s="1"/>
  <c r="F200" i="1"/>
  <c r="E200" i="1"/>
  <c r="E201" i="1" s="1"/>
  <c r="E202" i="1" s="1"/>
  <c r="D200" i="1"/>
  <c r="F199" i="1"/>
  <c r="D199" i="1"/>
  <c r="G199" i="1"/>
  <c r="E199" i="1"/>
  <c r="G198" i="1"/>
  <c r="E198" i="1"/>
  <c r="F105" i="1"/>
  <c r="F122" i="1" s="1"/>
  <c r="F139" i="1" s="1"/>
  <c r="F156" i="1" s="1"/>
  <c r="F173" i="1" s="1"/>
  <c r="F190" i="1" s="1"/>
  <c r="F103" i="1"/>
  <c r="F120" i="1" s="1"/>
  <c r="F137" i="1" s="1"/>
  <c r="F154" i="1" s="1"/>
  <c r="F171" i="1" s="1"/>
  <c r="F188" i="1" s="1"/>
  <c r="D93" i="1"/>
  <c r="D110" i="1" s="1"/>
  <c r="D127" i="1" s="1"/>
  <c r="D144" i="1" s="1"/>
  <c r="D161" i="1" s="1"/>
  <c r="D178" i="1" s="1"/>
  <c r="D195" i="1" s="1"/>
  <c r="D89" i="1"/>
  <c r="D106" i="1" s="1"/>
  <c r="D123" i="1" s="1"/>
  <c r="D140" i="1" s="1"/>
  <c r="D157" i="1" s="1"/>
  <c r="D174" i="1" s="1"/>
  <c r="D191" i="1" s="1"/>
  <c r="D87" i="1"/>
  <c r="D104" i="1" s="1"/>
  <c r="D121" i="1" s="1"/>
  <c r="D138" i="1" s="1"/>
  <c r="D155" i="1" s="1"/>
  <c r="D172" i="1" s="1"/>
  <c r="D189" i="1" s="1"/>
  <c r="F78" i="1"/>
  <c r="F95" i="1" s="1"/>
  <c r="F112" i="1" s="1"/>
  <c r="F129" i="1" s="1"/>
  <c r="F146" i="1" s="1"/>
  <c r="F163" i="1" s="1"/>
  <c r="F180" i="1" s="1"/>
  <c r="F197" i="1" s="1"/>
  <c r="F76" i="1"/>
  <c r="F93" i="1" s="1"/>
  <c r="F110" i="1" s="1"/>
  <c r="F127" i="1" s="1"/>
  <c r="F144" i="1" s="1"/>
  <c r="F161" i="1" s="1"/>
  <c r="F178" i="1" s="1"/>
  <c r="F195" i="1" s="1"/>
  <c r="F74" i="1"/>
  <c r="F91" i="1" s="1"/>
  <c r="F108" i="1" s="1"/>
  <c r="F125" i="1" s="1"/>
  <c r="F142" i="1" s="1"/>
  <c r="F159" i="1" s="1"/>
  <c r="F176" i="1" s="1"/>
  <c r="F193" i="1" s="1"/>
  <c r="F72" i="1"/>
  <c r="F89" i="1" s="1"/>
  <c r="F106" i="1" s="1"/>
  <c r="F123" i="1" s="1"/>
  <c r="F140" i="1" s="1"/>
  <c r="F157" i="1" s="1"/>
  <c r="F174" i="1" s="1"/>
  <c r="F191" i="1" s="1"/>
  <c r="F70" i="1"/>
  <c r="F87" i="1" s="1"/>
  <c r="F104" i="1" s="1"/>
  <c r="F121" i="1" s="1"/>
  <c r="F138" i="1" s="1"/>
  <c r="F155" i="1" s="1"/>
  <c r="F172" i="1" s="1"/>
  <c r="F189" i="1" s="1"/>
  <c r="F68" i="1"/>
  <c r="F85" i="1" s="1"/>
  <c r="F102" i="1" s="1"/>
  <c r="F119" i="1" s="1"/>
  <c r="F136" i="1" s="1"/>
  <c r="F153" i="1" s="1"/>
  <c r="F170" i="1" s="1"/>
  <c r="F187" i="1" s="1"/>
  <c r="F66" i="1"/>
  <c r="F83" i="1" s="1"/>
  <c r="F100" i="1" s="1"/>
  <c r="F117" i="1" s="1"/>
  <c r="F64" i="1"/>
  <c r="F81" i="1" s="1"/>
  <c r="F98" i="1" s="1"/>
  <c r="F115" i="1" s="1"/>
  <c r="F132" i="1" s="1"/>
  <c r="F149" i="1" s="1"/>
  <c r="F166" i="1" s="1"/>
  <c r="F183" i="1" s="1"/>
  <c r="E62" i="1"/>
  <c r="F61" i="1"/>
  <c r="D61" i="1"/>
  <c r="D78" i="1" s="1"/>
  <c r="J78" i="1" s="1"/>
  <c r="P78" i="1" s="1"/>
  <c r="Z78" i="1" s="1"/>
  <c r="F60" i="1"/>
  <c r="F77" i="1" s="1"/>
  <c r="F94" i="1" s="1"/>
  <c r="F111" i="1" s="1"/>
  <c r="F128" i="1" s="1"/>
  <c r="F145" i="1" s="1"/>
  <c r="F162" i="1" s="1"/>
  <c r="F179" i="1" s="1"/>
  <c r="F196" i="1" s="1"/>
  <c r="D60" i="1"/>
  <c r="D77" i="1" s="1"/>
  <c r="D94" i="1" s="1"/>
  <c r="D111" i="1" s="1"/>
  <c r="D128" i="1" s="1"/>
  <c r="D145" i="1" s="1"/>
  <c r="D162" i="1" s="1"/>
  <c r="D179" i="1" s="1"/>
  <c r="D196" i="1" s="1"/>
  <c r="F59" i="1"/>
  <c r="D59" i="1"/>
  <c r="D76" i="1" s="1"/>
  <c r="F58" i="1"/>
  <c r="F75" i="1" s="1"/>
  <c r="F92" i="1" s="1"/>
  <c r="F109" i="1" s="1"/>
  <c r="F126" i="1" s="1"/>
  <c r="F143" i="1" s="1"/>
  <c r="F160" i="1" s="1"/>
  <c r="F177" i="1" s="1"/>
  <c r="F194" i="1" s="1"/>
  <c r="D58" i="1"/>
  <c r="D75" i="1" s="1"/>
  <c r="D92" i="1" s="1"/>
  <c r="D109" i="1" s="1"/>
  <c r="D126" i="1" s="1"/>
  <c r="D143" i="1" s="1"/>
  <c r="D160" i="1" s="1"/>
  <c r="D177" i="1" s="1"/>
  <c r="D194" i="1" s="1"/>
  <c r="F57" i="1"/>
  <c r="D57" i="1"/>
  <c r="D74" i="1" s="1"/>
  <c r="J74" i="1" s="1"/>
  <c r="T74" i="1" s="1"/>
  <c r="F56" i="1"/>
  <c r="F73" i="1" s="1"/>
  <c r="F90" i="1" s="1"/>
  <c r="F107" i="1" s="1"/>
  <c r="F124" i="1" s="1"/>
  <c r="F141" i="1" s="1"/>
  <c r="F158" i="1" s="1"/>
  <c r="F175" i="1" s="1"/>
  <c r="F192" i="1" s="1"/>
  <c r="D56" i="1"/>
  <c r="D73" i="1" s="1"/>
  <c r="D90" i="1" s="1"/>
  <c r="D107" i="1" s="1"/>
  <c r="D124" i="1" s="1"/>
  <c r="D141" i="1" s="1"/>
  <c r="D158" i="1" s="1"/>
  <c r="D175" i="1" s="1"/>
  <c r="D192" i="1" s="1"/>
  <c r="F55" i="1"/>
  <c r="D55" i="1"/>
  <c r="D72" i="1" s="1"/>
  <c r="F54" i="1"/>
  <c r="F71" i="1" s="1"/>
  <c r="F88" i="1" s="1"/>
  <c r="D54" i="1"/>
  <c r="D71" i="1" s="1"/>
  <c r="D88" i="1" s="1"/>
  <c r="D105" i="1" s="1"/>
  <c r="D122" i="1" s="1"/>
  <c r="D139" i="1" s="1"/>
  <c r="D156" i="1" s="1"/>
  <c r="D173" i="1" s="1"/>
  <c r="D190" i="1" s="1"/>
  <c r="F53" i="1"/>
  <c r="D53" i="1"/>
  <c r="D70" i="1" s="1"/>
  <c r="J70" i="1" s="1"/>
  <c r="F52" i="1"/>
  <c r="F69" i="1" s="1"/>
  <c r="F86" i="1" s="1"/>
  <c r="D52" i="1"/>
  <c r="D69" i="1" s="1"/>
  <c r="D86" i="1" s="1"/>
  <c r="D103" i="1" s="1"/>
  <c r="F51" i="1"/>
  <c r="D51" i="1"/>
  <c r="D68" i="1" s="1"/>
  <c r="D85" i="1" s="1"/>
  <c r="D102" i="1" s="1"/>
  <c r="D119" i="1" s="1"/>
  <c r="D136" i="1" s="1"/>
  <c r="D153" i="1" s="1"/>
  <c r="D170" i="1" s="1"/>
  <c r="D187" i="1" s="1"/>
  <c r="F50" i="1"/>
  <c r="F67" i="1" s="1"/>
  <c r="F84" i="1" s="1"/>
  <c r="F101" i="1" s="1"/>
  <c r="F118" i="1" s="1"/>
  <c r="F135" i="1" s="1"/>
  <c r="F152" i="1" s="1"/>
  <c r="F169" i="1" s="1"/>
  <c r="F186" i="1" s="1"/>
  <c r="D50" i="1"/>
  <c r="D67" i="1" s="1"/>
  <c r="D84" i="1" s="1"/>
  <c r="D101" i="1" s="1"/>
  <c r="D118" i="1" s="1"/>
  <c r="D135" i="1" s="1"/>
  <c r="D152" i="1" s="1"/>
  <c r="D169" i="1" s="1"/>
  <c r="D186" i="1" s="1"/>
  <c r="F49" i="1"/>
  <c r="D49" i="1"/>
  <c r="D66" i="1" s="1"/>
  <c r="J66" i="1" s="1"/>
  <c r="F48" i="1"/>
  <c r="F65" i="1" s="1"/>
  <c r="F82" i="1" s="1"/>
  <c r="F99" i="1" s="1"/>
  <c r="F116" i="1" s="1"/>
  <c r="F133" i="1" s="1"/>
  <c r="F150" i="1" s="1"/>
  <c r="F167" i="1" s="1"/>
  <c r="F184" i="1" s="1"/>
  <c r="D48" i="1"/>
  <c r="D65" i="1" s="1"/>
  <c r="D82" i="1" s="1"/>
  <c r="D99" i="1" s="1"/>
  <c r="D116" i="1" s="1"/>
  <c r="D133" i="1" s="1"/>
  <c r="D150" i="1" s="1"/>
  <c r="D167" i="1" s="1"/>
  <c r="D184" i="1" s="1"/>
  <c r="F47" i="1"/>
  <c r="D47" i="1"/>
  <c r="D64" i="1" s="1"/>
  <c r="D81" i="1" s="1"/>
  <c r="D98" i="1" s="1"/>
  <c r="D115" i="1" s="1"/>
  <c r="D132" i="1" s="1"/>
  <c r="D149" i="1" s="1"/>
  <c r="D166" i="1" s="1"/>
  <c r="D183" i="1" s="1"/>
  <c r="F46" i="1"/>
  <c r="F63" i="1" s="1"/>
  <c r="F80" i="1" s="1"/>
  <c r="F97" i="1" s="1"/>
  <c r="F114" i="1" s="1"/>
  <c r="F131" i="1" s="1"/>
  <c r="F148" i="1" s="1"/>
  <c r="F165" i="1" s="1"/>
  <c r="F182" i="1" s="1"/>
  <c r="D46" i="1"/>
  <c r="D63" i="1" s="1"/>
  <c r="D80" i="1" s="1"/>
  <c r="D97" i="1" s="1"/>
  <c r="D114" i="1" s="1"/>
  <c r="D131" i="1" s="1"/>
  <c r="D148" i="1" s="1"/>
  <c r="D165" i="1" s="1"/>
  <c r="D182" i="1" s="1"/>
  <c r="G45" i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E45" i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G28" i="1"/>
  <c r="E28" i="1"/>
  <c r="J72" i="1"/>
  <c r="N58" i="1"/>
  <c r="N46" i="1"/>
  <c r="X46" i="1" s="1"/>
  <c r="F44" i="1"/>
  <c r="D44" i="1"/>
  <c r="F43" i="1"/>
  <c r="D43" i="1"/>
  <c r="J43" i="1" s="1"/>
  <c r="F42" i="1"/>
  <c r="D42" i="1"/>
  <c r="F41" i="1"/>
  <c r="D41" i="1"/>
  <c r="J41" i="1" s="1"/>
  <c r="F40" i="1"/>
  <c r="D40" i="1"/>
  <c r="F39" i="1"/>
  <c r="D39" i="1"/>
  <c r="F38" i="1"/>
  <c r="D38" i="1"/>
  <c r="F37" i="1"/>
  <c r="D37" i="1"/>
  <c r="J37" i="1" s="1"/>
  <c r="F36" i="1"/>
  <c r="D36" i="1"/>
  <c r="F35" i="1"/>
  <c r="D35" i="1"/>
  <c r="J35" i="1" s="1"/>
  <c r="F34" i="1"/>
  <c r="D34" i="1"/>
  <c r="F33" i="1"/>
  <c r="D33" i="1"/>
  <c r="J33" i="1" s="1"/>
  <c r="F32" i="1"/>
  <c r="D32" i="1"/>
  <c r="F31" i="1"/>
  <c r="D31" i="1"/>
  <c r="F30" i="1"/>
  <c r="D30" i="1"/>
  <c r="F29" i="1"/>
  <c r="D29" i="1"/>
  <c r="G27" i="1"/>
  <c r="F27" i="1"/>
  <c r="E27" i="1"/>
  <c r="D27" i="1"/>
  <c r="G26" i="1"/>
  <c r="F26" i="1"/>
  <c r="E26" i="1"/>
  <c r="K26" i="1" s="1"/>
  <c r="M26" i="1" s="1"/>
  <c r="D26" i="1"/>
  <c r="J26" i="1" s="1"/>
  <c r="G25" i="1"/>
  <c r="F25" i="1"/>
  <c r="E25" i="1"/>
  <c r="D25" i="1"/>
  <c r="G24" i="1"/>
  <c r="F24" i="1"/>
  <c r="E24" i="1"/>
  <c r="K24" i="1" s="1"/>
  <c r="M24" i="1" s="1"/>
  <c r="D24" i="1"/>
  <c r="J24" i="1" s="1"/>
  <c r="T24" i="1" s="1"/>
  <c r="G23" i="1"/>
  <c r="F23" i="1"/>
  <c r="E23" i="1"/>
  <c r="D23" i="1"/>
  <c r="G22" i="1"/>
  <c r="F22" i="1"/>
  <c r="N22" i="1" s="1"/>
  <c r="L22" i="1" s="1"/>
  <c r="V22" i="1" s="1"/>
  <c r="E22" i="1"/>
  <c r="D22" i="1"/>
  <c r="J22" i="1" s="1"/>
  <c r="G21" i="1"/>
  <c r="F21" i="1"/>
  <c r="E21" i="1"/>
  <c r="D21" i="1"/>
  <c r="G20" i="1"/>
  <c r="F20" i="1"/>
  <c r="N20" i="1" s="1"/>
  <c r="E20" i="1"/>
  <c r="K20" i="1" s="1"/>
  <c r="M20" i="1" s="1"/>
  <c r="D20" i="1"/>
  <c r="J20" i="1" s="1"/>
  <c r="T20" i="1" s="1"/>
  <c r="G19" i="1"/>
  <c r="F19" i="1"/>
  <c r="E19" i="1"/>
  <c r="D19" i="1"/>
  <c r="G18" i="1"/>
  <c r="F18" i="1"/>
  <c r="N18" i="1" s="1"/>
  <c r="X18" i="1" s="1"/>
  <c r="E18" i="1"/>
  <c r="K18" i="1" s="1"/>
  <c r="M18" i="1" s="1"/>
  <c r="D18" i="1"/>
  <c r="J18" i="1" s="1"/>
  <c r="G17" i="1"/>
  <c r="F17" i="1"/>
  <c r="E17" i="1"/>
  <c r="D17" i="1"/>
  <c r="G16" i="1"/>
  <c r="F16" i="1"/>
  <c r="E16" i="1"/>
  <c r="K16" i="1" s="1"/>
  <c r="M16" i="1" s="1"/>
  <c r="D16" i="1"/>
  <c r="G15" i="1"/>
  <c r="F15" i="1"/>
  <c r="N15" i="1" s="1"/>
  <c r="L15" i="1" s="1"/>
  <c r="V15" i="1" s="1"/>
  <c r="E15" i="1"/>
  <c r="D15" i="1"/>
  <c r="G14" i="1"/>
  <c r="F14" i="1"/>
  <c r="E14" i="1"/>
  <c r="D14" i="1"/>
  <c r="J14" i="1" s="1"/>
  <c r="G13" i="1"/>
  <c r="F13" i="1"/>
  <c r="E13" i="1"/>
  <c r="D13" i="1"/>
  <c r="J13" i="1" s="1"/>
  <c r="F12" i="1"/>
  <c r="D12" i="1"/>
  <c r="N24" i="1"/>
  <c r="X24" i="1" s="1"/>
  <c r="N16" i="1"/>
  <c r="J16" i="1"/>
  <c r="T16" i="1" s="1"/>
  <c r="N26" i="1"/>
  <c r="X26" i="1" s="1"/>
  <c r="N13" i="1"/>
  <c r="X13" i="1" s="1"/>
  <c r="K22" i="1"/>
  <c r="M22" i="1" s="1"/>
  <c r="K21" i="1"/>
  <c r="M21" i="1" s="1"/>
  <c r="K19" i="1"/>
  <c r="M19" i="1" s="1"/>
  <c r="N17" i="1"/>
  <c r="X17" i="1" s="1"/>
  <c r="K15" i="1"/>
  <c r="M15" i="1" s="1"/>
  <c r="K14" i="1"/>
  <c r="M14" i="1" s="1"/>
  <c r="O13" i="1"/>
  <c r="Q13" i="1" s="1"/>
  <c r="K13" i="1"/>
  <c r="M13" i="1" s="1"/>
  <c r="J17" i="1"/>
  <c r="K17" i="1"/>
  <c r="M17" i="1" s="1"/>
  <c r="J15" i="1"/>
  <c r="G12" i="1"/>
  <c r="O12" i="1" s="1"/>
  <c r="Q12" i="1" s="1"/>
  <c r="E12" i="1"/>
  <c r="F99" i="29"/>
  <c r="D99" i="29"/>
  <c r="F98" i="29"/>
  <c r="D98" i="29"/>
  <c r="J98" i="29" s="1"/>
  <c r="F97" i="29"/>
  <c r="D97" i="29"/>
  <c r="F96" i="29"/>
  <c r="D96" i="29"/>
  <c r="J96" i="29" s="1"/>
  <c r="F95" i="29"/>
  <c r="D95" i="29"/>
  <c r="F94" i="29"/>
  <c r="D94" i="29"/>
  <c r="J94" i="29" s="1"/>
  <c r="P94" i="29" s="1"/>
  <c r="Z94" i="29" s="1"/>
  <c r="F93" i="29"/>
  <c r="D93" i="29"/>
  <c r="F92" i="29"/>
  <c r="N92" i="29" s="1"/>
  <c r="L92" i="29" s="1"/>
  <c r="V92" i="29" s="1"/>
  <c r="D92" i="29"/>
  <c r="J92" i="29" s="1"/>
  <c r="G91" i="29"/>
  <c r="G92" i="29" s="1"/>
  <c r="G93" i="29" s="1"/>
  <c r="G94" i="29" s="1"/>
  <c r="G95" i="29" s="1"/>
  <c r="G96" i="29" s="1"/>
  <c r="G97" i="29" s="1"/>
  <c r="G98" i="29" s="1"/>
  <c r="G99" i="29" s="1"/>
  <c r="F91" i="29"/>
  <c r="E91" i="29"/>
  <c r="E92" i="29" s="1"/>
  <c r="E93" i="29" s="1"/>
  <c r="E94" i="29" s="1"/>
  <c r="E95" i="29" s="1"/>
  <c r="E96" i="29" s="1"/>
  <c r="E97" i="29" s="1"/>
  <c r="E98" i="29" s="1"/>
  <c r="E99" i="29" s="1"/>
  <c r="D91" i="29"/>
  <c r="F90" i="29"/>
  <c r="D90" i="29"/>
  <c r="N94" i="29"/>
  <c r="G90" i="29"/>
  <c r="E90" i="29"/>
  <c r="F89" i="29"/>
  <c r="D89" i="29"/>
  <c r="F88" i="29"/>
  <c r="D88" i="29"/>
  <c r="J88" i="29" s="1"/>
  <c r="F87" i="29"/>
  <c r="D87" i="29"/>
  <c r="F86" i="29"/>
  <c r="D86" i="29"/>
  <c r="F85" i="29"/>
  <c r="D85" i="29"/>
  <c r="F84" i="29"/>
  <c r="D84" i="29"/>
  <c r="J84" i="29" s="1"/>
  <c r="F83" i="29"/>
  <c r="D83" i="29"/>
  <c r="F82" i="29"/>
  <c r="D82" i="29"/>
  <c r="G81" i="29"/>
  <c r="G82" i="29" s="1"/>
  <c r="F81" i="29"/>
  <c r="E81" i="29"/>
  <c r="E82" i="29" s="1"/>
  <c r="D81" i="29"/>
  <c r="F80" i="29"/>
  <c r="D80" i="29"/>
  <c r="F79" i="29"/>
  <c r="D79" i="29"/>
  <c r="F78" i="29"/>
  <c r="D78" i="29"/>
  <c r="F77" i="29"/>
  <c r="D77" i="29"/>
  <c r="F76" i="29"/>
  <c r="D76" i="29"/>
  <c r="J76" i="29" s="1"/>
  <c r="F75" i="29"/>
  <c r="D75" i="29"/>
  <c r="F74" i="29"/>
  <c r="D74" i="29"/>
  <c r="J74" i="29" s="1"/>
  <c r="P74" i="29" s="1"/>
  <c r="Z74" i="29" s="1"/>
  <c r="F73" i="29"/>
  <c r="D73" i="29"/>
  <c r="F72" i="29"/>
  <c r="D72" i="29"/>
  <c r="J72" i="29" s="1"/>
  <c r="P72" i="29" s="1"/>
  <c r="Z72" i="29" s="1"/>
  <c r="F71" i="29"/>
  <c r="D71" i="29"/>
  <c r="F70" i="29"/>
  <c r="D70" i="29"/>
  <c r="J70" i="29" s="1"/>
  <c r="F69" i="29"/>
  <c r="D69" i="29"/>
  <c r="F68" i="29"/>
  <c r="D68" i="29"/>
  <c r="J68" i="29" s="1"/>
  <c r="F67" i="29"/>
  <c r="D67" i="29"/>
  <c r="F66" i="29"/>
  <c r="D66" i="29"/>
  <c r="J66" i="29" s="1"/>
  <c r="F65" i="29"/>
  <c r="D65" i="29"/>
  <c r="F64" i="29"/>
  <c r="D64" i="29"/>
  <c r="J64" i="29" s="1"/>
  <c r="T64" i="29" s="1"/>
  <c r="F63" i="29"/>
  <c r="D63" i="29"/>
  <c r="F62" i="29"/>
  <c r="D62" i="29"/>
  <c r="J62" i="29" s="1"/>
  <c r="F61" i="29"/>
  <c r="D61" i="29"/>
  <c r="F60" i="29"/>
  <c r="D60" i="29"/>
  <c r="J60" i="29" s="1"/>
  <c r="T60" i="29" s="1"/>
  <c r="F59" i="29"/>
  <c r="D59" i="29"/>
  <c r="G58" i="29"/>
  <c r="G59" i="29" s="1"/>
  <c r="F58" i="29"/>
  <c r="E58" i="29"/>
  <c r="E59" i="29" s="1"/>
  <c r="D58" i="29"/>
  <c r="J58" i="29" s="1"/>
  <c r="T58" i="29" s="1"/>
  <c r="F57" i="29"/>
  <c r="D57" i="29"/>
  <c r="F35" i="29"/>
  <c r="E35" i="29"/>
  <c r="E36" i="29" s="1"/>
  <c r="E37" i="29" s="1"/>
  <c r="D35" i="29"/>
  <c r="F56" i="29"/>
  <c r="D56" i="29"/>
  <c r="F55" i="29"/>
  <c r="D55" i="29"/>
  <c r="J55" i="29" s="1"/>
  <c r="F54" i="29"/>
  <c r="D54" i="29"/>
  <c r="F53" i="29"/>
  <c r="D53" i="29"/>
  <c r="J53" i="29" s="1"/>
  <c r="F52" i="29"/>
  <c r="D52" i="29"/>
  <c r="F51" i="29"/>
  <c r="D51" i="29"/>
  <c r="J51" i="29" s="1"/>
  <c r="F50" i="29"/>
  <c r="D50" i="29"/>
  <c r="F49" i="29"/>
  <c r="D49" i="29"/>
  <c r="F48" i="29"/>
  <c r="D48" i="29"/>
  <c r="J48" i="29" s="1"/>
  <c r="T48" i="29" s="1"/>
  <c r="F47" i="29"/>
  <c r="D47" i="29"/>
  <c r="F46" i="29"/>
  <c r="D46" i="29"/>
  <c r="J46" i="29" s="1"/>
  <c r="T46" i="29" s="1"/>
  <c r="F45" i="29"/>
  <c r="D45" i="29"/>
  <c r="F44" i="29"/>
  <c r="D44" i="29"/>
  <c r="F43" i="29"/>
  <c r="D43" i="29"/>
  <c r="F42" i="29"/>
  <c r="D42" i="29"/>
  <c r="J42" i="29" s="1"/>
  <c r="F41" i="29"/>
  <c r="D41" i="29"/>
  <c r="F40" i="29"/>
  <c r="D40" i="29"/>
  <c r="J40" i="29" s="1"/>
  <c r="F39" i="29"/>
  <c r="D39" i="29"/>
  <c r="F38" i="29"/>
  <c r="D38" i="29"/>
  <c r="J38" i="29" s="1"/>
  <c r="T38" i="29" s="1"/>
  <c r="F37" i="29"/>
  <c r="D37" i="29"/>
  <c r="G35" i="29"/>
  <c r="G36" i="29" s="1"/>
  <c r="G37" i="29" s="1"/>
  <c r="F36" i="29"/>
  <c r="D36" i="29"/>
  <c r="F34" i="29"/>
  <c r="D34" i="29"/>
  <c r="G26" i="29"/>
  <c r="F26" i="29"/>
  <c r="E26" i="29"/>
  <c r="D26" i="29"/>
  <c r="G25" i="29"/>
  <c r="F25" i="29"/>
  <c r="N25" i="29" s="1"/>
  <c r="X25" i="29" s="1"/>
  <c r="E25" i="29"/>
  <c r="D25" i="29"/>
  <c r="J25" i="29" s="1"/>
  <c r="G24" i="29"/>
  <c r="F24" i="29"/>
  <c r="N24" i="29" s="1"/>
  <c r="X24" i="29" s="1"/>
  <c r="E24" i="29"/>
  <c r="D24" i="29"/>
  <c r="F23" i="29"/>
  <c r="N23" i="29" s="1"/>
  <c r="D23" i="29"/>
  <c r="O25" i="29"/>
  <c r="Q25" i="29" s="1"/>
  <c r="D28" i="29"/>
  <c r="G27" i="29"/>
  <c r="F27" i="29"/>
  <c r="E27" i="29"/>
  <c r="J24" i="29"/>
  <c r="G33" i="29"/>
  <c r="F33" i="29"/>
  <c r="E33" i="29"/>
  <c r="D33" i="29"/>
  <c r="G32" i="29"/>
  <c r="F32" i="29"/>
  <c r="N32" i="29" s="1"/>
  <c r="X32" i="29" s="1"/>
  <c r="E32" i="29"/>
  <c r="D32" i="29"/>
  <c r="J32" i="29" s="1"/>
  <c r="T32" i="29" s="1"/>
  <c r="G31" i="29"/>
  <c r="F31" i="29"/>
  <c r="E31" i="29"/>
  <c r="D31" i="29"/>
  <c r="G30" i="29"/>
  <c r="F30" i="29"/>
  <c r="E30" i="29"/>
  <c r="D30" i="29"/>
  <c r="J30" i="29" s="1"/>
  <c r="G29" i="29"/>
  <c r="F29" i="29"/>
  <c r="E29" i="29"/>
  <c r="D29" i="29"/>
  <c r="G28" i="29"/>
  <c r="F28" i="29"/>
  <c r="N28" i="29" s="1"/>
  <c r="X28" i="29" s="1"/>
  <c r="E28" i="29"/>
  <c r="J28" i="29"/>
  <c r="T28" i="29" s="1"/>
  <c r="K32" i="29"/>
  <c r="M32" i="29" s="1"/>
  <c r="N30" i="29"/>
  <c r="X30" i="29" s="1"/>
  <c r="K30" i="29"/>
  <c r="M30" i="29" s="1"/>
  <c r="K28" i="29"/>
  <c r="M28" i="29" s="1"/>
  <c r="K29" i="29"/>
  <c r="M29" i="29" s="1"/>
  <c r="O29" i="29"/>
  <c r="Q29" i="29" s="1"/>
  <c r="K31" i="29"/>
  <c r="M31" i="29" s="1"/>
  <c r="O31" i="29"/>
  <c r="Q31" i="29" s="1"/>
  <c r="K33" i="29"/>
  <c r="M33" i="29" s="1"/>
  <c r="O33" i="29"/>
  <c r="Q33" i="29" s="1"/>
  <c r="N26" i="29"/>
  <c r="X26" i="29" s="1"/>
  <c r="J36" i="29"/>
  <c r="G23" i="29"/>
  <c r="E23" i="29"/>
  <c r="N35" i="29"/>
  <c r="L35" i="29" s="1"/>
  <c r="V35" i="29" s="1"/>
  <c r="J35" i="29"/>
  <c r="G21" i="29"/>
  <c r="F21" i="29"/>
  <c r="E21" i="29"/>
  <c r="D21" i="29"/>
  <c r="G20" i="29"/>
  <c r="O20" i="29" s="1"/>
  <c r="Q20" i="29" s="1"/>
  <c r="F20" i="29"/>
  <c r="N20" i="29" s="1"/>
  <c r="X20" i="29" s="1"/>
  <c r="E20" i="29"/>
  <c r="D20" i="29"/>
  <c r="G19" i="29"/>
  <c r="F19" i="29"/>
  <c r="E19" i="29"/>
  <c r="D19" i="29"/>
  <c r="G18" i="29"/>
  <c r="O18" i="29" s="1"/>
  <c r="Q18" i="29" s="1"/>
  <c r="F18" i="29"/>
  <c r="N18" i="29" s="1"/>
  <c r="X18" i="29" s="1"/>
  <c r="E18" i="29"/>
  <c r="D18" i="29"/>
  <c r="J18" i="29" s="1"/>
  <c r="T18" i="29" s="1"/>
  <c r="G17" i="29"/>
  <c r="F17" i="29"/>
  <c r="E17" i="29"/>
  <c r="D17" i="29"/>
  <c r="J17" i="29" s="1"/>
  <c r="G16" i="29"/>
  <c r="O16" i="29" s="1"/>
  <c r="Q16" i="29" s="1"/>
  <c r="F16" i="29"/>
  <c r="N16" i="29" s="1"/>
  <c r="X16" i="29" s="1"/>
  <c r="E16" i="29"/>
  <c r="D16" i="29"/>
  <c r="J16" i="29" s="1"/>
  <c r="T16" i="29" s="1"/>
  <c r="G15" i="29"/>
  <c r="F15" i="29"/>
  <c r="E15" i="29"/>
  <c r="D15" i="29"/>
  <c r="G14" i="29"/>
  <c r="O14" i="29" s="1"/>
  <c r="Q14" i="29" s="1"/>
  <c r="F14" i="29"/>
  <c r="E14" i="29"/>
  <c r="D14" i="29"/>
  <c r="G13" i="29"/>
  <c r="F13" i="29"/>
  <c r="E13" i="29"/>
  <c r="D13" i="29"/>
  <c r="F12" i="29"/>
  <c r="D12" i="29"/>
  <c r="J20" i="29"/>
  <c r="J15" i="29"/>
  <c r="N13" i="29"/>
  <c r="X13" i="29" s="1"/>
  <c r="K20" i="29"/>
  <c r="M20" i="29" s="1"/>
  <c r="J19" i="29"/>
  <c r="K18" i="29"/>
  <c r="M18" i="29" s="1"/>
  <c r="K16" i="29"/>
  <c r="M16" i="29" s="1"/>
  <c r="J13" i="29"/>
  <c r="N17" i="29"/>
  <c r="X17" i="29" s="1"/>
  <c r="N15" i="29"/>
  <c r="X15" i="29" s="1"/>
  <c r="N19" i="29"/>
  <c r="X19" i="29" s="1"/>
  <c r="J21" i="29"/>
  <c r="G12" i="29"/>
  <c r="N22" i="29"/>
  <c r="X22" i="29" s="1"/>
  <c r="E12" i="29"/>
  <c r="J22" i="29"/>
  <c r="T22" i="29" s="1"/>
  <c r="F170" i="19"/>
  <c r="D170" i="19"/>
  <c r="J170" i="19" s="1"/>
  <c r="T170" i="19" s="1"/>
  <c r="F169" i="19"/>
  <c r="D169" i="19"/>
  <c r="F168" i="19"/>
  <c r="D168" i="19"/>
  <c r="J168" i="19" s="1"/>
  <c r="T168" i="19" s="1"/>
  <c r="F167" i="19"/>
  <c r="D167" i="19"/>
  <c r="F166" i="19"/>
  <c r="D166" i="19"/>
  <c r="J166" i="19" s="1"/>
  <c r="T166" i="19" s="1"/>
  <c r="F165" i="19"/>
  <c r="D165" i="19"/>
  <c r="F164" i="19"/>
  <c r="D164" i="19"/>
  <c r="J164" i="19" s="1"/>
  <c r="T164" i="19" s="1"/>
  <c r="F163" i="19"/>
  <c r="D163" i="19"/>
  <c r="F162" i="19"/>
  <c r="D162" i="19"/>
  <c r="J162" i="19" s="1"/>
  <c r="F161" i="19"/>
  <c r="D161" i="19"/>
  <c r="F160" i="19"/>
  <c r="D160" i="19"/>
  <c r="J160" i="19" s="1"/>
  <c r="T160" i="19" s="1"/>
  <c r="F159" i="19"/>
  <c r="D159" i="19"/>
  <c r="F158" i="19"/>
  <c r="D158" i="19"/>
  <c r="J158" i="19" s="1"/>
  <c r="T158" i="19" s="1"/>
  <c r="F157" i="19"/>
  <c r="D157" i="19"/>
  <c r="F156" i="19"/>
  <c r="E156" i="19"/>
  <c r="E157" i="19" s="1"/>
  <c r="D156" i="19"/>
  <c r="J156" i="19" s="1"/>
  <c r="T156" i="19" s="1"/>
  <c r="G155" i="19"/>
  <c r="G156" i="19" s="1"/>
  <c r="F155" i="19"/>
  <c r="E155" i="19"/>
  <c r="D155" i="19"/>
  <c r="G147" i="19"/>
  <c r="G148" i="19" s="1"/>
  <c r="E147" i="19"/>
  <c r="E148" i="19" s="1"/>
  <c r="G123" i="19"/>
  <c r="G124" i="19" s="1"/>
  <c r="E123" i="19"/>
  <c r="E124" i="19" s="1"/>
  <c r="F154" i="19"/>
  <c r="D154" i="19"/>
  <c r="F153" i="19"/>
  <c r="D153" i="19"/>
  <c r="J153" i="19" s="1"/>
  <c r="F152" i="19"/>
  <c r="D152" i="19"/>
  <c r="F151" i="19"/>
  <c r="D151" i="19"/>
  <c r="J151" i="19" s="1"/>
  <c r="F150" i="19"/>
  <c r="D150" i="19"/>
  <c r="F149" i="19"/>
  <c r="D149" i="19"/>
  <c r="J149" i="19" s="1"/>
  <c r="F148" i="19"/>
  <c r="D148" i="19"/>
  <c r="F147" i="19"/>
  <c r="D147" i="19"/>
  <c r="F146" i="19"/>
  <c r="D146" i="19"/>
  <c r="F145" i="19"/>
  <c r="D145" i="19"/>
  <c r="J145" i="19" s="1"/>
  <c r="F144" i="19"/>
  <c r="D144" i="19"/>
  <c r="F143" i="19"/>
  <c r="D143" i="19"/>
  <c r="J143" i="19" s="1"/>
  <c r="F142" i="19"/>
  <c r="D142" i="19"/>
  <c r="F141" i="19"/>
  <c r="D141" i="19"/>
  <c r="J141" i="19" s="1"/>
  <c r="F140" i="19"/>
  <c r="D140" i="19"/>
  <c r="F139" i="19"/>
  <c r="D139" i="19"/>
  <c r="J139" i="19" s="1"/>
  <c r="F138" i="19"/>
  <c r="D138" i="19"/>
  <c r="F137" i="19"/>
  <c r="D137" i="19"/>
  <c r="J137" i="19" s="1"/>
  <c r="P137" i="19" s="1"/>
  <c r="Z137" i="19" s="1"/>
  <c r="F136" i="19"/>
  <c r="D136" i="19"/>
  <c r="F135" i="19"/>
  <c r="D135" i="19"/>
  <c r="J135" i="19" s="1"/>
  <c r="P135" i="19" s="1"/>
  <c r="Z135" i="19" s="1"/>
  <c r="F134" i="19"/>
  <c r="D134" i="19"/>
  <c r="F133" i="19"/>
  <c r="D133" i="19"/>
  <c r="J133" i="19" s="1"/>
  <c r="P133" i="19" s="1"/>
  <c r="Z133" i="19" s="1"/>
  <c r="F132" i="19"/>
  <c r="D132" i="19"/>
  <c r="F131" i="19"/>
  <c r="D131" i="19"/>
  <c r="J131" i="19" s="1"/>
  <c r="P131" i="19" s="1"/>
  <c r="Z131" i="19" s="1"/>
  <c r="F130" i="19"/>
  <c r="D130" i="19"/>
  <c r="F129" i="19"/>
  <c r="D129" i="19"/>
  <c r="J129" i="19" s="1"/>
  <c r="P129" i="19" s="1"/>
  <c r="Z129" i="19" s="1"/>
  <c r="F128" i="19"/>
  <c r="D128" i="19"/>
  <c r="F127" i="19"/>
  <c r="D127" i="19"/>
  <c r="J127" i="19" s="1"/>
  <c r="P127" i="19" s="1"/>
  <c r="Z127" i="19" s="1"/>
  <c r="F126" i="19"/>
  <c r="D126" i="19"/>
  <c r="F125" i="19"/>
  <c r="D125" i="19"/>
  <c r="J125" i="19" s="1"/>
  <c r="P125" i="19" s="1"/>
  <c r="Z125" i="19" s="1"/>
  <c r="F124" i="19"/>
  <c r="D124" i="19"/>
  <c r="F123" i="19"/>
  <c r="D123" i="19"/>
  <c r="G99" i="19"/>
  <c r="G100" i="19" s="1"/>
  <c r="E99" i="19"/>
  <c r="E100" i="19" s="1"/>
  <c r="F99" i="19"/>
  <c r="F121" i="19"/>
  <c r="D121" i="19"/>
  <c r="J121" i="19" s="1"/>
  <c r="P121" i="19" s="1"/>
  <c r="Z121" i="19" s="1"/>
  <c r="F120" i="19"/>
  <c r="D120" i="19"/>
  <c r="F119" i="19"/>
  <c r="D119" i="19"/>
  <c r="J119" i="19" s="1"/>
  <c r="P119" i="19" s="1"/>
  <c r="Z119" i="19" s="1"/>
  <c r="F118" i="19"/>
  <c r="D118" i="19"/>
  <c r="F117" i="19"/>
  <c r="D117" i="19"/>
  <c r="J117" i="19" s="1"/>
  <c r="P117" i="19" s="1"/>
  <c r="Z117" i="19" s="1"/>
  <c r="F116" i="19"/>
  <c r="D116" i="19"/>
  <c r="F115" i="19"/>
  <c r="D115" i="19"/>
  <c r="J115" i="19" s="1"/>
  <c r="P115" i="19" s="1"/>
  <c r="Z115" i="19" s="1"/>
  <c r="F114" i="19"/>
  <c r="D114" i="19"/>
  <c r="F113" i="19"/>
  <c r="D113" i="19"/>
  <c r="J113" i="19" s="1"/>
  <c r="P113" i="19" s="1"/>
  <c r="Z113" i="19" s="1"/>
  <c r="F112" i="19"/>
  <c r="D112" i="19"/>
  <c r="F111" i="19"/>
  <c r="D111" i="19"/>
  <c r="J111" i="19" s="1"/>
  <c r="F110" i="19"/>
  <c r="D110" i="19"/>
  <c r="F109" i="19"/>
  <c r="D109" i="19"/>
  <c r="J109" i="19" s="1"/>
  <c r="P109" i="19" s="1"/>
  <c r="Z109" i="19" s="1"/>
  <c r="F108" i="19"/>
  <c r="D108" i="19"/>
  <c r="F107" i="19"/>
  <c r="D107" i="19"/>
  <c r="J107" i="19" s="1"/>
  <c r="F106" i="19"/>
  <c r="D106" i="19"/>
  <c r="F105" i="19"/>
  <c r="D105" i="19"/>
  <c r="J105" i="19" s="1"/>
  <c r="F104" i="19"/>
  <c r="D104" i="19"/>
  <c r="F103" i="19"/>
  <c r="D103" i="19"/>
  <c r="J103" i="19" s="1"/>
  <c r="F102" i="19"/>
  <c r="D102" i="19"/>
  <c r="F101" i="19"/>
  <c r="D101" i="19"/>
  <c r="J101" i="19" s="1"/>
  <c r="P101" i="19" s="1"/>
  <c r="Z101" i="19" s="1"/>
  <c r="F100" i="19"/>
  <c r="D100" i="19"/>
  <c r="D99" i="19"/>
  <c r="D25" i="19"/>
  <c r="F98" i="19"/>
  <c r="D98" i="19"/>
  <c r="F97" i="19"/>
  <c r="D97" i="19"/>
  <c r="J97" i="19" s="1"/>
  <c r="F96" i="19"/>
  <c r="D96" i="19"/>
  <c r="F95" i="19"/>
  <c r="N95" i="19" s="1"/>
  <c r="D95" i="19"/>
  <c r="F94" i="19"/>
  <c r="D94" i="19"/>
  <c r="F93" i="19"/>
  <c r="N93" i="19" s="1"/>
  <c r="X93" i="19" s="1"/>
  <c r="D93" i="19"/>
  <c r="F92" i="19"/>
  <c r="D92" i="19"/>
  <c r="G91" i="19"/>
  <c r="G92" i="19" s="1"/>
  <c r="F91" i="19"/>
  <c r="N91" i="19" s="1"/>
  <c r="L91" i="19" s="1"/>
  <c r="V91" i="19" s="1"/>
  <c r="E91" i="19"/>
  <c r="E92" i="19" s="1"/>
  <c r="D91" i="19"/>
  <c r="J91" i="19" s="1"/>
  <c r="F90" i="19"/>
  <c r="D90" i="19"/>
  <c r="G90" i="19"/>
  <c r="E90" i="19"/>
  <c r="N89" i="19"/>
  <c r="L89" i="19" s="1"/>
  <c r="V89" i="19" s="1"/>
  <c r="F88" i="19"/>
  <c r="D88" i="19"/>
  <c r="J88" i="19" s="1"/>
  <c r="F87" i="19"/>
  <c r="N87" i="19" s="1"/>
  <c r="L87" i="19" s="1"/>
  <c r="V87" i="19" s="1"/>
  <c r="D87" i="19"/>
  <c r="J87" i="19" s="1"/>
  <c r="F86" i="19"/>
  <c r="N86" i="19" s="1"/>
  <c r="D86" i="19"/>
  <c r="F85" i="19"/>
  <c r="N85" i="19" s="1"/>
  <c r="D85" i="19"/>
  <c r="J85" i="19" s="1"/>
  <c r="P85" i="19" s="1"/>
  <c r="Z85" i="19" s="1"/>
  <c r="F84" i="19"/>
  <c r="N84" i="19" s="1"/>
  <c r="D84" i="19"/>
  <c r="F83" i="19"/>
  <c r="N83" i="19" s="1"/>
  <c r="D83" i="19"/>
  <c r="J83" i="19" s="1"/>
  <c r="F82" i="19"/>
  <c r="D82" i="19"/>
  <c r="J82" i="19" s="1"/>
  <c r="F81" i="19"/>
  <c r="N81" i="19" s="1"/>
  <c r="L81" i="19" s="1"/>
  <c r="V81" i="19" s="1"/>
  <c r="D81" i="19"/>
  <c r="F80" i="19"/>
  <c r="N80" i="19" s="1"/>
  <c r="D80" i="19"/>
  <c r="F79" i="19"/>
  <c r="N79" i="19" s="1"/>
  <c r="L79" i="19" s="1"/>
  <c r="V79" i="19" s="1"/>
  <c r="E79" i="19"/>
  <c r="E80" i="19" s="1"/>
  <c r="E81" i="19" s="1"/>
  <c r="E82" i="19" s="1"/>
  <c r="E83" i="19" s="1"/>
  <c r="E84" i="19" s="1"/>
  <c r="E85" i="19" s="1"/>
  <c r="E86" i="19" s="1"/>
  <c r="E87" i="19" s="1"/>
  <c r="E88" i="19" s="1"/>
  <c r="D79" i="19"/>
  <c r="J79" i="19" s="1"/>
  <c r="G78" i="19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F78" i="19"/>
  <c r="N78" i="19" s="1"/>
  <c r="L78" i="19" s="1"/>
  <c r="V78" i="19" s="1"/>
  <c r="E78" i="19"/>
  <c r="D78" i="19"/>
  <c r="N88" i="19"/>
  <c r="J86" i="19"/>
  <c r="N82" i="19"/>
  <c r="L82" i="19" s="1"/>
  <c r="V82" i="19" s="1"/>
  <c r="J81" i="19"/>
  <c r="J78" i="19"/>
  <c r="F77" i="19"/>
  <c r="D77" i="19"/>
  <c r="J77" i="19" s="1"/>
  <c r="J84" i="19"/>
  <c r="J80" i="19"/>
  <c r="J89" i="19"/>
  <c r="G77" i="19"/>
  <c r="E77" i="19"/>
  <c r="K77" i="19" s="1"/>
  <c r="G12" i="19"/>
  <c r="G13" i="19" s="1"/>
  <c r="E12" i="19"/>
  <c r="E13" i="19" s="1"/>
  <c r="D70" i="19"/>
  <c r="D71" i="19" s="1"/>
  <c r="G69" i="19"/>
  <c r="G70" i="19" s="1"/>
  <c r="F69" i="19"/>
  <c r="F70" i="19" s="1"/>
  <c r="E69" i="19"/>
  <c r="E70" i="19" s="1"/>
  <c r="E71" i="19" s="1"/>
  <c r="E72" i="19" s="1"/>
  <c r="E73" i="19" s="1"/>
  <c r="E74" i="19" s="1"/>
  <c r="E75" i="19" s="1"/>
  <c r="D69" i="19"/>
  <c r="G53" i="19"/>
  <c r="G54" i="19" s="1"/>
  <c r="G55" i="19" s="1"/>
  <c r="G56" i="19" s="1"/>
  <c r="F53" i="19"/>
  <c r="F54" i="19" s="1"/>
  <c r="E53" i="19"/>
  <c r="E54" i="19" s="1"/>
  <c r="E55" i="19" s="1"/>
  <c r="E56" i="19" s="1"/>
  <c r="D53" i="19"/>
  <c r="D54" i="19" s="1"/>
  <c r="D55" i="19" s="1"/>
  <c r="D39" i="19"/>
  <c r="F39" i="19"/>
  <c r="F68" i="19"/>
  <c r="F67" i="19"/>
  <c r="F66" i="19"/>
  <c r="F65" i="19"/>
  <c r="N65" i="19" s="1"/>
  <c r="L65" i="19" s="1"/>
  <c r="V65" i="19" s="1"/>
  <c r="F64" i="19"/>
  <c r="N64" i="19" s="1"/>
  <c r="L64" i="19" s="1"/>
  <c r="V64" i="19" s="1"/>
  <c r="F63" i="19"/>
  <c r="F62" i="19"/>
  <c r="N62" i="19" s="1"/>
  <c r="L62" i="19" s="1"/>
  <c r="V62" i="19" s="1"/>
  <c r="F61" i="19"/>
  <c r="F60" i="19"/>
  <c r="F59" i="19"/>
  <c r="F58" i="19"/>
  <c r="D68" i="19"/>
  <c r="D67" i="19"/>
  <c r="D66" i="19"/>
  <c r="D65" i="19"/>
  <c r="D64" i="19"/>
  <c r="J64" i="19" s="1"/>
  <c r="D63" i="19"/>
  <c r="D62" i="19"/>
  <c r="J62" i="19" s="1"/>
  <c r="P62" i="19" s="1"/>
  <c r="Z62" i="19" s="1"/>
  <c r="D61" i="19"/>
  <c r="D60" i="19"/>
  <c r="D59" i="19"/>
  <c r="D58" i="19"/>
  <c r="F57" i="19"/>
  <c r="D57" i="19"/>
  <c r="J57" i="19" s="1"/>
  <c r="P57" i="19" s="1"/>
  <c r="Z57" i="19" s="1"/>
  <c r="J68" i="19"/>
  <c r="J66" i="19"/>
  <c r="P66" i="19" s="1"/>
  <c r="Z66" i="19" s="1"/>
  <c r="J60" i="19"/>
  <c r="P60" i="19" s="1"/>
  <c r="Z60" i="19" s="1"/>
  <c r="E58" i="19"/>
  <c r="E59" i="19" s="1"/>
  <c r="J58" i="19"/>
  <c r="G57" i="19"/>
  <c r="G58" i="19" s="1"/>
  <c r="E57" i="19"/>
  <c r="F52" i="19"/>
  <c r="N52" i="19" s="1"/>
  <c r="D52" i="19"/>
  <c r="F51" i="19"/>
  <c r="D51" i="19"/>
  <c r="F50" i="19"/>
  <c r="N50" i="19" s="1"/>
  <c r="D50" i="19"/>
  <c r="F49" i="19"/>
  <c r="D49" i="19"/>
  <c r="F48" i="19"/>
  <c r="N48" i="19" s="1"/>
  <c r="D48" i="19"/>
  <c r="F47" i="19"/>
  <c r="D47" i="19"/>
  <c r="F46" i="19"/>
  <c r="N46" i="19" s="1"/>
  <c r="D46" i="19"/>
  <c r="F45" i="19"/>
  <c r="D45" i="19"/>
  <c r="F44" i="19"/>
  <c r="D44" i="19"/>
  <c r="F43" i="19"/>
  <c r="D43" i="19"/>
  <c r="J43" i="19" s="1"/>
  <c r="F42" i="19"/>
  <c r="D42" i="19"/>
  <c r="F41" i="19"/>
  <c r="E41" i="19"/>
  <c r="E42" i="19" s="1"/>
  <c r="D41" i="19"/>
  <c r="J41" i="19" s="1"/>
  <c r="D40" i="19"/>
  <c r="G40" i="19"/>
  <c r="G41" i="19" s="1"/>
  <c r="F40" i="19"/>
  <c r="E40" i="19"/>
  <c r="G39" i="19"/>
  <c r="E39" i="19"/>
  <c r="F24" i="19"/>
  <c r="D24" i="19"/>
  <c r="F23" i="19"/>
  <c r="F37" i="19" s="1"/>
  <c r="D23" i="19"/>
  <c r="J23" i="19" s="1"/>
  <c r="F22" i="19"/>
  <c r="D22" i="19"/>
  <c r="F21" i="19"/>
  <c r="N21" i="19" s="1"/>
  <c r="L21" i="19" s="1"/>
  <c r="V21" i="19" s="1"/>
  <c r="D21" i="19"/>
  <c r="D35" i="19" s="1"/>
  <c r="F20" i="19"/>
  <c r="D20" i="19"/>
  <c r="F19" i="19"/>
  <c r="D19" i="19"/>
  <c r="J19" i="19" s="1"/>
  <c r="F18" i="19"/>
  <c r="F32" i="19" s="1"/>
  <c r="N32" i="19" s="1"/>
  <c r="D18" i="19"/>
  <c r="F17" i="19"/>
  <c r="D17" i="19"/>
  <c r="D31" i="19" s="1"/>
  <c r="F16" i="19"/>
  <c r="F30" i="19" s="1"/>
  <c r="D16" i="19"/>
  <c r="F15" i="19"/>
  <c r="D15" i="19"/>
  <c r="D29" i="19" s="1"/>
  <c r="F14" i="19"/>
  <c r="D14" i="19"/>
  <c r="D28" i="19" s="1"/>
  <c r="F13" i="19"/>
  <c r="D13" i="19"/>
  <c r="D27" i="19" s="1"/>
  <c r="F12" i="19"/>
  <c r="F26" i="19" s="1"/>
  <c r="D12" i="19"/>
  <c r="D26" i="19" s="1"/>
  <c r="D34" i="19"/>
  <c r="J34" i="19" s="1"/>
  <c r="F31" i="19"/>
  <c r="N31" i="19" s="1"/>
  <c r="L31" i="19" s="1"/>
  <c r="V31" i="19" s="1"/>
  <c r="D30" i="19"/>
  <c r="J30" i="19" s="1"/>
  <c r="N14" i="19"/>
  <c r="L14" i="19" s="1"/>
  <c r="V14" i="19" s="1"/>
  <c r="F27" i="19"/>
  <c r="N20" i="19"/>
  <c r="N19" i="19"/>
  <c r="L19" i="19" s="1"/>
  <c r="V19" i="19" s="1"/>
  <c r="N15" i="19"/>
  <c r="D32" i="19"/>
  <c r="J32" i="19" s="1"/>
  <c r="F38" i="19"/>
  <c r="F36" i="19"/>
  <c r="N36" i="19" s="1"/>
  <c r="F28" i="19"/>
  <c r="F25" i="19"/>
  <c r="D38" i="19"/>
  <c r="D36" i="19"/>
  <c r="E25" i="19"/>
  <c r="G25" i="19"/>
  <c r="J18" i="19"/>
  <c r="O25" i="19"/>
  <c r="Q25" i="19" s="1"/>
  <c r="E26" i="19"/>
  <c r="E27" i="19" s="1"/>
  <c r="D12" i="25"/>
  <c r="G91" i="25"/>
  <c r="G92" i="25" s="1"/>
  <c r="G93" i="25" s="1"/>
  <c r="G94" i="25" s="1"/>
  <c r="G95" i="25" s="1"/>
  <c r="G96" i="25" s="1"/>
  <c r="G97" i="25" s="1"/>
  <c r="G98" i="25" s="1"/>
  <c r="G99" i="25" s="1"/>
  <c r="G100" i="25" s="1"/>
  <c r="E91" i="25"/>
  <c r="E92" i="25" s="1"/>
  <c r="E93" i="25" s="1"/>
  <c r="E94" i="25" s="1"/>
  <c r="E95" i="25" s="1"/>
  <c r="E96" i="25" s="1"/>
  <c r="E97" i="25" s="1"/>
  <c r="E98" i="25" s="1"/>
  <c r="E99" i="25" s="1"/>
  <c r="E100" i="25" s="1"/>
  <c r="G81" i="25"/>
  <c r="G82" i="25" s="1"/>
  <c r="G83" i="25" s="1"/>
  <c r="G84" i="25" s="1"/>
  <c r="G85" i="25" s="1"/>
  <c r="G86" i="25" s="1"/>
  <c r="G87" i="25" s="1"/>
  <c r="G88" i="25" s="1"/>
  <c r="G89" i="25" s="1"/>
  <c r="G90" i="25" s="1"/>
  <c r="E81" i="25"/>
  <c r="E82" i="25" s="1"/>
  <c r="E83" i="25" s="1"/>
  <c r="E84" i="25" s="1"/>
  <c r="E85" i="25" s="1"/>
  <c r="E86" i="25" s="1"/>
  <c r="E87" i="25" s="1"/>
  <c r="E88" i="25" s="1"/>
  <c r="E89" i="25" s="1"/>
  <c r="E90" i="25" s="1"/>
  <c r="G71" i="25"/>
  <c r="G72" i="25" s="1"/>
  <c r="G73" i="25" s="1"/>
  <c r="G74" i="25" s="1"/>
  <c r="G75" i="25" s="1"/>
  <c r="G76" i="25" s="1"/>
  <c r="G77" i="25" s="1"/>
  <c r="G78" i="25" s="1"/>
  <c r="G79" i="25" s="1"/>
  <c r="G80" i="25" s="1"/>
  <c r="E71" i="25"/>
  <c r="E72" i="25" s="1"/>
  <c r="E73" i="25" s="1"/>
  <c r="E74" i="25" s="1"/>
  <c r="E75" i="25" s="1"/>
  <c r="E76" i="25" s="1"/>
  <c r="E77" i="25" s="1"/>
  <c r="E78" i="25" s="1"/>
  <c r="E79" i="25" s="1"/>
  <c r="E80" i="25" s="1"/>
  <c r="G61" i="25"/>
  <c r="G62" i="25" s="1"/>
  <c r="G63" i="25" s="1"/>
  <c r="G64" i="25" s="1"/>
  <c r="G65" i="25" s="1"/>
  <c r="G66" i="25" s="1"/>
  <c r="G67" i="25" s="1"/>
  <c r="G68" i="25" s="1"/>
  <c r="G69" i="25" s="1"/>
  <c r="G70" i="25" s="1"/>
  <c r="E61" i="25"/>
  <c r="E62" i="25" s="1"/>
  <c r="E63" i="25" s="1"/>
  <c r="E64" i="25" s="1"/>
  <c r="E65" i="25" s="1"/>
  <c r="E66" i="25" s="1"/>
  <c r="E67" i="25" s="1"/>
  <c r="E68" i="25" s="1"/>
  <c r="E69" i="25" s="1"/>
  <c r="E70" i="25" s="1"/>
  <c r="G51" i="25"/>
  <c r="G52" i="25" s="1"/>
  <c r="G53" i="25" s="1"/>
  <c r="G54" i="25" s="1"/>
  <c r="G55" i="25" s="1"/>
  <c r="G56" i="25" s="1"/>
  <c r="G57" i="25" s="1"/>
  <c r="G58" i="25" s="1"/>
  <c r="G59" i="25" s="1"/>
  <c r="G60" i="25" s="1"/>
  <c r="E51" i="25"/>
  <c r="E52" i="25" s="1"/>
  <c r="E53" i="25" s="1"/>
  <c r="E54" i="25" s="1"/>
  <c r="E55" i="25" s="1"/>
  <c r="E56" i="25" s="1"/>
  <c r="E57" i="25" s="1"/>
  <c r="E58" i="25" s="1"/>
  <c r="E59" i="25" s="1"/>
  <c r="E60" i="25" s="1"/>
  <c r="G41" i="25"/>
  <c r="G42" i="25" s="1"/>
  <c r="G43" i="25" s="1"/>
  <c r="G44" i="25" s="1"/>
  <c r="G45" i="25" s="1"/>
  <c r="G46" i="25" s="1"/>
  <c r="G47" i="25" s="1"/>
  <c r="G48" i="25" s="1"/>
  <c r="G49" i="25" s="1"/>
  <c r="G50" i="25" s="1"/>
  <c r="E41" i="25"/>
  <c r="E42" i="25" s="1"/>
  <c r="E43" i="25" s="1"/>
  <c r="E44" i="25" s="1"/>
  <c r="E45" i="25" s="1"/>
  <c r="E46" i="25" s="1"/>
  <c r="E47" i="25" s="1"/>
  <c r="E48" i="25" s="1"/>
  <c r="E49" i="25" s="1"/>
  <c r="E50" i="25" s="1"/>
  <c r="F40" i="25"/>
  <c r="F50" i="25" s="1"/>
  <c r="F60" i="25" s="1"/>
  <c r="F70" i="25" s="1"/>
  <c r="F80" i="25" s="1"/>
  <c r="F90" i="25" s="1"/>
  <c r="F100" i="25" s="1"/>
  <c r="D40" i="25"/>
  <c r="D50" i="25" s="1"/>
  <c r="D60" i="25" s="1"/>
  <c r="D70" i="25" s="1"/>
  <c r="D80" i="25" s="1"/>
  <c r="D90" i="25" s="1"/>
  <c r="D100" i="25" s="1"/>
  <c r="F39" i="25"/>
  <c r="F49" i="25" s="1"/>
  <c r="F59" i="25" s="1"/>
  <c r="F69" i="25" s="1"/>
  <c r="F79" i="25" s="1"/>
  <c r="F89" i="25" s="1"/>
  <c r="F99" i="25" s="1"/>
  <c r="D39" i="25"/>
  <c r="D49" i="25" s="1"/>
  <c r="D59" i="25" s="1"/>
  <c r="D69" i="25" s="1"/>
  <c r="D79" i="25" s="1"/>
  <c r="D89" i="25" s="1"/>
  <c r="D99" i="25" s="1"/>
  <c r="F38" i="25"/>
  <c r="F48" i="25" s="1"/>
  <c r="F58" i="25" s="1"/>
  <c r="F68" i="25" s="1"/>
  <c r="F78" i="25" s="1"/>
  <c r="F88" i="25" s="1"/>
  <c r="F98" i="25" s="1"/>
  <c r="D38" i="25"/>
  <c r="D48" i="25" s="1"/>
  <c r="D58" i="25" s="1"/>
  <c r="D68" i="25" s="1"/>
  <c r="D78" i="25" s="1"/>
  <c r="D88" i="25" s="1"/>
  <c r="D98" i="25" s="1"/>
  <c r="F37" i="25"/>
  <c r="F47" i="25" s="1"/>
  <c r="F57" i="25" s="1"/>
  <c r="F67" i="25" s="1"/>
  <c r="F77" i="25" s="1"/>
  <c r="F87" i="25" s="1"/>
  <c r="F97" i="25" s="1"/>
  <c r="D37" i="25"/>
  <c r="D47" i="25" s="1"/>
  <c r="D57" i="25" s="1"/>
  <c r="D67" i="25" s="1"/>
  <c r="D77" i="25" s="1"/>
  <c r="D87" i="25" s="1"/>
  <c r="D97" i="25" s="1"/>
  <c r="F36" i="25"/>
  <c r="F46" i="25" s="1"/>
  <c r="F56" i="25" s="1"/>
  <c r="F66" i="25" s="1"/>
  <c r="F76" i="25" s="1"/>
  <c r="F86" i="25" s="1"/>
  <c r="F96" i="25" s="1"/>
  <c r="D36" i="25"/>
  <c r="D46" i="25" s="1"/>
  <c r="D56" i="25" s="1"/>
  <c r="D66" i="25" s="1"/>
  <c r="D76" i="25" s="1"/>
  <c r="D86" i="25" s="1"/>
  <c r="D96" i="25" s="1"/>
  <c r="F35" i="25"/>
  <c r="F45" i="25" s="1"/>
  <c r="F55" i="25" s="1"/>
  <c r="F65" i="25" s="1"/>
  <c r="F75" i="25" s="1"/>
  <c r="F85" i="25" s="1"/>
  <c r="F95" i="25" s="1"/>
  <c r="D35" i="25"/>
  <c r="D45" i="25" s="1"/>
  <c r="D55" i="25" s="1"/>
  <c r="D65" i="25" s="1"/>
  <c r="D75" i="25" s="1"/>
  <c r="D85" i="25" s="1"/>
  <c r="D95" i="25" s="1"/>
  <c r="F34" i="25"/>
  <c r="F44" i="25" s="1"/>
  <c r="F54" i="25" s="1"/>
  <c r="F64" i="25" s="1"/>
  <c r="F74" i="25" s="1"/>
  <c r="F84" i="25" s="1"/>
  <c r="F94" i="25" s="1"/>
  <c r="D34" i="25"/>
  <c r="D44" i="25" s="1"/>
  <c r="D54" i="25" s="1"/>
  <c r="D64" i="25" s="1"/>
  <c r="D74" i="25" s="1"/>
  <c r="D84" i="25" s="1"/>
  <c r="D94" i="25" s="1"/>
  <c r="F33" i="25"/>
  <c r="F43" i="25" s="1"/>
  <c r="F53" i="25" s="1"/>
  <c r="F63" i="25" s="1"/>
  <c r="F73" i="25" s="1"/>
  <c r="F83" i="25" s="1"/>
  <c r="F93" i="25" s="1"/>
  <c r="D33" i="25"/>
  <c r="D43" i="25" s="1"/>
  <c r="D53" i="25" s="1"/>
  <c r="D63" i="25" s="1"/>
  <c r="D73" i="25" s="1"/>
  <c r="D83" i="25" s="1"/>
  <c r="D93" i="25" s="1"/>
  <c r="F32" i="25"/>
  <c r="F42" i="25" s="1"/>
  <c r="F52" i="25" s="1"/>
  <c r="F62" i="25" s="1"/>
  <c r="F72" i="25" s="1"/>
  <c r="F82" i="25" s="1"/>
  <c r="F92" i="25" s="1"/>
  <c r="G31" i="25"/>
  <c r="G32" i="25" s="1"/>
  <c r="G33" i="25" s="1"/>
  <c r="G34" i="25" s="1"/>
  <c r="G35" i="25" s="1"/>
  <c r="G36" i="25" s="1"/>
  <c r="G37" i="25" s="1"/>
  <c r="G38" i="25" s="1"/>
  <c r="G39" i="25" s="1"/>
  <c r="G40" i="25" s="1"/>
  <c r="F31" i="25"/>
  <c r="F41" i="25" s="1"/>
  <c r="F51" i="25" s="1"/>
  <c r="F61" i="25" s="1"/>
  <c r="F71" i="25" s="1"/>
  <c r="F81" i="25" s="1"/>
  <c r="F91" i="25" s="1"/>
  <c r="E31" i="25"/>
  <c r="E32" i="25" s="1"/>
  <c r="E33" i="25" s="1"/>
  <c r="E34" i="25" s="1"/>
  <c r="E35" i="25" s="1"/>
  <c r="E36" i="25" s="1"/>
  <c r="E37" i="25" s="1"/>
  <c r="E38" i="25" s="1"/>
  <c r="E39" i="25" s="1"/>
  <c r="E40" i="25" s="1"/>
  <c r="D31" i="25"/>
  <c r="D41" i="25" s="1"/>
  <c r="D51" i="25" s="1"/>
  <c r="D61" i="25" s="1"/>
  <c r="D71" i="25" s="1"/>
  <c r="D81" i="25" s="1"/>
  <c r="D91" i="25" s="1"/>
  <c r="G21" i="25"/>
  <c r="G22" i="25" s="1"/>
  <c r="G23" i="25" s="1"/>
  <c r="G24" i="25" s="1"/>
  <c r="G25" i="25" s="1"/>
  <c r="E21" i="25"/>
  <c r="E22" i="25" s="1"/>
  <c r="E23" i="25" s="1"/>
  <c r="F21" i="25"/>
  <c r="F20" i="25"/>
  <c r="F19" i="25"/>
  <c r="F18" i="25"/>
  <c r="F17" i="25"/>
  <c r="F16" i="25"/>
  <c r="F15" i="25"/>
  <c r="F14" i="25"/>
  <c r="F13" i="25"/>
  <c r="F12" i="25"/>
  <c r="F22" i="25" s="1"/>
  <c r="D20" i="25"/>
  <c r="D19" i="25"/>
  <c r="D18" i="25"/>
  <c r="D17" i="25"/>
  <c r="D16" i="25"/>
  <c r="D15" i="25"/>
  <c r="D14" i="25"/>
  <c r="D13" i="25"/>
  <c r="G20" i="25"/>
  <c r="G19" i="25"/>
  <c r="G18" i="25"/>
  <c r="G17" i="25"/>
  <c r="G16" i="25"/>
  <c r="G15" i="25"/>
  <c r="G14" i="25"/>
  <c r="G13" i="25"/>
  <c r="G12" i="25"/>
  <c r="E20" i="25"/>
  <c r="E19" i="25"/>
  <c r="E18" i="25"/>
  <c r="E17" i="25"/>
  <c r="E16" i="25"/>
  <c r="E15" i="25"/>
  <c r="E14" i="25"/>
  <c r="E13" i="25"/>
  <c r="E12" i="25"/>
  <c r="D21" i="25"/>
  <c r="I20" i="2"/>
  <c r="S20" i="2" s="1"/>
  <c r="D20" i="2" a="1"/>
  <c r="D20" i="2" s="1"/>
  <c r="J20" i="2" s="1"/>
  <c r="X19" i="2"/>
  <c r="O19" i="2"/>
  <c r="Q19" i="2" s="1"/>
  <c r="N19" i="2"/>
  <c r="L19" i="2" s="1"/>
  <c r="V19" i="2" s="1"/>
  <c r="K19" i="2"/>
  <c r="M19" i="2" s="1"/>
  <c r="I19" i="2"/>
  <c r="S19" i="2" s="1"/>
  <c r="D19" i="2" a="1"/>
  <c r="D19" i="2" s="1"/>
  <c r="J19" i="2" s="1"/>
  <c r="K18" i="2"/>
  <c r="M18" i="2" s="1"/>
  <c r="I18" i="2"/>
  <c r="S18" i="2" s="1"/>
  <c r="D18" i="2" a="1"/>
  <c r="D18" i="2" s="1"/>
  <c r="J18" i="2" s="1"/>
  <c r="X17" i="2"/>
  <c r="S17" i="2"/>
  <c r="O17" i="2"/>
  <c r="Q17" i="2" s="1"/>
  <c r="N17" i="2"/>
  <c r="L17" i="2" s="1"/>
  <c r="V17" i="2" s="1"/>
  <c r="K17" i="2"/>
  <c r="M17" i="2" s="1"/>
  <c r="I17" i="2"/>
  <c r="D17" i="2" a="1"/>
  <c r="D17" i="2" s="1"/>
  <c r="J17" i="2" s="1"/>
  <c r="I55" i="37"/>
  <c r="S55" i="37" s="1"/>
  <c r="I54" i="37"/>
  <c r="S54" i="37" s="1"/>
  <c r="O53" i="37"/>
  <c r="K53" i="37"/>
  <c r="I53" i="37"/>
  <c r="S53" i="37" s="1"/>
  <c r="I52" i="37"/>
  <c r="S52" i="37" s="1"/>
  <c r="I51" i="37"/>
  <c r="S51" i="37" s="1"/>
  <c r="O50" i="37"/>
  <c r="K50" i="37"/>
  <c r="I50" i="37"/>
  <c r="S50" i="37" s="1"/>
  <c r="N49" i="37"/>
  <c r="L49" i="37" s="1"/>
  <c r="V49" i="37" s="1"/>
  <c r="I49" i="37"/>
  <c r="S49" i="37" s="1"/>
  <c r="J49" i="37"/>
  <c r="P49" i="37" s="1"/>
  <c r="Z49" i="37" s="1"/>
  <c r="I48" i="37"/>
  <c r="S48" i="37" s="1"/>
  <c r="O47" i="37"/>
  <c r="N47" i="37"/>
  <c r="L47" i="37" s="1"/>
  <c r="V47" i="37" s="1"/>
  <c r="I47" i="37"/>
  <c r="S47" i="37" s="1"/>
  <c r="J47" i="37"/>
  <c r="P47" i="37" s="1"/>
  <c r="Z47" i="37" s="1"/>
  <c r="N46" i="37"/>
  <c r="L46" i="37" s="1"/>
  <c r="V46" i="37" s="1"/>
  <c r="I46" i="37"/>
  <c r="S46" i="37" s="1"/>
  <c r="J46" i="37"/>
  <c r="P46" i="37" s="1"/>
  <c r="Z46" i="37" s="1"/>
  <c r="N45" i="37"/>
  <c r="L45" i="37" s="1"/>
  <c r="V45" i="37" s="1"/>
  <c r="I45" i="37"/>
  <c r="S45" i="37" s="1"/>
  <c r="O44" i="37"/>
  <c r="N44" i="37"/>
  <c r="L44" i="37" s="1"/>
  <c r="V44" i="37" s="1"/>
  <c r="K44" i="37"/>
  <c r="I44" i="37"/>
  <c r="S44" i="37" s="1"/>
  <c r="J44" i="37"/>
  <c r="P44" i="37" s="1"/>
  <c r="Z44" i="37" s="1"/>
  <c r="N43" i="37"/>
  <c r="L43" i="37" s="1"/>
  <c r="V43" i="37" s="1"/>
  <c r="I43" i="37"/>
  <c r="S43" i="37" s="1"/>
  <c r="J43" i="37"/>
  <c r="P43" i="37" s="1"/>
  <c r="Z43" i="37" s="1"/>
  <c r="O42" i="37"/>
  <c r="Q42" i="37" s="1"/>
  <c r="N42" i="37"/>
  <c r="L42" i="37" s="1"/>
  <c r="V42" i="37" s="1"/>
  <c r="I42" i="37"/>
  <c r="S42" i="37" s="1"/>
  <c r="O41" i="37"/>
  <c r="N41" i="37"/>
  <c r="L41" i="37" s="1"/>
  <c r="V41" i="37" s="1"/>
  <c r="K41" i="37"/>
  <c r="I41" i="37"/>
  <c r="S41" i="37" s="1"/>
  <c r="J41" i="37"/>
  <c r="P41" i="37" s="1"/>
  <c r="Z41" i="37" s="1"/>
  <c r="N40" i="37"/>
  <c r="L40" i="37" s="1"/>
  <c r="V40" i="37" s="1"/>
  <c r="I40" i="37"/>
  <c r="S40" i="37" s="1"/>
  <c r="J40" i="37"/>
  <c r="P40" i="37" s="1"/>
  <c r="Z40" i="37" s="1"/>
  <c r="I39" i="37"/>
  <c r="S39" i="37" s="1"/>
  <c r="O38" i="37"/>
  <c r="Q38" i="37" s="1"/>
  <c r="N38" i="37"/>
  <c r="L38" i="37" s="1"/>
  <c r="V38" i="37" s="1"/>
  <c r="K38" i="37"/>
  <c r="M38" i="37" s="1"/>
  <c r="I38" i="37"/>
  <c r="S38" i="37" s="1"/>
  <c r="J38" i="37"/>
  <c r="P38" i="37" s="1"/>
  <c r="Z38" i="37" s="1"/>
  <c r="N37" i="37"/>
  <c r="L37" i="37" s="1"/>
  <c r="V37" i="37" s="1"/>
  <c r="I37" i="37"/>
  <c r="S37" i="37" s="1"/>
  <c r="J37" i="37"/>
  <c r="P37" i="37" s="1"/>
  <c r="Z37" i="37" s="1"/>
  <c r="N36" i="37"/>
  <c r="L36" i="37" s="1"/>
  <c r="V36" i="37" s="1"/>
  <c r="I36" i="37"/>
  <c r="S36" i="37" s="1"/>
  <c r="O35" i="37"/>
  <c r="Q35" i="37" s="1"/>
  <c r="AA35" i="37" s="1"/>
  <c r="N35" i="37"/>
  <c r="X35" i="37" s="1"/>
  <c r="K35" i="37"/>
  <c r="M35" i="37" s="1"/>
  <c r="I35" i="37"/>
  <c r="S35" i="37" s="1"/>
  <c r="J35" i="37"/>
  <c r="N34" i="37"/>
  <c r="X34" i="37" s="1"/>
  <c r="I34" i="37"/>
  <c r="S34" i="37" s="1"/>
  <c r="J34" i="37"/>
  <c r="N33" i="37"/>
  <c r="L33" i="37" s="1"/>
  <c r="V33" i="37" s="1"/>
  <c r="I33" i="37"/>
  <c r="S33" i="37" s="1"/>
  <c r="N32" i="37"/>
  <c r="X32" i="37" s="1"/>
  <c r="K32" i="37"/>
  <c r="M32" i="37" s="1"/>
  <c r="I32" i="37"/>
  <c r="S32" i="37" s="1"/>
  <c r="J32" i="37"/>
  <c r="N31" i="37"/>
  <c r="L31" i="37" s="1"/>
  <c r="V31" i="37" s="1"/>
  <c r="I31" i="37"/>
  <c r="S31" i="37" s="1"/>
  <c r="J31" i="37"/>
  <c r="N30" i="37"/>
  <c r="X30" i="37" s="1"/>
  <c r="I30" i="37"/>
  <c r="S30" i="37" s="1"/>
  <c r="O29" i="37"/>
  <c r="Q29" i="37" s="1"/>
  <c r="N29" i="37"/>
  <c r="L29" i="37" s="1"/>
  <c r="V29" i="37" s="1"/>
  <c r="K29" i="37"/>
  <c r="M29" i="37" s="1"/>
  <c r="I29" i="37"/>
  <c r="S29" i="37" s="1"/>
  <c r="J29" i="37"/>
  <c r="N28" i="37"/>
  <c r="X28" i="37" s="1"/>
  <c r="I28" i="37"/>
  <c r="S28" i="37" s="1"/>
  <c r="J28" i="37"/>
  <c r="I27" i="37"/>
  <c r="S27" i="37" s="1"/>
  <c r="O26" i="37"/>
  <c r="Q26" i="37" s="1"/>
  <c r="N26" i="37"/>
  <c r="X26" i="37" s="1"/>
  <c r="K26" i="37"/>
  <c r="M26" i="37" s="1"/>
  <c r="I26" i="37"/>
  <c r="S26" i="37" s="1"/>
  <c r="J26" i="37"/>
  <c r="I25" i="37"/>
  <c r="S25" i="37" s="1"/>
  <c r="I24" i="37"/>
  <c r="S24" i="37" s="1"/>
  <c r="O23" i="37"/>
  <c r="Q23" i="37" s="1"/>
  <c r="AA23" i="37" s="1"/>
  <c r="K23" i="37"/>
  <c r="M23" i="37" s="1"/>
  <c r="I23" i="37"/>
  <c r="S23" i="37" s="1"/>
  <c r="I22" i="37"/>
  <c r="S22" i="37" s="1"/>
  <c r="I21" i="37"/>
  <c r="S21" i="37" s="1"/>
  <c r="I20" i="37"/>
  <c r="S20" i="37" s="1"/>
  <c r="I19" i="37"/>
  <c r="S19" i="37" s="1"/>
  <c r="I18" i="37"/>
  <c r="S18" i="37" s="1"/>
  <c r="O17" i="37"/>
  <c r="Q17" i="37" s="1"/>
  <c r="N17" i="37"/>
  <c r="L17" i="37" s="1"/>
  <c r="V17" i="37" s="1"/>
  <c r="K17" i="37"/>
  <c r="M17" i="37" s="1"/>
  <c r="I17" i="37"/>
  <c r="S17" i="37" s="1"/>
  <c r="J17" i="37"/>
  <c r="N16" i="37"/>
  <c r="L16" i="37" s="1"/>
  <c r="V16" i="37" s="1"/>
  <c r="I16" i="37"/>
  <c r="S16" i="37" s="1"/>
  <c r="J16" i="37"/>
  <c r="N15" i="37"/>
  <c r="X15" i="37" s="1"/>
  <c r="I15" i="37"/>
  <c r="S15" i="37" s="1"/>
  <c r="J15" i="37"/>
  <c r="N14" i="37"/>
  <c r="L14" i="37" s="1"/>
  <c r="V14" i="37" s="1"/>
  <c r="I14" i="37"/>
  <c r="S14" i="37" s="1"/>
  <c r="N13" i="37"/>
  <c r="X13" i="37" s="1"/>
  <c r="I13" i="37"/>
  <c r="S13" i="37" s="1"/>
  <c r="O12" i="37"/>
  <c r="Q12" i="37" s="1"/>
  <c r="N12" i="37"/>
  <c r="L12" i="37" s="1"/>
  <c r="V12" i="37" s="1"/>
  <c r="K12" i="37"/>
  <c r="M12" i="37" s="1"/>
  <c r="I12" i="37"/>
  <c r="S12" i="37" s="1"/>
  <c r="J12" i="37"/>
  <c r="O11" i="37"/>
  <c r="Q11" i="37" s="1"/>
  <c r="N11" i="37"/>
  <c r="L11" i="37" s="1"/>
  <c r="V11" i="37" s="1"/>
  <c r="K11" i="37"/>
  <c r="U11" i="37" s="1"/>
  <c r="I11" i="37"/>
  <c r="S11" i="37" s="1"/>
  <c r="J11" i="37"/>
  <c r="U6" i="37"/>
  <c r="U35" i="37" s="1"/>
  <c r="G6" i="37"/>
  <c r="AA6" i="37" s="1"/>
  <c r="B5" i="37" a="1"/>
  <c r="B5" i="37" s="1"/>
  <c r="N174" i="18"/>
  <c r="L174" i="18" s="1"/>
  <c r="V174" i="18" s="1"/>
  <c r="I174" i="18"/>
  <c r="S174" i="18" s="1"/>
  <c r="J174" i="18"/>
  <c r="N173" i="18"/>
  <c r="I173" i="18"/>
  <c r="S173" i="18" s="1"/>
  <c r="N172" i="18"/>
  <c r="L172" i="18" s="1"/>
  <c r="V172" i="18" s="1"/>
  <c r="I172" i="18"/>
  <c r="S172" i="18" s="1"/>
  <c r="J172" i="18"/>
  <c r="N171" i="18"/>
  <c r="I171" i="18"/>
  <c r="S171" i="18" s="1"/>
  <c r="N170" i="18"/>
  <c r="L170" i="18" s="1"/>
  <c r="V170" i="18" s="1"/>
  <c r="I170" i="18"/>
  <c r="S170" i="18" s="1"/>
  <c r="J170" i="18"/>
  <c r="N169" i="18"/>
  <c r="L169" i="18" s="1"/>
  <c r="V169" i="18" s="1"/>
  <c r="I169" i="18"/>
  <c r="S169" i="18" s="1"/>
  <c r="N168" i="18"/>
  <c r="L168" i="18" s="1"/>
  <c r="V168" i="18" s="1"/>
  <c r="I168" i="18"/>
  <c r="S168" i="18" s="1"/>
  <c r="J168" i="18"/>
  <c r="X167" i="18"/>
  <c r="N167" i="18"/>
  <c r="L167" i="18" s="1"/>
  <c r="V167" i="18" s="1"/>
  <c r="I167" i="18"/>
  <c r="S167" i="18" s="1"/>
  <c r="O166" i="18"/>
  <c r="N166" i="18"/>
  <c r="I166" i="18"/>
  <c r="S166" i="18" s="1"/>
  <c r="J166" i="18"/>
  <c r="T165" i="18"/>
  <c r="O165" i="18"/>
  <c r="Q165" i="18" s="1"/>
  <c r="N165" i="18"/>
  <c r="I165" i="18"/>
  <c r="S165" i="18" s="1"/>
  <c r="J165" i="18"/>
  <c r="P165" i="18" s="1"/>
  <c r="Z165" i="18" s="1"/>
  <c r="N164" i="18"/>
  <c r="L164" i="18" s="1"/>
  <c r="V164" i="18" s="1"/>
  <c r="I164" i="18"/>
  <c r="S164" i="18" s="1"/>
  <c r="J164" i="18"/>
  <c r="I163" i="18"/>
  <c r="S163" i="18" s="1"/>
  <c r="J163" i="18"/>
  <c r="P163" i="18" s="1"/>
  <c r="Z163" i="18" s="1"/>
  <c r="N162" i="18"/>
  <c r="L162" i="18" s="1"/>
  <c r="V162" i="18" s="1"/>
  <c r="I162" i="18"/>
  <c r="S162" i="18" s="1"/>
  <c r="J162" i="18"/>
  <c r="P162" i="18" s="1"/>
  <c r="Z162" i="18" s="1"/>
  <c r="I161" i="18"/>
  <c r="S161" i="18" s="1"/>
  <c r="J161" i="18"/>
  <c r="P161" i="18" s="1"/>
  <c r="Z161" i="18" s="1"/>
  <c r="N160" i="18"/>
  <c r="L160" i="18" s="1"/>
  <c r="V160" i="18" s="1"/>
  <c r="I160" i="18"/>
  <c r="S160" i="18" s="1"/>
  <c r="J160" i="18"/>
  <c r="P160" i="18" s="1"/>
  <c r="Z160" i="18" s="1"/>
  <c r="I159" i="18"/>
  <c r="S159" i="18" s="1"/>
  <c r="J159" i="18"/>
  <c r="P159" i="18" s="1"/>
  <c r="Z159" i="18" s="1"/>
  <c r="N158" i="18"/>
  <c r="L158" i="18" s="1"/>
  <c r="V158" i="18" s="1"/>
  <c r="I158" i="18"/>
  <c r="S158" i="18" s="1"/>
  <c r="J158" i="18"/>
  <c r="P158" i="18" s="1"/>
  <c r="Z158" i="18" s="1"/>
  <c r="I157" i="18"/>
  <c r="S157" i="18" s="1"/>
  <c r="J157" i="18"/>
  <c r="P157" i="18" s="1"/>
  <c r="Z157" i="18" s="1"/>
  <c r="O156" i="18"/>
  <c r="N156" i="18"/>
  <c r="L156" i="18" s="1"/>
  <c r="V156" i="18" s="1"/>
  <c r="I156" i="18"/>
  <c r="S156" i="18" s="1"/>
  <c r="J156" i="18"/>
  <c r="P156" i="18" s="1"/>
  <c r="Z156" i="18" s="1"/>
  <c r="N155" i="18"/>
  <c r="L155" i="18" s="1"/>
  <c r="V155" i="18" s="1"/>
  <c r="I155" i="18"/>
  <c r="S155" i="18" s="1"/>
  <c r="J155" i="18"/>
  <c r="P155" i="18" s="1"/>
  <c r="Z155" i="18" s="1"/>
  <c r="N154" i="18"/>
  <c r="L154" i="18" s="1"/>
  <c r="V154" i="18" s="1"/>
  <c r="I154" i="18"/>
  <c r="S154" i="18" s="1"/>
  <c r="J154" i="18"/>
  <c r="P154" i="18" s="1"/>
  <c r="Z154" i="18" s="1"/>
  <c r="N153" i="18"/>
  <c r="L153" i="18" s="1"/>
  <c r="V153" i="18" s="1"/>
  <c r="I153" i="18"/>
  <c r="S153" i="18" s="1"/>
  <c r="J153" i="18"/>
  <c r="P153" i="18" s="1"/>
  <c r="Z153" i="18" s="1"/>
  <c r="I152" i="18"/>
  <c r="S152" i="18" s="1"/>
  <c r="N151" i="18"/>
  <c r="I151" i="18"/>
  <c r="S151" i="18" s="1"/>
  <c r="J151" i="18"/>
  <c r="P151" i="18" s="1"/>
  <c r="Z151" i="18" s="1"/>
  <c r="I150" i="18"/>
  <c r="S150" i="18" s="1"/>
  <c r="N149" i="18"/>
  <c r="L149" i="18" s="1"/>
  <c r="V149" i="18" s="1"/>
  <c r="I149" i="18"/>
  <c r="S149" i="18" s="1"/>
  <c r="J149" i="18"/>
  <c r="P149" i="18" s="1"/>
  <c r="Z149" i="18" s="1"/>
  <c r="I148" i="18"/>
  <c r="S148" i="18" s="1"/>
  <c r="N147" i="18"/>
  <c r="L147" i="18" s="1"/>
  <c r="V147" i="18" s="1"/>
  <c r="I147" i="18"/>
  <c r="S147" i="18" s="1"/>
  <c r="J147" i="18"/>
  <c r="P147" i="18" s="1"/>
  <c r="Z147" i="18" s="1"/>
  <c r="I146" i="18"/>
  <c r="S146" i="18" s="1"/>
  <c r="J146" i="18"/>
  <c r="P146" i="18" s="1"/>
  <c r="Z146" i="18" s="1"/>
  <c r="N145" i="18"/>
  <c r="I145" i="18"/>
  <c r="S145" i="18" s="1"/>
  <c r="J145" i="18"/>
  <c r="P145" i="18" s="1"/>
  <c r="Z145" i="18" s="1"/>
  <c r="N144" i="18"/>
  <c r="L144" i="18" s="1"/>
  <c r="V144" i="18" s="1"/>
  <c r="I144" i="18"/>
  <c r="S144" i="18" s="1"/>
  <c r="J144" i="18"/>
  <c r="N143" i="18"/>
  <c r="L143" i="18" s="1"/>
  <c r="V143" i="18" s="1"/>
  <c r="I143" i="18"/>
  <c r="S143" i="18" s="1"/>
  <c r="J143" i="18"/>
  <c r="N142" i="18"/>
  <c r="L142" i="18" s="1"/>
  <c r="V142" i="18" s="1"/>
  <c r="I142" i="18"/>
  <c r="S142" i="18" s="1"/>
  <c r="N141" i="18"/>
  <c r="X141" i="18" s="1"/>
  <c r="L141" i="18"/>
  <c r="V141" i="18" s="1"/>
  <c r="I141" i="18"/>
  <c r="S141" i="18" s="1"/>
  <c r="J141" i="18"/>
  <c r="P141" i="18" s="1"/>
  <c r="Z141" i="18" s="1"/>
  <c r="N140" i="18"/>
  <c r="L140" i="18" s="1"/>
  <c r="V140" i="18" s="1"/>
  <c r="I140" i="18"/>
  <c r="S140" i="18" s="1"/>
  <c r="N139" i="18"/>
  <c r="X139" i="18" s="1"/>
  <c r="I139" i="18"/>
  <c r="S139" i="18" s="1"/>
  <c r="J139" i="18"/>
  <c r="P139" i="18" s="1"/>
  <c r="Z139" i="18" s="1"/>
  <c r="N138" i="18"/>
  <c r="L138" i="18" s="1"/>
  <c r="V138" i="18" s="1"/>
  <c r="I138" i="18"/>
  <c r="S138" i="18" s="1"/>
  <c r="N137" i="18"/>
  <c r="L137" i="18" s="1"/>
  <c r="V137" i="18" s="1"/>
  <c r="I137" i="18"/>
  <c r="S137" i="18" s="1"/>
  <c r="J137" i="18"/>
  <c r="P137" i="18" s="1"/>
  <c r="Z137" i="18" s="1"/>
  <c r="N136" i="18"/>
  <c r="L136" i="18" s="1"/>
  <c r="V136" i="18" s="1"/>
  <c r="I136" i="18"/>
  <c r="S136" i="18" s="1"/>
  <c r="N135" i="18"/>
  <c r="I135" i="18"/>
  <c r="S135" i="18" s="1"/>
  <c r="J135" i="18"/>
  <c r="N134" i="18"/>
  <c r="I134" i="18"/>
  <c r="S134" i="18" s="1"/>
  <c r="J134" i="18"/>
  <c r="O133" i="18"/>
  <c r="Q133" i="18" s="1"/>
  <c r="N133" i="18"/>
  <c r="X133" i="18" s="1"/>
  <c r="I133" i="18"/>
  <c r="S133" i="18" s="1"/>
  <c r="J133" i="18"/>
  <c r="N132" i="18"/>
  <c r="I132" i="18"/>
  <c r="S132" i="18" s="1"/>
  <c r="I131" i="18"/>
  <c r="S131" i="18" s="1"/>
  <c r="N130" i="18"/>
  <c r="L130" i="18" s="1"/>
  <c r="V130" i="18" s="1"/>
  <c r="I130" i="18"/>
  <c r="S130" i="18" s="1"/>
  <c r="I129" i="18"/>
  <c r="S129" i="18" s="1"/>
  <c r="N128" i="18"/>
  <c r="L128" i="18" s="1"/>
  <c r="V128" i="18" s="1"/>
  <c r="I128" i="18"/>
  <c r="S128" i="18" s="1"/>
  <c r="N127" i="18"/>
  <c r="L127" i="18" s="1"/>
  <c r="V127" i="18" s="1"/>
  <c r="I127" i="18"/>
  <c r="S127" i="18" s="1"/>
  <c r="N126" i="18"/>
  <c r="I126" i="18"/>
  <c r="S126" i="18" s="1"/>
  <c r="N125" i="18"/>
  <c r="I125" i="18"/>
  <c r="S125" i="18" s="1"/>
  <c r="N124" i="18"/>
  <c r="L124" i="18" s="1"/>
  <c r="V124" i="18" s="1"/>
  <c r="I124" i="18"/>
  <c r="S124" i="18" s="1"/>
  <c r="I123" i="18"/>
  <c r="S123" i="18" s="1"/>
  <c r="N122" i="18"/>
  <c r="L122" i="18" s="1"/>
  <c r="V122" i="18" s="1"/>
  <c r="I122" i="18"/>
  <c r="S122" i="18" s="1"/>
  <c r="I121" i="18"/>
  <c r="S121" i="18" s="1"/>
  <c r="N120" i="18"/>
  <c r="L120" i="18" s="1"/>
  <c r="V120" i="18" s="1"/>
  <c r="I120" i="18"/>
  <c r="S120" i="18" s="1"/>
  <c r="I119" i="18"/>
  <c r="S119" i="18" s="1"/>
  <c r="N118" i="18"/>
  <c r="I118" i="18"/>
  <c r="S118" i="18" s="1"/>
  <c r="I117" i="18"/>
  <c r="S117" i="18" s="1"/>
  <c r="N116" i="18"/>
  <c r="I116" i="18"/>
  <c r="S116" i="18" s="1"/>
  <c r="I115" i="18"/>
  <c r="S115" i="18" s="1"/>
  <c r="N114" i="18"/>
  <c r="I114" i="18"/>
  <c r="S114" i="18" s="1"/>
  <c r="I113" i="18"/>
  <c r="S113" i="18" s="1"/>
  <c r="N112" i="18"/>
  <c r="I112" i="18"/>
  <c r="S112" i="18" s="1"/>
  <c r="I111" i="18"/>
  <c r="S111" i="18" s="1"/>
  <c r="N110" i="18"/>
  <c r="I110" i="18"/>
  <c r="S110" i="18" s="1"/>
  <c r="J110" i="18"/>
  <c r="T110" i="18" s="1"/>
  <c r="O109" i="18"/>
  <c r="Q109" i="18" s="1"/>
  <c r="N109" i="18"/>
  <c r="L109" i="18" s="1"/>
  <c r="V109" i="18" s="1"/>
  <c r="I109" i="18"/>
  <c r="S109" i="18" s="1"/>
  <c r="J109" i="18"/>
  <c r="N108" i="18"/>
  <c r="I108" i="18"/>
  <c r="S108" i="18" s="1"/>
  <c r="J108" i="18"/>
  <c r="T108" i="18" s="1"/>
  <c r="N107" i="18"/>
  <c r="L107" i="18" s="1"/>
  <c r="V107" i="18" s="1"/>
  <c r="I107" i="18"/>
  <c r="S107" i="18" s="1"/>
  <c r="N106" i="18"/>
  <c r="I106" i="18"/>
  <c r="S106" i="18" s="1"/>
  <c r="J106" i="18"/>
  <c r="T106" i="18" s="1"/>
  <c r="N105" i="18"/>
  <c r="X105" i="18" s="1"/>
  <c r="I105" i="18"/>
  <c r="S105" i="18" s="1"/>
  <c r="N104" i="18"/>
  <c r="I104" i="18"/>
  <c r="S104" i="18" s="1"/>
  <c r="J104" i="18"/>
  <c r="N103" i="18"/>
  <c r="X103" i="18" s="1"/>
  <c r="I103" i="18"/>
  <c r="S103" i="18" s="1"/>
  <c r="N102" i="18"/>
  <c r="L102" i="18" s="1"/>
  <c r="V102" i="18" s="1"/>
  <c r="I102" i="18"/>
  <c r="S102" i="18" s="1"/>
  <c r="J102" i="18"/>
  <c r="N101" i="18"/>
  <c r="X101" i="18" s="1"/>
  <c r="I101" i="18"/>
  <c r="S101" i="18" s="1"/>
  <c r="N100" i="18"/>
  <c r="X100" i="18" s="1"/>
  <c r="I100" i="18"/>
  <c r="S100" i="18" s="1"/>
  <c r="J100" i="18"/>
  <c r="N99" i="18"/>
  <c r="X99" i="18" s="1"/>
  <c r="I99" i="18"/>
  <c r="S99" i="18" s="1"/>
  <c r="N98" i="18"/>
  <c r="I98" i="18"/>
  <c r="S98" i="18" s="1"/>
  <c r="J98" i="18"/>
  <c r="N97" i="18"/>
  <c r="X97" i="18" s="1"/>
  <c r="I97" i="18"/>
  <c r="S97" i="18" s="1"/>
  <c r="N96" i="18"/>
  <c r="X96" i="18" s="1"/>
  <c r="I96" i="18"/>
  <c r="S96" i="18" s="1"/>
  <c r="J96" i="18"/>
  <c r="N95" i="18"/>
  <c r="X95" i="18" s="1"/>
  <c r="I95" i="18"/>
  <c r="S95" i="18" s="1"/>
  <c r="N94" i="18"/>
  <c r="I94" i="18"/>
  <c r="S94" i="18" s="1"/>
  <c r="J94" i="18"/>
  <c r="N93" i="18"/>
  <c r="I93" i="18"/>
  <c r="S93" i="18" s="1"/>
  <c r="N92" i="18"/>
  <c r="L92" i="18" s="1"/>
  <c r="V92" i="18" s="1"/>
  <c r="I92" i="18"/>
  <c r="S92" i="18" s="1"/>
  <c r="J92" i="18"/>
  <c r="N91" i="18"/>
  <c r="I91" i="18"/>
  <c r="S91" i="18" s="1"/>
  <c r="N90" i="18"/>
  <c r="I90" i="18"/>
  <c r="S90" i="18" s="1"/>
  <c r="J90" i="18"/>
  <c r="N89" i="18"/>
  <c r="I89" i="18"/>
  <c r="S89" i="18" s="1"/>
  <c r="N88" i="18"/>
  <c r="L88" i="18" s="1"/>
  <c r="V88" i="18" s="1"/>
  <c r="I88" i="18"/>
  <c r="S88" i="18" s="1"/>
  <c r="J88" i="18"/>
  <c r="P88" i="18" s="1"/>
  <c r="Z88" i="18" s="1"/>
  <c r="N87" i="18"/>
  <c r="I87" i="18"/>
  <c r="S87" i="18" s="1"/>
  <c r="N86" i="18"/>
  <c r="L86" i="18" s="1"/>
  <c r="V86" i="18" s="1"/>
  <c r="I86" i="18"/>
  <c r="S86" i="18" s="1"/>
  <c r="J86" i="18"/>
  <c r="O85" i="18"/>
  <c r="Q85" i="18" s="1"/>
  <c r="N85" i="18"/>
  <c r="X85" i="18" s="1"/>
  <c r="I85" i="18"/>
  <c r="S85" i="18" s="1"/>
  <c r="J85" i="18"/>
  <c r="N84" i="18"/>
  <c r="X84" i="18" s="1"/>
  <c r="I84" i="18"/>
  <c r="S84" i="18" s="1"/>
  <c r="J84" i="18"/>
  <c r="N83" i="18"/>
  <c r="X83" i="18" s="1"/>
  <c r="I83" i="18"/>
  <c r="S83" i="18" s="1"/>
  <c r="N82" i="18"/>
  <c r="X82" i="18" s="1"/>
  <c r="L82" i="18"/>
  <c r="V82" i="18" s="1"/>
  <c r="I82" i="18"/>
  <c r="S82" i="18" s="1"/>
  <c r="J82" i="18"/>
  <c r="N81" i="18"/>
  <c r="I81" i="18"/>
  <c r="S81" i="18" s="1"/>
  <c r="N80" i="18"/>
  <c r="X80" i="18" s="1"/>
  <c r="I80" i="18"/>
  <c r="S80" i="18" s="1"/>
  <c r="J80" i="18"/>
  <c r="N79" i="18"/>
  <c r="X79" i="18" s="1"/>
  <c r="I79" i="18"/>
  <c r="S79" i="18" s="1"/>
  <c r="N78" i="18"/>
  <c r="L78" i="18" s="1"/>
  <c r="V78" i="18" s="1"/>
  <c r="I78" i="18"/>
  <c r="S78" i="18" s="1"/>
  <c r="J78" i="18"/>
  <c r="N77" i="18"/>
  <c r="X77" i="18" s="1"/>
  <c r="I77" i="18"/>
  <c r="S77" i="18" s="1"/>
  <c r="S76" i="18"/>
  <c r="N76" i="18"/>
  <c r="L76" i="18" s="1"/>
  <c r="V76" i="18" s="1"/>
  <c r="I76" i="18"/>
  <c r="J76" i="18"/>
  <c r="N75" i="18"/>
  <c r="L75" i="18" s="1"/>
  <c r="V75" i="18" s="1"/>
  <c r="I75" i="18"/>
  <c r="S75" i="18" s="1"/>
  <c r="N74" i="18"/>
  <c r="L74" i="18" s="1"/>
  <c r="V74" i="18" s="1"/>
  <c r="I74" i="18"/>
  <c r="S74" i="18" s="1"/>
  <c r="J74" i="18"/>
  <c r="N73" i="18"/>
  <c r="I73" i="18"/>
  <c r="S73" i="18" s="1"/>
  <c r="N72" i="18"/>
  <c r="L72" i="18" s="1"/>
  <c r="V72" i="18" s="1"/>
  <c r="I72" i="18"/>
  <c r="S72" i="18" s="1"/>
  <c r="J72" i="18"/>
  <c r="N71" i="18"/>
  <c r="L71" i="18" s="1"/>
  <c r="V71" i="18" s="1"/>
  <c r="I71" i="18"/>
  <c r="S71" i="18" s="1"/>
  <c r="N70" i="18"/>
  <c r="I70" i="18"/>
  <c r="S70" i="18" s="1"/>
  <c r="J70" i="18"/>
  <c r="T70" i="18" s="1"/>
  <c r="N69" i="18"/>
  <c r="L69" i="18" s="1"/>
  <c r="V69" i="18" s="1"/>
  <c r="I69" i="18"/>
  <c r="S69" i="18" s="1"/>
  <c r="O68" i="18"/>
  <c r="Q68" i="18" s="1"/>
  <c r="N68" i="18"/>
  <c r="I68" i="18"/>
  <c r="S68" i="18" s="1"/>
  <c r="J68" i="18"/>
  <c r="N67" i="18"/>
  <c r="I67" i="18"/>
  <c r="S67" i="18" s="1"/>
  <c r="J67" i="18"/>
  <c r="N66" i="18"/>
  <c r="L66" i="18" s="1"/>
  <c r="V66" i="18" s="1"/>
  <c r="I66" i="18"/>
  <c r="S66" i="18" s="1"/>
  <c r="N65" i="18"/>
  <c r="J65" i="18"/>
  <c r="I65" i="18"/>
  <c r="S65" i="18" s="1"/>
  <c r="N64" i="18"/>
  <c r="L64" i="18" s="1"/>
  <c r="V64" i="18" s="1"/>
  <c r="I64" i="18"/>
  <c r="S64" i="18" s="1"/>
  <c r="N63" i="18"/>
  <c r="X63" i="18" s="1"/>
  <c r="I63" i="18"/>
  <c r="S63" i="18" s="1"/>
  <c r="J63" i="18"/>
  <c r="P63" i="18" s="1"/>
  <c r="Z63" i="18" s="1"/>
  <c r="N62" i="18"/>
  <c r="L62" i="18" s="1"/>
  <c r="V62" i="18" s="1"/>
  <c r="I62" i="18"/>
  <c r="S62" i="18" s="1"/>
  <c r="O61" i="18"/>
  <c r="N61" i="18"/>
  <c r="X61" i="18" s="1"/>
  <c r="K61" i="18"/>
  <c r="M61" i="18" s="1"/>
  <c r="I61" i="18"/>
  <c r="S61" i="18" s="1"/>
  <c r="J61" i="18"/>
  <c r="I60" i="18"/>
  <c r="S60" i="18" s="1"/>
  <c r="I59" i="18"/>
  <c r="S59" i="18" s="1"/>
  <c r="I58" i="18"/>
  <c r="S58" i="18" s="1"/>
  <c r="I57" i="18"/>
  <c r="S57" i="18" s="1"/>
  <c r="I56" i="18"/>
  <c r="S56" i="18" s="1"/>
  <c r="I55" i="18"/>
  <c r="S55" i="18" s="1"/>
  <c r="I54" i="18"/>
  <c r="S54" i="18" s="1"/>
  <c r="I53" i="18"/>
  <c r="S53" i="18" s="1"/>
  <c r="I52" i="18"/>
  <c r="S52" i="18" s="1"/>
  <c r="I51" i="18"/>
  <c r="S51" i="18" s="1"/>
  <c r="I50" i="18"/>
  <c r="S50" i="18" s="1"/>
  <c r="N49" i="18"/>
  <c r="X49" i="18" s="1"/>
  <c r="I49" i="18"/>
  <c r="S49" i="18" s="1"/>
  <c r="J49" i="18"/>
  <c r="N48" i="18"/>
  <c r="I48" i="18"/>
  <c r="S48" i="18" s="1"/>
  <c r="J48" i="18"/>
  <c r="P48" i="18" s="1"/>
  <c r="Z48" i="18" s="1"/>
  <c r="N47" i="18"/>
  <c r="X47" i="18" s="1"/>
  <c r="I47" i="18"/>
  <c r="S47" i="18" s="1"/>
  <c r="N46" i="18"/>
  <c r="I46" i="18"/>
  <c r="S46" i="18" s="1"/>
  <c r="J46" i="18"/>
  <c r="P46" i="18" s="1"/>
  <c r="Z46" i="18" s="1"/>
  <c r="N45" i="18"/>
  <c r="I45" i="18"/>
  <c r="S45" i="18" s="1"/>
  <c r="N44" i="18"/>
  <c r="L44" i="18" s="1"/>
  <c r="V44" i="18" s="1"/>
  <c r="I44" i="18"/>
  <c r="S44" i="18" s="1"/>
  <c r="J44" i="18"/>
  <c r="P44" i="18" s="1"/>
  <c r="Z44" i="18" s="1"/>
  <c r="N43" i="18"/>
  <c r="L43" i="18" s="1"/>
  <c r="V43" i="18" s="1"/>
  <c r="I43" i="18"/>
  <c r="S43" i="18" s="1"/>
  <c r="N42" i="18"/>
  <c r="X42" i="18" s="1"/>
  <c r="I42" i="18"/>
  <c r="S42" i="18" s="1"/>
  <c r="J42" i="18"/>
  <c r="P42" i="18" s="1"/>
  <c r="Z42" i="18" s="1"/>
  <c r="N41" i="18"/>
  <c r="L41" i="18" s="1"/>
  <c r="V41" i="18" s="1"/>
  <c r="I41" i="18"/>
  <c r="S41" i="18" s="1"/>
  <c r="T40" i="18"/>
  <c r="N40" i="18"/>
  <c r="X40" i="18" s="1"/>
  <c r="I40" i="18"/>
  <c r="S40" i="18" s="1"/>
  <c r="J40" i="18"/>
  <c r="P40" i="18" s="1"/>
  <c r="Z40" i="18" s="1"/>
  <c r="N39" i="18"/>
  <c r="L39" i="18" s="1"/>
  <c r="V39" i="18" s="1"/>
  <c r="I39" i="18"/>
  <c r="S39" i="18" s="1"/>
  <c r="J39" i="18"/>
  <c r="T39" i="18" s="1"/>
  <c r="O38" i="18"/>
  <c r="Q38" i="18" s="1"/>
  <c r="N38" i="18"/>
  <c r="X38" i="18" s="1"/>
  <c r="I38" i="18"/>
  <c r="S38" i="18" s="1"/>
  <c r="J38" i="18"/>
  <c r="P38" i="18" s="1"/>
  <c r="Z38" i="18" s="1"/>
  <c r="O37" i="18"/>
  <c r="K37" i="18"/>
  <c r="M37" i="18" s="1"/>
  <c r="I37" i="18"/>
  <c r="S37" i="18" s="1"/>
  <c r="N36" i="18"/>
  <c r="L36" i="18" s="1"/>
  <c r="V36" i="18" s="1"/>
  <c r="I36" i="18"/>
  <c r="S36" i="18" s="1"/>
  <c r="J36" i="18"/>
  <c r="I35" i="18"/>
  <c r="S35" i="18" s="1"/>
  <c r="I34" i="18"/>
  <c r="S34" i="18" s="1"/>
  <c r="N33" i="18"/>
  <c r="X33" i="18" s="1"/>
  <c r="I33" i="18"/>
  <c r="S33" i="18" s="1"/>
  <c r="I32" i="18"/>
  <c r="S32" i="18" s="1"/>
  <c r="I31" i="18"/>
  <c r="S31" i="18" s="1"/>
  <c r="I30" i="18"/>
  <c r="S30" i="18" s="1"/>
  <c r="N29" i="18"/>
  <c r="L29" i="18" s="1"/>
  <c r="V29" i="18" s="1"/>
  <c r="I29" i="18"/>
  <c r="S29" i="18" s="1"/>
  <c r="I28" i="18"/>
  <c r="S28" i="18" s="1"/>
  <c r="I27" i="18"/>
  <c r="S27" i="18" s="1"/>
  <c r="K26" i="18"/>
  <c r="M26" i="18" s="1"/>
  <c r="I26" i="18"/>
  <c r="S26" i="18" s="1"/>
  <c r="O25" i="18"/>
  <c r="Q25" i="18" s="1"/>
  <c r="K25" i="18"/>
  <c r="I25" i="18"/>
  <c r="S25" i="18" s="1"/>
  <c r="O24" i="18"/>
  <c r="N24" i="18"/>
  <c r="L24" i="18" s="1"/>
  <c r="V24" i="18" s="1"/>
  <c r="K24" i="18"/>
  <c r="M24" i="18" s="1"/>
  <c r="I24" i="18"/>
  <c r="S24" i="18" s="1"/>
  <c r="J24" i="18"/>
  <c r="N23" i="18"/>
  <c r="L23" i="18" s="1"/>
  <c r="V23" i="18" s="1"/>
  <c r="I23" i="18"/>
  <c r="S23" i="18" s="1"/>
  <c r="J23" i="18"/>
  <c r="T23" i="18" s="1"/>
  <c r="I22" i="18"/>
  <c r="S22" i="18" s="1"/>
  <c r="N21" i="18"/>
  <c r="X21" i="18" s="1"/>
  <c r="I21" i="18"/>
  <c r="S21" i="18" s="1"/>
  <c r="J21" i="18"/>
  <c r="I20" i="18"/>
  <c r="S20" i="18" s="1"/>
  <c r="N19" i="18"/>
  <c r="X19" i="18" s="1"/>
  <c r="I19" i="18"/>
  <c r="S19" i="18" s="1"/>
  <c r="J19" i="18"/>
  <c r="T19" i="18" s="1"/>
  <c r="N18" i="18"/>
  <c r="X18" i="18" s="1"/>
  <c r="I18" i="18"/>
  <c r="S18" i="18" s="1"/>
  <c r="N17" i="18"/>
  <c r="X17" i="18" s="1"/>
  <c r="I17" i="18"/>
  <c r="S17" i="18" s="1"/>
  <c r="J17" i="18"/>
  <c r="I16" i="18"/>
  <c r="S16" i="18" s="1"/>
  <c r="N15" i="18"/>
  <c r="L15" i="18" s="1"/>
  <c r="V15" i="18" s="1"/>
  <c r="I15" i="18"/>
  <c r="S15" i="18" s="1"/>
  <c r="K14" i="18"/>
  <c r="M14" i="18" s="1"/>
  <c r="I14" i="18"/>
  <c r="S14" i="18" s="1"/>
  <c r="O13" i="18"/>
  <c r="Q13" i="18" s="1"/>
  <c r="N13" i="18"/>
  <c r="L13" i="18" s="1"/>
  <c r="V13" i="18" s="1"/>
  <c r="K13" i="18"/>
  <c r="M13" i="18" s="1"/>
  <c r="I13" i="18"/>
  <c r="S13" i="18" s="1"/>
  <c r="N171" i="19"/>
  <c r="X171" i="19" s="1"/>
  <c r="I171" i="19"/>
  <c r="S171" i="19" s="1"/>
  <c r="J171" i="19"/>
  <c r="P171" i="19" s="1"/>
  <c r="Z171" i="19" s="1"/>
  <c r="N170" i="19"/>
  <c r="I170" i="19"/>
  <c r="S170" i="19" s="1"/>
  <c r="N169" i="19"/>
  <c r="X169" i="19" s="1"/>
  <c r="I169" i="19"/>
  <c r="S169" i="19" s="1"/>
  <c r="J169" i="19"/>
  <c r="P169" i="19" s="1"/>
  <c r="Z169" i="19" s="1"/>
  <c r="N168" i="19"/>
  <c r="L168" i="19" s="1"/>
  <c r="V168" i="19" s="1"/>
  <c r="I168" i="19"/>
  <c r="S168" i="19" s="1"/>
  <c r="N167" i="19"/>
  <c r="L167" i="19" s="1"/>
  <c r="V167" i="19" s="1"/>
  <c r="I167" i="19"/>
  <c r="S167" i="19" s="1"/>
  <c r="J167" i="19"/>
  <c r="P167" i="19" s="1"/>
  <c r="Z167" i="19" s="1"/>
  <c r="N166" i="19"/>
  <c r="L166" i="19" s="1"/>
  <c r="V166" i="19" s="1"/>
  <c r="I166" i="19"/>
  <c r="S166" i="19" s="1"/>
  <c r="N165" i="19"/>
  <c r="I165" i="19"/>
  <c r="S165" i="19" s="1"/>
  <c r="J165" i="19"/>
  <c r="P165" i="19" s="1"/>
  <c r="Z165" i="19" s="1"/>
  <c r="N164" i="19"/>
  <c r="L164" i="19" s="1"/>
  <c r="V164" i="19" s="1"/>
  <c r="I164" i="19"/>
  <c r="S164" i="19" s="1"/>
  <c r="N163" i="19"/>
  <c r="L163" i="19" s="1"/>
  <c r="V163" i="19" s="1"/>
  <c r="I163" i="19"/>
  <c r="S163" i="19" s="1"/>
  <c r="J163" i="19"/>
  <c r="N162" i="19"/>
  <c r="I162" i="19"/>
  <c r="S162" i="19" s="1"/>
  <c r="N161" i="19"/>
  <c r="I161" i="19"/>
  <c r="S161" i="19" s="1"/>
  <c r="J161" i="19"/>
  <c r="N160" i="19"/>
  <c r="X160" i="19" s="1"/>
  <c r="I160" i="19"/>
  <c r="S160" i="19" s="1"/>
  <c r="N159" i="19"/>
  <c r="X159" i="19" s="1"/>
  <c r="L159" i="19"/>
  <c r="V159" i="19" s="1"/>
  <c r="I159" i="19"/>
  <c r="S159" i="19" s="1"/>
  <c r="J159" i="19"/>
  <c r="T159" i="19" s="1"/>
  <c r="N158" i="19"/>
  <c r="X158" i="19" s="1"/>
  <c r="I158" i="19"/>
  <c r="S158" i="19" s="1"/>
  <c r="N157" i="19"/>
  <c r="X157" i="19" s="1"/>
  <c r="I157" i="19"/>
  <c r="S157" i="19" s="1"/>
  <c r="J157" i="19"/>
  <c r="N156" i="19"/>
  <c r="I156" i="19"/>
  <c r="S156" i="19" s="1"/>
  <c r="O155" i="19"/>
  <c r="Q155" i="19" s="1"/>
  <c r="N155" i="19"/>
  <c r="X155" i="19" s="1"/>
  <c r="K155" i="19"/>
  <c r="M155" i="19" s="1"/>
  <c r="I155" i="19"/>
  <c r="S155" i="19" s="1"/>
  <c r="J155" i="19"/>
  <c r="T155" i="19" s="1"/>
  <c r="N154" i="19"/>
  <c r="X154" i="19" s="1"/>
  <c r="I154" i="19"/>
  <c r="S154" i="19" s="1"/>
  <c r="J154" i="19"/>
  <c r="N153" i="19"/>
  <c r="L153" i="19" s="1"/>
  <c r="V153" i="19" s="1"/>
  <c r="I153" i="19"/>
  <c r="S153" i="19" s="1"/>
  <c r="N152" i="19"/>
  <c r="X152" i="19" s="1"/>
  <c r="I152" i="19"/>
  <c r="S152" i="19" s="1"/>
  <c r="J152" i="19"/>
  <c r="N151" i="19"/>
  <c r="X151" i="19" s="1"/>
  <c r="I151" i="19"/>
  <c r="S151" i="19" s="1"/>
  <c r="N150" i="19"/>
  <c r="X150" i="19" s="1"/>
  <c r="I150" i="19"/>
  <c r="S150" i="19" s="1"/>
  <c r="J150" i="19"/>
  <c r="N149" i="19"/>
  <c r="X149" i="19" s="1"/>
  <c r="I149" i="19"/>
  <c r="S149" i="19" s="1"/>
  <c r="N148" i="19"/>
  <c r="X148" i="19" s="1"/>
  <c r="I148" i="19"/>
  <c r="S148" i="19" s="1"/>
  <c r="J148" i="19"/>
  <c r="O147" i="19"/>
  <c r="Q147" i="19" s="1"/>
  <c r="N147" i="19"/>
  <c r="X147" i="19" s="1"/>
  <c r="K147" i="19"/>
  <c r="M147" i="19" s="1"/>
  <c r="I147" i="19"/>
  <c r="S147" i="19" s="1"/>
  <c r="J147" i="19"/>
  <c r="N146" i="19"/>
  <c r="X146" i="19" s="1"/>
  <c r="I146" i="19"/>
  <c r="S146" i="19" s="1"/>
  <c r="J146" i="19"/>
  <c r="N145" i="19"/>
  <c r="X145" i="19" s="1"/>
  <c r="I145" i="19"/>
  <c r="S145" i="19" s="1"/>
  <c r="N144" i="19"/>
  <c r="X144" i="19" s="1"/>
  <c r="I144" i="19"/>
  <c r="S144" i="19" s="1"/>
  <c r="J144" i="19"/>
  <c r="N143" i="19"/>
  <c r="X143" i="19" s="1"/>
  <c r="I143" i="19"/>
  <c r="S143" i="19" s="1"/>
  <c r="N142" i="19"/>
  <c r="X142" i="19" s="1"/>
  <c r="I142" i="19"/>
  <c r="S142" i="19" s="1"/>
  <c r="J142" i="19"/>
  <c r="N141" i="19"/>
  <c r="X141" i="19" s="1"/>
  <c r="I141" i="19"/>
  <c r="S141" i="19" s="1"/>
  <c r="N140" i="19"/>
  <c r="X140" i="19" s="1"/>
  <c r="I140" i="19"/>
  <c r="S140" i="19" s="1"/>
  <c r="J140" i="19"/>
  <c r="N139" i="19"/>
  <c r="X139" i="19" s="1"/>
  <c r="I139" i="19"/>
  <c r="S139" i="19" s="1"/>
  <c r="N138" i="19"/>
  <c r="X138" i="19" s="1"/>
  <c r="I138" i="19"/>
  <c r="S138" i="19" s="1"/>
  <c r="J138" i="19"/>
  <c r="N137" i="19"/>
  <c r="I137" i="19"/>
  <c r="S137" i="19" s="1"/>
  <c r="N136" i="19"/>
  <c r="L136" i="19" s="1"/>
  <c r="V136" i="19" s="1"/>
  <c r="I136" i="19"/>
  <c r="S136" i="19" s="1"/>
  <c r="J136" i="19"/>
  <c r="N135" i="19"/>
  <c r="I135" i="19"/>
  <c r="S135" i="19" s="1"/>
  <c r="N134" i="19"/>
  <c r="L134" i="19" s="1"/>
  <c r="V134" i="19" s="1"/>
  <c r="I134" i="19"/>
  <c r="S134" i="19" s="1"/>
  <c r="J134" i="19"/>
  <c r="N133" i="19"/>
  <c r="I133" i="19"/>
  <c r="S133" i="19" s="1"/>
  <c r="N132" i="19"/>
  <c r="I132" i="19"/>
  <c r="S132" i="19" s="1"/>
  <c r="J132" i="19"/>
  <c r="N131" i="19"/>
  <c r="I131" i="19"/>
  <c r="S131" i="19" s="1"/>
  <c r="N130" i="19"/>
  <c r="I130" i="19"/>
  <c r="S130" i="19" s="1"/>
  <c r="J130" i="19"/>
  <c r="N129" i="19"/>
  <c r="I129" i="19"/>
  <c r="S129" i="19" s="1"/>
  <c r="N128" i="19"/>
  <c r="I128" i="19"/>
  <c r="S128" i="19" s="1"/>
  <c r="J128" i="19"/>
  <c r="N127" i="19"/>
  <c r="I127" i="19"/>
  <c r="S127" i="19" s="1"/>
  <c r="N126" i="19"/>
  <c r="I126" i="19"/>
  <c r="S126" i="19" s="1"/>
  <c r="J126" i="19"/>
  <c r="N125" i="19"/>
  <c r="I125" i="19"/>
  <c r="S125" i="19" s="1"/>
  <c r="N124" i="19"/>
  <c r="L124" i="19" s="1"/>
  <c r="V124" i="19" s="1"/>
  <c r="I124" i="19"/>
  <c r="S124" i="19" s="1"/>
  <c r="J124" i="19"/>
  <c r="O123" i="19"/>
  <c r="Q123" i="19" s="1"/>
  <c r="N123" i="19"/>
  <c r="K123" i="19"/>
  <c r="M123" i="19" s="1"/>
  <c r="I123" i="19"/>
  <c r="S123" i="19" s="1"/>
  <c r="J123" i="19"/>
  <c r="P123" i="19" s="1"/>
  <c r="Z123" i="19" s="1"/>
  <c r="N122" i="19"/>
  <c r="L122" i="19" s="1"/>
  <c r="V122" i="19" s="1"/>
  <c r="I122" i="19"/>
  <c r="S122" i="19" s="1"/>
  <c r="J122" i="19"/>
  <c r="N121" i="19"/>
  <c r="X121" i="19" s="1"/>
  <c r="I121" i="19"/>
  <c r="S121" i="19" s="1"/>
  <c r="N120" i="19"/>
  <c r="L120" i="19" s="1"/>
  <c r="V120" i="19" s="1"/>
  <c r="I120" i="19"/>
  <c r="S120" i="19" s="1"/>
  <c r="J120" i="19"/>
  <c r="N119" i="19"/>
  <c r="X119" i="19" s="1"/>
  <c r="I119" i="19"/>
  <c r="S119" i="19" s="1"/>
  <c r="N118" i="19"/>
  <c r="L118" i="19" s="1"/>
  <c r="V118" i="19" s="1"/>
  <c r="I118" i="19"/>
  <c r="S118" i="19" s="1"/>
  <c r="J118" i="19"/>
  <c r="T118" i="19" s="1"/>
  <c r="N117" i="19"/>
  <c r="I117" i="19"/>
  <c r="S117" i="19" s="1"/>
  <c r="N116" i="19"/>
  <c r="L116" i="19" s="1"/>
  <c r="V116" i="19" s="1"/>
  <c r="I116" i="19"/>
  <c r="S116" i="19" s="1"/>
  <c r="J116" i="19"/>
  <c r="N115" i="19"/>
  <c r="I115" i="19"/>
  <c r="S115" i="19" s="1"/>
  <c r="N114" i="19"/>
  <c r="I114" i="19"/>
  <c r="S114" i="19" s="1"/>
  <c r="J114" i="19"/>
  <c r="N113" i="19"/>
  <c r="X113" i="19" s="1"/>
  <c r="I113" i="19"/>
  <c r="S113" i="19" s="1"/>
  <c r="N112" i="19"/>
  <c r="I112" i="19"/>
  <c r="S112" i="19" s="1"/>
  <c r="J112" i="19"/>
  <c r="N111" i="19"/>
  <c r="X111" i="19" s="1"/>
  <c r="I111" i="19"/>
  <c r="S111" i="19" s="1"/>
  <c r="N110" i="19"/>
  <c r="L110" i="19" s="1"/>
  <c r="V110" i="19" s="1"/>
  <c r="I110" i="19"/>
  <c r="S110" i="19" s="1"/>
  <c r="J110" i="19"/>
  <c r="N109" i="19"/>
  <c r="X109" i="19" s="1"/>
  <c r="I109" i="19"/>
  <c r="S109" i="19" s="1"/>
  <c r="N108" i="19"/>
  <c r="L108" i="19" s="1"/>
  <c r="V108" i="19" s="1"/>
  <c r="I108" i="19"/>
  <c r="S108" i="19" s="1"/>
  <c r="J108" i="19"/>
  <c r="N107" i="19"/>
  <c r="L107" i="19" s="1"/>
  <c r="V107" i="19" s="1"/>
  <c r="I107" i="19"/>
  <c r="S107" i="19" s="1"/>
  <c r="N106" i="19"/>
  <c r="I106" i="19"/>
  <c r="S106" i="19" s="1"/>
  <c r="J106" i="19"/>
  <c r="N105" i="19"/>
  <c r="X105" i="19" s="1"/>
  <c r="I105" i="19"/>
  <c r="S105" i="19" s="1"/>
  <c r="N104" i="19"/>
  <c r="L104" i="19" s="1"/>
  <c r="V104" i="19" s="1"/>
  <c r="I104" i="19"/>
  <c r="S104" i="19" s="1"/>
  <c r="J104" i="19"/>
  <c r="N103" i="19"/>
  <c r="X103" i="19" s="1"/>
  <c r="I103" i="19"/>
  <c r="S103" i="19" s="1"/>
  <c r="N102" i="19"/>
  <c r="I102" i="19"/>
  <c r="S102" i="19" s="1"/>
  <c r="J102" i="19"/>
  <c r="T102" i="19" s="1"/>
  <c r="N101" i="19"/>
  <c r="I101" i="19"/>
  <c r="S101" i="19" s="1"/>
  <c r="N100" i="19"/>
  <c r="L100" i="19" s="1"/>
  <c r="V100" i="19" s="1"/>
  <c r="I100" i="19"/>
  <c r="S100" i="19" s="1"/>
  <c r="J100" i="19"/>
  <c r="N99" i="19"/>
  <c r="X99" i="19" s="1"/>
  <c r="K99" i="19"/>
  <c r="M99" i="19" s="1"/>
  <c r="I99" i="19"/>
  <c r="S99" i="19" s="1"/>
  <c r="J99" i="19"/>
  <c r="N98" i="19"/>
  <c r="L98" i="19" s="1"/>
  <c r="V98" i="19" s="1"/>
  <c r="I98" i="19"/>
  <c r="S98" i="19" s="1"/>
  <c r="J98" i="19"/>
  <c r="N97" i="19"/>
  <c r="X97" i="19" s="1"/>
  <c r="I97" i="19"/>
  <c r="S97" i="19" s="1"/>
  <c r="N96" i="19"/>
  <c r="I96" i="19"/>
  <c r="S96" i="19" s="1"/>
  <c r="J96" i="19"/>
  <c r="I95" i="19"/>
  <c r="S95" i="19" s="1"/>
  <c r="J95" i="19"/>
  <c r="N94" i="19"/>
  <c r="L94" i="19" s="1"/>
  <c r="V94" i="19" s="1"/>
  <c r="I94" i="19"/>
  <c r="S94" i="19" s="1"/>
  <c r="J94" i="19"/>
  <c r="I93" i="19"/>
  <c r="S93" i="19" s="1"/>
  <c r="J93" i="19"/>
  <c r="P93" i="19" s="1"/>
  <c r="Z93" i="19" s="1"/>
  <c r="N92" i="19"/>
  <c r="I92" i="19"/>
  <c r="S92" i="19" s="1"/>
  <c r="J92" i="19"/>
  <c r="O91" i="19"/>
  <c r="Q91" i="19" s="1"/>
  <c r="K91" i="19"/>
  <c r="I91" i="19"/>
  <c r="S91" i="19" s="1"/>
  <c r="O90" i="19"/>
  <c r="N90" i="19"/>
  <c r="L90" i="19" s="1"/>
  <c r="V90" i="19" s="1"/>
  <c r="K90" i="19"/>
  <c r="M90" i="19" s="1"/>
  <c r="I90" i="19"/>
  <c r="S90" i="19" s="1"/>
  <c r="J90" i="19"/>
  <c r="I89" i="19"/>
  <c r="S89" i="19" s="1"/>
  <c r="I88" i="19"/>
  <c r="S88" i="19" s="1"/>
  <c r="I87" i="19"/>
  <c r="S87" i="19" s="1"/>
  <c r="I86" i="19"/>
  <c r="S86" i="19" s="1"/>
  <c r="I85" i="19"/>
  <c r="S85" i="19" s="1"/>
  <c r="I84" i="19"/>
  <c r="S84" i="19" s="1"/>
  <c r="I83" i="19"/>
  <c r="S83" i="19" s="1"/>
  <c r="I82" i="19"/>
  <c r="S82" i="19" s="1"/>
  <c r="I81" i="19"/>
  <c r="S81" i="19" s="1"/>
  <c r="I80" i="19"/>
  <c r="S80" i="19" s="1"/>
  <c r="I79" i="19"/>
  <c r="S79" i="19" s="1"/>
  <c r="I78" i="19"/>
  <c r="S78" i="19" s="1"/>
  <c r="O77" i="19"/>
  <c r="Q77" i="19" s="1"/>
  <c r="N77" i="19"/>
  <c r="L77" i="19" s="1"/>
  <c r="V77" i="19" s="1"/>
  <c r="I77" i="19"/>
  <c r="S77" i="19" s="1"/>
  <c r="O76" i="19"/>
  <c r="N76" i="19"/>
  <c r="L76" i="19" s="1"/>
  <c r="V76" i="19" s="1"/>
  <c r="K76" i="19"/>
  <c r="M76" i="19" s="1"/>
  <c r="I76" i="19"/>
  <c r="S76" i="19" s="1"/>
  <c r="J76" i="19"/>
  <c r="I75" i="19"/>
  <c r="S75" i="19" s="1"/>
  <c r="I74" i="19"/>
  <c r="S74" i="19" s="1"/>
  <c r="I73" i="19"/>
  <c r="S73" i="19" s="1"/>
  <c r="I72" i="19"/>
  <c r="S72" i="19" s="1"/>
  <c r="I71" i="19"/>
  <c r="S71" i="19" s="1"/>
  <c r="I70" i="19"/>
  <c r="S70" i="19" s="1"/>
  <c r="I69" i="19"/>
  <c r="S69" i="19" s="1"/>
  <c r="N68" i="19"/>
  <c r="I68" i="19"/>
  <c r="S68" i="19" s="1"/>
  <c r="N67" i="19"/>
  <c r="I67" i="19"/>
  <c r="S67" i="19" s="1"/>
  <c r="J67" i="19"/>
  <c r="N66" i="19"/>
  <c r="I66" i="19"/>
  <c r="S66" i="19" s="1"/>
  <c r="I65" i="19"/>
  <c r="S65" i="19" s="1"/>
  <c r="J65" i="19"/>
  <c r="I64" i="19"/>
  <c r="S64" i="19" s="1"/>
  <c r="N63" i="19"/>
  <c r="L63" i="19" s="1"/>
  <c r="V63" i="19" s="1"/>
  <c r="I63" i="19"/>
  <c r="S63" i="19" s="1"/>
  <c r="J63" i="19"/>
  <c r="I62" i="19"/>
  <c r="S62" i="19" s="1"/>
  <c r="N61" i="19"/>
  <c r="L61" i="19" s="1"/>
  <c r="V61" i="19" s="1"/>
  <c r="I61" i="19"/>
  <c r="S61" i="19" s="1"/>
  <c r="J61" i="19"/>
  <c r="N60" i="19"/>
  <c r="L60" i="19" s="1"/>
  <c r="V60" i="19" s="1"/>
  <c r="I60" i="19"/>
  <c r="S60" i="19" s="1"/>
  <c r="N59" i="19"/>
  <c r="L59" i="19" s="1"/>
  <c r="V59" i="19" s="1"/>
  <c r="I59" i="19"/>
  <c r="S59" i="19" s="1"/>
  <c r="J59" i="19"/>
  <c r="P59" i="19" s="1"/>
  <c r="Z59" i="19" s="1"/>
  <c r="N58" i="19"/>
  <c r="L58" i="19" s="1"/>
  <c r="V58" i="19" s="1"/>
  <c r="I58" i="19"/>
  <c r="S58" i="19" s="1"/>
  <c r="O57" i="19"/>
  <c r="N57" i="19"/>
  <c r="L57" i="19" s="1"/>
  <c r="V57" i="19" s="1"/>
  <c r="K57" i="19"/>
  <c r="I57" i="19"/>
  <c r="S57" i="19" s="1"/>
  <c r="I56" i="19"/>
  <c r="S56" i="19" s="1"/>
  <c r="I55" i="19"/>
  <c r="S55" i="19" s="1"/>
  <c r="I54" i="19"/>
  <c r="S54" i="19" s="1"/>
  <c r="N53" i="19"/>
  <c r="L53" i="19" s="1"/>
  <c r="V53" i="19" s="1"/>
  <c r="I53" i="19"/>
  <c r="S53" i="19" s="1"/>
  <c r="I52" i="19"/>
  <c r="S52" i="19" s="1"/>
  <c r="J52" i="19"/>
  <c r="N51" i="19"/>
  <c r="L51" i="19" s="1"/>
  <c r="V51" i="19" s="1"/>
  <c r="I51" i="19"/>
  <c r="S51" i="19" s="1"/>
  <c r="J51" i="19"/>
  <c r="I50" i="19"/>
  <c r="S50" i="19" s="1"/>
  <c r="J50" i="19"/>
  <c r="N49" i="19"/>
  <c r="X49" i="19" s="1"/>
  <c r="I49" i="19"/>
  <c r="S49" i="19" s="1"/>
  <c r="J49" i="19"/>
  <c r="I48" i="19"/>
  <c r="S48" i="19" s="1"/>
  <c r="J48" i="19"/>
  <c r="N47" i="19"/>
  <c r="X47" i="19" s="1"/>
  <c r="I47" i="19"/>
  <c r="S47" i="19" s="1"/>
  <c r="J47" i="19"/>
  <c r="I46" i="19"/>
  <c r="S46" i="19" s="1"/>
  <c r="J46" i="19"/>
  <c r="N45" i="19"/>
  <c r="X45" i="19" s="1"/>
  <c r="I45" i="19"/>
  <c r="S45" i="19" s="1"/>
  <c r="J45" i="19"/>
  <c r="N44" i="19"/>
  <c r="I44" i="19"/>
  <c r="S44" i="19" s="1"/>
  <c r="J44" i="19"/>
  <c r="N43" i="19"/>
  <c r="L43" i="19" s="1"/>
  <c r="V43" i="19" s="1"/>
  <c r="I43" i="19"/>
  <c r="S43" i="19" s="1"/>
  <c r="N42" i="19"/>
  <c r="I42" i="19"/>
  <c r="S42" i="19" s="1"/>
  <c r="J42" i="19"/>
  <c r="N41" i="19"/>
  <c r="L41" i="19" s="1"/>
  <c r="V41" i="19" s="1"/>
  <c r="K41" i="19"/>
  <c r="M41" i="19" s="1"/>
  <c r="I41" i="19"/>
  <c r="S41" i="19" s="1"/>
  <c r="N40" i="19"/>
  <c r="K40" i="19"/>
  <c r="M40" i="19" s="1"/>
  <c r="I40" i="19"/>
  <c r="S40" i="19" s="1"/>
  <c r="J40" i="19"/>
  <c r="I39" i="19"/>
  <c r="S39" i="19" s="1"/>
  <c r="I38" i="19"/>
  <c r="S38" i="19" s="1"/>
  <c r="I37" i="19"/>
  <c r="S37" i="19" s="1"/>
  <c r="I36" i="19"/>
  <c r="S36" i="19" s="1"/>
  <c r="I35" i="19"/>
  <c r="S35" i="19" s="1"/>
  <c r="I34" i="19"/>
  <c r="S34" i="19" s="1"/>
  <c r="I33" i="19"/>
  <c r="S33" i="19" s="1"/>
  <c r="I32" i="19"/>
  <c r="S32" i="19" s="1"/>
  <c r="I31" i="19"/>
  <c r="S31" i="19" s="1"/>
  <c r="I30" i="19"/>
  <c r="S30" i="19" s="1"/>
  <c r="I29" i="19"/>
  <c r="S29" i="19" s="1"/>
  <c r="I28" i="19"/>
  <c r="S28" i="19" s="1"/>
  <c r="I27" i="19"/>
  <c r="S27" i="19" s="1"/>
  <c r="I26" i="19"/>
  <c r="S26" i="19" s="1"/>
  <c r="K25" i="19"/>
  <c r="M25" i="19" s="1"/>
  <c r="I25" i="19"/>
  <c r="S25" i="19" s="1"/>
  <c r="I24" i="19"/>
  <c r="S24" i="19" s="1"/>
  <c r="I23" i="19"/>
  <c r="S23" i="19" s="1"/>
  <c r="I22" i="19"/>
  <c r="S22" i="19" s="1"/>
  <c r="I21" i="19"/>
  <c r="S21" i="19" s="1"/>
  <c r="I20" i="19"/>
  <c r="S20" i="19" s="1"/>
  <c r="I19" i="19"/>
  <c r="S19" i="19" s="1"/>
  <c r="I18" i="19"/>
  <c r="S18" i="19" s="1"/>
  <c r="I17" i="19"/>
  <c r="S17" i="19" s="1"/>
  <c r="I16" i="19"/>
  <c r="S16" i="19" s="1"/>
  <c r="I15" i="19"/>
  <c r="S15" i="19" s="1"/>
  <c r="I14" i="19"/>
  <c r="S14" i="19" s="1"/>
  <c r="I13" i="19"/>
  <c r="S13" i="19" s="1"/>
  <c r="N32" i="20"/>
  <c r="I32" i="20"/>
  <c r="S32" i="20" s="1"/>
  <c r="J32" i="20"/>
  <c r="N31" i="20"/>
  <c r="X31" i="20" s="1"/>
  <c r="I31" i="20"/>
  <c r="S31" i="20" s="1"/>
  <c r="O30" i="20"/>
  <c r="Q30" i="20" s="1"/>
  <c r="N30" i="20"/>
  <c r="K30" i="20"/>
  <c r="M30" i="20" s="1"/>
  <c r="I30" i="20"/>
  <c r="S30" i="20" s="1"/>
  <c r="J30" i="20"/>
  <c r="N29" i="20"/>
  <c r="X29" i="20" s="1"/>
  <c r="J29" i="20"/>
  <c r="I29" i="20"/>
  <c r="S29" i="20" s="1"/>
  <c r="I28" i="20"/>
  <c r="S28" i="20" s="1"/>
  <c r="J28" i="20"/>
  <c r="N27" i="20"/>
  <c r="X27" i="20" s="1"/>
  <c r="I27" i="20"/>
  <c r="S27" i="20" s="1"/>
  <c r="J27" i="20"/>
  <c r="N26" i="20"/>
  <c r="I26" i="20"/>
  <c r="S26" i="20" s="1"/>
  <c r="J26" i="20"/>
  <c r="N25" i="20"/>
  <c r="X25" i="20" s="1"/>
  <c r="I25" i="20"/>
  <c r="S25" i="20" s="1"/>
  <c r="J25" i="20"/>
  <c r="O24" i="20"/>
  <c r="Q24" i="20" s="1"/>
  <c r="K24" i="20"/>
  <c r="M24" i="20" s="1"/>
  <c r="I24" i="20"/>
  <c r="S24" i="20" s="1"/>
  <c r="N23" i="20"/>
  <c r="X23" i="20" s="1"/>
  <c r="I23" i="20"/>
  <c r="S23" i="20" s="1"/>
  <c r="J23" i="20"/>
  <c r="N22" i="20"/>
  <c r="I22" i="20"/>
  <c r="S22" i="20" s="1"/>
  <c r="N21" i="20"/>
  <c r="X21" i="20" s="1"/>
  <c r="K21" i="20"/>
  <c r="M21" i="20" s="1"/>
  <c r="I21" i="20"/>
  <c r="S21" i="20" s="1"/>
  <c r="J21" i="20"/>
  <c r="O20" i="20"/>
  <c r="Q20" i="20" s="1"/>
  <c r="N20" i="20"/>
  <c r="K20" i="20"/>
  <c r="M20" i="20" s="1"/>
  <c r="I20" i="20"/>
  <c r="S20" i="20" s="1"/>
  <c r="J20" i="20"/>
  <c r="N19" i="20"/>
  <c r="X19" i="20" s="1"/>
  <c r="I19" i="20"/>
  <c r="S19" i="20" s="1"/>
  <c r="J19" i="20"/>
  <c r="N18" i="20"/>
  <c r="I18" i="20"/>
  <c r="S18" i="20" s="1"/>
  <c r="J18" i="20"/>
  <c r="N17" i="20"/>
  <c r="X17" i="20" s="1"/>
  <c r="I17" i="20"/>
  <c r="S17" i="20" s="1"/>
  <c r="O16" i="20"/>
  <c r="Q16" i="20" s="1"/>
  <c r="N16" i="20"/>
  <c r="K16" i="20"/>
  <c r="M16" i="20" s="1"/>
  <c r="I16" i="20"/>
  <c r="S16" i="20" s="1"/>
  <c r="J16" i="20"/>
  <c r="O15" i="20"/>
  <c r="Q15" i="20" s="1"/>
  <c r="N15" i="20"/>
  <c r="X15" i="20" s="1"/>
  <c r="K15" i="20"/>
  <c r="M15" i="20" s="1"/>
  <c r="I15" i="20"/>
  <c r="S15" i="20" s="1"/>
  <c r="J15" i="20"/>
  <c r="N14" i="20"/>
  <c r="I14" i="20"/>
  <c r="S14" i="20" s="1"/>
  <c r="O13" i="20"/>
  <c r="Q13" i="20" s="1"/>
  <c r="K13" i="20"/>
  <c r="M13" i="20" s="1"/>
  <c r="I13" i="20"/>
  <c r="S13" i="20" s="1"/>
  <c r="I175" i="21"/>
  <c r="S175" i="21" s="1"/>
  <c r="I174" i="21"/>
  <c r="S174" i="21" s="1"/>
  <c r="I173" i="21"/>
  <c r="S173" i="21" s="1"/>
  <c r="I172" i="21"/>
  <c r="S172" i="21" s="1"/>
  <c r="I171" i="21"/>
  <c r="S171" i="21" s="1"/>
  <c r="I170" i="21"/>
  <c r="S170" i="21" s="1"/>
  <c r="I169" i="21"/>
  <c r="S169" i="21" s="1"/>
  <c r="I168" i="21"/>
  <c r="S168" i="21" s="1"/>
  <c r="I167" i="21"/>
  <c r="S167" i="21" s="1"/>
  <c r="I166" i="21"/>
  <c r="S166" i="21" s="1"/>
  <c r="I165" i="21"/>
  <c r="S165" i="21" s="1"/>
  <c r="I164" i="21"/>
  <c r="S164" i="21" s="1"/>
  <c r="I163" i="21"/>
  <c r="S163" i="21" s="1"/>
  <c r="I162" i="21"/>
  <c r="S162" i="21" s="1"/>
  <c r="I161" i="21"/>
  <c r="S161" i="21" s="1"/>
  <c r="I160" i="21"/>
  <c r="S160" i="21" s="1"/>
  <c r="I159" i="21"/>
  <c r="S159" i="21" s="1"/>
  <c r="I158" i="21"/>
  <c r="S158" i="21" s="1"/>
  <c r="I157" i="21"/>
  <c r="S157" i="21" s="1"/>
  <c r="I156" i="21"/>
  <c r="S156" i="21" s="1"/>
  <c r="I155" i="21"/>
  <c r="S155" i="21" s="1"/>
  <c r="I154" i="21"/>
  <c r="S154" i="21" s="1"/>
  <c r="I153" i="21"/>
  <c r="S153" i="21" s="1"/>
  <c r="I152" i="21"/>
  <c r="S152" i="21" s="1"/>
  <c r="I151" i="21"/>
  <c r="S151" i="21" s="1"/>
  <c r="I150" i="21"/>
  <c r="S150" i="21" s="1"/>
  <c r="I149" i="21"/>
  <c r="S149" i="21" s="1"/>
  <c r="I148" i="21"/>
  <c r="S148" i="21" s="1"/>
  <c r="I147" i="21"/>
  <c r="S147" i="21" s="1"/>
  <c r="I146" i="21"/>
  <c r="S146" i="21" s="1"/>
  <c r="I145" i="21"/>
  <c r="S145" i="21" s="1"/>
  <c r="I144" i="21"/>
  <c r="S144" i="21" s="1"/>
  <c r="I143" i="21"/>
  <c r="S143" i="21" s="1"/>
  <c r="I142" i="21"/>
  <c r="S142" i="21" s="1"/>
  <c r="I141" i="21"/>
  <c r="S141" i="21" s="1"/>
  <c r="I140" i="21"/>
  <c r="S140" i="21" s="1"/>
  <c r="I139" i="21"/>
  <c r="S139" i="21" s="1"/>
  <c r="I138" i="21"/>
  <c r="S138" i="21" s="1"/>
  <c r="I137" i="21"/>
  <c r="S137" i="21" s="1"/>
  <c r="I136" i="21"/>
  <c r="S136" i="21" s="1"/>
  <c r="I135" i="21"/>
  <c r="S135" i="21" s="1"/>
  <c r="I134" i="21"/>
  <c r="S134" i="21" s="1"/>
  <c r="I133" i="21"/>
  <c r="S133" i="21" s="1"/>
  <c r="I132" i="21"/>
  <c r="S132" i="21" s="1"/>
  <c r="I131" i="21"/>
  <c r="S131" i="21" s="1"/>
  <c r="I130" i="21"/>
  <c r="S130" i="21" s="1"/>
  <c r="I129" i="21"/>
  <c r="S129" i="21" s="1"/>
  <c r="I128" i="21"/>
  <c r="S128" i="21" s="1"/>
  <c r="I127" i="21"/>
  <c r="S127" i="21" s="1"/>
  <c r="I126" i="21"/>
  <c r="S126" i="21" s="1"/>
  <c r="I125" i="21"/>
  <c r="S125" i="21" s="1"/>
  <c r="I124" i="21"/>
  <c r="S124" i="21" s="1"/>
  <c r="I123" i="21"/>
  <c r="S123" i="21" s="1"/>
  <c r="I122" i="21"/>
  <c r="S122" i="21" s="1"/>
  <c r="I121" i="21"/>
  <c r="S121" i="21" s="1"/>
  <c r="I120" i="21"/>
  <c r="S120" i="21" s="1"/>
  <c r="S119" i="21"/>
  <c r="I119" i="21"/>
  <c r="I118" i="21"/>
  <c r="S118" i="21" s="1"/>
  <c r="I117" i="21"/>
  <c r="S117" i="21" s="1"/>
  <c r="I116" i="21"/>
  <c r="S116" i="21" s="1"/>
  <c r="I115" i="21"/>
  <c r="S115" i="21" s="1"/>
  <c r="I114" i="21"/>
  <c r="S114" i="21" s="1"/>
  <c r="I113" i="21"/>
  <c r="S113" i="21" s="1"/>
  <c r="I112" i="21"/>
  <c r="S112" i="21" s="1"/>
  <c r="I111" i="21"/>
  <c r="S111" i="21" s="1"/>
  <c r="I110" i="21"/>
  <c r="S110" i="21" s="1"/>
  <c r="I109" i="21"/>
  <c r="S109" i="21" s="1"/>
  <c r="I108" i="21"/>
  <c r="S108" i="21" s="1"/>
  <c r="I107" i="21"/>
  <c r="S107" i="21" s="1"/>
  <c r="I106" i="21"/>
  <c r="S106" i="21" s="1"/>
  <c r="I105" i="21"/>
  <c r="S105" i="21" s="1"/>
  <c r="I104" i="21"/>
  <c r="S104" i="21" s="1"/>
  <c r="I103" i="21"/>
  <c r="S103" i="21" s="1"/>
  <c r="I102" i="21"/>
  <c r="S102" i="21" s="1"/>
  <c r="I101" i="21"/>
  <c r="S101" i="21" s="1"/>
  <c r="I100" i="21"/>
  <c r="S100" i="21" s="1"/>
  <c r="I99" i="21"/>
  <c r="S99" i="21" s="1"/>
  <c r="I98" i="21"/>
  <c r="S98" i="21" s="1"/>
  <c r="I97" i="21"/>
  <c r="S97" i="21" s="1"/>
  <c r="I96" i="21"/>
  <c r="S96" i="21" s="1"/>
  <c r="I95" i="21"/>
  <c r="S95" i="21" s="1"/>
  <c r="I94" i="21"/>
  <c r="S94" i="21" s="1"/>
  <c r="I93" i="21"/>
  <c r="S93" i="21" s="1"/>
  <c r="I92" i="21"/>
  <c r="S92" i="21" s="1"/>
  <c r="I91" i="21"/>
  <c r="S91" i="21" s="1"/>
  <c r="I90" i="21"/>
  <c r="S90" i="21" s="1"/>
  <c r="I89" i="21"/>
  <c r="S89" i="21" s="1"/>
  <c r="I88" i="21"/>
  <c r="S88" i="21" s="1"/>
  <c r="I87" i="21"/>
  <c r="S87" i="21" s="1"/>
  <c r="I86" i="21"/>
  <c r="S86" i="21" s="1"/>
  <c r="I85" i="21"/>
  <c r="S85" i="21" s="1"/>
  <c r="I84" i="21"/>
  <c r="S84" i="21" s="1"/>
  <c r="I83" i="21"/>
  <c r="S83" i="21" s="1"/>
  <c r="I82" i="21"/>
  <c r="S82" i="21" s="1"/>
  <c r="I81" i="21"/>
  <c r="S81" i="21" s="1"/>
  <c r="I80" i="21"/>
  <c r="S80" i="21" s="1"/>
  <c r="I79" i="21"/>
  <c r="S79" i="21" s="1"/>
  <c r="I78" i="21"/>
  <c r="S78" i="21" s="1"/>
  <c r="I77" i="21"/>
  <c r="S77" i="21" s="1"/>
  <c r="I76" i="21"/>
  <c r="S76" i="21" s="1"/>
  <c r="I75" i="21"/>
  <c r="S75" i="21" s="1"/>
  <c r="S74" i="21"/>
  <c r="I74" i="21"/>
  <c r="I73" i="21"/>
  <c r="S73" i="21" s="1"/>
  <c r="I72" i="21"/>
  <c r="S72" i="21" s="1"/>
  <c r="I71" i="21"/>
  <c r="S71" i="21" s="1"/>
  <c r="I70" i="21"/>
  <c r="S70" i="21" s="1"/>
  <c r="I69" i="21"/>
  <c r="S69" i="21" s="1"/>
  <c r="I68" i="21"/>
  <c r="S68" i="21" s="1"/>
  <c r="I67" i="21"/>
  <c r="S67" i="21" s="1"/>
  <c r="I66" i="21"/>
  <c r="S66" i="21" s="1"/>
  <c r="I65" i="21"/>
  <c r="S65" i="21" s="1"/>
  <c r="I64" i="21"/>
  <c r="S64" i="21" s="1"/>
  <c r="I63" i="21"/>
  <c r="S63" i="21" s="1"/>
  <c r="I62" i="21"/>
  <c r="S62" i="21" s="1"/>
  <c r="I61" i="21"/>
  <c r="S61" i="21" s="1"/>
  <c r="I60" i="21"/>
  <c r="S60" i="21" s="1"/>
  <c r="I59" i="21"/>
  <c r="S59" i="21" s="1"/>
  <c r="I58" i="21"/>
  <c r="S58" i="21" s="1"/>
  <c r="I57" i="21"/>
  <c r="S57" i="21" s="1"/>
  <c r="I56" i="21"/>
  <c r="S56" i="21" s="1"/>
  <c r="I55" i="21"/>
  <c r="S55" i="21" s="1"/>
  <c r="I54" i="21"/>
  <c r="S54" i="21" s="1"/>
  <c r="I53" i="21"/>
  <c r="S53" i="21" s="1"/>
  <c r="N52" i="21"/>
  <c r="L52" i="21" s="1"/>
  <c r="V52" i="21" s="1"/>
  <c r="I52" i="21"/>
  <c r="S52" i="21" s="1"/>
  <c r="I51" i="21"/>
  <c r="S51" i="21" s="1"/>
  <c r="I50" i="21"/>
  <c r="S50" i="21" s="1"/>
  <c r="I49" i="21"/>
  <c r="S49" i="21" s="1"/>
  <c r="I48" i="21"/>
  <c r="S48" i="21" s="1"/>
  <c r="I47" i="21"/>
  <c r="S47" i="21" s="1"/>
  <c r="I46" i="21"/>
  <c r="S46" i="21" s="1"/>
  <c r="I45" i="21"/>
  <c r="S45" i="21" s="1"/>
  <c r="I44" i="21"/>
  <c r="S44" i="21" s="1"/>
  <c r="I43" i="21"/>
  <c r="S43" i="21" s="1"/>
  <c r="I42" i="21"/>
  <c r="S42" i="21" s="1"/>
  <c r="I41" i="21"/>
  <c r="S41" i="21" s="1"/>
  <c r="I40" i="21"/>
  <c r="S40" i="21" s="1"/>
  <c r="I39" i="21"/>
  <c r="S39" i="21" s="1"/>
  <c r="N38" i="21"/>
  <c r="L38" i="21" s="1"/>
  <c r="V38" i="21" s="1"/>
  <c r="I38" i="21"/>
  <c r="S38" i="21" s="1"/>
  <c r="J38" i="21"/>
  <c r="T38" i="21" s="1"/>
  <c r="I37" i="21"/>
  <c r="S37" i="21" s="1"/>
  <c r="I36" i="21"/>
  <c r="S36" i="21" s="1"/>
  <c r="I35" i="21"/>
  <c r="S35" i="21" s="1"/>
  <c r="I34" i="21"/>
  <c r="S34" i="21" s="1"/>
  <c r="I33" i="21"/>
  <c r="S33" i="21" s="1"/>
  <c r="I32" i="21"/>
  <c r="S32" i="21" s="1"/>
  <c r="I31" i="21"/>
  <c r="S31" i="21" s="1"/>
  <c r="I30" i="21"/>
  <c r="S30" i="21" s="1"/>
  <c r="I29" i="21"/>
  <c r="S29" i="21" s="1"/>
  <c r="I28" i="21"/>
  <c r="S28" i="21" s="1"/>
  <c r="I27" i="21"/>
  <c r="S27" i="21" s="1"/>
  <c r="I26" i="21"/>
  <c r="S26" i="21" s="1"/>
  <c r="O25" i="21"/>
  <c r="Q25" i="21" s="1"/>
  <c r="N25" i="21"/>
  <c r="L25" i="21" s="1"/>
  <c r="V25" i="21" s="1"/>
  <c r="I25" i="21"/>
  <c r="S25" i="21" s="1"/>
  <c r="O24" i="21"/>
  <c r="Q24" i="21" s="1"/>
  <c r="N24" i="21"/>
  <c r="X24" i="21" s="1"/>
  <c r="I24" i="21"/>
  <c r="S24" i="21" s="1"/>
  <c r="J24" i="21"/>
  <c r="T24" i="21" s="1"/>
  <c r="I23" i="21"/>
  <c r="S23" i="21" s="1"/>
  <c r="J23" i="21"/>
  <c r="I22" i="21"/>
  <c r="S22" i="21" s="1"/>
  <c r="I21" i="21"/>
  <c r="S21" i="21" s="1"/>
  <c r="I20" i="21"/>
  <c r="S20" i="21" s="1"/>
  <c r="I19" i="21"/>
  <c r="S19" i="21" s="1"/>
  <c r="J19" i="21"/>
  <c r="I18" i="21"/>
  <c r="S18" i="21" s="1"/>
  <c r="I17" i="21"/>
  <c r="S17" i="21" s="1"/>
  <c r="I16" i="21"/>
  <c r="S16" i="21" s="1"/>
  <c r="I15" i="21"/>
  <c r="S15" i="21" s="1"/>
  <c r="J15" i="21"/>
  <c r="P15" i="21" s="1"/>
  <c r="Z15" i="21" s="1"/>
  <c r="I14" i="21"/>
  <c r="S14" i="21" s="1"/>
  <c r="N13" i="21"/>
  <c r="I13" i="21"/>
  <c r="S13" i="21" s="1"/>
  <c r="I175" i="22"/>
  <c r="S175" i="22" s="1"/>
  <c r="J175" i="22"/>
  <c r="T175" i="22" s="1"/>
  <c r="I174" i="22"/>
  <c r="S174" i="22" s="1"/>
  <c r="N173" i="22"/>
  <c r="X173" i="22" s="1"/>
  <c r="I173" i="22"/>
  <c r="S173" i="22" s="1"/>
  <c r="J173" i="22"/>
  <c r="I172" i="22"/>
  <c r="S172" i="22" s="1"/>
  <c r="N171" i="22"/>
  <c r="X171" i="22" s="1"/>
  <c r="I171" i="22"/>
  <c r="S171" i="22" s="1"/>
  <c r="J171" i="22"/>
  <c r="T171" i="22" s="1"/>
  <c r="I170" i="22"/>
  <c r="S170" i="22" s="1"/>
  <c r="N169" i="22"/>
  <c r="X169" i="22" s="1"/>
  <c r="I169" i="22"/>
  <c r="S169" i="22" s="1"/>
  <c r="J169" i="22"/>
  <c r="I168" i="22"/>
  <c r="S168" i="22" s="1"/>
  <c r="O167" i="22"/>
  <c r="Q167" i="22" s="1"/>
  <c r="N167" i="22"/>
  <c r="X167" i="22" s="1"/>
  <c r="K167" i="22"/>
  <c r="M167" i="22" s="1"/>
  <c r="I167" i="22"/>
  <c r="S167" i="22" s="1"/>
  <c r="J167" i="22"/>
  <c r="O166" i="22"/>
  <c r="Q166" i="22" s="1"/>
  <c r="N166" i="22"/>
  <c r="X166" i="22" s="1"/>
  <c r="K166" i="22"/>
  <c r="M166" i="22" s="1"/>
  <c r="I166" i="22"/>
  <c r="S166" i="22" s="1"/>
  <c r="J166" i="22"/>
  <c r="N165" i="22"/>
  <c r="X165" i="22" s="1"/>
  <c r="I165" i="22"/>
  <c r="S165" i="22" s="1"/>
  <c r="J165" i="22"/>
  <c r="N164" i="22"/>
  <c r="X164" i="22" s="1"/>
  <c r="I164" i="22"/>
  <c r="S164" i="22" s="1"/>
  <c r="N163" i="22"/>
  <c r="X163" i="22" s="1"/>
  <c r="I163" i="22"/>
  <c r="S163" i="22" s="1"/>
  <c r="J163" i="22"/>
  <c r="N162" i="22"/>
  <c r="X162" i="22" s="1"/>
  <c r="I162" i="22"/>
  <c r="S162" i="22" s="1"/>
  <c r="N161" i="22"/>
  <c r="X161" i="22" s="1"/>
  <c r="I161" i="22"/>
  <c r="S161" i="22" s="1"/>
  <c r="J161" i="22"/>
  <c r="N160" i="22"/>
  <c r="X160" i="22" s="1"/>
  <c r="I160" i="22"/>
  <c r="S160" i="22" s="1"/>
  <c r="N159" i="22"/>
  <c r="X159" i="22" s="1"/>
  <c r="I159" i="22"/>
  <c r="S159" i="22" s="1"/>
  <c r="J159" i="22"/>
  <c r="T159" i="22" s="1"/>
  <c r="N158" i="22"/>
  <c r="X158" i="22" s="1"/>
  <c r="I158" i="22"/>
  <c r="S158" i="22" s="1"/>
  <c r="J158" i="22"/>
  <c r="P158" i="22" s="1"/>
  <c r="Z158" i="22" s="1"/>
  <c r="N157" i="22"/>
  <c r="X157" i="22" s="1"/>
  <c r="I157" i="22"/>
  <c r="S157" i="22" s="1"/>
  <c r="J157" i="22"/>
  <c r="N156" i="22"/>
  <c r="X156" i="22" s="1"/>
  <c r="I156" i="22"/>
  <c r="S156" i="22" s="1"/>
  <c r="N155" i="22"/>
  <c r="X155" i="22" s="1"/>
  <c r="I155" i="22"/>
  <c r="S155" i="22" s="1"/>
  <c r="J155" i="22"/>
  <c r="T155" i="22" s="1"/>
  <c r="N154" i="22"/>
  <c r="X154" i="22" s="1"/>
  <c r="I154" i="22"/>
  <c r="S154" i="22" s="1"/>
  <c r="N153" i="22"/>
  <c r="I153" i="22"/>
  <c r="S153" i="22" s="1"/>
  <c r="J153" i="22"/>
  <c r="N152" i="22"/>
  <c r="I152" i="22"/>
  <c r="S152" i="22" s="1"/>
  <c r="N151" i="22"/>
  <c r="X151" i="22" s="1"/>
  <c r="I151" i="22"/>
  <c r="S151" i="22" s="1"/>
  <c r="J151" i="22"/>
  <c r="T151" i="22" s="1"/>
  <c r="N150" i="22"/>
  <c r="K150" i="22"/>
  <c r="M150" i="22" s="1"/>
  <c r="I150" i="22"/>
  <c r="S150" i="22" s="1"/>
  <c r="J150" i="22"/>
  <c r="P150" i="22" s="1"/>
  <c r="Z150" i="22" s="1"/>
  <c r="I149" i="22"/>
  <c r="S149" i="22" s="1"/>
  <c r="I148" i="22"/>
  <c r="S148" i="22" s="1"/>
  <c r="I147" i="22"/>
  <c r="S147" i="22" s="1"/>
  <c r="O146" i="22"/>
  <c r="Q146" i="22" s="1"/>
  <c r="K146" i="22"/>
  <c r="M146" i="22" s="1"/>
  <c r="I146" i="22"/>
  <c r="S146" i="22" s="1"/>
  <c r="I145" i="22"/>
  <c r="S145" i="22" s="1"/>
  <c r="I144" i="22"/>
  <c r="S144" i="22" s="1"/>
  <c r="I143" i="22"/>
  <c r="S143" i="22" s="1"/>
  <c r="I142" i="22"/>
  <c r="S142" i="22" s="1"/>
  <c r="I141" i="22"/>
  <c r="S141" i="22" s="1"/>
  <c r="I140" i="22"/>
  <c r="S140" i="22" s="1"/>
  <c r="I139" i="22"/>
  <c r="S139" i="22" s="1"/>
  <c r="I138" i="22"/>
  <c r="S138" i="22" s="1"/>
  <c r="O137" i="22"/>
  <c r="K137" i="22"/>
  <c r="M137" i="22" s="1"/>
  <c r="I137" i="22"/>
  <c r="S137" i="22" s="1"/>
  <c r="O136" i="22"/>
  <c r="Q136" i="22" s="1"/>
  <c r="K136" i="22"/>
  <c r="M136" i="22" s="1"/>
  <c r="I136" i="22"/>
  <c r="S136" i="22" s="1"/>
  <c r="I135" i="22"/>
  <c r="S135" i="22" s="1"/>
  <c r="I134" i="22"/>
  <c r="S134" i="22" s="1"/>
  <c r="I133" i="22"/>
  <c r="S133" i="22" s="1"/>
  <c r="I132" i="22"/>
  <c r="S132" i="22" s="1"/>
  <c r="I131" i="22"/>
  <c r="S131" i="22" s="1"/>
  <c r="I130" i="22"/>
  <c r="S130" i="22" s="1"/>
  <c r="I129" i="22"/>
  <c r="S129" i="22" s="1"/>
  <c r="I128" i="22"/>
  <c r="S128" i="22" s="1"/>
  <c r="I127" i="22"/>
  <c r="S127" i="22" s="1"/>
  <c r="O126" i="22"/>
  <c r="Q126" i="22" s="1"/>
  <c r="K126" i="22"/>
  <c r="M126" i="22" s="1"/>
  <c r="I126" i="22"/>
  <c r="S126" i="22" s="1"/>
  <c r="I125" i="22"/>
  <c r="S125" i="22" s="1"/>
  <c r="I124" i="22"/>
  <c r="S124" i="22" s="1"/>
  <c r="I123" i="22"/>
  <c r="S123" i="22" s="1"/>
  <c r="I122" i="22"/>
  <c r="S122" i="22" s="1"/>
  <c r="I121" i="22"/>
  <c r="S121" i="22" s="1"/>
  <c r="I120" i="22"/>
  <c r="S120" i="22" s="1"/>
  <c r="I119" i="22"/>
  <c r="S119" i="22" s="1"/>
  <c r="I118" i="22"/>
  <c r="S118" i="22" s="1"/>
  <c r="I117" i="22"/>
  <c r="S117" i="22" s="1"/>
  <c r="I116" i="22"/>
  <c r="S116" i="22" s="1"/>
  <c r="I115" i="22"/>
  <c r="S115" i="22" s="1"/>
  <c r="I114" i="22"/>
  <c r="S114" i="22" s="1"/>
  <c r="I113" i="22"/>
  <c r="S113" i="22" s="1"/>
  <c r="I112" i="22"/>
  <c r="S112" i="22" s="1"/>
  <c r="I111" i="22"/>
  <c r="S111" i="22" s="1"/>
  <c r="I110" i="22"/>
  <c r="S110" i="22" s="1"/>
  <c r="I109" i="22"/>
  <c r="S109" i="22" s="1"/>
  <c r="I108" i="22"/>
  <c r="S108" i="22" s="1"/>
  <c r="I107" i="22"/>
  <c r="S107" i="22" s="1"/>
  <c r="I106" i="22"/>
  <c r="S106" i="22" s="1"/>
  <c r="I105" i="22"/>
  <c r="S105" i="22" s="1"/>
  <c r="I104" i="22"/>
  <c r="S104" i="22" s="1"/>
  <c r="O103" i="22"/>
  <c r="Q103" i="22" s="1"/>
  <c r="K103" i="22"/>
  <c r="I103" i="22"/>
  <c r="S103" i="22" s="1"/>
  <c r="I102" i="22"/>
  <c r="S102" i="22" s="1"/>
  <c r="I101" i="22"/>
  <c r="S101" i="22" s="1"/>
  <c r="I100" i="22"/>
  <c r="S100" i="22" s="1"/>
  <c r="I99" i="22"/>
  <c r="S99" i="22" s="1"/>
  <c r="I98" i="22"/>
  <c r="S98" i="22" s="1"/>
  <c r="I97" i="22"/>
  <c r="S97" i="22" s="1"/>
  <c r="I96" i="22"/>
  <c r="S96" i="22" s="1"/>
  <c r="I95" i="22"/>
  <c r="S95" i="22" s="1"/>
  <c r="I94" i="22"/>
  <c r="S94" i="22" s="1"/>
  <c r="I93" i="22"/>
  <c r="S93" i="22" s="1"/>
  <c r="I92" i="22"/>
  <c r="S92" i="22" s="1"/>
  <c r="I91" i="22"/>
  <c r="S91" i="22" s="1"/>
  <c r="I90" i="22"/>
  <c r="S90" i="22" s="1"/>
  <c r="I89" i="22"/>
  <c r="S89" i="22" s="1"/>
  <c r="I88" i="22"/>
  <c r="S88" i="22" s="1"/>
  <c r="I87" i="22"/>
  <c r="S87" i="22" s="1"/>
  <c r="I86" i="22"/>
  <c r="S86" i="22" s="1"/>
  <c r="I85" i="22"/>
  <c r="S85" i="22" s="1"/>
  <c r="I84" i="22"/>
  <c r="S84" i="22" s="1"/>
  <c r="I83" i="22"/>
  <c r="S83" i="22" s="1"/>
  <c r="I82" i="22"/>
  <c r="S82" i="22" s="1"/>
  <c r="I81" i="22"/>
  <c r="S81" i="22" s="1"/>
  <c r="O80" i="22"/>
  <c r="K80" i="22"/>
  <c r="M80" i="22" s="1"/>
  <c r="I80" i="22"/>
  <c r="S80" i="22" s="1"/>
  <c r="N79" i="22"/>
  <c r="I79" i="22"/>
  <c r="S79" i="22" s="1"/>
  <c r="J79" i="22"/>
  <c r="T79" i="22" s="1"/>
  <c r="N78" i="22"/>
  <c r="I78" i="22"/>
  <c r="S78" i="22" s="1"/>
  <c r="N77" i="22"/>
  <c r="L77" i="22" s="1"/>
  <c r="V77" i="22" s="1"/>
  <c r="I77" i="22"/>
  <c r="S77" i="22" s="1"/>
  <c r="J77" i="22"/>
  <c r="I76" i="22"/>
  <c r="S76" i="22" s="1"/>
  <c r="N75" i="22"/>
  <c r="L75" i="22" s="1"/>
  <c r="V75" i="22" s="1"/>
  <c r="I75" i="22"/>
  <c r="S75" i="22" s="1"/>
  <c r="J75" i="22"/>
  <c r="T75" i="22" s="1"/>
  <c r="I74" i="22"/>
  <c r="S74" i="22" s="1"/>
  <c r="N73" i="22"/>
  <c r="L73" i="22" s="1"/>
  <c r="V73" i="22" s="1"/>
  <c r="I73" i="22"/>
  <c r="S73" i="22" s="1"/>
  <c r="J73" i="22"/>
  <c r="I72" i="22"/>
  <c r="S72" i="22" s="1"/>
  <c r="N71" i="22"/>
  <c r="L71" i="22" s="1"/>
  <c r="V71" i="22" s="1"/>
  <c r="I71" i="22"/>
  <c r="S71" i="22" s="1"/>
  <c r="J71" i="22"/>
  <c r="P71" i="22" s="1"/>
  <c r="Z71" i="22" s="1"/>
  <c r="I70" i="22"/>
  <c r="S70" i="22" s="1"/>
  <c r="N69" i="22"/>
  <c r="L69" i="22" s="1"/>
  <c r="V69" i="22" s="1"/>
  <c r="I69" i="22"/>
  <c r="S69" i="22" s="1"/>
  <c r="J69" i="22"/>
  <c r="I68" i="22"/>
  <c r="S68" i="22" s="1"/>
  <c r="N67" i="22"/>
  <c r="L67" i="22" s="1"/>
  <c r="V67" i="22" s="1"/>
  <c r="I67" i="22"/>
  <c r="S67" i="22" s="1"/>
  <c r="J67" i="22"/>
  <c r="N66" i="22"/>
  <c r="X66" i="22" s="1"/>
  <c r="I66" i="22"/>
  <c r="S66" i="22" s="1"/>
  <c r="N65" i="22"/>
  <c r="L65" i="22" s="1"/>
  <c r="V65" i="22" s="1"/>
  <c r="I65" i="22"/>
  <c r="S65" i="22" s="1"/>
  <c r="J65" i="22"/>
  <c r="I64" i="22"/>
  <c r="S64" i="22" s="1"/>
  <c r="N63" i="22"/>
  <c r="I63" i="22"/>
  <c r="S63" i="22" s="1"/>
  <c r="J63" i="22"/>
  <c r="N62" i="22"/>
  <c r="X62" i="22" s="1"/>
  <c r="I62" i="22"/>
  <c r="S62" i="22" s="1"/>
  <c r="N61" i="22"/>
  <c r="L61" i="22" s="1"/>
  <c r="V61" i="22" s="1"/>
  <c r="I61" i="22"/>
  <c r="S61" i="22" s="1"/>
  <c r="J61" i="22"/>
  <c r="I60" i="22"/>
  <c r="S60" i="22" s="1"/>
  <c r="N59" i="22"/>
  <c r="L59" i="22" s="1"/>
  <c r="V59" i="22" s="1"/>
  <c r="I59" i="22"/>
  <c r="S59" i="22" s="1"/>
  <c r="J59" i="22"/>
  <c r="I58" i="22"/>
  <c r="S58" i="22" s="1"/>
  <c r="O57" i="22"/>
  <c r="N57" i="22"/>
  <c r="K57" i="22"/>
  <c r="M57" i="22" s="1"/>
  <c r="I57" i="22"/>
  <c r="S57" i="22" s="1"/>
  <c r="J57" i="22"/>
  <c r="N56" i="22"/>
  <c r="I56" i="22"/>
  <c r="S56" i="22" s="1"/>
  <c r="J56" i="22"/>
  <c r="P56" i="22" s="1"/>
  <c r="Z56" i="22" s="1"/>
  <c r="N55" i="22"/>
  <c r="L55" i="22" s="1"/>
  <c r="V55" i="22" s="1"/>
  <c r="I55" i="22"/>
  <c r="S55" i="22" s="1"/>
  <c r="J55" i="22"/>
  <c r="N54" i="22"/>
  <c r="I54" i="22"/>
  <c r="S54" i="22" s="1"/>
  <c r="J54" i="22"/>
  <c r="N53" i="22"/>
  <c r="L53" i="22" s="1"/>
  <c r="V53" i="22" s="1"/>
  <c r="I53" i="22"/>
  <c r="S53" i="22" s="1"/>
  <c r="N52" i="22"/>
  <c r="X52" i="22" s="1"/>
  <c r="I52" i="22"/>
  <c r="S52" i="22" s="1"/>
  <c r="J52" i="22"/>
  <c r="N51" i="22"/>
  <c r="I51" i="22"/>
  <c r="S51" i="22" s="1"/>
  <c r="N50" i="22"/>
  <c r="X50" i="22" s="1"/>
  <c r="I50" i="22"/>
  <c r="S50" i="22" s="1"/>
  <c r="J50" i="22"/>
  <c r="N49" i="22"/>
  <c r="L49" i="22" s="1"/>
  <c r="V49" i="22" s="1"/>
  <c r="I49" i="22"/>
  <c r="S49" i="22" s="1"/>
  <c r="N48" i="22"/>
  <c r="X48" i="22" s="1"/>
  <c r="I48" i="22"/>
  <c r="S48" i="22" s="1"/>
  <c r="J48" i="22"/>
  <c r="N47" i="22"/>
  <c r="I47" i="22"/>
  <c r="S47" i="22" s="1"/>
  <c r="J47" i="22"/>
  <c r="N46" i="22"/>
  <c r="X46" i="22" s="1"/>
  <c r="I46" i="22"/>
  <c r="S46" i="22" s="1"/>
  <c r="J46" i="22"/>
  <c r="N45" i="22"/>
  <c r="L45" i="22" s="1"/>
  <c r="V45" i="22" s="1"/>
  <c r="I45" i="22"/>
  <c r="S45" i="22" s="1"/>
  <c r="N44" i="22"/>
  <c r="I44" i="22"/>
  <c r="S44" i="22" s="1"/>
  <c r="J44" i="22"/>
  <c r="P44" i="22" s="1"/>
  <c r="Z44" i="22" s="1"/>
  <c r="N43" i="22"/>
  <c r="L43" i="22" s="1"/>
  <c r="V43" i="22" s="1"/>
  <c r="I43" i="22"/>
  <c r="S43" i="22" s="1"/>
  <c r="N42" i="22"/>
  <c r="X42" i="22" s="1"/>
  <c r="I42" i="22"/>
  <c r="S42" i="22" s="1"/>
  <c r="J42" i="22"/>
  <c r="N41" i="22"/>
  <c r="L41" i="22" s="1"/>
  <c r="V41" i="22" s="1"/>
  <c r="I41" i="22"/>
  <c r="S41" i="22" s="1"/>
  <c r="N40" i="22"/>
  <c r="X40" i="22" s="1"/>
  <c r="I40" i="22"/>
  <c r="S40" i="22" s="1"/>
  <c r="J40" i="22"/>
  <c r="P40" i="22" s="1"/>
  <c r="Z40" i="22" s="1"/>
  <c r="N39" i="22"/>
  <c r="L39" i="22" s="1"/>
  <c r="V39" i="22" s="1"/>
  <c r="I39" i="22"/>
  <c r="S39" i="22" s="1"/>
  <c r="J39" i="22"/>
  <c r="N38" i="22"/>
  <c r="I38" i="22"/>
  <c r="S38" i="22" s="1"/>
  <c r="J38" i="22"/>
  <c r="N37" i="22"/>
  <c r="L37" i="22" s="1"/>
  <c r="V37" i="22" s="1"/>
  <c r="I37" i="22"/>
  <c r="S37" i="22" s="1"/>
  <c r="N36" i="22"/>
  <c r="I36" i="22"/>
  <c r="S36" i="22" s="1"/>
  <c r="J36" i="22"/>
  <c r="N35" i="22"/>
  <c r="I35" i="22"/>
  <c r="S35" i="22" s="1"/>
  <c r="J35" i="22"/>
  <c r="I34" i="22"/>
  <c r="S34" i="22" s="1"/>
  <c r="N33" i="22"/>
  <c r="L33" i="22" s="1"/>
  <c r="V33" i="22" s="1"/>
  <c r="I33" i="22"/>
  <c r="S33" i="22" s="1"/>
  <c r="J33" i="22"/>
  <c r="N32" i="22"/>
  <c r="X32" i="22" s="1"/>
  <c r="I32" i="22"/>
  <c r="S32" i="22" s="1"/>
  <c r="J32" i="22"/>
  <c r="N31" i="22"/>
  <c r="I31" i="22"/>
  <c r="S31" i="22" s="1"/>
  <c r="N30" i="22"/>
  <c r="X30" i="22" s="1"/>
  <c r="I30" i="22"/>
  <c r="S30" i="22" s="1"/>
  <c r="I29" i="22"/>
  <c r="S29" i="22" s="1"/>
  <c r="N28" i="22"/>
  <c r="X28" i="22" s="1"/>
  <c r="I28" i="22"/>
  <c r="S28" i="22" s="1"/>
  <c r="I27" i="22"/>
  <c r="S27" i="22" s="1"/>
  <c r="N26" i="22"/>
  <c r="X26" i="22" s="1"/>
  <c r="I26" i="22"/>
  <c r="S26" i="22" s="1"/>
  <c r="I25" i="22"/>
  <c r="S25" i="22" s="1"/>
  <c r="N24" i="22"/>
  <c r="X24" i="22" s="1"/>
  <c r="I24" i="22"/>
  <c r="S24" i="22" s="1"/>
  <c r="I23" i="22"/>
  <c r="S23" i="22" s="1"/>
  <c r="J23" i="22"/>
  <c r="N22" i="22"/>
  <c r="I22" i="22"/>
  <c r="S22" i="22" s="1"/>
  <c r="I21" i="22"/>
  <c r="S21" i="22" s="1"/>
  <c r="J21" i="22"/>
  <c r="I20" i="22"/>
  <c r="S20" i="22" s="1"/>
  <c r="I19" i="22"/>
  <c r="S19" i="22" s="1"/>
  <c r="I18" i="22"/>
  <c r="S18" i="22" s="1"/>
  <c r="I17" i="22"/>
  <c r="S17" i="22" s="1"/>
  <c r="J17" i="22"/>
  <c r="I16" i="22"/>
  <c r="S16" i="22" s="1"/>
  <c r="I15" i="22"/>
  <c r="S15" i="22" s="1"/>
  <c r="I14" i="22"/>
  <c r="S14" i="22" s="1"/>
  <c r="I13" i="22"/>
  <c r="S13" i="22" s="1"/>
  <c r="J13" i="22"/>
  <c r="N173" i="23"/>
  <c r="X173" i="23" s="1"/>
  <c r="I173" i="23"/>
  <c r="S173" i="23" s="1"/>
  <c r="J173" i="23"/>
  <c r="P173" i="23" s="1"/>
  <c r="Z173" i="23" s="1"/>
  <c r="N172" i="23"/>
  <c r="I172" i="23"/>
  <c r="S172" i="23" s="1"/>
  <c r="N171" i="23"/>
  <c r="I171" i="23"/>
  <c r="S171" i="23" s="1"/>
  <c r="J171" i="23"/>
  <c r="N170" i="23"/>
  <c r="L170" i="23" s="1"/>
  <c r="V170" i="23" s="1"/>
  <c r="I170" i="23"/>
  <c r="S170" i="23" s="1"/>
  <c r="J170" i="23"/>
  <c r="O169" i="23"/>
  <c r="Q169" i="23" s="1"/>
  <c r="N169" i="23"/>
  <c r="L169" i="23" s="1"/>
  <c r="V169" i="23" s="1"/>
  <c r="K169" i="23"/>
  <c r="M169" i="23" s="1"/>
  <c r="I169" i="23"/>
  <c r="S169" i="23" s="1"/>
  <c r="J169" i="23"/>
  <c r="N168" i="23"/>
  <c r="I168" i="23"/>
  <c r="S168" i="23" s="1"/>
  <c r="J168" i="23"/>
  <c r="I167" i="23"/>
  <c r="S167" i="23" s="1"/>
  <c r="N166" i="23"/>
  <c r="L166" i="23" s="1"/>
  <c r="V166" i="23" s="1"/>
  <c r="I166" i="23"/>
  <c r="S166" i="23" s="1"/>
  <c r="J166" i="23"/>
  <c r="N165" i="23"/>
  <c r="X165" i="23" s="1"/>
  <c r="I165" i="23"/>
  <c r="S165" i="23" s="1"/>
  <c r="N164" i="23"/>
  <c r="L164" i="23" s="1"/>
  <c r="V164" i="23" s="1"/>
  <c r="I164" i="23"/>
  <c r="S164" i="23" s="1"/>
  <c r="J164" i="23"/>
  <c r="P164" i="23" s="1"/>
  <c r="Z164" i="23" s="1"/>
  <c r="N163" i="23"/>
  <c r="I163" i="23"/>
  <c r="S163" i="23" s="1"/>
  <c r="N162" i="23"/>
  <c r="I162" i="23"/>
  <c r="S162" i="23" s="1"/>
  <c r="J162" i="23"/>
  <c r="I161" i="23"/>
  <c r="S161" i="23" s="1"/>
  <c r="N160" i="23"/>
  <c r="I160" i="23"/>
  <c r="S160" i="23" s="1"/>
  <c r="J160" i="23"/>
  <c r="I159" i="23"/>
  <c r="S159" i="23" s="1"/>
  <c r="N158" i="23"/>
  <c r="L158" i="23" s="1"/>
  <c r="V158" i="23" s="1"/>
  <c r="I158" i="23"/>
  <c r="S158" i="23" s="1"/>
  <c r="J158" i="23"/>
  <c r="N157" i="23"/>
  <c r="X157" i="23" s="1"/>
  <c r="I157" i="23"/>
  <c r="S157" i="23" s="1"/>
  <c r="N156" i="23"/>
  <c r="I156" i="23"/>
  <c r="S156" i="23" s="1"/>
  <c r="J156" i="23"/>
  <c r="P156" i="23" s="1"/>
  <c r="Z156" i="23" s="1"/>
  <c r="N155" i="23"/>
  <c r="X155" i="23" s="1"/>
  <c r="I155" i="23"/>
  <c r="S155" i="23" s="1"/>
  <c r="N154" i="23"/>
  <c r="L154" i="23" s="1"/>
  <c r="V154" i="23" s="1"/>
  <c r="I154" i="23"/>
  <c r="S154" i="23" s="1"/>
  <c r="J154" i="23"/>
  <c r="I153" i="23"/>
  <c r="S153" i="23" s="1"/>
  <c r="N152" i="23"/>
  <c r="I152" i="23"/>
  <c r="S152" i="23" s="1"/>
  <c r="J152" i="23"/>
  <c r="I151" i="23"/>
  <c r="S151" i="23" s="1"/>
  <c r="N150" i="23"/>
  <c r="L150" i="23" s="1"/>
  <c r="V150" i="23" s="1"/>
  <c r="I150" i="23"/>
  <c r="S150" i="23" s="1"/>
  <c r="J150" i="23"/>
  <c r="N149" i="23"/>
  <c r="I149" i="23"/>
  <c r="S149" i="23" s="1"/>
  <c r="N148" i="23"/>
  <c r="X148" i="23" s="1"/>
  <c r="I148" i="23"/>
  <c r="S148" i="23" s="1"/>
  <c r="J148" i="23"/>
  <c r="N147" i="23"/>
  <c r="L147" i="23" s="1"/>
  <c r="V147" i="23" s="1"/>
  <c r="I147" i="23"/>
  <c r="S147" i="23" s="1"/>
  <c r="O146" i="23"/>
  <c r="Q146" i="23" s="1"/>
  <c r="N146" i="23"/>
  <c r="L146" i="23" s="1"/>
  <c r="V146" i="23" s="1"/>
  <c r="K146" i="23"/>
  <c r="M146" i="23" s="1"/>
  <c r="I146" i="23"/>
  <c r="S146" i="23" s="1"/>
  <c r="J146" i="23"/>
  <c r="N145" i="23"/>
  <c r="I145" i="23"/>
  <c r="S145" i="23" s="1"/>
  <c r="J145" i="23"/>
  <c r="P145" i="23" s="1"/>
  <c r="Z145" i="23" s="1"/>
  <c r="N144" i="23"/>
  <c r="X144" i="23" s="1"/>
  <c r="I144" i="23"/>
  <c r="S144" i="23" s="1"/>
  <c r="N143" i="23"/>
  <c r="L143" i="23" s="1"/>
  <c r="V143" i="23" s="1"/>
  <c r="I143" i="23"/>
  <c r="S143" i="23" s="1"/>
  <c r="J143" i="23"/>
  <c r="N142" i="23"/>
  <c r="I142" i="23"/>
  <c r="S142" i="23" s="1"/>
  <c r="N141" i="23"/>
  <c r="I141" i="23"/>
  <c r="S141" i="23" s="1"/>
  <c r="J141" i="23"/>
  <c r="P141" i="23" s="1"/>
  <c r="Z141" i="23" s="1"/>
  <c r="N140" i="23"/>
  <c r="X140" i="23" s="1"/>
  <c r="I140" i="23"/>
  <c r="S140" i="23" s="1"/>
  <c r="J140" i="23"/>
  <c r="N139" i="23"/>
  <c r="I139" i="23"/>
  <c r="S139" i="23" s="1"/>
  <c r="J139" i="23"/>
  <c r="N138" i="23"/>
  <c r="I138" i="23"/>
  <c r="S138" i="23" s="1"/>
  <c r="N137" i="23"/>
  <c r="X137" i="23" s="1"/>
  <c r="I137" i="23"/>
  <c r="S137" i="23" s="1"/>
  <c r="J137" i="23"/>
  <c r="P137" i="23" s="1"/>
  <c r="Z137" i="23" s="1"/>
  <c r="N136" i="23"/>
  <c r="X136" i="23" s="1"/>
  <c r="I136" i="23"/>
  <c r="S136" i="23" s="1"/>
  <c r="N135" i="23"/>
  <c r="I135" i="23"/>
  <c r="S135" i="23" s="1"/>
  <c r="J135" i="23"/>
  <c r="O134" i="23"/>
  <c r="Q134" i="23" s="1"/>
  <c r="N134" i="23"/>
  <c r="L134" i="23" s="1"/>
  <c r="V134" i="23" s="1"/>
  <c r="I134" i="23"/>
  <c r="S134" i="23" s="1"/>
  <c r="N133" i="23"/>
  <c r="X133" i="23" s="1"/>
  <c r="I133" i="23"/>
  <c r="S133" i="23" s="1"/>
  <c r="J133" i="23"/>
  <c r="P133" i="23" s="1"/>
  <c r="Z133" i="23" s="1"/>
  <c r="N132" i="23"/>
  <c r="X132" i="23" s="1"/>
  <c r="I132" i="23"/>
  <c r="S132" i="23" s="1"/>
  <c r="J132" i="23"/>
  <c r="N131" i="23"/>
  <c r="X131" i="23" s="1"/>
  <c r="I131" i="23"/>
  <c r="S131" i="23" s="1"/>
  <c r="J131" i="23"/>
  <c r="P131" i="23" s="1"/>
  <c r="Z131" i="23" s="1"/>
  <c r="N130" i="23"/>
  <c r="X130" i="23" s="1"/>
  <c r="L130" i="23"/>
  <c r="V130" i="23" s="1"/>
  <c r="I130" i="23"/>
  <c r="S130" i="23" s="1"/>
  <c r="O129" i="23"/>
  <c r="Q129" i="23" s="1"/>
  <c r="N129" i="23"/>
  <c r="X129" i="23" s="1"/>
  <c r="K129" i="23"/>
  <c r="M129" i="23" s="1"/>
  <c r="I129" i="23"/>
  <c r="S129" i="23" s="1"/>
  <c r="J129" i="23"/>
  <c r="N128" i="23"/>
  <c r="X128" i="23" s="1"/>
  <c r="I128" i="23"/>
  <c r="S128" i="23" s="1"/>
  <c r="J128" i="23"/>
  <c r="N127" i="23"/>
  <c r="X127" i="23" s="1"/>
  <c r="I127" i="23"/>
  <c r="S127" i="23" s="1"/>
  <c r="J127" i="23"/>
  <c r="N126" i="23"/>
  <c r="X126" i="23" s="1"/>
  <c r="I126" i="23"/>
  <c r="S126" i="23" s="1"/>
  <c r="J126" i="23"/>
  <c r="T126" i="23" s="1"/>
  <c r="N125" i="23"/>
  <c r="X125" i="23" s="1"/>
  <c r="I125" i="23"/>
  <c r="S125" i="23" s="1"/>
  <c r="N124" i="23"/>
  <c r="L124" i="23" s="1"/>
  <c r="V124" i="23" s="1"/>
  <c r="I124" i="23"/>
  <c r="S124" i="23" s="1"/>
  <c r="J124" i="23"/>
  <c r="O123" i="23"/>
  <c r="Q123" i="23" s="1"/>
  <c r="N123" i="23"/>
  <c r="L123" i="23" s="1"/>
  <c r="V123" i="23" s="1"/>
  <c r="I123" i="23"/>
  <c r="S123" i="23" s="1"/>
  <c r="N122" i="23"/>
  <c r="X122" i="23" s="1"/>
  <c r="I122" i="23"/>
  <c r="S122" i="23" s="1"/>
  <c r="J122" i="23"/>
  <c r="I121" i="23"/>
  <c r="S121" i="23" s="1"/>
  <c r="N120" i="23"/>
  <c r="L120" i="23" s="1"/>
  <c r="V120" i="23" s="1"/>
  <c r="I120" i="23"/>
  <c r="S120" i="23" s="1"/>
  <c r="J120" i="23"/>
  <c r="I119" i="23"/>
  <c r="S119" i="23" s="1"/>
  <c r="N118" i="23"/>
  <c r="I118" i="23"/>
  <c r="S118" i="23" s="1"/>
  <c r="I117" i="23"/>
  <c r="S117" i="23" s="1"/>
  <c r="I116" i="23"/>
  <c r="S116" i="23" s="1"/>
  <c r="N115" i="23"/>
  <c r="L115" i="23" s="1"/>
  <c r="V115" i="23" s="1"/>
  <c r="I115" i="23"/>
  <c r="S115" i="23" s="1"/>
  <c r="J115" i="23"/>
  <c r="N114" i="23"/>
  <c r="X114" i="23" s="1"/>
  <c r="I114" i="23"/>
  <c r="S114" i="23" s="1"/>
  <c r="I113" i="23"/>
  <c r="S113" i="23" s="1"/>
  <c r="O112" i="23"/>
  <c r="Q112" i="23" s="1"/>
  <c r="N112" i="23"/>
  <c r="X112" i="23" s="1"/>
  <c r="I112" i="23"/>
  <c r="S112" i="23" s="1"/>
  <c r="N111" i="23"/>
  <c r="X111" i="23" s="1"/>
  <c r="I111" i="23"/>
  <c r="S111" i="23" s="1"/>
  <c r="J111" i="23"/>
  <c r="P111" i="23" s="1"/>
  <c r="Z111" i="23" s="1"/>
  <c r="I110" i="23"/>
  <c r="S110" i="23" s="1"/>
  <c r="J110" i="23"/>
  <c r="N109" i="23"/>
  <c r="X109" i="23" s="1"/>
  <c r="I109" i="23"/>
  <c r="S109" i="23" s="1"/>
  <c r="I108" i="23"/>
  <c r="S108" i="23" s="1"/>
  <c r="N107" i="23"/>
  <c r="L107" i="23" s="1"/>
  <c r="V107" i="23" s="1"/>
  <c r="I107" i="23"/>
  <c r="S107" i="23" s="1"/>
  <c r="I106" i="23"/>
  <c r="S106" i="23" s="1"/>
  <c r="N105" i="23"/>
  <c r="X105" i="23" s="1"/>
  <c r="I105" i="23"/>
  <c r="S105" i="23" s="1"/>
  <c r="I104" i="23"/>
  <c r="S104" i="23" s="1"/>
  <c r="N103" i="23"/>
  <c r="X103" i="23" s="1"/>
  <c r="I103" i="23"/>
  <c r="S103" i="23" s="1"/>
  <c r="I102" i="23"/>
  <c r="S102" i="23" s="1"/>
  <c r="O101" i="23"/>
  <c r="Q101" i="23" s="1"/>
  <c r="N101" i="23"/>
  <c r="L101" i="23" s="1"/>
  <c r="V101" i="23" s="1"/>
  <c r="K101" i="23"/>
  <c r="M101" i="23" s="1"/>
  <c r="I101" i="23"/>
  <c r="S101" i="23" s="1"/>
  <c r="J101" i="23"/>
  <c r="O100" i="23"/>
  <c r="Q100" i="23" s="1"/>
  <c r="N100" i="23"/>
  <c r="L100" i="23" s="1"/>
  <c r="V100" i="23" s="1"/>
  <c r="K100" i="23"/>
  <c r="M100" i="23" s="1"/>
  <c r="I100" i="23"/>
  <c r="S100" i="23" s="1"/>
  <c r="J100" i="23"/>
  <c r="N99" i="23"/>
  <c r="X99" i="23" s="1"/>
  <c r="I99" i="23"/>
  <c r="S99" i="23" s="1"/>
  <c r="J99" i="23"/>
  <c r="N98" i="23"/>
  <c r="I98" i="23"/>
  <c r="S98" i="23" s="1"/>
  <c r="N97" i="23"/>
  <c r="I97" i="23"/>
  <c r="S97" i="23" s="1"/>
  <c r="J97" i="23"/>
  <c r="N96" i="23"/>
  <c r="L96" i="23" s="1"/>
  <c r="V96" i="23" s="1"/>
  <c r="I96" i="23"/>
  <c r="S96" i="23" s="1"/>
  <c r="J96" i="23"/>
  <c r="T96" i="23" s="1"/>
  <c r="O95" i="23"/>
  <c r="Q95" i="23" s="1"/>
  <c r="N95" i="23"/>
  <c r="X95" i="23" s="1"/>
  <c r="K95" i="23"/>
  <c r="M95" i="23" s="1"/>
  <c r="I95" i="23"/>
  <c r="S95" i="23" s="1"/>
  <c r="J95" i="23"/>
  <c r="P95" i="23" s="1"/>
  <c r="Z95" i="23" s="1"/>
  <c r="N94" i="23"/>
  <c r="X94" i="23" s="1"/>
  <c r="I94" i="23"/>
  <c r="S94" i="23" s="1"/>
  <c r="J94" i="23"/>
  <c r="N93" i="23"/>
  <c r="I93" i="23"/>
  <c r="S93" i="23" s="1"/>
  <c r="N92" i="23"/>
  <c r="I92" i="23"/>
  <c r="S92" i="23" s="1"/>
  <c r="J92" i="23"/>
  <c r="I91" i="23"/>
  <c r="S91" i="23" s="1"/>
  <c r="N90" i="23"/>
  <c r="L90" i="23" s="1"/>
  <c r="V90" i="23" s="1"/>
  <c r="I90" i="23"/>
  <c r="S90" i="23" s="1"/>
  <c r="J90" i="23"/>
  <c r="T90" i="23" s="1"/>
  <c r="N89" i="23"/>
  <c r="X89" i="23" s="1"/>
  <c r="I89" i="23"/>
  <c r="S89" i="23" s="1"/>
  <c r="J89" i="23"/>
  <c r="P89" i="23" s="1"/>
  <c r="Z89" i="23" s="1"/>
  <c r="N88" i="23"/>
  <c r="L88" i="23" s="1"/>
  <c r="V88" i="23" s="1"/>
  <c r="I88" i="23"/>
  <c r="S88" i="23" s="1"/>
  <c r="J88" i="23"/>
  <c r="T88" i="23" s="1"/>
  <c r="I87" i="23"/>
  <c r="S87" i="23" s="1"/>
  <c r="N86" i="23"/>
  <c r="L86" i="23" s="1"/>
  <c r="V86" i="23" s="1"/>
  <c r="I86" i="23"/>
  <c r="S86" i="23" s="1"/>
  <c r="J86" i="23"/>
  <c r="N85" i="23"/>
  <c r="L85" i="23" s="1"/>
  <c r="V85" i="23" s="1"/>
  <c r="I85" i="23"/>
  <c r="S85" i="23" s="1"/>
  <c r="N84" i="23"/>
  <c r="L84" i="23" s="1"/>
  <c r="V84" i="23" s="1"/>
  <c r="I84" i="23"/>
  <c r="S84" i="23" s="1"/>
  <c r="J84" i="23"/>
  <c r="N83" i="23"/>
  <c r="X83" i="23" s="1"/>
  <c r="I83" i="23"/>
  <c r="S83" i="23" s="1"/>
  <c r="N82" i="23"/>
  <c r="L82" i="23" s="1"/>
  <c r="V82" i="23" s="1"/>
  <c r="I82" i="23"/>
  <c r="S82" i="23" s="1"/>
  <c r="J82" i="23"/>
  <c r="T82" i="23" s="1"/>
  <c r="N81" i="23"/>
  <c r="L81" i="23" s="1"/>
  <c r="V81" i="23" s="1"/>
  <c r="I81" i="23"/>
  <c r="S81" i="23" s="1"/>
  <c r="O80" i="23"/>
  <c r="Q80" i="23" s="1"/>
  <c r="N80" i="23"/>
  <c r="L80" i="23" s="1"/>
  <c r="V80" i="23" s="1"/>
  <c r="K80" i="23"/>
  <c r="M80" i="23" s="1"/>
  <c r="I80" i="23"/>
  <c r="S80" i="23" s="1"/>
  <c r="J80" i="23"/>
  <c r="N79" i="23"/>
  <c r="X79" i="23" s="1"/>
  <c r="I79" i="23"/>
  <c r="S79" i="23" s="1"/>
  <c r="J79" i="23"/>
  <c r="P79" i="23" s="1"/>
  <c r="Z79" i="23" s="1"/>
  <c r="N78" i="23"/>
  <c r="L78" i="23" s="1"/>
  <c r="V78" i="23" s="1"/>
  <c r="I78" i="23"/>
  <c r="S78" i="23" s="1"/>
  <c r="N77" i="23"/>
  <c r="L77" i="23" s="1"/>
  <c r="V77" i="23" s="1"/>
  <c r="I77" i="23"/>
  <c r="S77" i="23" s="1"/>
  <c r="J77" i="23"/>
  <c r="P77" i="23" s="1"/>
  <c r="Z77" i="23" s="1"/>
  <c r="N76" i="23"/>
  <c r="L76" i="23" s="1"/>
  <c r="V76" i="23" s="1"/>
  <c r="I76" i="23"/>
  <c r="S76" i="23" s="1"/>
  <c r="N75" i="23"/>
  <c r="L75" i="23" s="1"/>
  <c r="V75" i="23" s="1"/>
  <c r="I75" i="23"/>
  <c r="S75" i="23" s="1"/>
  <c r="J75" i="23"/>
  <c r="P75" i="23" s="1"/>
  <c r="Z75" i="23" s="1"/>
  <c r="N74" i="23"/>
  <c r="L74" i="23" s="1"/>
  <c r="V74" i="23" s="1"/>
  <c r="I74" i="23"/>
  <c r="S74" i="23" s="1"/>
  <c r="N73" i="23"/>
  <c r="L73" i="23" s="1"/>
  <c r="V73" i="23" s="1"/>
  <c r="I73" i="23"/>
  <c r="S73" i="23" s="1"/>
  <c r="J73" i="23"/>
  <c r="P73" i="23" s="1"/>
  <c r="Z73" i="23" s="1"/>
  <c r="N72" i="23"/>
  <c r="L72" i="23" s="1"/>
  <c r="V72" i="23" s="1"/>
  <c r="I72" i="23"/>
  <c r="S72" i="23" s="1"/>
  <c r="N71" i="23"/>
  <c r="X71" i="23" s="1"/>
  <c r="I71" i="23"/>
  <c r="S71" i="23" s="1"/>
  <c r="J71" i="23"/>
  <c r="P71" i="23" s="1"/>
  <c r="Z71" i="23" s="1"/>
  <c r="N70" i="23"/>
  <c r="I70" i="23"/>
  <c r="S70" i="23" s="1"/>
  <c r="N69" i="23"/>
  <c r="I69" i="23"/>
  <c r="S69" i="23" s="1"/>
  <c r="J69" i="23"/>
  <c r="P69" i="23" s="1"/>
  <c r="Z69" i="23" s="1"/>
  <c r="N68" i="23"/>
  <c r="L68" i="23" s="1"/>
  <c r="V68" i="23" s="1"/>
  <c r="I68" i="23"/>
  <c r="S68" i="23" s="1"/>
  <c r="N67" i="23"/>
  <c r="X67" i="23" s="1"/>
  <c r="L67" i="23"/>
  <c r="V67" i="23" s="1"/>
  <c r="I67" i="23"/>
  <c r="S67" i="23" s="1"/>
  <c r="J67" i="23"/>
  <c r="P67" i="23" s="1"/>
  <c r="Z67" i="23" s="1"/>
  <c r="N66" i="23"/>
  <c r="L66" i="23" s="1"/>
  <c r="V66" i="23" s="1"/>
  <c r="I66" i="23"/>
  <c r="S66" i="23" s="1"/>
  <c r="N65" i="23"/>
  <c r="X65" i="23" s="1"/>
  <c r="I65" i="23"/>
  <c r="S65" i="23" s="1"/>
  <c r="J65" i="23"/>
  <c r="P65" i="23" s="1"/>
  <c r="Z65" i="23" s="1"/>
  <c r="N64" i="23"/>
  <c r="L64" i="23" s="1"/>
  <c r="V64" i="23" s="1"/>
  <c r="I64" i="23"/>
  <c r="S64" i="23" s="1"/>
  <c r="N63" i="23"/>
  <c r="X63" i="23" s="1"/>
  <c r="I63" i="23"/>
  <c r="S63" i="23" s="1"/>
  <c r="J63" i="23"/>
  <c r="P63" i="23" s="1"/>
  <c r="Z63" i="23" s="1"/>
  <c r="N62" i="23"/>
  <c r="I62" i="23"/>
  <c r="S62" i="23" s="1"/>
  <c r="J62" i="23"/>
  <c r="N61" i="23"/>
  <c r="X61" i="23" s="1"/>
  <c r="I61" i="23"/>
  <c r="S61" i="23" s="1"/>
  <c r="J61" i="23"/>
  <c r="P61" i="23" s="1"/>
  <c r="Z61" i="23" s="1"/>
  <c r="N60" i="23"/>
  <c r="L60" i="23" s="1"/>
  <c r="V60" i="23" s="1"/>
  <c r="I60" i="23"/>
  <c r="S60" i="23" s="1"/>
  <c r="N59" i="23"/>
  <c r="L59" i="23" s="1"/>
  <c r="V59" i="23" s="1"/>
  <c r="I59" i="23"/>
  <c r="S59" i="23" s="1"/>
  <c r="J59" i="23"/>
  <c r="P59" i="23" s="1"/>
  <c r="Z59" i="23" s="1"/>
  <c r="N58" i="23"/>
  <c r="L58" i="23" s="1"/>
  <c r="V58" i="23" s="1"/>
  <c r="I58" i="23"/>
  <c r="S58" i="23" s="1"/>
  <c r="N57" i="23"/>
  <c r="K57" i="23"/>
  <c r="M57" i="23" s="1"/>
  <c r="I57" i="23"/>
  <c r="S57" i="23" s="1"/>
  <c r="J57" i="23"/>
  <c r="P57" i="23" s="1"/>
  <c r="Z57" i="23" s="1"/>
  <c r="N56" i="23"/>
  <c r="I56" i="23"/>
  <c r="S56" i="23" s="1"/>
  <c r="J56" i="23"/>
  <c r="T56" i="23" s="1"/>
  <c r="N55" i="23"/>
  <c r="L55" i="23" s="1"/>
  <c r="V55" i="23" s="1"/>
  <c r="I55" i="23"/>
  <c r="S55" i="23" s="1"/>
  <c r="N54" i="23"/>
  <c r="L54" i="23" s="1"/>
  <c r="V54" i="23" s="1"/>
  <c r="I54" i="23"/>
  <c r="S54" i="23" s="1"/>
  <c r="J54" i="23"/>
  <c r="N53" i="23"/>
  <c r="L53" i="23" s="1"/>
  <c r="V53" i="23" s="1"/>
  <c r="I53" i="23"/>
  <c r="S53" i="23" s="1"/>
  <c r="N52" i="23"/>
  <c r="I52" i="23"/>
  <c r="S52" i="23" s="1"/>
  <c r="J52" i="23"/>
  <c r="T52" i="23" s="1"/>
  <c r="N51" i="23"/>
  <c r="L51" i="23" s="1"/>
  <c r="V51" i="23" s="1"/>
  <c r="I51" i="23"/>
  <c r="S51" i="23" s="1"/>
  <c r="N50" i="23"/>
  <c r="L50" i="23" s="1"/>
  <c r="V50" i="23" s="1"/>
  <c r="I50" i="23"/>
  <c r="S50" i="23" s="1"/>
  <c r="J50" i="23"/>
  <c r="T50" i="23" s="1"/>
  <c r="N49" i="23"/>
  <c r="I49" i="23"/>
  <c r="S49" i="23" s="1"/>
  <c r="N48" i="23"/>
  <c r="L48" i="23" s="1"/>
  <c r="V48" i="23" s="1"/>
  <c r="I48" i="23"/>
  <c r="S48" i="23" s="1"/>
  <c r="J48" i="23"/>
  <c r="T48" i="23" s="1"/>
  <c r="N47" i="23"/>
  <c r="L47" i="23" s="1"/>
  <c r="V47" i="23" s="1"/>
  <c r="I47" i="23"/>
  <c r="S47" i="23" s="1"/>
  <c r="N46" i="23"/>
  <c r="L46" i="23" s="1"/>
  <c r="V46" i="23" s="1"/>
  <c r="I46" i="23"/>
  <c r="S46" i="23" s="1"/>
  <c r="J46" i="23"/>
  <c r="N45" i="23"/>
  <c r="I45" i="23"/>
  <c r="S45" i="23" s="1"/>
  <c r="N44" i="23"/>
  <c r="I44" i="23"/>
  <c r="S44" i="23" s="1"/>
  <c r="J44" i="23"/>
  <c r="T44" i="23" s="1"/>
  <c r="N43" i="23"/>
  <c r="L43" i="23" s="1"/>
  <c r="V43" i="23" s="1"/>
  <c r="I43" i="23"/>
  <c r="S43" i="23" s="1"/>
  <c r="N42" i="23"/>
  <c r="L42" i="23" s="1"/>
  <c r="V42" i="23" s="1"/>
  <c r="I42" i="23"/>
  <c r="S42" i="23" s="1"/>
  <c r="J42" i="23"/>
  <c r="T42" i="23" s="1"/>
  <c r="O41" i="23"/>
  <c r="Q41" i="23" s="1"/>
  <c r="N41" i="23"/>
  <c r="L41" i="23" s="1"/>
  <c r="V41" i="23" s="1"/>
  <c r="I41" i="23"/>
  <c r="S41" i="23" s="1"/>
  <c r="N40" i="23"/>
  <c r="L40" i="23" s="1"/>
  <c r="V40" i="23" s="1"/>
  <c r="I40" i="23"/>
  <c r="S40" i="23" s="1"/>
  <c r="J40" i="23"/>
  <c r="N39" i="23"/>
  <c r="L39" i="23" s="1"/>
  <c r="V39" i="23" s="1"/>
  <c r="I39" i="23"/>
  <c r="S39" i="23" s="1"/>
  <c r="N38" i="23"/>
  <c r="L38" i="23" s="1"/>
  <c r="V38" i="23" s="1"/>
  <c r="I38" i="23"/>
  <c r="S38" i="23" s="1"/>
  <c r="J38" i="23"/>
  <c r="N37" i="23"/>
  <c r="X37" i="23" s="1"/>
  <c r="I37" i="23"/>
  <c r="S37" i="23" s="1"/>
  <c r="N36" i="23"/>
  <c r="L36" i="23" s="1"/>
  <c r="V36" i="23" s="1"/>
  <c r="I36" i="23"/>
  <c r="S36" i="23" s="1"/>
  <c r="J36" i="23"/>
  <c r="N35" i="23"/>
  <c r="L35" i="23" s="1"/>
  <c r="V35" i="23" s="1"/>
  <c r="I35" i="23"/>
  <c r="S35" i="23" s="1"/>
  <c r="O34" i="23"/>
  <c r="N34" i="23"/>
  <c r="L34" i="23" s="1"/>
  <c r="V34" i="23" s="1"/>
  <c r="K34" i="23"/>
  <c r="M34" i="23" s="1"/>
  <c r="I34" i="23"/>
  <c r="S34" i="23" s="1"/>
  <c r="J34" i="23"/>
  <c r="T34" i="23" s="1"/>
  <c r="N33" i="23"/>
  <c r="I33" i="23"/>
  <c r="S33" i="23" s="1"/>
  <c r="J33" i="23"/>
  <c r="P33" i="23" s="1"/>
  <c r="Z33" i="23" s="1"/>
  <c r="N32" i="23"/>
  <c r="L32" i="23" s="1"/>
  <c r="V32" i="23" s="1"/>
  <c r="I32" i="23"/>
  <c r="S32" i="23" s="1"/>
  <c r="J32" i="23"/>
  <c r="T32" i="23" s="1"/>
  <c r="N31" i="23"/>
  <c r="L31" i="23" s="1"/>
  <c r="V31" i="23" s="1"/>
  <c r="I31" i="23"/>
  <c r="S31" i="23" s="1"/>
  <c r="J31" i="23"/>
  <c r="P31" i="23" s="1"/>
  <c r="Z31" i="23" s="1"/>
  <c r="N30" i="23"/>
  <c r="L30" i="23" s="1"/>
  <c r="V30" i="23" s="1"/>
  <c r="I30" i="23"/>
  <c r="S30" i="23" s="1"/>
  <c r="J30" i="23"/>
  <c r="O29" i="23"/>
  <c r="Q29" i="23" s="1"/>
  <c r="N29" i="23"/>
  <c r="K29" i="23"/>
  <c r="M29" i="23" s="1"/>
  <c r="I29" i="23"/>
  <c r="S29" i="23" s="1"/>
  <c r="J29" i="23"/>
  <c r="P29" i="23" s="1"/>
  <c r="Z29" i="23" s="1"/>
  <c r="N28" i="23"/>
  <c r="I28" i="23"/>
  <c r="S28" i="23" s="1"/>
  <c r="J28" i="23"/>
  <c r="N27" i="23"/>
  <c r="X27" i="23" s="1"/>
  <c r="I27" i="23"/>
  <c r="S27" i="23" s="1"/>
  <c r="N26" i="23"/>
  <c r="I26" i="23"/>
  <c r="S26" i="23" s="1"/>
  <c r="I25" i="23"/>
  <c r="S25" i="23" s="1"/>
  <c r="O24" i="23"/>
  <c r="Q24" i="23" s="1"/>
  <c r="N24" i="23"/>
  <c r="K24" i="23"/>
  <c r="M24" i="23" s="1"/>
  <c r="I24" i="23"/>
  <c r="S24" i="23" s="1"/>
  <c r="J24" i="23"/>
  <c r="T24" i="23" s="1"/>
  <c r="O23" i="23"/>
  <c r="Q23" i="23" s="1"/>
  <c r="N23" i="23"/>
  <c r="L23" i="23" s="1"/>
  <c r="V23" i="23" s="1"/>
  <c r="K23" i="23"/>
  <c r="M23" i="23" s="1"/>
  <c r="I23" i="23"/>
  <c r="S23" i="23" s="1"/>
  <c r="J23" i="23"/>
  <c r="P23" i="23" s="1"/>
  <c r="Z23" i="23" s="1"/>
  <c r="N22" i="23"/>
  <c r="L22" i="23" s="1"/>
  <c r="V22" i="23" s="1"/>
  <c r="I22" i="23"/>
  <c r="S22" i="23" s="1"/>
  <c r="N21" i="23"/>
  <c r="I21" i="23"/>
  <c r="S21" i="23" s="1"/>
  <c r="I20" i="23"/>
  <c r="S20" i="23" s="1"/>
  <c r="I19" i="23"/>
  <c r="S19" i="23" s="1"/>
  <c r="I18" i="23"/>
  <c r="S18" i="23" s="1"/>
  <c r="N17" i="23"/>
  <c r="X17" i="23" s="1"/>
  <c r="I17" i="23"/>
  <c r="S17" i="23" s="1"/>
  <c r="I16" i="23"/>
  <c r="S16" i="23" s="1"/>
  <c r="I15" i="23"/>
  <c r="S15" i="23" s="1"/>
  <c r="N14" i="23"/>
  <c r="L14" i="23" s="1"/>
  <c r="V14" i="23" s="1"/>
  <c r="I14" i="23"/>
  <c r="S14" i="23" s="1"/>
  <c r="I13" i="23"/>
  <c r="S13" i="23" s="1"/>
  <c r="N70" i="24"/>
  <c r="I70" i="24"/>
  <c r="S70" i="24" s="1"/>
  <c r="J70" i="24"/>
  <c r="I69" i="24"/>
  <c r="S69" i="24" s="1"/>
  <c r="J69" i="24"/>
  <c r="T69" i="24" s="1"/>
  <c r="N68" i="24"/>
  <c r="X68" i="24" s="1"/>
  <c r="I68" i="24"/>
  <c r="S68" i="24" s="1"/>
  <c r="J68" i="24"/>
  <c r="I67" i="24"/>
  <c r="S67" i="24" s="1"/>
  <c r="N66" i="24"/>
  <c r="X66" i="24" s="1"/>
  <c r="I66" i="24"/>
  <c r="S66" i="24" s="1"/>
  <c r="J66" i="24"/>
  <c r="I65" i="24"/>
  <c r="S65" i="24" s="1"/>
  <c r="N64" i="24"/>
  <c r="X64" i="24" s="1"/>
  <c r="I64" i="24"/>
  <c r="S64" i="24" s="1"/>
  <c r="J64" i="24"/>
  <c r="P64" i="24" s="1"/>
  <c r="Z64" i="24" s="1"/>
  <c r="I63" i="24"/>
  <c r="S63" i="24" s="1"/>
  <c r="J63" i="24"/>
  <c r="N62" i="24"/>
  <c r="X62" i="24" s="1"/>
  <c r="I62" i="24"/>
  <c r="S62" i="24" s="1"/>
  <c r="J62" i="24"/>
  <c r="P62" i="24" s="1"/>
  <c r="Z62" i="24" s="1"/>
  <c r="I61" i="24"/>
  <c r="S61" i="24" s="1"/>
  <c r="J61" i="24"/>
  <c r="N60" i="24"/>
  <c r="X60" i="24" s="1"/>
  <c r="I60" i="24"/>
  <c r="S60" i="24" s="1"/>
  <c r="J60" i="24"/>
  <c r="P60" i="24" s="1"/>
  <c r="Z60" i="24" s="1"/>
  <c r="I59" i="24"/>
  <c r="S59" i="24" s="1"/>
  <c r="N58" i="24"/>
  <c r="X58" i="24" s="1"/>
  <c r="I58" i="24"/>
  <c r="S58" i="24" s="1"/>
  <c r="J58" i="24"/>
  <c r="P58" i="24" s="1"/>
  <c r="Z58" i="24" s="1"/>
  <c r="I57" i="24"/>
  <c r="S57" i="24" s="1"/>
  <c r="O56" i="24"/>
  <c r="Q56" i="24" s="1"/>
  <c r="N56" i="24"/>
  <c r="K56" i="24"/>
  <c r="I56" i="24"/>
  <c r="S56" i="24" s="1"/>
  <c r="J56" i="24"/>
  <c r="P56" i="24" s="1"/>
  <c r="Z56" i="24" s="1"/>
  <c r="N55" i="24"/>
  <c r="I55" i="24"/>
  <c r="S55" i="24" s="1"/>
  <c r="J55" i="24"/>
  <c r="P55" i="24" s="1"/>
  <c r="Z55" i="24" s="1"/>
  <c r="N54" i="24"/>
  <c r="L54" i="24" s="1"/>
  <c r="V54" i="24" s="1"/>
  <c r="I54" i="24"/>
  <c r="S54" i="24" s="1"/>
  <c r="N53" i="24"/>
  <c r="L53" i="24" s="1"/>
  <c r="V53" i="24" s="1"/>
  <c r="I53" i="24"/>
  <c r="S53" i="24" s="1"/>
  <c r="J53" i="24"/>
  <c r="N52" i="24"/>
  <c r="X52" i="24" s="1"/>
  <c r="I52" i="24"/>
  <c r="S52" i="24" s="1"/>
  <c r="N51" i="24"/>
  <c r="I51" i="24"/>
  <c r="S51" i="24" s="1"/>
  <c r="J51" i="24"/>
  <c r="N50" i="24"/>
  <c r="I50" i="24"/>
  <c r="S50" i="24" s="1"/>
  <c r="N49" i="24"/>
  <c r="I49" i="24"/>
  <c r="S49" i="24" s="1"/>
  <c r="J49" i="24"/>
  <c r="N48" i="24"/>
  <c r="X48" i="24" s="1"/>
  <c r="I48" i="24"/>
  <c r="S48" i="24" s="1"/>
  <c r="N47" i="24"/>
  <c r="I47" i="24"/>
  <c r="S47" i="24" s="1"/>
  <c r="J47" i="24"/>
  <c r="N46" i="24"/>
  <c r="I46" i="24"/>
  <c r="S46" i="24" s="1"/>
  <c r="N45" i="24"/>
  <c r="L45" i="24" s="1"/>
  <c r="V45" i="24" s="1"/>
  <c r="I45" i="24"/>
  <c r="S45" i="24" s="1"/>
  <c r="J45" i="24"/>
  <c r="N44" i="24"/>
  <c r="L44" i="24" s="1"/>
  <c r="V44" i="24" s="1"/>
  <c r="I44" i="24"/>
  <c r="S44" i="24" s="1"/>
  <c r="N43" i="24"/>
  <c r="I43" i="24"/>
  <c r="S43" i="24" s="1"/>
  <c r="J43" i="24"/>
  <c r="T43" i="24" s="1"/>
  <c r="N42" i="24"/>
  <c r="X42" i="24" s="1"/>
  <c r="I42" i="24"/>
  <c r="S42" i="24" s="1"/>
  <c r="O41" i="24"/>
  <c r="N41" i="24"/>
  <c r="K41" i="24"/>
  <c r="I41" i="24"/>
  <c r="S41" i="24" s="1"/>
  <c r="J41" i="24"/>
  <c r="T41" i="24" s="1"/>
  <c r="N40" i="24"/>
  <c r="I40" i="24"/>
  <c r="S40" i="24" s="1"/>
  <c r="J40" i="24"/>
  <c r="P40" i="24" s="1"/>
  <c r="Z40" i="24" s="1"/>
  <c r="N39" i="24"/>
  <c r="L39" i="24" s="1"/>
  <c r="V39" i="24" s="1"/>
  <c r="I39" i="24"/>
  <c r="S39" i="24" s="1"/>
  <c r="N38" i="24"/>
  <c r="L38" i="24" s="1"/>
  <c r="V38" i="24" s="1"/>
  <c r="I38" i="24"/>
  <c r="S38" i="24" s="1"/>
  <c r="J38" i="24"/>
  <c r="P38" i="24" s="1"/>
  <c r="Z38" i="24" s="1"/>
  <c r="N37" i="24"/>
  <c r="L37" i="24" s="1"/>
  <c r="V37" i="24" s="1"/>
  <c r="I37" i="24"/>
  <c r="S37" i="24" s="1"/>
  <c r="N36" i="24"/>
  <c r="X36" i="24" s="1"/>
  <c r="I36" i="24"/>
  <c r="S36" i="24" s="1"/>
  <c r="J36" i="24"/>
  <c r="P36" i="24" s="1"/>
  <c r="Z36" i="24" s="1"/>
  <c r="N35" i="24"/>
  <c r="I35" i="24"/>
  <c r="S35" i="24" s="1"/>
  <c r="J35" i="24"/>
  <c r="N34" i="24"/>
  <c r="I34" i="24"/>
  <c r="S34" i="24" s="1"/>
  <c r="J34" i="24"/>
  <c r="N33" i="24"/>
  <c r="I33" i="24"/>
  <c r="S33" i="24" s="1"/>
  <c r="N32" i="24"/>
  <c r="I32" i="24"/>
  <c r="S32" i="24" s="1"/>
  <c r="J32" i="24"/>
  <c r="N31" i="24"/>
  <c r="I31" i="24"/>
  <c r="S31" i="24" s="1"/>
  <c r="N30" i="24"/>
  <c r="I30" i="24"/>
  <c r="S30" i="24" s="1"/>
  <c r="J30" i="24"/>
  <c r="P30" i="24" s="1"/>
  <c r="Z30" i="24" s="1"/>
  <c r="I29" i="24"/>
  <c r="S29" i="24" s="1"/>
  <c r="J29" i="24"/>
  <c r="N28" i="24"/>
  <c r="I28" i="24"/>
  <c r="S28" i="24" s="1"/>
  <c r="J28" i="24"/>
  <c r="I27" i="24"/>
  <c r="S27" i="24" s="1"/>
  <c r="N26" i="24"/>
  <c r="I26" i="24"/>
  <c r="S26" i="24" s="1"/>
  <c r="N25" i="24"/>
  <c r="L25" i="24" s="1"/>
  <c r="V25" i="24" s="1"/>
  <c r="I25" i="24"/>
  <c r="S25" i="24" s="1"/>
  <c r="N24" i="24"/>
  <c r="I24" i="24"/>
  <c r="S24" i="24" s="1"/>
  <c r="N23" i="24"/>
  <c r="L23" i="24" s="1"/>
  <c r="V23" i="24" s="1"/>
  <c r="I23" i="24"/>
  <c r="S23" i="24" s="1"/>
  <c r="I22" i="24"/>
  <c r="S22" i="24" s="1"/>
  <c r="N21" i="24"/>
  <c r="L21" i="24" s="1"/>
  <c r="V21" i="24" s="1"/>
  <c r="I21" i="24"/>
  <c r="S21" i="24" s="1"/>
  <c r="O20" i="24"/>
  <c r="Q20" i="24" s="1"/>
  <c r="N20" i="24"/>
  <c r="K20" i="24"/>
  <c r="I20" i="24"/>
  <c r="S20" i="24" s="1"/>
  <c r="N19" i="24"/>
  <c r="L19" i="24" s="1"/>
  <c r="V19" i="24" s="1"/>
  <c r="I19" i="24"/>
  <c r="S19" i="24" s="1"/>
  <c r="J19" i="24"/>
  <c r="N18" i="24"/>
  <c r="L18" i="24" s="1"/>
  <c r="V18" i="24" s="1"/>
  <c r="I18" i="24"/>
  <c r="S18" i="24" s="1"/>
  <c r="J18" i="24"/>
  <c r="I17" i="24"/>
  <c r="S17" i="24" s="1"/>
  <c r="N16" i="24"/>
  <c r="L16" i="24" s="1"/>
  <c r="V16" i="24" s="1"/>
  <c r="I16" i="24"/>
  <c r="S16" i="24" s="1"/>
  <c r="I15" i="24"/>
  <c r="S15" i="24" s="1"/>
  <c r="N14" i="24"/>
  <c r="L14" i="24" s="1"/>
  <c r="V14" i="24" s="1"/>
  <c r="I14" i="24"/>
  <c r="S14" i="24" s="1"/>
  <c r="I13" i="24"/>
  <c r="S13" i="24" s="1"/>
  <c r="I100" i="25"/>
  <c r="S100" i="25" s="1"/>
  <c r="I99" i="25"/>
  <c r="S99" i="25" s="1"/>
  <c r="I98" i="25"/>
  <c r="S98" i="25" s="1"/>
  <c r="I97" i="25"/>
  <c r="S97" i="25" s="1"/>
  <c r="I96" i="25"/>
  <c r="S96" i="25" s="1"/>
  <c r="I95" i="25"/>
  <c r="S95" i="25" s="1"/>
  <c r="I94" i="25"/>
  <c r="S94" i="25" s="1"/>
  <c r="I93" i="25"/>
  <c r="S93" i="25" s="1"/>
  <c r="I92" i="25"/>
  <c r="S92" i="25" s="1"/>
  <c r="I91" i="25"/>
  <c r="S91" i="25" s="1"/>
  <c r="I90" i="25"/>
  <c r="S90" i="25" s="1"/>
  <c r="I89" i="25"/>
  <c r="S89" i="25" s="1"/>
  <c r="I88" i="25"/>
  <c r="S88" i="25" s="1"/>
  <c r="I87" i="25"/>
  <c r="S87" i="25" s="1"/>
  <c r="I86" i="25"/>
  <c r="S86" i="25" s="1"/>
  <c r="I85" i="25"/>
  <c r="S85" i="25" s="1"/>
  <c r="I84" i="25"/>
  <c r="S84" i="25" s="1"/>
  <c r="I83" i="25"/>
  <c r="S83" i="25" s="1"/>
  <c r="I82" i="25"/>
  <c r="S82" i="25" s="1"/>
  <c r="I81" i="25"/>
  <c r="S81" i="25" s="1"/>
  <c r="I80" i="25"/>
  <c r="S80" i="25" s="1"/>
  <c r="I79" i="25"/>
  <c r="S79" i="25" s="1"/>
  <c r="I78" i="25"/>
  <c r="S78" i="25" s="1"/>
  <c r="I77" i="25"/>
  <c r="S77" i="25" s="1"/>
  <c r="I76" i="25"/>
  <c r="S76" i="25" s="1"/>
  <c r="I75" i="25"/>
  <c r="S75" i="25" s="1"/>
  <c r="I74" i="25"/>
  <c r="S74" i="25" s="1"/>
  <c r="I73" i="25"/>
  <c r="S73" i="25" s="1"/>
  <c r="I72" i="25"/>
  <c r="S72" i="25" s="1"/>
  <c r="I71" i="25"/>
  <c r="S71" i="25" s="1"/>
  <c r="I70" i="25"/>
  <c r="S70" i="25" s="1"/>
  <c r="I69" i="25"/>
  <c r="S69" i="25" s="1"/>
  <c r="I68" i="25"/>
  <c r="S68" i="25" s="1"/>
  <c r="I67" i="25"/>
  <c r="S67" i="25" s="1"/>
  <c r="I66" i="25"/>
  <c r="S66" i="25" s="1"/>
  <c r="I65" i="25"/>
  <c r="S65" i="25" s="1"/>
  <c r="I64" i="25"/>
  <c r="S64" i="25" s="1"/>
  <c r="I63" i="25"/>
  <c r="S63" i="25" s="1"/>
  <c r="I62" i="25"/>
  <c r="S62" i="25" s="1"/>
  <c r="I61" i="25"/>
  <c r="S61" i="25" s="1"/>
  <c r="I60" i="25"/>
  <c r="S60" i="25" s="1"/>
  <c r="I59" i="25"/>
  <c r="S59" i="25" s="1"/>
  <c r="I58" i="25"/>
  <c r="S58" i="25" s="1"/>
  <c r="I57" i="25"/>
  <c r="S57" i="25" s="1"/>
  <c r="I56" i="25"/>
  <c r="S56" i="25" s="1"/>
  <c r="I55" i="25"/>
  <c r="S55" i="25" s="1"/>
  <c r="I54" i="25"/>
  <c r="S54" i="25" s="1"/>
  <c r="I53" i="25"/>
  <c r="S53" i="25" s="1"/>
  <c r="I52" i="25"/>
  <c r="S52" i="25" s="1"/>
  <c r="I51" i="25"/>
  <c r="S51" i="25" s="1"/>
  <c r="I50" i="25"/>
  <c r="S50" i="25" s="1"/>
  <c r="I49" i="25"/>
  <c r="S49" i="25" s="1"/>
  <c r="I48" i="25"/>
  <c r="S48" i="25" s="1"/>
  <c r="I47" i="25"/>
  <c r="S47" i="25" s="1"/>
  <c r="I46" i="25"/>
  <c r="S46" i="25" s="1"/>
  <c r="I45" i="25"/>
  <c r="S45" i="25" s="1"/>
  <c r="I44" i="25"/>
  <c r="S44" i="25" s="1"/>
  <c r="I43" i="25"/>
  <c r="S43" i="25" s="1"/>
  <c r="I42" i="25"/>
  <c r="S42" i="25" s="1"/>
  <c r="I41" i="25"/>
  <c r="S41" i="25" s="1"/>
  <c r="I40" i="25"/>
  <c r="S40" i="25" s="1"/>
  <c r="I39" i="25"/>
  <c r="S39" i="25" s="1"/>
  <c r="I38" i="25"/>
  <c r="S38" i="25" s="1"/>
  <c r="I37" i="25"/>
  <c r="S37" i="25" s="1"/>
  <c r="I36" i="25"/>
  <c r="S36" i="25" s="1"/>
  <c r="I35" i="25"/>
  <c r="S35" i="25" s="1"/>
  <c r="I34" i="25"/>
  <c r="S34" i="25" s="1"/>
  <c r="I33" i="25"/>
  <c r="S33" i="25" s="1"/>
  <c r="I32" i="25"/>
  <c r="S32" i="25" s="1"/>
  <c r="I31" i="25"/>
  <c r="S31" i="25" s="1"/>
  <c r="I30" i="25"/>
  <c r="S30" i="25" s="1"/>
  <c r="I29" i="25"/>
  <c r="S29" i="25" s="1"/>
  <c r="I28" i="25"/>
  <c r="S28" i="25" s="1"/>
  <c r="I27" i="25"/>
  <c r="S27" i="25" s="1"/>
  <c r="I26" i="25"/>
  <c r="S26" i="25" s="1"/>
  <c r="I25" i="25"/>
  <c r="S25" i="25" s="1"/>
  <c r="I24" i="25"/>
  <c r="S24" i="25" s="1"/>
  <c r="I23" i="25"/>
  <c r="S23" i="25" s="1"/>
  <c r="I22" i="25"/>
  <c r="S22" i="25" s="1"/>
  <c r="I21" i="25"/>
  <c r="S21" i="25" s="1"/>
  <c r="J21" i="25"/>
  <c r="I20" i="25"/>
  <c r="S20" i="25" s="1"/>
  <c r="I19" i="25"/>
  <c r="S19" i="25" s="1"/>
  <c r="I18" i="25"/>
  <c r="S18" i="25" s="1"/>
  <c r="I17" i="25"/>
  <c r="S17" i="25" s="1"/>
  <c r="I16" i="25"/>
  <c r="S16" i="25" s="1"/>
  <c r="I15" i="25"/>
  <c r="S15" i="25" s="1"/>
  <c r="I14" i="25"/>
  <c r="S14" i="25" s="1"/>
  <c r="I13" i="25"/>
  <c r="S13" i="25" s="1"/>
  <c r="O56" i="26"/>
  <c r="Q56" i="26" s="1"/>
  <c r="N56" i="26"/>
  <c r="X56" i="26" s="1"/>
  <c r="K56" i="26"/>
  <c r="M56" i="26" s="1"/>
  <c r="I56" i="26"/>
  <c r="S56" i="26" s="1"/>
  <c r="J56" i="26"/>
  <c r="N55" i="26"/>
  <c r="X55" i="26" s="1"/>
  <c r="I55" i="26"/>
  <c r="S55" i="26" s="1"/>
  <c r="J55" i="26"/>
  <c r="T55" i="26" s="1"/>
  <c r="I54" i="26"/>
  <c r="S54" i="26" s="1"/>
  <c r="J54" i="26"/>
  <c r="N53" i="26"/>
  <c r="I53" i="26"/>
  <c r="S53" i="26" s="1"/>
  <c r="J53" i="26"/>
  <c r="T53" i="26" s="1"/>
  <c r="I52" i="26"/>
  <c r="S52" i="26" s="1"/>
  <c r="N51" i="26"/>
  <c r="L51" i="26" s="1"/>
  <c r="V51" i="26" s="1"/>
  <c r="I51" i="26"/>
  <c r="S51" i="26" s="1"/>
  <c r="J51" i="26"/>
  <c r="T51" i="26" s="1"/>
  <c r="I50" i="26"/>
  <c r="S50" i="26" s="1"/>
  <c r="O49" i="26"/>
  <c r="Q49" i="26" s="1"/>
  <c r="N49" i="26"/>
  <c r="L49" i="26" s="1"/>
  <c r="V49" i="26" s="1"/>
  <c r="K49" i="26"/>
  <c r="M49" i="26" s="1"/>
  <c r="I49" i="26"/>
  <c r="S49" i="26" s="1"/>
  <c r="J49" i="26"/>
  <c r="T49" i="26" s="1"/>
  <c r="O48" i="26"/>
  <c r="Q48" i="26" s="1"/>
  <c r="N48" i="26"/>
  <c r="L48" i="26" s="1"/>
  <c r="V48" i="26" s="1"/>
  <c r="K48" i="26"/>
  <c r="M48" i="26" s="1"/>
  <c r="I48" i="26"/>
  <c r="S48" i="26" s="1"/>
  <c r="J48" i="26"/>
  <c r="O47" i="26"/>
  <c r="Q47" i="26" s="1"/>
  <c r="N47" i="26"/>
  <c r="X47" i="26" s="1"/>
  <c r="K47" i="26"/>
  <c r="M47" i="26" s="1"/>
  <c r="I47" i="26"/>
  <c r="S47" i="26" s="1"/>
  <c r="J47" i="26"/>
  <c r="T47" i="26" s="1"/>
  <c r="N46" i="26"/>
  <c r="I46" i="26"/>
  <c r="S46" i="26" s="1"/>
  <c r="J46" i="26"/>
  <c r="I45" i="26"/>
  <c r="S45" i="26" s="1"/>
  <c r="N44" i="26"/>
  <c r="L44" i="26" s="1"/>
  <c r="V44" i="26" s="1"/>
  <c r="I44" i="26"/>
  <c r="S44" i="26" s="1"/>
  <c r="J44" i="26"/>
  <c r="I43" i="26"/>
  <c r="S43" i="26" s="1"/>
  <c r="N42" i="26"/>
  <c r="X42" i="26" s="1"/>
  <c r="I42" i="26"/>
  <c r="S42" i="26" s="1"/>
  <c r="J42" i="26"/>
  <c r="I41" i="26"/>
  <c r="S41" i="26" s="1"/>
  <c r="O40" i="26"/>
  <c r="Q40" i="26" s="1"/>
  <c r="N40" i="26"/>
  <c r="L40" i="26" s="1"/>
  <c r="V40" i="26" s="1"/>
  <c r="K40" i="26"/>
  <c r="M40" i="26" s="1"/>
  <c r="I40" i="26"/>
  <c r="S40" i="26" s="1"/>
  <c r="J40" i="26"/>
  <c r="O39" i="26"/>
  <c r="Q39" i="26" s="1"/>
  <c r="N39" i="26"/>
  <c r="L39" i="26" s="1"/>
  <c r="V39" i="26" s="1"/>
  <c r="K39" i="26"/>
  <c r="M39" i="26" s="1"/>
  <c r="I39" i="26"/>
  <c r="S39" i="26" s="1"/>
  <c r="J39" i="26"/>
  <c r="O38" i="26"/>
  <c r="Q38" i="26" s="1"/>
  <c r="N38" i="26"/>
  <c r="K38" i="26"/>
  <c r="M38" i="26" s="1"/>
  <c r="I38" i="26"/>
  <c r="S38" i="26" s="1"/>
  <c r="J38" i="26"/>
  <c r="O37" i="26"/>
  <c r="Q37" i="26" s="1"/>
  <c r="N37" i="26"/>
  <c r="L37" i="26" s="1"/>
  <c r="V37" i="26" s="1"/>
  <c r="K37" i="26"/>
  <c r="M37" i="26" s="1"/>
  <c r="I37" i="26"/>
  <c r="S37" i="26" s="1"/>
  <c r="J37" i="26"/>
  <c r="T37" i="26" s="1"/>
  <c r="N36" i="26"/>
  <c r="X36" i="26" s="1"/>
  <c r="I36" i="26"/>
  <c r="S36" i="26" s="1"/>
  <c r="J36" i="26"/>
  <c r="N35" i="26"/>
  <c r="X35" i="26" s="1"/>
  <c r="I35" i="26"/>
  <c r="S35" i="26" s="1"/>
  <c r="I34" i="26"/>
  <c r="S34" i="26" s="1"/>
  <c r="N33" i="26"/>
  <c r="X33" i="26" s="1"/>
  <c r="I33" i="26"/>
  <c r="S33" i="26" s="1"/>
  <c r="J33" i="26"/>
  <c r="N32" i="26"/>
  <c r="X32" i="26" s="1"/>
  <c r="I32" i="26"/>
  <c r="S32" i="26" s="1"/>
  <c r="O31" i="26"/>
  <c r="Q31" i="26" s="1"/>
  <c r="K31" i="26"/>
  <c r="M31" i="26" s="1"/>
  <c r="I31" i="26"/>
  <c r="S31" i="26" s="1"/>
  <c r="J31" i="26"/>
  <c r="O30" i="26"/>
  <c r="Q30" i="26" s="1"/>
  <c r="N30" i="26"/>
  <c r="X30" i="26" s="1"/>
  <c r="K30" i="26"/>
  <c r="M30" i="26" s="1"/>
  <c r="I30" i="26"/>
  <c r="S30" i="26" s="1"/>
  <c r="J30" i="26"/>
  <c r="O29" i="26"/>
  <c r="Q29" i="26" s="1"/>
  <c r="N29" i="26"/>
  <c r="X29" i="26" s="1"/>
  <c r="K29" i="26"/>
  <c r="M29" i="26" s="1"/>
  <c r="I29" i="26"/>
  <c r="S29" i="26" s="1"/>
  <c r="J29" i="26"/>
  <c r="N28" i="26"/>
  <c r="L28" i="26" s="1"/>
  <c r="V28" i="26" s="1"/>
  <c r="I28" i="26"/>
  <c r="S28" i="26" s="1"/>
  <c r="J28" i="26"/>
  <c r="N27" i="26"/>
  <c r="L27" i="26" s="1"/>
  <c r="V27" i="26" s="1"/>
  <c r="I27" i="26"/>
  <c r="S27" i="26" s="1"/>
  <c r="N26" i="26"/>
  <c r="X26" i="26" s="1"/>
  <c r="I26" i="26"/>
  <c r="S26" i="26" s="1"/>
  <c r="J26" i="26"/>
  <c r="N25" i="26"/>
  <c r="L25" i="26" s="1"/>
  <c r="V25" i="26" s="1"/>
  <c r="I25" i="26"/>
  <c r="S25" i="26" s="1"/>
  <c r="O24" i="26"/>
  <c r="Q24" i="26" s="1"/>
  <c r="N24" i="26"/>
  <c r="X24" i="26" s="1"/>
  <c r="K24" i="26"/>
  <c r="M24" i="26" s="1"/>
  <c r="I24" i="26"/>
  <c r="S24" i="26" s="1"/>
  <c r="J24" i="26"/>
  <c r="O23" i="26"/>
  <c r="Q23" i="26" s="1"/>
  <c r="N23" i="26"/>
  <c r="X23" i="26" s="1"/>
  <c r="K23" i="26"/>
  <c r="M23" i="26" s="1"/>
  <c r="I23" i="26"/>
  <c r="S23" i="26" s="1"/>
  <c r="J23" i="26"/>
  <c r="N22" i="26"/>
  <c r="X22" i="26" s="1"/>
  <c r="I22" i="26"/>
  <c r="S22" i="26" s="1"/>
  <c r="J22" i="26"/>
  <c r="N21" i="26"/>
  <c r="X21" i="26" s="1"/>
  <c r="I21" i="26"/>
  <c r="S21" i="26" s="1"/>
  <c r="N20" i="26"/>
  <c r="L20" i="26" s="1"/>
  <c r="V20" i="26" s="1"/>
  <c r="I20" i="26"/>
  <c r="S20" i="26" s="1"/>
  <c r="J20" i="26"/>
  <c r="I19" i="26"/>
  <c r="S19" i="26" s="1"/>
  <c r="I18" i="26"/>
  <c r="S18" i="26" s="1"/>
  <c r="J18" i="26"/>
  <c r="O17" i="26"/>
  <c r="Q17" i="26" s="1"/>
  <c r="N17" i="26"/>
  <c r="X17" i="26" s="1"/>
  <c r="K17" i="26"/>
  <c r="M17" i="26" s="1"/>
  <c r="I17" i="26"/>
  <c r="S17" i="26" s="1"/>
  <c r="J17" i="26"/>
  <c r="N16" i="26"/>
  <c r="X16" i="26" s="1"/>
  <c r="I16" i="26"/>
  <c r="S16" i="26" s="1"/>
  <c r="J16" i="26"/>
  <c r="I15" i="26"/>
  <c r="S15" i="26" s="1"/>
  <c r="I14" i="26"/>
  <c r="S14" i="26" s="1"/>
  <c r="J14" i="26"/>
  <c r="I13" i="26"/>
  <c r="S13" i="26" s="1"/>
  <c r="I172" i="27"/>
  <c r="S172" i="27" s="1"/>
  <c r="I171" i="27"/>
  <c r="S171" i="27" s="1"/>
  <c r="I170" i="27"/>
  <c r="S170" i="27" s="1"/>
  <c r="I169" i="27"/>
  <c r="S169" i="27" s="1"/>
  <c r="I168" i="27"/>
  <c r="S168" i="27" s="1"/>
  <c r="I167" i="27"/>
  <c r="S167" i="27" s="1"/>
  <c r="I166" i="27"/>
  <c r="S166" i="27" s="1"/>
  <c r="I165" i="27"/>
  <c r="S165" i="27" s="1"/>
  <c r="I164" i="27"/>
  <c r="S164" i="27" s="1"/>
  <c r="I163" i="27"/>
  <c r="S163" i="27" s="1"/>
  <c r="I162" i="27"/>
  <c r="S162" i="27" s="1"/>
  <c r="I161" i="27"/>
  <c r="S161" i="27" s="1"/>
  <c r="I160" i="27"/>
  <c r="S160" i="27" s="1"/>
  <c r="I159" i="27"/>
  <c r="S159" i="27" s="1"/>
  <c r="I158" i="27"/>
  <c r="S158" i="27" s="1"/>
  <c r="I157" i="27"/>
  <c r="S157" i="27" s="1"/>
  <c r="I156" i="27"/>
  <c r="S156" i="27" s="1"/>
  <c r="I155" i="27"/>
  <c r="S155" i="27" s="1"/>
  <c r="I154" i="27"/>
  <c r="S154" i="27" s="1"/>
  <c r="I153" i="27"/>
  <c r="S153" i="27" s="1"/>
  <c r="I152" i="27"/>
  <c r="S152" i="27" s="1"/>
  <c r="I151" i="27"/>
  <c r="S151" i="27" s="1"/>
  <c r="I150" i="27"/>
  <c r="S150" i="27" s="1"/>
  <c r="I149" i="27"/>
  <c r="S149" i="27" s="1"/>
  <c r="I148" i="27"/>
  <c r="S148" i="27" s="1"/>
  <c r="I147" i="27"/>
  <c r="S147" i="27" s="1"/>
  <c r="I146" i="27"/>
  <c r="S146" i="27" s="1"/>
  <c r="I145" i="27"/>
  <c r="S145" i="27" s="1"/>
  <c r="I144" i="27"/>
  <c r="S144" i="27" s="1"/>
  <c r="I143" i="27"/>
  <c r="S143" i="27" s="1"/>
  <c r="I142" i="27"/>
  <c r="S142" i="27" s="1"/>
  <c r="I141" i="27"/>
  <c r="S141" i="27" s="1"/>
  <c r="I140" i="27"/>
  <c r="S140" i="27" s="1"/>
  <c r="I139" i="27"/>
  <c r="S139" i="27" s="1"/>
  <c r="I138" i="27"/>
  <c r="S138" i="27" s="1"/>
  <c r="I137" i="27"/>
  <c r="S137" i="27" s="1"/>
  <c r="I136" i="27"/>
  <c r="S136" i="27" s="1"/>
  <c r="I135" i="27"/>
  <c r="S135" i="27" s="1"/>
  <c r="I134" i="27"/>
  <c r="S134" i="27" s="1"/>
  <c r="I133" i="27"/>
  <c r="S133" i="27" s="1"/>
  <c r="I132" i="27"/>
  <c r="S132" i="27" s="1"/>
  <c r="I131" i="27"/>
  <c r="S131" i="27" s="1"/>
  <c r="I130" i="27"/>
  <c r="S130" i="27" s="1"/>
  <c r="I129" i="27"/>
  <c r="S129" i="27" s="1"/>
  <c r="I128" i="27"/>
  <c r="S128" i="27" s="1"/>
  <c r="I127" i="27"/>
  <c r="S127" i="27" s="1"/>
  <c r="I126" i="27"/>
  <c r="S126" i="27" s="1"/>
  <c r="I125" i="27"/>
  <c r="S125" i="27" s="1"/>
  <c r="I124" i="27"/>
  <c r="S124" i="27" s="1"/>
  <c r="I123" i="27"/>
  <c r="S123" i="27" s="1"/>
  <c r="I122" i="27"/>
  <c r="S122" i="27" s="1"/>
  <c r="I121" i="27"/>
  <c r="S121" i="27" s="1"/>
  <c r="I120" i="27"/>
  <c r="S120" i="27" s="1"/>
  <c r="I119" i="27"/>
  <c r="S119" i="27" s="1"/>
  <c r="I118" i="27"/>
  <c r="S118" i="27" s="1"/>
  <c r="I117" i="27"/>
  <c r="S117" i="27" s="1"/>
  <c r="I116" i="27"/>
  <c r="S116" i="27" s="1"/>
  <c r="I115" i="27"/>
  <c r="S115" i="27" s="1"/>
  <c r="I114" i="27"/>
  <c r="S114" i="27" s="1"/>
  <c r="I113" i="27"/>
  <c r="S113" i="27" s="1"/>
  <c r="I112" i="27"/>
  <c r="S112" i="27" s="1"/>
  <c r="I111" i="27"/>
  <c r="S111" i="27" s="1"/>
  <c r="I110" i="27"/>
  <c r="S110" i="27" s="1"/>
  <c r="I109" i="27"/>
  <c r="S109" i="27" s="1"/>
  <c r="I108" i="27"/>
  <c r="S108" i="27" s="1"/>
  <c r="I107" i="27"/>
  <c r="S107" i="27" s="1"/>
  <c r="I106" i="27"/>
  <c r="S106" i="27" s="1"/>
  <c r="I105" i="27"/>
  <c r="S105" i="27" s="1"/>
  <c r="I104" i="27"/>
  <c r="S104" i="27" s="1"/>
  <c r="I103" i="27"/>
  <c r="S103" i="27" s="1"/>
  <c r="I102" i="27"/>
  <c r="S102" i="27" s="1"/>
  <c r="I101" i="27"/>
  <c r="S101" i="27" s="1"/>
  <c r="I100" i="27"/>
  <c r="S100" i="27" s="1"/>
  <c r="I99" i="27"/>
  <c r="S99" i="27" s="1"/>
  <c r="I98" i="27"/>
  <c r="S98" i="27" s="1"/>
  <c r="I97" i="27"/>
  <c r="S97" i="27" s="1"/>
  <c r="I96" i="27"/>
  <c r="S96" i="27" s="1"/>
  <c r="I95" i="27"/>
  <c r="S95" i="27" s="1"/>
  <c r="I94" i="27"/>
  <c r="S94" i="27" s="1"/>
  <c r="I93" i="27"/>
  <c r="S93" i="27" s="1"/>
  <c r="I92" i="27"/>
  <c r="S92" i="27" s="1"/>
  <c r="I91" i="27"/>
  <c r="S91" i="27" s="1"/>
  <c r="I90" i="27"/>
  <c r="S90" i="27" s="1"/>
  <c r="I89" i="27"/>
  <c r="S89" i="27" s="1"/>
  <c r="I88" i="27"/>
  <c r="S88" i="27" s="1"/>
  <c r="I87" i="27"/>
  <c r="S87" i="27" s="1"/>
  <c r="I86" i="27"/>
  <c r="S86" i="27" s="1"/>
  <c r="I85" i="27"/>
  <c r="S85" i="27" s="1"/>
  <c r="I84" i="27"/>
  <c r="S84" i="27" s="1"/>
  <c r="I83" i="27"/>
  <c r="S83" i="27" s="1"/>
  <c r="I82" i="27"/>
  <c r="S82" i="27" s="1"/>
  <c r="I81" i="27"/>
  <c r="S81" i="27" s="1"/>
  <c r="I80" i="27"/>
  <c r="S80" i="27" s="1"/>
  <c r="I79" i="27"/>
  <c r="S79" i="27" s="1"/>
  <c r="I78" i="27"/>
  <c r="S78" i="27" s="1"/>
  <c r="I77" i="27"/>
  <c r="S77" i="27" s="1"/>
  <c r="I76" i="27"/>
  <c r="S76" i="27" s="1"/>
  <c r="I75" i="27"/>
  <c r="S75" i="27" s="1"/>
  <c r="I74" i="27"/>
  <c r="S74" i="27" s="1"/>
  <c r="I73" i="27"/>
  <c r="S73" i="27" s="1"/>
  <c r="I72" i="27"/>
  <c r="S72" i="27" s="1"/>
  <c r="I71" i="27"/>
  <c r="S71" i="27" s="1"/>
  <c r="I70" i="27"/>
  <c r="S70" i="27" s="1"/>
  <c r="I69" i="27"/>
  <c r="S69" i="27" s="1"/>
  <c r="I68" i="27"/>
  <c r="S68" i="27" s="1"/>
  <c r="I67" i="27"/>
  <c r="S67" i="27" s="1"/>
  <c r="I66" i="27"/>
  <c r="S66" i="27" s="1"/>
  <c r="I65" i="27"/>
  <c r="S65" i="27" s="1"/>
  <c r="I64" i="27"/>
  <c r="S64" i="27" s="1"/>
  <c r="I63" i="27"/>
  <c r="S63" i="27" s="1"/>
  <c r="I62" i="27"/>
  <c r="S62" i="27" s="1"/>
  <c r="I61" i="27"/>
  <c r="S61" i="27" s="1"/>
  <c r="I60" i="27"/>
  <c r="S60" i="27" s="1"/>
  <c r="I59" i="27"/>
  <c r="S59" i="27" s="1"/>
  <c r="N58" i="27"/>
  <c r="L58" i="27" s="1"/>
  <c r="V58" i="27" s="1"/>
  <c r="I58" i="27"/>
  <c r="S58" i="27" s="1"/>
  <c r="J58" i="27"/>
  <c r="P58" i="27" s="1"/>
  <c r="Z58" i="27" s="1"/>
  <c r="I57" i="27"/>
  <c r="S57" i="27" s="1"/>
  <c r="I56" i="27"/>
  <c r="S56" i="27" s="1"/>
  <c r="J56" i="27"/>
  <c r="I55" i="27"/>
  <c r="S55" i="27" s="1"/>
  <c r="N54" i="27"/>
  <c r="I54" i="27"/>
  <c r="S54" i="27" s="1"/>
  <c r="J54" i="27"/>
  <c r="N53" i="27"/>
  <c r="X53" i="27" s="1"/>
  <c r="I53" i="27"/>
  <c r="S53" i="27" s="1"/>
  <c r="I52" i="27"/>
  <c r="S52" i="27" s="1"/>
  <c r="J52" i="27"/>
  <c r="P52" i="27" s="1"/>
  <c r="Z52" i="27" s="1"/>
  <c r="I51" i="27"/>
  <c r="S51" i="27" s="1"/>
  <c r="N50" i="27"/>
  <c r="L50" i="27" s="1"/>
  <c r="V50" i="27" s="1"/>
  <c r="I50" i="27"/>
  <c r="S50" i="27" s="1"/>
  <c r="J50" i="27"/>
  <c r="P50" i="27" s="1"/>
  <c r="Z50" i="27" s="1"/>
  <c r="N49" i="27"/>
  <c r="X49" i="27" s="1"/>
  <c r="I49" i="27"/>
  <c r="S49" i="27" s="1"/>
  <c r="I48" i="27"/>
  <c r="S48" i="27" s="1"/>
  <c r="J48" i="27"/>
  <c r="I47" i="27"/>
  <c r="S47" i="27" s="1"/>
  <c r="I46" i="27"/>
  <c r="S46" i="27" s="1"/>
  <c r="J46" i="27"/>
  <c r="I45" i="27"/>
  <c r="S45" i="27" s="1"/>
  <c r="I44" i="27"/>
  <c r="S44" i="27" s="1"/>
  <c r="J44" i="27"/>
  <c r="P44" i="27" s="1"/>
  <c r="Z44" i="27" s="1"/>
  <c r="I43" i="27"/>
  <c r="S43" i="27" s="1"/>
  <c r="N42" i="27"/>
  <c r="L42" i="27" s="1"/>
  <c r="V42" i="27" s="1"/>
  <c r="I42" i="27"/>
  <c r="S42" i="27" s="1"/>
  <c r="J42" i="27"/>
  <c r="P42" i="27" s="1"/>
  <c r="Z42" i="27" s="1"/>
  <c r="N41" i="27"/>
  <c r="X41" i="27" s="1"/>
  <c r="I41" i="27"/>
  <c r="S41" i="27" s="1"/>
  <c r="J41" i="27"/>
  <c r="P41" i="27" s="1"/>
  <c r="Z41" i="27" s="1"/>
  <c r="N40" i="27"/>
  <c r="X40" i="27" s="1"/>
  <c r="I40" i="27"/>
  <c r="S40" i="27" s="1"/>
  <c r="J40" i="27"/>
  <c r="N39" i="27"/>
  <c r="I39" i="27"/>
  <c r="S39" i="27" s="1"/>
  <c r="N38" i="27"/>
  <c r="I38" i="27"/>
  <c r="S38" i="27" s="1"/>
  <c r="J38" i="27"/>
  <c r="N37" i="27"/>
  <c r="X37" i="27" s="1"/>
  <c r="I37" i="27"/>
  <c r="S37" i="27" s="1"/>
  <c r="N36" i="27"/>
  <c r="I36" i="27"/>
  <c r="S36" i="27" s="1"/>
  <c r="J36" i="27"/>
  <c r="P36" i="27" s="1"/>
  <c r="Z36" i="27" s="1"/>
  <c r="N35" i="27"/>
  <c r="X35" i="27" s="1"/>
  <c r="I35" i="27"/>
  <c r="S35" i="27" s="1"/>
  <c r="N34" i="27"/>
  <c r="X34" i="27" s="1"/>
  <c r="I34" i="27"/>
  <c r="S34" i="27" s="1"/>
  <c r="J34" i="27"/>
  <c r="P34" i="27" s="1"/>
  <c r="Z34" i="27" s="1"/>
  <c r="N33" i="27"/>
  <c r="X33" i="27" s="1"/>
  <c r="I33" i="27"/>
  <c r="S33" i="27" s="1"/>
  <c r="J33" i="27"/>
  <c r="T33" i="27" s="1"/>
  <c r="N32" i="27"/>
  <c r="I32" i="27"/>
  <c r="S32" i="27" s="1"/>
  <c r="J32" i="27"/>
  <c r="N31" i="27"/>
  <c r="I31" i="27"/>
  <c r="S31" i="27" s="1"/>
  <c r="N30" i="27"/>
  <c r="X30" i="27" s="1"/>
  <c r="I30" i="27"/>
  <c r="S30" i="27" s="1"/>
  <c r="J30" i="27"/>
  <c r="P30" i="27" s="1"/>
  <c r="Z30" i="27" s="1"/>
  <c r="N29" i="27"/>
  <c r="X29" i="27" s="1"/>
  <c r="I29" i="27"/>
  <c r="S29" i="27" s="1"/>
  <c r="I28" i="27"/>
  <c r="S28" i="27" s="1"/>
  <c r="J28" i="27"/>
  <c r="P28" i="27" s="1"/>
  <c r="Z28" i="27" s="1"/>
  <c r="O27" i="27"/>
  <c r="Q27" i="27" s="1"/>
  <c r="K27" i="27"/>
  <c r="I27" i="27"/>
  <c r="S27" i="27" s="1"/>
  <c r="I26" i="27"/>
  <c r="S26" i="27" s="1"/>
  <c r="O25" i="27"/>
  <c r="Q25" i="27" s="1"/>
  <c r="K25" i="27"/>
  <c r="M25" i="27" s="1"/>
  <c r="I25" i="27"/>
  <c r="S25" i="27" s="1"/>
  <c r="I24" i="27"/>
  <c r="S24" i="27" s="1"/>
  <c r="O23" i="27"/>
  <c r="Q23" i="27" s="1"/>
  <c r="N23" i="27"/>
  <c r="L23" i="27" s="1"/>
  <c r="V23" i="27" s="1"/>
  <c r="K23" i="27"/>
  <c r="M23" i="27" s="1"/>
  <c r="I23" i="27"/>
  <c r="S23" i="27" s="1"/>
  <c r="I22" i="27"/>
  <c r="S22" i="27" s="1"/>
  <c r="O21" i="27"/>
  <c r="Q21" i="27" s="1"/>
  <c r="N21" i="27"/>
  <c r="K21" i="27"/>
  <c r="I21" i="27"/>
  <c r="S21" i="27" s="1"/>
  <c r="I20" i="27"/>
  <c r="S20" i="27" s="1"/>
  <c r="O19" i="27"/>
  <c r="Q19" i="27" s="1"/>
  <c r="N19" i="27"/>
  <c r="L19" i="27" s="1"/>
  <c r="V19" i="27" s="1"/>
  <c r="K19" i="27"/>
  <c r="M19" i="27" s="1"/>
  <c r="I19" i="27"/>
  <c r="S19" i="27" s="1"/>
  <c r="I18" i="27"/>
  <c r="S18" i="27" s="1"/>
  <c r="O17" i="27"/>
  <c r="Q17" i="27" s="1"/>
  <c r="N17" i="27"/>
  <c r="X17" i="27" s="1"/>
  <c r="I17" i="27"/>
  <c r="S17" i="27" s="1"/>
  <c r="I16" i="27"/>
  <c r="S16" i="27" s="1"/>
  <c r="O15" i="27"/>
  <c r="Q15" i="27" s="1"/>
  <c r="N15" i="27"/>
  <c r="L15" i="27" s="1"/>
  <c r="V15" i="27" s="1"/>
  <c r="I15" i="27"/>
  <c r="S15" i="27" s="1"/>
  <c r="J15" i="27"/>
  <c r="K14" i="27"/>
  <c r="M14" i="27" s="1"/>
  <c r="I14" i="27"/>
  <c r="S14" i="27" s="1"/>
  <c r="O13" i="27"/>
  <c r="N13" i="27"/>
  <c r="X13" i="27" s="1"/>
  <c r="K13" i="27"/>
  <c r="I13" i="27"/>
  <c r="S13" i="27" s="1"/>
  <c r="J13" i="27"/>
  <c r="N174" i="28"/>
  <c r="X174" i="28" s="1"/>
  <c r="I174" i="28"/>
  <c r="S174" i="28" s="1"/>
  <c r="N173" i="28"/>
  <c r="I173" i="28"/>
  <c r="S173" i="28" s="1"/>
  <c r="J173" i="28"/>
  <c r="T173" i="28" s="1"/>
  <c r="O172" i="28"/>
  <c r="Q172" i="28" s="1"/>
  <c r="N172" i="28"/>
  <c r="L172" i="28" s="1"/>
  <c r="V172" i="28" s="1"/>
  <c r="K172" i="28"/>
  <c r="M172" i="28" s="1"/>
  <c r="I172" i="28"/>
  <c r="S172" i="28" s="1"/>
  <c r="N171" i="28"/>
  <c r="L171" i="28" s="1"/>
  <c r="V171" i="28" s="1"/>
  <c r="I171" i="28"/>
  <c r="S171" i="28" s="1"/>
  <c r="J171" i="28"/>
  <c r="N170" i="28"/>
  <c r="X170" i="28" s="1"/>
  <c r="I170" i="28"/>
  <c r="S170" i="28" s="1"/>
  <c r="N169" i="28"/>
  <c r="L169" i="28" s="1"/>
  <c r="V169" i="28" s="1"/>
  <c r="I169" i="28"/>
  <c r="S169" i="28" s="1"/>
  <c r="J169" i="28"/>
  <c r="N168" i="28"/>
  <c r="L168" i="28" s="1"/>
  <c r="V168" i="28" s="1"/>
  <c r="I168" i="28"/>
  <c r="S168" i="28" s="1"/>
  <c r="N167" i="28"/>
  <c r="L167" i="28" s="1"/>
  <c r="V167" i="28" s="1"/>
  <c r="I167" i="28"/>
  <c r="S167" i="28" s="1"/>
  <c r="J167" i="28"/>
  <c r="N166" i="28"/>
  <c r="X166" i="28" s="1"/>
  <c r="I166" i="28"/>
  <c r="S166" i="28" s="1"/>
  <c r="N165" i="28"/>
  <c r="X165" i="28" s="1"/>
  <c r="I165" i="28"/>
  <c r="S165" i="28" s="1"/>
  <c r="J165" i="28"/>
  <c r="N164" i="28"/>
  <c r="I164" i="28"/>
  <c r="S164" i="28" s="1"/>
  <c r="N163" i="28"/>
  <c r="X163" i="28" s="1"/>
  <c r="I163" i="28"/>
  <c r="S163" i="28" s="1"/>
  <c r="J163" i="28"/>
  <c r="P163" i="28" s="1"/>
  <c r="Z163" i="28" s="1"/>
  <c r="N162" i="28"/>
  <c r="X162" i="28" s="1"/>
  <c r="I162" i="28"/>
  <c r="S162" i="28" s="1"/>
  <c r="N161" i="28"/>
  <c r="X161" i="28" s="1"/>
  <c r="I161" i="28"/>
  <c r="S161" i="28" s="1"/>
  <c r="J161" i="28"/>
  <c r="T161" i="28" s="1"/>
  <c r="N160" i="28"/>
  <c r="X160" i="28" s="1"/>
  <c r="I160" i="28"/>
  <c r="S160" i="28" s="1"/>
  <c r="N159" i="28"/>
  <c r="X159" i="28" s="1"/>
  <c r="I159" i="28"/>
  <c r="S159" i="28" s="1"/>
  <c r="J159" i="28"/>
  <c r="T159" i="28" s="1"/>
  <c r="N158" i="28"/>
  <c r="I158" i="28"/>
  <c r="S158" i="28" s="1"/>
  <c r="N157" i="28"/>
  <c r="I157" i="28"/>
  <c r="S157" i="28" s="1"/>
  <c r="J157" i="28"/>
  <c r="O156" i="28"/>
  <c r="Q156" i="28" s="1"/>
  <c r="N156" i="28"/>
  <c r="L156" i="28" s="1"/>
  <c r="V156" i="28" s="1"/>
  <c r="K156" i="28"/>
  <c r="M156" i="28" s="1"/>
  <c r="I156" i="28"/>
  <c r="S156" i="28" s="1"/>
  <c r="I155" i="28"/>
  <c r="S155" i="28" s="1"/>
  <c r="I154" i="28"/>
  <c r="S154" i="28" s="1"/>
  <c r="I153" i="28"/>
  <c r="S153" i="28" s="1"/>
  <c r="I152" i="28"/>
  <c r="S152" i="28" s="1"/>
  <c r="I151" i="28"/>
  <c r="S151" i="28" s="1"/>
  <c r="I150" i="28"/>
  <c r="S150" i="28" s="1"/>
  <c r="I149" i="28"/>
  <c r="S149" i="28" s="1"/>
  <c r="I148" i="28"/>
  <c r="S148" i="28" s="1"/>
  <c r="I147" i="28"/>
  <c r="S147" i="28" s="1"/>
  <c r="I146" i="28"/>
  <c r="S146" i="28" s="1"/>
  <c r="I145" i="28"/>
  <c r="S145" i="28" s="1"/>
  <c r="I144" i="28"/>
  <c r="S144" i="28" s="1"/>
  <c r="I143" i="28"/>
  <c r="S143" i="28" s="1"/>
  <c r="I142" i="28"/>
  <c r="S142" i="28" s="1"/>
  <c r="I141" i="28"/>
  <c r="S141" i="28" s="1"/>
  <c r="I140" i="28"/>
  <c r="S140" i="28" s="1"/>
  <c r="I139" i="28"/>
  <c r="S139" i="28" s="1"/>
  <c r="I138" i="28"/>
  <c r="S138" i="28" s="1"/>
  <c r="I137" i="28"/>
  <c r="S137" i="28" s="1"/>
  <c r="I136" i="28"/>
  <c r="S136" i="28" s="1"/>
  <c r="I135" i="28"/>
  <c r="S135" i="28" s="1"/>
  <c r="I134" i="28"/>
  <c r="S134" i="28" s="1"/>
  <c r="I133" i="28"/>
  <c r="S133" i="28" s="1"/>
  <c r="I132" i="28"/>
  <c r="S132" i="28" s="1"/>
  <c r="I131" i="28"/>
  <c r="S131" i="28" s="1"/>
  <c r="I130" i="28"/>
  <c r="S130" i="28" s="1"/>
  <c r="I129" i="28"/>
  <c r="S129" i="28" s="1"/>
  <c r="I128" i="28"/>
  <c r="S128" i="28" s="1"/>
  <c r="O127" i="28"/>
  <c r="Q127" i="28" s="1"/>
  <c r="K127" i="28"/>
  <c r="M127" i="28" s="1"/>
  <c r="I127" i="28"/>
  <c r="S127" i="28" s="1"/>
  <c r="I126" i="28"/>
  <c r="S126" i="28" s="1"/>
  <c r="I125" i="28"/>
  <c r="S125" i="28" s="1"/>
  <c r="I124" i="28"/>
  <c r="S124" i="28" s="1"/>
  <c r="I123" i="28"/>
  <c r="S123" i="28" s="1"/>
  <c r="I122" i="28"/>
  <c r="S122" i="28" s="1"/>
  <c r="I121" i="28"/>
  <c r="S121" i="28" s="1"/>
  <c r="I120" i="28"/>
  <c r="S120" i="28" s="1"/>
  <c r="I119" i="28"/>
  <c r="S119" i="28" s="1"/>
  <c r="I118" i="28"/>
  <c r="S118" i="28" s="1"/>
  <c r="I117" i="28"/>
  <c r="S117" i="28" s="1"/>
  <c r="I116" i="28"/>
  <c r="S116" i="28" s="1"/>
  <c r="I115" i="28"/>
  <c r="S115" i="28" s="1"/>
  <c r="I114" i="28"/>
  <c r="S114" i="28" s="1"/>
  <c r="J114" i="28"/>
  <c r="T114" i="28" s="1"/>
  <c r="I113" i="28"/>
  <c r="S113" i="28" s="1"/>
  <c r="I112" i="28"/>
  <c r="S112" i="28" s="1"/>
  <c r="I111" i="28"/>
  <c r="S111" i="28" s="1"/>
  <c r="I110" i="28"/>
  <c r="S110" i="28" s="1"/>
  <c r="I109" i="28"/>
  <c r="S109" i="28" s="1"/>
  <c r="I108" i="28"/>
  <c r="S108" i="28" s="1"/>
  <c r="I107" i="28"/>
  <c r="S107" i="28" s="1"/>
  <c r="I106" i="28"/>
  <c r="S106" i="28" s="1"/>
  <c r="I105" i="28"/>
  <c r="S105" i="28" s="1"/>
  <c r="I104" i="28"/>
  <c r="S104" i="28" s="1"/>
  <c r="I103" i="28"/>
  <c r="S103" i="28" s="1"/>
  <c r="I102" i="28"/>
  <c r="S102" i="28" s="1"/>
  <c r="I101" i="28"/>
  <c r="S101" i="28" s="1"/>
  <c r="I100" i="28"/>
  <c r="S100" i="28" s="1"/>
  <c r="J100" i="28"/>
  <c r="T100" i="28" s="1"/>
  <c r="I99" i="28"/>
  <c r="S99" i="28" s="1"/>
  <c r="O98" i="28"/>
  <c r="Q98" i="28" s="1"/>
  <c r="K98" i="28"/>
  <c r="M98" i="28" s="1"/>
  <c r="I98" i="28"/>
  <c r="S98" i="28" s="1"/>
  <c r="N97" i="28"/>
  <c r="X97" i="28" s="1"/>
  <c r="I97" i="28"/>
  <c r="S97" i="28" s="1"/>
  <c r="J97" i="28"/>
  <c r="N96" i="28"/>
  <c r="I96" i="28"/>
  <c r="S96" i="28" s="1"/>
  <c r="N95" i="28"/>
  <c r="X95" i="28" s="1"/>
  <c r="I95" i="28"/>
  <c r="S95" i="28" s="1"/>
  <c r="J95" i="28"/>
  <c r="N94" i="28"/>
  <c r="I94" i="28"/>
  <c r="S94" i="28" s="1"/>
  <c r="N93" i="28"/>
  <c r="X93" i="28" s="1"/>
  <c r="I93" i="28"/>
  <c r="S93" i="28" s="1"/>
  <c r="J93" i="28"/>
  <c r="N92" i="28"/>
  <c r="I92" i="28"/>
  <c r="S92" i="28" s="1"/>
  <c r="N91" i="28"/>
  <c r="X91" i="28" s="1"/>
  <c r="I91" i="28"/>
  <c r="S91" i="28" s="1"/>
  <c r="J91" i="28"/>
  <c r="N90" i="28"/>
  <c r="I90" i="28"/>
  <c r="S90" i="28" s="1"/>
  <c r="N89" i="28"/>
  <c r="X89" i="28" s="1"/>
  <c r="I89" i="28"/>
  <c r="S89" i="28" s="1"/>
  <c r="J89" i="28"/>
  <c r="N88" i="28"/>
  <c r="I88" i="28"/>
  <c r="S88" i="28" s="1"/>
  <c r="N87" i="28"/>
  <c r="X87" i="28" s="1"/>
  <c r="I87" i="28"/>
  <c r="S87" i="28" s="1"/>
  <c r="J87" i="28"/>
  <c r="N86" i="28"/>
  <c r="I86" i="28"/>
  <c r="S86" i="28" s="1"/>
  <c r="N85" i="28"/>
  <c r="X85" i="28" s="1"/>
  <c r="I85" i="28"/>
  <c r="S85" i="28" s="1"/>
  <c r="J85" i="28"/>
  <c r="N84" i="28"/>
  <c r="I84" i="28"/>
  <c r="S84" i="28" s="1"/>
  <c r="N83" i="28"/>
  <c r="X83" i="28" s="1"/>
  <c r="I83" i="28"/>
  <c r="S83" i="28" s="1"/>
  <c r="J83" i="28"/>
  <c r="N82" i="28"/>
  <c r="I82" i="28"/>
  <c r="S82" i="28" s="1"/>
  <c r="N81" i="28"/>
  <c r="X81" i="28" s="1"/>
  <c r="I81" i="28"/>
  <c r="S81" i="28" s="1"/>
  <c r="J81" i="28"/>
  <c r="N80" i="28"/>
  <c r="I80" i="28"/>
  <c r="S80" i="28" s="1"/>
  <c r="N79" i="28"/>
  <c r="X79" i="28" s="1"/>
  <c r="I79" i="28"/>
  <c r="S79" i="28" s="1"/>
  <c r="J79" i="28"/>
  <c r="N78" i="28"/>
  <c r="I78" i="28"/>
  <c r="S78" i="28" s="1"/>
  <c r="N77" i="28"/>
  <c r="X77" i="28" s="1"/>
  <c r="I77" i="28"/>
  <c r="S77" i="28" s="1"/>
  <c r="J77" i="28"/>
  <c r="N76" i="28"/>
  <c r="I76" i="28"/>
  <c r="S76" i="28" s="1"/>
  <c r="N75" i="28"/>
  <c r="X75" i="28" s="1"/>
  <c r="I75" i="28"/>
  <c r="S75" i="28" s="1"/>
  <c r="J75" i="28"/>
  <c r="N74" i="28"/>
  <c r="I74" i="28"/>
  <c r="S74" i="28" s="1"/>
  <c r="N73" i="28"/>
  <c r="X73" i="28" s="1"/>
  <c r="I73" i="28"/>
  <c r="S73" i="28" s="1"/>
  <c r="J73" i="28"/>
  <c r="N72" i="28"/>
  <c r="I72" i="28"/>
  <c r="S72" i="28" s="1"/>
  <c r="N71" i="28"/>
  <c r="I71" i="28"/>
  <c r="S71" i="28" s="1"/>
  <c r="J71" i="28"/>
  <c r="T71" i="28" s="1"/>
  <c r="N70" i="28"/>
  <c r="X70" i="28" s="1"/>
  <c r="I70" i="28"/>
  <c r="S70" i="28" s="1"/>
  <c r="O69" i="28"/>
  <c r="Q69" i="28" s="1"/>
  <c r="N69" i="28"/>
  <c r="K69" i="28"/>
  <c r="M69" i="28" s="1"/>
  <c r="I69" i="28"/>
  <c r="S69" i="28" s="1"/>
  <c r="J69" i="28"/>
  <c r="T69" i="28" s="1"/>
  <c r="N68" i="28"/>
  <c r="X68" i="28" s="1"/>
  <c r="I68" i="28"/>
  <c r="S68" i="28" s="1"/>
  <c r="J68" i="28"/>
  <c r="N67" i="28"/>
  <c r="I67" i="28"/>
  <c r="S67" i="28" s="1"/>
  <c r="N66" i="28"/>
  <c r="X66" i="28" s="1"/>
  <c r="I66" i="28"/>
  <c r="S66" i="28" s="1"/>
  <c r="J66" i="28"/>
  <c r="N65" i="28"/>
  <c r="I65" i="28"/>
  <c r="S65" i="28" s="1"/>
  <c r="N64" i="28"/>
  <c r="X64" i="28" s="1"/>
  <c r="I64" i="28"/>
  <c r="S64" i="28" s="1"/>
  <c r="J64" i="28"/>
  <c r="N63" i="28"/>
  <c r="I63" i="28"/>
  <c r="S63" i="28" s="1"/>
  <c r="N62" i="28"/>
  <c r="X62" i="28" s="1"/>
  <c r="I62" i="28"/>
  <c r="S62" i="28" s="1"/>
  <c r="J62" i="28"/>
  <c r="N61" i="28"/>
  <c r="I61" i="28"/>
  <c r="S61" i="28" s="1"/>
  <c r="N60" i="28"/>
  <c r="X60" i="28" s="1"/>
  <c r="I60" i="28"/>
  <c r="S60" i="28" s="1"/>
  <c r="J60" i="28"/>
  <c r="N59" i="28"/>
  <c r="I59" i="28"/>
  <c r="S59" i="28" s="1"/>
  <c r="N58" i="28"/>
  <c r="X58" i="28" s="1"/>
  <c r="I58" i="28"/>
  <c r="S58" i="28" s="1"/>
  <c r="J58" i="28"/>
  <c r="N57" i="28"/>
  <c r="I57" i="28"/>
  <c r="S57" i="28" s="1"/>
  <c r="N56" i="28"/>
  <c r="X56" i="28" s="1"/>
  <c r="I56" i="28"/>
  <c r="S56" i="28" s="1"/>
  <c r="J56" i="28"/>
  <c r="N55" i="28"/>
  <c r="I55" i="28"/>
  <c r="S55" i="28" s="1"/>
  <c r="N54" i="28"/>
  <c r="X54" i="28" s="1"/>
  <c r="I54" i="28"/>
  <c r="S54" i="28" s="1"/>
  <c r="J54" i="28"/>
  <c r="N53" i="28"/>
  <c r="I53" i="28"/>
  <c r="S53" i="28" s="1"/>
  <c r="N52" i="28"/>
  <c r="X52" i="28" s="1"/>
  <c r="I52" i="28"/>
  <c r="S52" i="28" s="1"/>
  <c r="J52" i="28"/>
  <c r="N51" i="28"/>
  <c r="I51" i="28"/>
  <c r="S51" i="28" s="1"/>
  <c r="J51" i="28"/>
  <c r="T51" i="28" s="1"/>
  <c r="N50" i="28"/>
  <c r="X50" i="28" s="1"/>
  <c r="I50" i="28"/>
  <c r="S50" i="28" s="1"/>
  <c r="J50" i="28"/>
  <c r="N49" i="28"/>
  <c r="I49" i="28"/>
  <c r="S49" i="28" s="1"/>
  <c r="N48" i="28"/>
  <c r="X48" i="28" s="1"/>
  <c r="I48" i="28"/>
  <c r="S48" i="28" s="1"/>
  <c r="J48" i="28"/>
  <c r="N47" i="28"/>
  <c r="I47" i="28"/>
  <c r="S47" i="28" s="1"/>
  <c r="N46" i="28"/>
  <c r="X46" i="28" s="1"/>
  <c r="I46" i="28"/>
  <c r="S46" i="28" s="1"/>
  <c r="J46" i="28"/>
  <c r="N45" i="28"/>
  <c r="I45" i="28"/>
  <c r="S45" i="28" s="1"/>
  <c r="N44" i="28"/>
  <c r="X44" i="28" s="1"/>
  <c r="I44" i="28"/>
  <c r="S44" i="28" s="1"/>
  <c r="J44" i="28"/>
  <c r="N43" i="28"/>
  <c r="I43" i="28"/>
  <c r="S43" i="28" s="1"/>
  <c r="J43" i="28"/>
  <c r="T43" i="28" s="1"/>
  <c r="N42" i="28"/>
  <c r="X42" i="28" s="1"/>
  <c r="I42" i="28"/>
  <c r="S42" i="28" s="1"/>
  <c r="J42" i="28"/>
  <c r="I41" i="28"/>
  <c r="S41" i="28" s="1"/>
  <c r="O40" i="28"/>
  <c r="Q40" i="28" s="1"/>
  <c r="N40" i="28"/>
  <c r="X40" i="28" s="1"/>
  <c r="K40" i="28"/>
  <c r="M40" i="28" s="1"/>
  <c r="I40" i="28"/>
  <c r="S40" i="28" s="1"/>
  <c r="J40" i="28"/>
  <c r="N39" i="28"/>
  <c r="I39" i="28"/>
  <c r="S39" i="28" s="1"/>
  <c r="J39" i="28"/>
  <c r="T39" i="28" s="1"/>
  <c r="O38" i="28"/>
  <c r="Q38" i="28" s="1"/>
  <c r="N38" i="28"/>
  <c r="X38" i="28" s="1"/>
  <c r="K38" i="28"/>
  <c r="M38" i="28" s="1"/>
  <c r="I38" i="28"/>
  <c r="S38" i="28" s="1"/>
  <c r="J38" i="28"/>
  <c r="N37" i="28"/>
  <c r="I37" i="28"/>
  <c r="S37" i="28" s="1"/>
  <c r="J37" i="28"/>
  <c r="T37" i="28" s="1"/>
  <c r="O36" i="28"/>
  <c r="Q36" i="28" s="1"/>
  <c r="N36" i="28"/>
  <c r="X36" i="28" s="1"/>
  <c r="K36" i="28"/>
  <c r="M36" i="28" s="1"/>
  <c r="I36" i="28"/>
  <c r="S36" i="28" s="1"/>
  <c r="J36" i="28"/>
  <c r="N35" i="28"/>
  <c r="I35" i="28"/>
  <c r="S35" i="28" s="1"/>
  <c r="J35" i="28"/>
  <c r="O34" i="28"/>
  <c r="Q34" i="28" s="1"/>
  <c r="N34" i="28"/>
  <c r="X34" i="28" s="1"/>
  <c r="K34" i="28"/>
  <c r="M34" i="28" s="1"/>
  <c r="I34" i="28"/>
  <c r="S34" i="28" s="1"/>
  <c r="J34" i="28"/>
  <c r="N33" i="28"/>
  <c r="I33" i="28"/>
  <c r="S33" i="28" s="1"/>
  <c r="J33" i="28"/>
  <c r="O32" i="28"/>
  <c r="Q32" i="28" s="1"/>
  <c r="N32" i="28"/>
  <c r="X32" i="28" s="1"/>
  <c r="K32" i="28"/>
  <c r="M32" i="28" s="1"/>
  <c r="I32" i="28"/>
  <c r="S32" i="28" s="1"/>
  <c r="J32" i="28"/>
  <c r="O31" i="28"/>
  <c r="Q31" i="28" s="1"/>
  <c r="N31" i="28"/>
  <c r="K31" i="28"/>
  <c r="M31" i="28" s="1"/>
  <c r="I31" i="28"/>
  <c r="S31" i="28" s="1"/>
  <c r="J31" i="28"/>
  <c r="O30" i="28"/>
  <c r="Q30" i="28" s="1"/>
  <c r="K30" i="28"/>
  <c r="M30" i="28" s="1"/>
  <c r="I30" i="28"/>
  <c r="S30" i="28" s="1"/>
  <c r="O29" i="28"/>
  <c r="Q29" i="28" s="1"/>
  <c r="N29" i="28"/>
  <c r="K29" i="28"/>
  <c r="M29" i="28" s="1"/>
  <c r="I29" i="28"/>
  <c r="S29" i="28" s="1"/>
  <c r="J29" i="28"/>
  <c r="O28" i="28"/>
  <c r="Q28" i="28" s="1"/>
  <c r="K28" i="28"/>
  <c r="M28" i="28" s="1"/>
  <c r="I28" i="28"/>
  <c r="S28" i="28" s="1"/>
  <c r="O27" i="28"/>
  <c r="Q27" i="28" s="1"/>
  <c r="N27" i="28"/>
  <c r="K27" i="28"/>
  <c r="M27" i="28" s="1"/>
  <c r="I27" i="28"/>
  <c r="S27" i="28" s="1"/>
  <c r="J27" i="28"/>
  <c r="O26" i="28"/>
  <c r="Q26" i="28" s="1"/>
  <c r="N26" i="28"/>
  <c r="K26" i="28"/>
  <c r="M26" i="28" s="1"/>
  <c r="I26" i="28"/>
  <c r="S26" i="28" s="1"/>
  <c r="J26" i="28"/>
  <c r="O25" i="28"/>
  <c r="Q25" i="28" s="1"/>
  <c r="N25" i="28"/>
  <c r="K25" i="28"/>
  <c r="M25" i="28" s="1"/>
  <c r="I25" i="28"/>
  <c r="S25" i="28" s="1"/>
  <c r="J25" i="28"/>
  <c r="K24" i="28"/>
  <c r="M24" i="28" s="1"/>
  <c r="I24" i="28"/>
  <c r="S24" i="28" s="1"/>
  <c r="O23" i="28"/>
  <c r="Q23" i="28" s="1"/>
  <c r="N23" i="28"/>
  <c r="K23" i="28"/>
  <c r="M23" i="28" s="1"/>
  <c r="I23" i="28"/>
  <c r="S23" i="28" s="1"/>
  <c r="J23" i="28"/>
  <c r="K22" i="28"/>
  <c r="M22" i="28" s="1"/>
  <c r="I22" i="28"/>
  <c r="S22" i="28" s="1"/>
  <c r="O21" i="28"/>
  <c r="Q21" i="28" s="1"/>
  <c r="N21" i="28"/>
  <c r="K21" i="28"/>
  <c r="M21" i="28" s="1"/>
  <c r="I21" i="28"/>
  <c r="S21" i="28" s="1"/>
  <c r="J21" i="28"/>
  <c r="K20" i="28"/>
  <c r="M20" i="28" s="1"/>
  <c r="I20" i="28"/>
  <c r="S20" i="28" s="1"/>
  <c r="J20" i="28"/>
  <c r="O19" i="28"/>
  <c r="Q19" i="28" s="1"/>
  <c r="N19" i="28"/>
  <c r="K19" i="28"/>
  <c r="M19" i="28" s="1"/>
  <c r="I19" i="28"/>
  <c r="S19" i="28" s="1"/>
  <c r="J19" i="28"/>
  <c r="O18" i="28"/>
  <c r="Q18" i="28" s="1"/>
  <c r="K18" i="28"/>
  <c r="M18" i="28" s="1"/>
  <c r="I18" i="28"/>
  <c r="S18" i="28" s="1"/>
  <c r="J18" i="28"/>
  <c r="O17" i="28"/>
  <c r="Q17" i="28" s="1"/>
  <c r="K17" i="28"/>
  <c r="M17" i="28" s="1"/>
  <c r="I17" i="28"/>
  <c r="S17" i="28" s="1"/>
  <c r="O16" i="28"/>
  <c r="Q16" i="28" s="1"/>
  <c r="K16" i="28"/>
  <c r="M16" i="28" s="1"/>
  <c r="I16" i="28"/>
  <c r="S16" i="28" s="1"/>
  <c r="J16" i="28"/>
  <c r="O15" i="28"/>
  <c r="Q15" i="28" s="1"/>
  <c r="K15" i="28"/>
  <c r="M15" i="28" s="1"/>
  <c r="I15" i="28"/>
  <c r="S15" i="28" s="1"/>
  <c r="O14" i="28"/>
  <c r="Q14" i="28" s="1"/>
  <c r="K14" i="28"/>
  <c r="M14" i="28" s="1"/>
  <c r="I14" i="28"/>
  <c r="S14" i="28" s="1"/>
  <c r="J14" i="28"/>
  <c r="O13" i="28"/>
  <c r="Q13" i="28" s="1"/>
  <c r="K13" i="28"/>
  <c r="M13" i="28" s="1"/>
  <c r="I13" i="28"/>
  <c r="S13" i="28" s="1"/>
  <c r="N99" i="29"/>
  <c r="L99" i="29" s="1"/>
  <c r="V99" i="29" s="1"/>
  <c r="I99" i="29"/>
  <c r="S99" i="29" s="1"/>
  <c r="J99" i="29"/>
  <c r="P99" i="29" s="1"/>
  <c r="Z99" i="29" s="1"/>
  <c r="N98" i="29"/>
  <c r="L98" i="29" s="1"/>
  <c r="V98" i="29" s="1"/>
  <c r="I98" i="29"/>
  <c r="S98" i="29" s="1"/>
  <c r="N97" i="29"/>
  <c r="L97" i="29" s="1"/>
  <c r="V97" i="29" s="1"/>
  <c r="I97" i="29"/>
  <c r="S97" i="29" s="1"/>
  <c r="J97" i="29"/>
  <c r="N96" i="29"/>
  <c r="L96" i="29" s="1"/>
  <c r="V96" i="29" s="1"/>
  <c r="I96" i="29"/>
  <c r="S96" i="29" s="1"/>
  <c r="N95" i="29"/>
  <c r="L95" i="29" s="1"/>
  <c r="V95" i="29" s="1"/>
  <c r="I95" i="29"/>
  <c r="S95" i="29" s="1"/>
  <c r="J95" i="29"/>
  <c r="S94" i="29"/>
  <c r="I94" i="29"/>
  <c r="N93" i="29"/>
  <c r="L93" i="29" s="1"/>
  <c r="V93" i="29" s="1"/>
  <c r="I93" i="29"/>
  <c r="S93" i="29" s="1"/>
  <c r="J93" i="29"/>
  <c r="P93" i="29" s="1"/>
  <c r="Z93" i="29" s="1"/>
  <c r="I92" i="29"/>
  <c r="S92" i="29" s="1"/>
  <c r="N91" i="29"/>
  <c r="L91" i="29" s="1"/>
  <c r="V91" i="29" s="1"/>
  <c r="I91" i="29"/>
  <c r="S91" i="29" s="1"/>
  <c r="J91" i="29"/>
  <c r="P91" i="29" s="1"/>
  <c r="Z91" i="29" s="1"/>
  <c r="O90" i="29"/>
  <c r="N90" i="29"/>
  <c r="L90" i="29" s="1"/>
  <c r="V90" i="29" s="1"/>
  <c r="K90" i="29"/>
  <c r="I90" i="29"/>
  <c r="S90" i="29" s="1"/>
  <c r="J90" i="29"/>
  <c r="N89" i="29"/>
  <c r="L89" i="29" s="1"/>
  <c r="V89" i="29" s="1"/>
  <c r="I89" i="29"/>
  <c r="S89" i="29" s="1"/>
  <c r="J89" i="29"/>
  <c r="N88" i="29"/>
  <c r="L88" i="29" s="1"/>
  <c r="V88" i="29" s="1"/>
  <c r="I88" i="29"/>
  <c r="S88" i="29" s="1"/>
  <c r="N87" i="29"/>
  <c r="L87" i="29" s="1"/>
  <c r="V87" i="29" s="1"/>
  <c r="I87" i="29"/>
  <c r="S87" i="29" s="1"/>
  <c r="J87" i="29"/>
  <c r="N86" i="29"/>
  <c r="I86" i="29"/>
  <c r="S86" i="29" s="1"/>
  <c r="J86" i="29"/>
  <c r="P86" i="29" s="1"/>
  <c r="Z86" i="29" s="1"/>
  <c r="N85" i="29"/>
  <c r="L85" i="29" s="1"/>
  <c r="V85" i="29" s="1"/>
  <c r="I85" i="29"/>
  <c r="S85" i="29" s="1"/>
  <c r="J85" i="29"/>
  <c r="P85" i="29" s="1"/>
  <c r="Z85" i="29" s="1"/>
  <c r="N84" i="29"/>
  <c r="L84" i="29" s="1"/>
  <c r="V84" i="29" s="1"/>
  <c r="I84" i="29"/>
  <c r="S84" i="29" s="1"/>
  <c r="N83" i="29"/>
  <c r="I83" i="29"/>
  <c r="S83" i="29" s="1"/>
  <c r="J83" i="29"/>
  <c r="P83" i="29" s="1"/>
  <c r="Z83" i="29" s="1"/>
  <c r="N82" i="29"/>
  <c r="I82" i="29"/>
  <c r="S82" i="29" s="1"/>
  <c r="J82" i="29"/>
  <c r="O81" i="29"/>
  <c r="N81" i="29"/>
  <c r="L81" i="29" s="1"/>
  <c r="V81" i="29" s="1"/>
  <c r="I81" i="29"/>
  <c r="S81" i="29" s="1"/>
  <c r="J81" i="29"/>
  <c r="O80" i="29"/>
  <c r="N80" i="29"/>
  <c r="L80" i="29" s="1"/>
  <c r="V80" i="29" s="1"/>
  <c r="K80" i="29"/>
  <c r="M80" i="29" s="1"/>
  <c r="I80" i="29"/>
  <c r="S80" i="29" s="1"/>
  <c r="J80" i="29"/>
  <c r="P80" i="29" s="1"/>
  <c r="Z80" i="29" s="1"/>
  <c r="N79" i="29"/>
  <c r="L79" i="29" s="1"/>
  <c r="V79" i="29" s="1"/>
  <c r="I79" i="29"/>
  <c r="S79" i="29" s="1"/>
  <c r="J79" i="29"/>
  <c r="N78" i="29"/>
  <c r="L78" i="29" s="1"/>
  <c r="V78" i="29" s="1"/>
  <c r="I78" i="29"/>
  <c r="S78" i="29" s="1"/>
  <c r="J78" i="29"/>
  <c r="N77" i="29"/>
  <c r="I77" i="29"/>
  <c r="S77" i="29" s="1"/>
  <c r="J77" i="29"/>
  <c r="P77" i="29" s="1"/>
  <c r="Z77" i="29" s="1"/>
  <c r="N76" i="29"/>
  <c r="L76" i="29" s="1"/>
  <c r="V76" i="29" s="1"/>
  <c r="I76" i="29"/>
  <c r="S76" i="29" s="1"/>
  <c r="N75" i="29"/>
  <c r="L75" i="29" s="1"/>
  <c r="V75" i="29" s="1"/>
  <c r="I75" i="29"/>
  <c r="S75" i="29" s="1"/>
  <c r="J75" i="29"/>
  <c r="S74" i="29"/>
  <c r="N74" i="29"/>
  <c r="L74" i="29" s="1"/>
  <c r="V74" i="29" s="1"/>
  <c r="I74" i="29"/>
  <c r="N73" i="29"/>
  <c r="L73" i="29" s="1"/>
  <c r="V73" i="29" s="1"/>
  <c r="I73" i="29"/>
  <c r="S73" i="29" s="1"/>
  <c r="J73" i="29"/>
  <c r="T73" i="29" s="1"/>
  <c r="N72" i="29"/>
  <c r="X72" i="29" s="1"/>
  <c r="I72" i="29"/>
  <c r="S72" i="29" s="1"/>
  <c r="N71" i="29"/>
  <c r="L71" i="29" s="1"/>
  <c r="V71" i="29" s="1"/>
  <c r="I71" i="29"/>
  <c r="S71" i="29" s="1"/>
  <c r="J71" i="29"/>
  <c r="N70" i="29"/>
  <c r="X70" i="29" s="1"/>
  <c r="I70" i="29"/>
  <c r="S70" i="29" s="1"/>
  <c r="N69" i="29"/>
  <c r="L69" i="29" s="1"/>
  <c r="V69" i="29" s="1"/>
  <c r="I69" i="29"/>
  <c r="S69" i="29" s="1"/>
  <c r="J69" i="29"/>
  <c r="P69" i="29" s="1"/>
  <c r="Z69" i="29" s="1"/>
  <c r="N68" i="29"/>
  <c r="L68" i="29" s="1"/>
  <c r="V68" i="29" s="1"/>
  <c r="I68" i="29"/>
  <c r="S68" i="29" s="1"/>
  <c r="N67" i="29"/>
  <c r="L67" i="29" s="1"/>
  <c r="V67" i="29" s="1"/>
  <c r="I67" i="29"/>
  <c r="S67" i="29" s="1"/>
  <c r="J67" i="29"/>
  <c r="N66" i="29"/>
  <c r="X66" i="29" s="1"/>
  <c r="I66" i="29"/>
  <c r="S66" i="29" s="1"/>
  <c r="N65" i="29"/>
  <c r="I65" i="29"/>
  <c r="S65" i="29" s="1"/>
  <c r="J65" i="29"/>
  <c r="N64" i="29"/>
  <c r="X64" i="29" s="1"/>
  <c r="I64" i="29"/>
  <c r="S64" i="29" s="1"/>
  <c r="N63" i="29"/>
  <c r="X63" i="29" s="1"/>
  <c r="I63" i="29"/>
  <c r="S63" i="29" s="1"/>
  <c r="J63" i="29"/>
  <c r="N62" i="29"/>
  <c r="X62" i="29" s="1"/>
  <c r="I62" i="29"/>
  <c r="S62" i="29" s="1"/>
  <c r="N61" i="29"/>
  <c r="X61" i="29" s="1"/>
  <c r="I61" i="29"/>
  <c r="S61" i="29" s="1"/>
  <c r="J61" i="29"/>
  <c r="N60" i="29"/>
  <c r="X60" i="29" s="1"/>
  <c r="I60" i="29"/>
  <c r="S60" i="29" s="1"/>
  <c r="N59" i="29"/>
  <c r="X59" i="29" s="1"/>
  <c r="I59" i="29"/>
  <c r="S59" i="29" s="1"/>
  <c r="J59" i="29"/>
  <c r="O58" i="29"/>
  <c r="Q58" i="29" s="1"/>
  <c r="N58" i="29"/>
  <c r="X58" i="29" s="1"/>
  <c r="K58" i="29"/>
  <c r="M58" i="29" s="1"/>
  <c r="I58" i="29"/>
  <c r="S58" i="29" s="1"/>
  <c r="O57" i="29"/>
  <c r="Q57" i="29" s="1"/>
  <c r="N57" i="29"/>
  <c r="X57" i="29" s="1"/>
  <c r="K57" i="29"/>
  <c r="M57" i="29" s="1"/>
  <c r="I57" i="29"/>
  <c r="S57" i="29" s="1"/>
  <c r="J57" i="29"/>
  <c r="N56" i="29"/>
  <c r="X56" i="29" s="1"/>
  <c r="I56" i="29"/>
  <c r="S56" i="29" s="1"/>
  <c r="J56" i="29"/>
  <c r="T56" i="29" s="1"/>
  <c r="N55" i="29"/>
  <c r="X55" i="29" s="1"/>
  <c r="I55" i="29"/>
  <c r="S55" i="29" s="1"/>
  <c r="N54" i="29"/>
  <c r="X54" i="29" s="1"/>
  <c r="I54" i="29"/>
  <c r="S54" i="29" s="1"/>
  <c r="J54" i="29"/>
  <c r="N53" i="29"/>
  <c r="X53" i="29" s="1"/>
  <c r="I53" i="29"/>
  <c r="S53" i="29" s="1"/>
  <c r="N52" i="29"/>
  <c r="X52" i="29" s="1"/>
  <c r="I52" i="29"/>
  <c r="S52" i="29" s="1"/>
  <c r="J52" i="29"/>
  <c r="T52" i="29" s="1"/>
  <c r="N51" i="29"/>
  <c r="X51" i="29" s="1"/>
  <c r="I51" i="29"/>
  <c r="S51" i="29" s="1"/>
  <c r="N50" i="29"/>
  <c r="X50" i="29" s="1"/>
  <c r="I50" i="29"/>
  <c r="S50" i="29" s="1"/>
  <c r="J50" i="29"/>
  <c r="N49" i="29"/>
  <c r="X49" i="29" s="1"/>
  <c r="I49" i="29"/>
  <c r="S49" i="29" s="1"/>
  <c r="J49" i="29"/>
  <c r="N48" i="29"/>
  <c r="X48" i="29" s="1"/>
  <c r="I48" i="29"/>
  <c r="S48" i="29" s="1"/>
  <c r="N47" i="29"/>
  <c r="X47" i="29" s="1"/>
  <c r="I47" i="29"/>
  <c r="S47" i="29" s="1"/>
  <c r="J47" i="29"/>
  <c r="N46" i="29"/>
  <c r="X46" i="29" s="1"/>
  <c r="I46" i="29"/>
  <c r="S46" i="29" s="1"/>
  <c r="N45" i="29"/>
  <c r="X45" i="29" s="1"/>
  <c r="I45" i="29"/>
  <c r="S45" i="29" s="1"/>
  <c r="J45" i="29"/>
  <c r="N44" i="29"/>
  <c r="X44" i="29" s="1"/>
  <c r="I44" i="29"/>
  <c r="S44" i="29" s="1"/>
  <c r="J44" i="29"/>
  <c r="T44" i="29" s="1"/>
  <c r="N43" i="29"/>
  <c r="I43" i="29"/>
  <c r="S43" i="29" s="1"/>
  <c r="J43" i="29"/>
  <c r="S42" i="29"/>
  <c r="N42" i="29"/>
  <c r="X42" i="29" s="1"/>
  <c r="I42" i="29"/>
  <c r="N41" i="29"/>
  <c r="I41" i="29"/>
  <c r="S41" i="29" s="1"/>
  <c r="J41" i="29"/>
  <c r="N40" i="29"/>
  <c r="X40" i="29" s="1"/>
  <c r="I40" i="29"/>
  <c r="S40" i="29" s="1"/>
  <c r="N39" i="29"/>
  <c r="X39" i="29" s="1"/>
  <c r="L39" i="29"/>
  <c r="V39" i="29" s="1"/>
  <c r="I39" i="29"/>
  <c r="S39" i="29" s="1"/>
  <c r="J39" i="29"/>
  <c r="S38" i="29"/>
  <c r="N38" i="29"/>
  <c r="X38" i="29" s="1"/>
  <c r="I38" i="29"/>
  <c r="X37" i="29"/>
  <c r="N37" i="29"/>
  <c r="L37" i="29" s="1"/>
  <c r="V37" i="29" s="1"/>
  <c r="I37" i="29"/>
  <c r="S37" i="29" s="1"/>
  <c r="J37" i="29"/>
  <c r="I36" i="29"/>
  <c r="S36" i="29" s="1"/>
  <c r="I35" i="29"/>
  <c r="S35" i="29" s="1"/>
  <c r="O34" i="29"/>
  <c r="Q34" i="29" s="1"/>
  <c r="K34" i="29"/>
  <c r="M34" i="29" s="1"/>
  <c r="I34" i="29"/>
  <c r="S34" i="29" s="1"/>
  <c r="N33" i="29"/>
  <c r="L33" i="29" s="1"/>
  <c r="V33" i="29" s="1"/>
  <c r="I33" i="29"/>
  <c r="S33" i="29" s="1"/>
  <c r="J33" i="29"/>
  <c r="O32" i="29"/>
  <c r="Q32" i="29" s="1"/>
  <c r="I32" i="29"/>
  <c r="S32" i="29" s="1"/>
  <c r="N31" i="29"/>
  <c r="X31" i="29" s="1"/>
  <c r="I31" i="29"/>
  <c r="S31" i="29" s="1"/>
  <c r="J31" i="29"/>
  <c r="O30" i="29"/>
  <c r="Q30" i="29" s="1"/>
  <c r="I30" i="29"/>
  <c r="S30" i="29" s="1"/>
  <c r="N29" i="29"/>
  <c r="L29" i="29" s="1"/>
  <c r="V29" i="29" s="1"/>
  <c r="I29" i="29"/>
  <c r="S29" i="29" s="1"/>
  <c r="J29" i="29"/>
  <c r="O28" i="29"/>
  <c r="Q28" i="29" s="1"/>
  <c r="I28" i="29"/>
  <c r="S28" i="29" s="1"/>
  <c r="O27" i="29"/>
  <c r="Q27" i="29" s="1"/>
  <c r="N27" i="29"/>
  <c r="X27" i="29" s="1"/>
  <c r="K27" i="29"/>
  <c r="M27" i="29" s="1"/>
  <c r="I27" i="29"/>
  <c r="S27" i="29" s="1"/>
  <c r="J27" i="29"/>
  <c r="O26" i="29"/>
  <c r="Q26" i="29" s="1"/>
  <c r="K26" i="29"/>
  <c r="M26" i="29" s="1"/>
  <c r="I26" i="29"/>
  <c r="S26" i="29" s="1"/>
  <c r="K25" i="29"/>
  <c r="M25" i="29" s="1"/>
  <c r="I25" i="29"/>
  <c r="S25" i="29" s="1"/>
  <c r="I24" i="29"/>
  <c r="S24" i="29" s="1"/>
  <c r="I23" i="29"/>
  <c r="S23" i="29" s="1"/>
  <c r="I22" i="29"/>
  <c r="S22" i="29" s="1"/>
  <c r="O21" i="29"/>
  <c r="Q21" i="29" s="1"/>
  <c r="N21" i="29"/>
  <c r="K21" i="29"/>
  <c r="M21" i="29" s="1"/>
  <c r="I21" i="29"/>
  <c r="S21" i="29" s="1"/>
  <c r="I20" i="29"/>
  <c r="S20" i="29" s="1"/>
  <c r="O19" i="29"/>
  <c r="Q19" i="29" s="1"/>
  <c r="K19" i="29"/>
  <c r="M19" i="29" s="1"/>
  <c r="I19" i="29"/>
  <c r="S19" i="29" s="1"/>
  <c r="I18" i="29"/>
  <c r="S18" i="29" s="1"/>
  <c r="O17" i="29"/>
  <c r="Q17" i="29" s="1"/>
  <c r="K17" i="29"/>
  <c r="M17" i="29" s="1"/>
  <c r="I17" i="29"/>
  <c r="S17" i="29" s="1"/>
  <c r="I16" i="29"/>
  <c r="S16" i="29" s="1"/>
  <c r="O15" i="29"/>
  <c r="Q15" i="29" s="1"/>
  <c r="K15" i="29"/>
  <c r="M15" i="29" s="1"/>
  <c r="I15" i="29"/>
  <c r="S15" i="29" s="1"/>
  <c r="N14" i="29"/>
  <c r="X14" i="29" s="1"/>
  <c r="K14" i="29"/>
  <c r="M14" i="29" s="1"/>
  <c r="I14" i="29"/>
  <c r="S14" i="29" s="1"/>
  <c r="O13" i="29"/>
  <c r="Q13" i="29" s="1"/>
  <c r="K13" i="29"/>
  <c r="M13" i="29" s="1"/>
  <c r="I13" i="29"/>
  <c r="S13" i="29" s="1"/>
  <c r="I70" i="30"/>
  <c r="S70" i="30" s="1"/>
  <c r="I69" i="30"/>
  <c r="S69" i="30" s="1"/>
  <c r="I68" i="30"/>
  <c r="S68" i="30" s="1"/>
  <c r="I67" i="30"/>
  <c r="S67" i="30" s="1"/>
  <c r="I66" i="30"/>
  <c r="S66" i="30" s="1"/>
  <c r="I65" i="30"/>
  <c r="S65" i="30" s="1"/>
  <c r="I64" i="30"/>
  <c r="S64" i="30" s="1"/>
  <c r="I63" i="30"/>
  <c r="S63" i="30" s="1"/>
  <c r="I62" i="30"/>
  <c r="S62" i="30" s="1"/>
  <c r="I61" i="30"/>
  <c r="S61" i="30" s="1"/>
  <c r="I60" i="30"/>
  <c r="S60" i="30" s="1"/>
  <c r="I59" i="30"/>
  <c r="S59" i="30" s="1"/>
  <c r="I58" i="30"/>
  <c r="S58" i="30" s="1"/>
  <c r="I57" i="30"/>
  <c r="S57" i="30" s="1"/>
  <c r="I56" i="30"/>
  <c r="S56" i="30" s="1"/>
  <c r="I55" i="30"/>
  <c r="S55" i="30" s="1"/>
  <c r="I54" i="30"/>
  <c r="S54" i="30" s="1"/>
  <c r="I53" i="30"/>
  <c r="S53" i="30" s="1"/>
  <c r="I52" i="30"/>
  <c r="S52" i="30" s="1"/>
  <c r="I51" i="30"/>
  <c r="S51" i="30" s="1"/>
  <c r="I50" i="30"/>
  <c r="S50" i="30" s="1"/>
  <c r="I49" i="30"/>
  <c r="S49" i="30" s="1"/>
  <c r="I48" i="30"/>
  <c r="S48" i="30" s="1"/>
  <c r="I47" i="30"/>
  <c r="S47" i="30" s="1"/>
  <c r="I46" i="30"/>
  <c r="S46" i="30" s="1"/>
  <c r="I45" i="30"/>
  <c r="S45" i="30" s="1"/>
  <c r="I44" i="30"/>
  <c r="S44" i="30" s="1"/>
  <c r="I43" i="30"/>
  <c r="S43" i="30" s="1"/>
  <c r="I42" i="30"/>
  <c r="S42" i="30" s="1"/>
  <c r="I41" i="30"/>
  <c r="S41" i="30" s="1"/>
  <c r="I40" i="30"/>
  <c r="S40" i="30" s="1"/>
  <c r="J40" i="30"/>
  <c r="P40" i="30" s="1"/>
  <c r="Z40" i="30" s="1"/>
  <c r="I39" i="30"/>
  <c r="S39" i="30" s="1"/>
  <c r="I38" i="30"/>
  <c r="S38" i="30" s="1"/>
  <c r="I37" i="30"/>
  <c r="S37" i="30" s="1"/>
  <c r="I36" i="30"/>
  <c r="S36" i="30" s="1"/>
  <c r="I35" i="30"/>
  <c r="S35" i="30" s="1"/>
  <c r="I34" i="30"/>
  <c r="S34" i="30" s="1"/>
  <c r="J34" i="30"/>
  <c r="I33" i="30"/>
  <c r="S33" i="30" s="1"/>
  <c r="I32" i="30"/>
  <c r="S32" i="30" s="1"/>
  <c r="I31" i="30"/>
  <c r="S31" i="30" s="1"/>
  <c r="I30" i="30"/>
  <c r="S30" i="30" s="1"/>
  <c r="I29" i="30"/>
  <c r="S29" i="30" s="1"/>
  <c r="I28" i="30"/>
  <c r="S28" i="30" s="1"/>
  <c r="S27" i="30"/>
  <c r="I27" i="30"/>
  <c r="I26" i="30"/>
  <c r="S26" i="30" s="1"/>
  <c r="I25" i="30"/>
  <c r="S25" i="30" s="1"/>
  <c r="I24" i="30"/>
  <c r="S24" i="30" s="1"/>
  <c r="I23" i="30"/>
  <c r="S23" i="30" s="1"/>
  <c r="I22" i="30"/>
  <c r="S22" i="30" s="1"/>
  <c r="I21" i="30"/>
  <c r="S21" i="30" s="1"/>
  <c r="I20" i="30"/>
  <c r="S20" i="30" s="1"/>
  <c r="I19" i="30"/>
  <c r="S19" i="30" s="1"/>
  <c r="I18" i="30"/>
  <c r="S18" i="30" s="1"/>
  <c r="I17" i="30"/>
  <c r="S17" i="30" s="1"/>
  <c r="I16" i="30"/>
  <c r="S16" i="30" s="1"/>
  <c r="I15" i="30"/>
  <c r="S15" i="30" s="1"/>
  <c r="I14" i="30"/>
  <c r="S14" i="30" s="1"/>
  <c r="I13" i="30"/>
  <c r="S13" i="30" s="1"/>
  <c r="I76" i="31"/>
  <c r="S76" i="31" s="1"/>
  <c r="I75" i="31"/>
  <c r="S75" i="31" s="1"/>
  <c r="I74" i="31"/>
  <c r="S74" i="31" s="1"/>
  <c r="I73" i="31"/>
  <c r="S73" i="31" s="1"/>
  <c r="I71" i="31"/>
  <c r="S71" i="31" s="1"/>
  <c r="I70" i="31"/>
  <c r="S70" i="31" s="1"/>
  <c r="I69" i="31"/>
  <c r="S69" i="31" s="1"/>
  <c r="I68" i="31"/>
  <c r="S68" i="31" s="1"/>
  <c r="I67" i="31"/>
  <c r="S67" i="31" s="1"/>
  <c r="O66" i="31"/>
  <c r="Q66" i="31" s="1"/>
  <c r="K66" i="31"/>
  <c r="M66" i="31" s="1"/>
  <c r="I66" i="31"/>
  <c r="S66" i="31" s="1"/>
  <c r="I65" i="31"/>
  <c r="S65" i="31" s="1"/>
  <c r="I64" i="31"/>
  <c r="S64" i="31" s="1"/>
  <c r="I63" i="31"/>
  <c r="S63" i="31" s="1"/>
  <c r="I62" i="31"/>
  <c r="S62" i="31" s="1"/>
  <c r="I61" i="31"/>
  <c r="S61" i="31" s="1"/>
  <c r="I60" i="31"/>
  <c r="S60" i="31" s="1"/>
  <c r="I59" i="31"/>
  <c r="S59" i="31" s="1"/>
  <c r="I58" i="31"/>
  <c r="S58" i="31" s="1"/>
  <c r="I57" i="31"/>
  <c r="S57" i="31" s="1"/>
  <c r="I56" i="31"/>
  <c r="S56" i="31" s="1"/>
  <c r="I55" i="31"/>
  <c r="S55" i="31" s="1"/>
  <c r="I54" i="31"/>
  <c r="S54" i="31" s="1"/>
  <c r="I53" i="31"/>
  <c r="S53" i="31" s="1"/>
  <c r="I52" i="31"/>
  <c r="S52" i="31" s="1"/>
  <c r="I51" i="31"/>
  <c r="S51" i="31" s="1"/>
  <c r="I50" i="31"/>
  <c r="S50" i="31" s="1"/>
  <c r="I49" i="31"/>
  <c r="S49" i="31" s="1"/>
  <c r="I48" i="31"/>
  <c r="S48" i="31" s="1"/>
  <c r="I47" i="31"/>
  <c r="S47" i="31" s="1"/>
  <c r="I46" i="31"/>
  <c r="S46" i="31" s="1"/>
  <c r="I45" i="31"/>
  <c r="S45" i="31" s="1"/>
  <c r="K44" i="31"/>
  <c r="M44" i="31" s="1"/>
  <c r="I44" i="31"/>
  <c r="S44" i="31" s="1"/>
  <c r="I43" i="31"/>
  <c r="S43" i="31" s="1"/>
  <c r="I42" i="31"/>
  <c r="S42" i="31" s="1"/>
  <c r="I41" i="31"/>
  <c r="S41" i="31" s="1"/>
  <c r="I40" i="31"/>
  <c r="S40" i="31" s="1"/>
  <c r="I39" i="31"/>
  <c r="S39" i="31" s="1"/>
  <c r="I38" i="31"/>
  <c r="S38" i="31" s="1"/>
  <c r="I37" i="31"/>
  <c r="S37" i="31" s="1"/>
  <c r="I36" i="31"/>
  <c r="S36" i="31" s="1"/>
  <c r="I35" i="31"/>
  <c r="S35" i="31" s="1"/>
  <c r="I34" i="31"/>
  <c r="S34" i="31" s="1"/>
  <c r="I33" i="31"/>
  <c r="S33" i="31" s="1"/>
  <c r="I32" i="31"/>
  <c r="S32" i="31" s="1"/>
  <c r="I31" i="31"/>
  <c r="S31" i="31" s="1"/>
  <c r="I30" i="31"/>
  <c r="S30" i="31" s="1"/>
  <c r="I29" i="31"/>
  <c r="S29" i="31" s="1"/>
  <c r="I28" i="31"/>
  <c r="S28" i="31" s="1"/>
  <c r="I27" i="31"/>
  <c r="S27" i="31" s="1"/>
  <c r="J27" i="31"/>
  <c r="T27" i="31" s="1"/>
  <c r="I26" i="31"/>
  <c r="S26" i="31" s="1"/>
  <c r="I25" i="31"/>
  <c r="S25" i="31" s="1"/>
  <c r="I24" i="31"/>
  <c r="S24" i="31" s="1"/>
  <c r="I23" i="31"/>
  <c r="S23" i="31" s="1"/>
  <c r="O22" i="31"/>
  <c r="Q22" i="31" s="1"/>
  <c r="N22" i="31"/>
  <c r="X22" i="31" s="1"/>
  <c r="K22" i="31"/>
  <c r="M22" i="31" s="1"/>
  <c r="I22" i="31"/>
  <c r="S22" i="31" s="1"/>
  <c r="O21" i="31"/>
  <c r="Q21" i="31" s="1"/>
  <c r="K21" i="31"/>
  <c r="M21" i="31" s="1"/>
  <c r="I21" i="31"/>
  <c r="S21" i="31" s="1"/>
  <c r="J21" i="31"/>
  <c r="T21" i="31" s="1"/>
  <c r="O20" i="31"/>
  <c r="Q20" i="31" s="1"/>
  <c r="K20" i="31"/>
  <c r="M20" i="31" s="1"/>
  <c r="I20" i="31"/>
  <c r="S20" i="31" s="1"/>
  <c r="O19" i="31"/>
  <c r="Q19" i="31" s="1"/>
  <c r="K19" i="31"/>
  <c r="M19" i="31" s="1"/>
  <c r="I19" i="31"/>
  <c r="S19" i="31" s="1"/>
  <c r="O18" i="31"/>
  <c r="Q18" i="31" s="1"/>
  <c r="K18" i="31"/>
  <c r="M18" i="31" s="1"/>
  <c r="I18" i="31"/>
  <c r="S18" i="31" s="1"/>
  <c r="O17" i="31"/>
  <c r="Q17" i="31" s="1"/>
  <c r="N17" i="31"/>
  <c r="X17" i="31" s="1"/>
  <c r="K17" i="31"/>
  <c r="M17" i="31" s="1"/>
  <c r="I17" i="31"/>
  <c r="S17" i="31" s="1"/>
  <c r="O16" i="31"/>
  <c r="Q16" i="31" s="1"/>
  <c r="N16" i="31"/>
  <c r="X16" i="31" s="1"/>
  <c r="K16" i="31"/>
  <c r="M16" i="31" s="1"/>
  <c r="I16" i="31"/>
  <c r="S16" i="31" s="1"/>
  <c r="J16" i="31"/>
  <c r="T16" i="31" s="1"/>
  <c r="O15" i="31"/>
  <c r="Q15" i="31" s="1"/>
  <c r="N15" i="31"/>
  <c r="X15" i="31" s="1"/>
  <c r="K15" i="31"/>
  <c r="M15" i="31" s="1"/>
  <c r="I15" i="31"/>
  <c r="S15" i="31" s="1"/>
  <c r="J15" i="31"/>
  <c r="O14" i="31"/>
  <c r="Q14" i="31" s="1"/>
  <c r="N14" i="31"/>
  <c r="X14" i="31" s="1"/>
  <c r="K14" i="31"/>
  <c r="M14" i="31" s="1"/>
  <c r="I14" i="31"/>
  <c r="S14" i="31" s="1"/>
  <c r="O13" i="31"/>
  <c r="Q13" i="31" s="1"/>
  <c r="I13" i="31"/>
  <c r="S13" i="31" s="1"/>
  <c r="N12" i="31"/>
  <c r="X12" i="31" s="1"/>
  <c r="K12" i="31"/>
  <c r="M12" i="31" s="1"/>
  <c r="I12" i="31"/>
  <c r="S12" i="31" s="1"/>
  <c r="J12" i="31"/>
  <c r="T12" i="31" s="1"/>
  <c r="O54" i="32"/>
  <c r="Q54" i="32" s="1"/>
  <c r="N54" i="32"/>
  <c r="X54" i="32" s="1"/>
  <c r="K54" i="32"/>
  <c r="M54" i="32" s="1"/>
  <c r="I54" i="32"/>
  <c r="S54" i="32" s="1"/>
  <c r="J54" i="32"/>
  <c r="N53" i="32"/>
  <c r="X53" i="32" s="1"/>
  <c r="I53" i="32"/>
  <c r="S53" i="32" s="1"/>
  <c r="J53" i="32"/>
  <c r="T53" i="32" s="1"/>
  <c r="K52" i="32"/>
  <c r="M52" i="32" s="1"/>
  <c r="I52" i="32"/>
  <c r="S52" i="32" s="1"/>
  <c r="J52" i="32"/>
  <c r="T52" i="32" s="1"/>
  <c r="N51" i="32"/>
  <c r="X51" i="32" s="1"/>
  <c r="I51" i="32"/>
  <c r="S51" i="32" s="1"/>
  <c r="J51" i="32"/>
  <c r="O50" i="32"/>
  <c r="Q50" i="32" s="1"/>
  <c r="N50" i="32"/>
  <c r="X50" i="32" s="1"/>
  <c r="K50" i="32"/>
  <c r="M50" i="32" s="1"/>
  <c r="I50" i="32"/>
  <c r="S50" i="32" s="1"/>
  <c r="N49" i="32"/>
  <c r="X49" i="32" s="1"/>
  <c r="I49" i="32"/>
  <c r="S49" i="32" s="1"/>
  <c r="J49" i="32"/>
  <c r="I48" i="32"/>
  <c r="S48" i="32" s="1"/>
  <c r="J48" i="32"/>
  <c r="P48" i="32" s="1"/>
  <c r="Z48" i="32" s="1"/>
  <c r="O47" i="32"/>
  <c r="Q47" i="32" s="1"/>
  <c r="N47" i="32"/>
  <c r="L47" i="32" s="1"/>
  <c r="V47" i="32" s="1"/>
  <c r="K47" i="32"/>
  <c r="M47" i="32" s="1"/>
  <c r="I47" i="32"/>
  <c r="S47" i="32" s="1"/>
  <c r="J47" i="32"/>
  <c r="P47" i="32" s="1"/>
  <c r="Z47" i="32" s="1"/>
  <c r="N46" i="32"/>
  <c r="X46" i="32" s="1"/>
  <c r="I46" i="32"/>
  <c r="S46" i="32" s="1"/>
  <c r="J46" i="32"/>
  <c r="N45" i="32"/>
  <c r="L45" i="32" s="1"/>
  <c r="V45" i="32" s="1"/>
  <c r="I45" i="32"/>
  <c r="S45" i="32" s="1"/>
  <c r="N44" i="32"/>
  <c r="X44" i="32" s="1"/>
  <c r="I44" i="32"/>
  <c r="S44" i="32" s="1"/>
  <c r="J44" i="32"/>
  <c r="T44" i="32" s="1"/>
  <c r="O43" i="32"/>
  <c r="Q43" i="32" s="1"/>
  <c r="N43" i="32"/>
  <c r="L43" i="32" s="1"/>
  <c r="V43" i="32" s="1"/>
  <c r="K43" i="32"/>
  <c r="M43" i="32" s="1"/>
  <c r="I43" i="32"/>
  <c r="S43" i="32" s="1"/>
  <c r="N42" i="32"/>
  <c r="L42" i="32" s="1"/>
  <c r="V42" i="32" s="1"/>
  <c r="I42" i="32"/>
  <c r="S42" i="32" s="1"/>
  <c r="J42" i="32"/>
  <c r="N41" i="32"/>
  <c r="X41" i="32" s="1"/>
  <c r="I41" i="32"/>
  <c r="S41" i="32" s="1"/>
  <c r="J41" i="32"/>
  <c r="N40" i="32"/>
  <c r="X40" i="32" s="1"/>
  <c r="I40" i="32"/>
  <c r="S40" i="32" s="1"/>
  <c r="J40" i="32"/>
  <c r="O39" i="32"/>
  <c r="Q39" i="32" s="1"/>
  <c r="N39" i="32"/>
  <c r="X39" i="32" s="1"/>
  <c r="K39" i="32"/>
  <c r="M39" i="32" s="1"/>
  <c r="I39" i="32"/>
  <c r="S39" i="32" s="1"/>
  <c r="N38" i="32"/>
  <c r="X38" i="32" s="1"/>
  <c r="I38" i="32"/>
  <c r="S38" i="32" s="1"/>
  <c r="J38" i="32"/>
  <c r="N37" i="32"/>
  <c r="L37" i="32" s="1"/>
  <c r="V37" i="32" s="1"/>
  <c r="I37" i="32"/>
  <c r="S37" i="32" s="1"/>
  <c r="N36" i="32"/>
  <c r="X36" i="32" s="1"/>
  <c r="I36" i="32"/>
  <c r="S36" i="32" s="1"/>
  <c r="J36" i="32"/>
  <c r="O35" i="32"/>
  <c r="Q35" i="32" s="1"/>
  <c r="N35" i="32"/>
  <c r="X35" i="32" s="1"/>
  <c r="K35" i="32"/>
  <c r="M35" i="32" s="1"/>
  <c r="I35" i="32"/>
  <c r="S35" i="32" s="1"/>
  <c r="I34" i="32"/>
  <c r="S34" i="32" s="1"/>
  <c r="I33" i="32"/>
  <c r="S33" i="32" s="1"/>
  <c r="I32" i="32"/>
  <c r="S32" i="32" s="1"/>
  <c r="O31" i="32"/>
  <c r="Q31" i="32" s="1"/>
  <c r="I31" i="32"/>
  <c r="S31" i="32" s="1"/>
  <c r="I30" i="32"/>
  <c r="S30" i="32" s="1"/>
  <c r="I29" i="32"/>
  <c r="S29" i="32" s="1"/>
  <c r="I28" i="32"/>
  <c r="S28" i="32" s="1"/>
  <c r="O27" i="32"/>
  <c r="Q27" i="32" s="1"/>
  <c r="I27" i="32"/>
  <c r="S27" i="32" s="1"/>
  <c r="N26" i="32"/>
  <c r="L26" i="32" s="1"/>
  <c r="V26" i="32" s="1"/>
  <c r="I26" i="32"/>
  <c r="S26" i="32" s="1"/>
  <c r="J26" i="32"/>
  <c r="I25" i="32"/>
  <c r="S25" i="32" s="1"/>
  <c r="N24" i="32"/>
  <c r="X24" i="32" s="1"/>
  <c r="I24" i="32"/>
  <c r="S24" i="32" s="1"/>
  <c r="J24" i="32"/>
  <c r="O23" i="32"/>
  <c r="Q23" i="32" s="1"/>
  <c r="I23" i="32"/>
  <c r="S23" i="32" s="1"/>
  <c r="N22" i="32"/>
  <c r="I22" i="32"/>
  <c r="S22" i="32" s="1"/>
  <c r="J22" i="32"/>
  <c r="N21" i="32"/>
  <c r="X21" i="32" s="1"/>
  <c r="I21" i="32"/>
  <c r="S21" i="32" s="1"/>
  <c r="J21" i="32"/>
  <c r="N20" i="32"/>
  <c r="X20" i="32" s="1"/>
  <c r="I20" i="32"/>
  <c r="S20" i="32" s="1"/>
  <c r="J20" i="32"/>
  <c r="O19" i="32"/>
  <c r="Q19" i="32" s="1"/>
  <c r="N19" i="32"/>
  <c r="X19" i="32" s="1"/>
  <c r="K19" i="32"/>
  <c r="M19" i="32" s="1"/>
  <c r="I19" i="32"/>
  <c r="S19" i="32" s="1"/>
  <c r="O18" i="32"/>
  <c r="Q18" i="32" s="1"/>
  <c r="N18" i="32"/>
  <c r="K18" i="32"/>
  <c r="M18" i="32" s="1"/>
  <c r="I18" i="32"/>
  <c r="S18" i="32" s="1"/>
  <c r="J18" i="32"/>
  <c r="O17" i="32"/>
  <c r="Q17" i="32" s="1"/>
  <c r="N17" i="32"/>
  <c r="K17" i="32"/>
  <c r="M17" i="32" s="1"/>
  <c r="I17" i="32"/>
  <c r="S17" i="32" s="1"/>
  <c r="J17" i="32"/>
  <c r="O16" i="32"/>
  <c r="Q16" i="32" s="1"/>
  <c r="K16" i="32"/>
  <c r="M16" i="32" s="1"/>
  <c r="I16" i="32"/>
  <c r="S16" i="32" s="1"/>
  <c r="O15" i="32"/>
  <c r="Q15" i="32" s="1"/>
  <c r="N15" i="32"/>
  <c r="K15" i="32"/>
  <c r="M15" i="32" s="1"/>
  <c r="I15" i="32"/>
  <c r="S15" i="32" s="1"/>
  <c r="J15" i="32"/>
  <c r="N14" i="32"/>
  <c r="K14" i="32"/>
  <c r="M14" i="32" s="1"/>
  <c r="I14" i="32"/>
  <c r="S14" i="32" s="1"/>
  <c r="J14" i="32"/>
  <c r="O13" i="32"/>
  <c r="Q13" i="32" s="1"/>
  <c r="N13" i="32"/>
  <c r="K13" i="32"/>
  <c r="M13" i="32" s="1"/>
  <c r="I13" i="32"/>
  <c r="S13" i="32" s="1"/>
  <c r="N34" i="33"/>
  <c r="L34" i="33" s="1"/>
  <c r="V34" i="33" s="1"/>
  <c r="I34" i="33"/>
  <c r="S34" i="33" s="1"/>
  <c r="J34" i="33"/>
  <c r="P34" i="33" s="1"/>
  <c r="Z34" i="33" s="1"/>
  <c r="I33" i="33"/>
  <c r="S33" i="33" s="1"/>
  <c r="O32" i="33"/>
  <c r="N32" i="33"/>
  <c r="L32" i="33" s="1"/>
  <c r="V32" i="33" s="1"/>
  <c r="K32" i="33"/>
  <c r="I32" i="33"/>
  <c r="S32" i="33" s="1"/>
  <c r="J32" i="33"/>
  <c r="P32" i="33" s="1"/>
  <c r="Z32" i="33" s="1"/>
  <c r="S31" i="33"/>
  <c r="N31" i="33"/>
  <c r="I31" i="33"/>
  <c r="J31" i="33"/>
  <c r="P31" i="33" s="1"/>
  <c r="Z31" i="33" s="1"/>
  <c r="I30" i="33"/>
  <c r="S30" i="33" s="1"/>
  <c r="J30" i="33"/>
  <c r="P30" i="33" s="1"/>
  <c r="Z30" i="33" s="1"/>
  <c r="O29" i="33"/>
  <c r="N29" i="33"/>
  <c r="K29" i="33"/>
  <c r="I29" i="33"/>
  <c r="S29" i="33" s="1"/>
  <c r="J29" i="33"/>
  <c r="P29" i="33" s="1"/>
  <c r="Z29" i="33" s="1"/>
  <c r="N28" i="33"/>
  <c r="I28" i="33"/>
  <c r="S28" i="33" s="1"/>
  <c r="J28" i="33"/>
  <c r="N27" i="33"/>
  <c r="L27" i="33" s="1"/>
  <c r="V27" i="33" s="1"/>
  <c r="I27" i="33"/>
  <c r="S27" i="33" s="1"/>
  <c r="O26" i="33"/>
  <c r="N26" i="33"/>
  <c r="I26" i="33"/>
  <c r="S26" i="33" s="1"/>
  <c r="J26" i="33"/>
  <c r="P26" i="33" s="1"/>
  <c r="Z26" i="33" s="1"/>
  <c r="N25" i="33"/>
  <c r="L25" i="33" s="1"/>
  <c r="V25" i="33" s="1"/>
  <c r="I25" i="33"/>
  <c r="S25" i="33" s="1"/>
  <c r="J25" i="33"/>
  <c r="P25" i="33" s="1"/>
  <c r="Z25" i="33" s="1"/>
  <c r="I24" i="33"/>
  <c r="S24" i="33" s="1"/>
  <c r="N23" i="33"/>
  <c r="L23" i="33" s="1"/>
  <c r="V23" i="33" s="1"/>
  <c r="I23" i="33"/>
  <c r="S23" i="33" s="1"/>
  <c r="J23" i="33"/>
  <c r="N22" i="33"/>
  <c r="L22" i="33" s="1"/>
  <c r="V22" i="33" s="1"/>
  <c r="I22" i="33"/>
  <c r="S22" i="33" s="1"/>
  <c r="J22" i="33"/>
  <c r="P22" i="33" s="1"/>
  <c r="Z22" i="33" s="1"/>
  <c r="N21" i="33"/>
  <c r="I21" i="33"/>
  <c r="S21" i="33" s="1"/>
  <c r="O20" i="33"/>
  <c r="N20" i="33"/>
  <c r="L20" i="33" s="1"/>
  <c r="V20" i="33" s="1"/>
  <c r="K20" i="33"/>
  <c r="I20" i="33"/>
  <c r="S20" i="33" s="1"/>
  <c r="J20" i="33"/>
  <c r="P20" i="33" s="1"/>
  <c r="Z20" i="33" s="1"/>
  <c r="N19" i="33"/>
  <c r="I19" i="33"/>
  <c r="S19" i="33" s="1"/>
  <c r="J19" i="33"/>
  <c r="P19" i="33" s="1"/>
  <c r="Z19" i="33" s="1"/>
  <c r="N18" i="33"/>
  <c r="L18" i="33" s="1"/>
  <c r="V18" i="33" s="1"/>
  <c r="I18" i="33"/>
  <c r="S18" i="33" s="1"/>
  <c r="J18" i="33"/>
  <c r="P18" i="33" s="1"/>
  <c r="Z18" i="33" s="1"/>
  <c r="N17" i="33"/>
  <c r="L17" i="33" s="1"/>
  <c r="V17" i="33" s="1"/>
  <c r="K17" i="33"/>
  <c r="I17" i="33"/>
  <c r="S17" i="33" s="1"/>
  <c r="J17" i="33"/>
  <c r="N16" i="33"/>
  <c r="L16" i="33" s="1"/>
  <c r="V16" i="33" s="1"/>
  <c r="I16" i="33"/>
  <c r="S16" i="33" s="1"/>
  <c r="J16" i="33"/>
  <c r="P16" i="33" s="1"/>
  <c r="Z16" i="33" s="1"/>
  <c r="N15" i="33"/>
  <c r="L15" i="33" s="1"/>
  <c r="V15" i="33" s="1"/>
  <c r="I15" i="33"/>
  <c r="S15" i="33" s="1"/>
  <c r="J15" i="33"/>
  <c r="P15" i="33" s="1"/>
  <c r="Z15" i="33" s="1"/>
  <c r="O14" i="33"/>
  <c r="K14" i="33"/>
  <c r="I14" i="33"/>
  <c r="S14" i="33" s="1"/>
  <c r="J14" i="33"/>
  <c r="P14" i="33" s="1"/>
  <c r="Z14" i="33" s="1"/>
  <c r="O13" i="33"/>
  <c r="K13" i="33"/>
  <c r="I13" i="33"/>
  <c r="S13" i="33" s="1"/>
  <c r="N25" i="34"/>
  <c r="L25" i="34" s="1"/>
  <c r="V25" i="34" s="1"/>
  <c r="I25" i="34"/>
  <c r="S25" i="34" s="1"/>
  <c r="J25" i="34"/>
  <c r="P25" i="34" s="1"/>
  <c r="Z25" i="34" s="1"/>
  <c r="K24" i="34"/>
  <c r="I24" i="34"/>
  <c r="S24" i="34" s="1"/>
  <c r="J24" i="34"/>
  <c r="P24" i="34" s="1"/>
  <c r="Z24" i="34" s="1"/>
  <c r="O23" i="34"/>
  <c r="N23" i="34"/>
  <c r="K23" i="34"/>
  <c r="I23" i="34"/>
  <c r="S23" i="34" s="1"/>
  <c r="J23" i="34"/>
  <c r="P23" i="34" s="1"/>
  <c r="Z23" i="34" s="1"/>
  <c r="N22" i="34"/>
  <c r="I22" i="34"/>
  <c r="S22" i="34" s="1"/>
  <c r="J22" i="34"/>
  <c r="O21" i="34"/>
  <c r="N21" i="34"/>
  <c r="L21" i="34" s="1"/>
  <c r="V21" i="34" s="1"/>
  <c r="I21" i="34"/>
  <c r="S21" i="34" s="1"/>
  <c r="O20" i="34"/>
  <c r="N20" i="34"/>
  <c r="L20" i="34" s="1"/>
  <c r="V20" i="34" s="1"/>
  <c r="K20" i="34"/>
  <c r="I20" i="34"/>
  <c r="S20" i="34" s="1"/>
  <c r="J20" i="34"/>
  <c r="N19" i="34"/>
  <c r="L19" i="34" s="1"/>
  <c r="V19" i="34" s="1"/>
  <c r="I19" i="34"/>
  <c r="S19" i="34" s="1"/>
  <c r="J19" i="34"/>
  <c r="P19" i="34" s="1"/>
  <c r="Z19" i="34" s="1"/>
  <c r="O18" i="34"/>
  <c r="I18" i="34"/>
  <c r="S18" i="34" s="1"/>
  <c r="O17" i="34"/>
  <c r="N17" i="34"/>
  <c r="K17" i="34"/>
  <c r="I17" i="34"/>
  <c r="S17" i="34" s="1"/>
  <c r="J17" i="34"/>
  <c r="P17" i="34" s="1"/>
  <c r="Z17" i="34" s="1"/>
  <c r="N16" i="34"/>
  <c r="L16" i="34" s="1"/>
  <c r="V16" i="34" s="1"/>
  <c r="I16" i="34"/>
  <c r="S16" i="34" s="1"/>
  <c r="J16" i="34"/>
  <c r="P16" i="34" s="1"/>
  <c r="Z16" i="34" s="1"/>
  <c r="O15" i="34"/>
  <c r="K15" i="34"/>
  <c r="I15" i="34"/>
  <c r="S15" i="34" s="1"/>
  <c r="J15" i="34"/>
  <c r="P15" i="34" s="1"/>
  <c r="Z15" i="34" s="1"/>
  <c r="I14" i="34"/>
  <c r="S14" i="34" s="1"/>
  <c r="N13" i="34"/>
  <c r="L13" i="34" s="1"/>
  <c r="V13" i="34" s="1"/>
  <c r="K13" i="34"/>
  <c r="I13" i="34"/>
  <c r="S13" i="34" s="1"/>
  <c r="J13" i="34"/>
  <c r="P13" i="34" s="1"/>
  <c r="Z13" i="34" s="1"/>
  <c r="I55" i="35"/>
  <c r="S55" i="35" s="1"/>
  <c r="I54" i="35"/>
  <c r="S54" i="35" s="1"/>
  <c r="O53" i="35"/>
  <c r="Q53" i="35" s="1"/>
  <c r="K53" i="35"/>
  <c r="M53" i="35" s="1"/>
  <c r="I53" i="35"/>
  <c r="S53" i="35" s="1"/>
  <c r="I52" i="35"/>
  <c r="S52" i="35" s="1"/>
  <c r="I51" i="35"/>
  <c r="S51" i="35" s="1"/>
  <c r="O50" i="35"/>
  <c r="I50" i="35"/>
  <c r="S50" i="35" s="1"/>
  <c r="I49" i="35"/>
  <c r="S49" i="35" s="1"/>
  <c r="I48" i="35"/>
  <c r="S48" i="35" s="1"/>
  <c r="O47" i="35"/>
  <c r="K47" i="35"/>
  <c r="M47" i="35" s="1"/>
  <c r="I47" i="35"/>
  <c r="S47" i="35" s="1"/>
  <c r="I46" i="35"/>
  <c r="S46" i="35" s="1"/>
  <c r="I45" i="35"/>
  <c r="S45" i="35" s="1"/>
  <c r="O44" i="35"/>
  <c r="Q44" i="35" s="1"/>
  <c r="K44" i="35"/>
  <c r="M44" i="35" s="1"/>
  <c r="I44" i="35"/>
  <c r="S44" i="35" s="1"/>
  <c r="I43" i="35"/>
  <c r="S43" i="35" s="1"/>
  <c r="I42" i="35"/>
  <c r="S42" i="35" s="1"/>
  <c r="O41" i="35"/>
  <c r="Q41" i="35" s="1"/>
  <c r="K41" i="35"/>
  <c r="I41" i="35"/>
  <c r="S41" i="35" s="1"/>
  <c r="I40" i="35"/>
  <c r="S40" i="35" s="1"/>
  <c r="I39" i="35"/>
  <c r="S39" i="35" s="1"/>
  <c r="K38" i="35"/>
  <c r="M38" i="35" s="1"/>
  <c r="I38" i="35"/>
  <c r="S38" i="35" s="1"/>
  <c r="I37" i="35"/>
  <c r="S37" i="35" s="1"/>
  <c r="I36" i="35"/>
  <c r="S36" i="35" s="1"/>
  <c r="O35" i="35"/>
  <c r="Q35" i="35" s="1"/>
  <c r="K35" i="35"/>
  <c r="M35" i="35" s="1"/>
  <c r="I35" i="35"/>
  <c r="S35" i="35" s="1"/>
  <c r="I34" i="35"/>
  <c r="S34" i="35" s="1"/>
  <c r="I33" i="35"/>
  <c r="S33" i="35" s="1"/>
  <c r="O32" i="35"/>
  <c r="K32" i="35"/>
  <c r="I32" i="35"/>
  <c r="S32" i="35" s="1"/>
  <c r="I31" i="35"/>
  <c r="S31" i="35" s="1"/>
  <c r="I30" i="35"/>
  <c r="S30" i="35" s="1"/>
  <c r="O29" i="35"/>
  <c r="Q29" i="35" s="1"/>
  <c r="K29" i="35"/>
  <c r="M29" i="35" s="1"/>
  <c r="I29" i="35"/>
  <c r="S29" i="35" s="1"/>
  <c r="I28" i="35"/>
  <c r="S28" i="35" s="1"/>
  <c r="I27" i="35"/>
  <c r="S27" i="35" s="1"/>
  <c r="O26" i="35"/>
  <c r="Q26" i="35" s="1"/>
  <c r="K26" i="35"/>
  <c r="I26" i="35"/>
  <c r="S26" i="35" s="1"/>
  <c r="I25" i="35"/>
  <c r="S25" i="35" s="1"/>
  <c r="I24" i="35"/>
  <c r="S24" i="35" s="1"/>
  <c r="O23" i="35"/>
  <c r="K23" i="35"/>
  <c r="M23" i="35" s="1"/>
  <c r="I23" i="35"/>
  <c r="S23" i="35" s="1"/>
  <c r="I22" i="35"/>
  <c r="S22" i="35" s="1"/>
  <c r="I21" i="35"/>
  <c r="S21" i="35" s="1"/>
  <c r="O20" i="35"/>
  <c r="Q20" i="35" s="1"/>
  <c r="K20" i="35"/>
  <c r="I20" i="35"/>
  <c r="S20" i="35" s="1"/>
  <c r="N19" i="35"/>
  <c r="L19" i="35" s="1"/>
  <c r="V19" i="35" s="1"/>
  <c r="I19" i="35"/>
  <c r="S19" i="35" s="1"/>
  <c r="J19" i="35"/>
  <c r="P19" i="35" s="1"/>
  <c r="Z19" i="35" s="1"/>
  <c r="I18" i="35"/>
  <c r="S18" i="35" s="1"/>
  <c r="N17" i="35"/>
  <c r="X17" i="35" s="1"/>
  <c r="K17" i="35"/>
  <c r="M17" i="35" s="1"/>
  <c r="I17" i="35"/>
  <c r="S17" i="35" s="1"/>
  <c r="J17" i="35"/>
  <c r="P17" i="35" s="1"/>
  <c r="Z17" i="35" s="1"/>
  <c r="N16" i="35"/>
  <c r="I16" i="35"/>
  <c r="S16" i="35" s="1"/>
  <c r="J16" i="35"/>
  <c r="N15" i="35"/>
  <c r="I15" i="35"/>
  <c r="S15" i="35" s="1"/>
  <c r="J15" i="35"/>
  <c r="P15" i="35" s="1"/>
  <c r="Z15" i="35" s="1"/>
  <c r="O14" i="35"/>
  <c r="Q14" i="35" s="1"/>
  <c r="K14" i="35"/>
  <c r="M14" i="35" s="1"/>
  <c r="I14" i="35"/>
  <c r="S14" i="35" s="1"/>
  <c r="J14" i="35"/>
  <c r="T14" i="35" s="1"/>
  <c r="N13" i="35"/>
  <c r="X13" i="35" s="1"/>
  <c r="I13" i="35"/>
  <c r="S13" i="35" s="1"/>
  <c r="J13" i="35"/>
  <c r="N68" i="36"/>
  <c r="L68" i="36" s="1"/>
  <c r="V68" i="36" s="1"/>
  <c r="I68" i="36"/>
  <c r="S68" i="36" s="1"/>
  <c r="J68" i="36"/>
  <c r="N67" i="36"/>
  <c r="L67" i="36" s="1"/>
  <c r="V67" i="36" s="1"/>
  <c r="I67" i="36"/>
  <c r="S67" i="36" s="1"/>
  <c r="J67" i="36"/>
  <c r="N66" i="36"/>
  <c r="L66" i="36" s="1"/>
  <c r="V66" i="36" s="1"/>
  <c r="I66" i="36"/>
  <c r="S66" i="36" s="1"/>
  <c r="J66" i="36"/>
  <c r="I65" i="36"/>
  <c r="S65" i="36" s="1"/>
  <c r="J65" i="36"/>
  <c r="N64" i="36"/>
  <c r="L64" i="36" s="1"/>
  <c r="V64" i="36" s="1"/>
  <c r="I64" i="36"/>
  <c r="S64" i="36" s="1"/>
  <c r="J64" i="36"/>
  <c r="P64" i="36" s="1"/>
  <c r="Z64" i="36" s="1"/>
  <c r="I63" i="36"/>
  <c r="S63" i="36" s="1"/>
  <c r="N62" i="36"/>
  <c r="L62" i="36" s="1"/>
  <c r="V62" i="36" s="1"/>
  <c r="I62" i="36"/>
  <c r="S62" i="36" s="1"/>
  <c r="J62" i="36"/>
  <c r="P62" i="36" s="1"/>
  <c r="Z62" i="36" s="1"/>
  <c r="I61" i="36"/>
  <c r="S61" i="36" s="1"/>
  <c r="J61" i="36"/>
  <c r="N60" i="36"/>
  <c r="X60" i="36" s="1"/>
  <c r="I60" i="36"/>
  <c r="S60" i="36" s="1"/>
  <c r="J60" i="36"/>
  <c r="P60" i="36" s="1"/>
  <c r="Z60" i="36" s="1"/>
  <c r="N59" i="36"/>
  <c r="X59" i="36" s="1"/>
  <c r="I59" i="36"/>
  <c r="S59" i="36" s="1"/>
  <c r="J59" i="36"/>
  <c r="P59" i="36" s="1"/>
  <c r="Z59" i="36" s="1"/>
  <c r="N58" i="36"/>
  <c r="I58" i="36"/>
  <c r="S58" i="36" s="1"/>
  <c r="J58" i="36"/>
  <c r="N57" i="36"/>
  <c r="I57" i="36"/>
  <c r="S57" i="36" s="1"/>
  <c r="N56" i="36"/>
  <c r="I56" i="36"/>
  <c r="S56" i="36" s="1"/>
  <c r="J56" i="36"/>
  <c r="N55" i="36"/>
  <c r="I55" i="36"/>
  <c r="S55" i="36" s="1"/>
  <c r="N54" i="36"/>
  <c r="I54" i="36"/>
  <c r="S54" i="36" s="1"/>
  <c r="J54" i="36"/>
  <c r="N53" i="36"/>
  <c r="X53" i="36" s="1"/>
  <c r="I53" i="36"/>
  <c r="S53" i="36" s="1"/>
  <c r="N52" i="36"/>
  <c r="I52" i="36"/>
  <c r="S52" i="36" s="1"/>
  <c r="J52" i="36"/>
  <c r="N51" i="36"/>
  <c r="I51" i="36"/>
  <c r="S51" i="36" s="1"/>
  <c r="N50" i="36"/>
  <c r="I50" i="36"/>
  <c r="S50" i="36" s="1"/>
  <c r="J50" i="36"/>
  <c r="N49" i="36"/>
  <c r="I49" i="36"/>
  <c r="S49" i="36" s="1"/>
  <c r="N48" i="36"/>
  <c r="I48" i="36"/>
  <c r="S48" i="36" s="1"/>
  <c r="J48" i="36"/>
  <c r="O47" i="36"/>
  <c r="Q47" i="36" s="1"/>
  <c r="N47" i="36"/>
  <c r="X47" i="36" s="1"/>
  <c r="K47" i="36"/>
  <c r="M47" i="36" s="1"/>
  <c r="I47" i="36"/>
  <c r="S47" i="36" s="1"/>
  <c r="N46" i="36"/>
  <c r="L46" i="36" s="1"/>
  <c r="V46" i="36" s="1"/>
  <c r="I46" i="36"/>
  <c r="S46" i="36" s="1"/>
  <c r="J46" i="36"/>
  <c r="N45" i="36"/>
  <c r="X45" i="36" s="1"/>
  <c r="I45" i="36"/>
  <c r="S45" i="36" s="1"/>
  <c r="N44" i="36"/>
  <c r="I44" i="36"/>
  <c r="S44" i="36" s="1"/>
  <c r="J44" i="36"/>
  <c r="N43" i="36"/>
  <c r="I43" i="36"/>
  <c r="S43" i="36" s="1"/>
  <c r="N42" i="36"/>
  <c r="L42" i="36" s="1"/>
  <c r="V42" i="36" s="1"/>
  <c r="I42" i="36"/>
  <c r="S42" i="36" s="1"/>
  <c r="J42" i="36"/>
  <c r="N41" i="36"/>
  <c r="X41" i="36" s="1"/>
  <c r="I41" i="36"/>
  <c r="S41" i="36" s="1"/>
  <c r="N40" i="36"/>
  <c r="L40" i="36" s="1"/>
  <c r="V40" i="36" s="1"/>
  <c r="I40" i="36"/>
  <c r="S40" i="36" s="1"/>
  <c r="J40" i="36"/>
  <c r="N39" i="36"/>
  <c r="L39" i="36" s="1"/>
  <c r="V39" i="36" s="1"/>
  <c r="I39" i="36"/>
  <c r="S39" i="36" s="1"/>
  <c r="N38" i="36"/>
  <c r="L38" i="36" s="1"/>
  <c r="V38" i="36" s="1"/>
  <c r="I38" i="36"/>
  <c r="S38" i="36" s="1"/>
  <c r="J38" i="36"/>
  <c r="N37" i="36"/>
  <c r="X37" i="36" s="1"/>
  <c r="I37" i="36"/>
  <c r="S37" i="36" s="1"/>
  <c r="N36" i="36"/>
  <c r="L36" i="36" s="1"/>
  <c r="V36" i="36" s="1"/>
  <c r="I36" i="36"/>
  <c r="S36" i="36" s="1"/>
  <c r="J36" i="36"/>
  <c r="O35" i="36"/>
  <c r="Q35" i="36" s="1"/>
  <c r="N35" i="36"/>
  <c r="X35" i="36" s="1"/>
  <c r="K35" i="36"/>
  <c r="M35" i="36" s="1"/>
  <c r="I35" i="36"/>
  <c r="S35" i="36" s="1"/>
  <c r="N34" i="36"/>
  <c r="L34" i="36" s="1"/>
  <c r="V34" i="36" s="1"/>
  <c r="I34" i="36"/>
  <c r="S34" i="36" s="1"/>
  <c r="J34" i="36"/>
  <c r="N33" i="36"/>
  <c r="L33" i="36" s="1"/>
  <c r="V33" i="36" s="1"/>
  <c r="I33" i="36"/>
  <c r="S33" i="36" s="1"/>
  <c r="N32" i="36"/>
  <c r="L32" i="36" s="1"/>
  <c r="V32" i="36" s="1"/>
  <c r="I32" i="36"/>
  <c r="S32" i="36" s="1"/>
  <c r="J32" i="36"/>
  <c r="N31" i="36"/>
  <c r="L31" i="36" s="1"/>
  <c r="V31" i="36" s="1"/>
  <c r="I31" i="36"/>
  <c r="S31" i="36" s="1"/>
  <c r="N30" i="36"/>
  <c r="I30" i="36"/>
  <c r="S30" i="36" s="1"/>
  <c r="J30" i="36"/>
  <c r="N29" i="36"/>
  <c r="I29" i="36"/>
  <c r="S29" i="36" s="1"/>
  <c r="J29" i="36"/>
  <c r="P29" i="36" s="1"/>
  <c r="Z29" i="36" s="1"/>
  <c r="N28" i="36"/>
  <c r="L28" i="36" s="1"/>
  <c r="V28" i="36" s="1"/>
  <c r="I28" i="36"/>
  <c r="S28" i="36" s="1"/>
  <c r="J28" i="36"/>
  <c r="N27" i="36"/>
  <c r="X27" i="36" s="1"/>
  <c r="K27" i="36"/>
  <c r="M27" i="36" s="1"/>
  <c r="I27" i="36"/>
  <c r="S27" i="36" s="1"/>
  <c r="O26" i="36"/>
  <c r="N26" i="36"/>
  <c r="L26" i="36" s="1"/>
  <c r="V26" i="36" s="1"/>
  <c r="K26" i="36"/>
  <c r="M26" i="36" s="1"/>
  <c r="I26" i="36"/>
  <c r="S26" i="36" s="1"/>
  <c r="J26" i="36"/>
  <c r="N25" i="36"/>
  <c r="X25" i="36" s="1"/>
  <c r="I25" i="36"/>
  <c r="S25" i="36" s="1"/>
  <c r="J25" i="36"/>
  <c r="P25" i="36" s="1"/>
  <c r="Z25" i="36" s="1"/>
  <c r="I24" i="36"/>
  <c r="S24" i="36" s="1"/>
  <c r="J24" i="36"/>
  <c r="O23" i="36"/>
  <c r="Q23" i="36" s="1"/>
  <c r="N23" i="36"/>
  <c r="X23" i="36" s="1"/>
  <c r="K23" i="36"/>
  <c r="I23" i="36"/>
  <c r="S23" i="36" s="1"/>
  <c r="J23" i="36"/>
  <c r="P23" i="36" s="1"/>
  <c r="Z23" i="36" s="1"/>
  <c r="N22" i="36"/>
  <c r="L22" i="36" s="1"/>
  <c r="V22" i="36" s="1"/>
  <c r="I22" i="36"/>
  <c r="S22" i="36" s="1"/>
  <c r="J22" i="36"/>
  <c r="I21" i="36"/>
  <c r="S21" i="36" s="1"/>
  <c r="N20" i="36"/>
  <c r="L20" i="36" s="1"/>
  <c r="V20" i="36" s="1"/>
  <c r="I20" i="36"/>
  <c r="S20" i="36" s="1"/>
  <c r="J20" i="36"/>
  <c r="P20" i="36" s="1"/>
  <c r="Z20" i="36" s="1"/>
  <c r="N19" i="36"/>
  <c r="X19" i="36" s="1"/>
  <c r="I19" i="36"/>
  <c r="S19" i="36" s="1"/>
  <c r="N18" i="36"/>
  <c r="L18" i="36" s="1"/>
  <c r="V18" i="36" s="1"/>
  <c r="I18" i="36"/>
  <c r="S18" i="36" s="1"/>
  <c r="J18" i="36"/>
  <c r="P18" i="36" s="1"/>
  <c r="Z18" i="36" s="1"/>
  <c r="I17" i="36"/>
  <c r="S17" i="36" s="1"/>
  <c r="N16" i="36"/>
  <c r="I16" i="36"/>
  <c r="S16" i="36" s="1"/>
  <c r="J16" i="36"/>
  <c r="P16" i="36" s="1"/>
  <c r="Z16" i="36" s="1"/>
  <c r="N15" i="36"/>
  <c r="L15" i="36" s="1"/>
  <c r="V15" i="36" s="1"/>
  <c r="I15" i="36"/>
  <c r="S15" i="36" s="1"/>
  <c r="I14" i="36"/>
  <c r="S14" i="36" s="1"/>
  <c r="O13" i="36"/>
  <c r="N13" i="36"/>
  <c r="X13" i="36" s="1"/>
  <c r="K13" i="36"/>
  <c r="I13" i="36"/>
  <c r="S13" i="36" s="1"/>
  <c r="I171" i="1"/>
  <c r="S171" i="1" s="1"/>
  <c r="I170" i="1"/>
  <c r="S170" i="1" s="1"/>
  <c r="I169" i="1"/>
  <c r="S169" i="1" s="1"/>
  <c r="I168" i="1"/>
  <c r="S168" i="1" s="1"/>
  <c r="I167" i="1"/>
  <c r="S167" i="1" s="1"/>
  <c r="I166" i="1"/>
  <c r="S166" i="1" s="1"/>
  <c r="S165" i="1"/>
  <c r="I165" i="1"/>
  <c r="N164" i="1"/>
  <c r="L164" i="1" s="1"/>
  <c r="V164" i="1" s="1"/>
  <c r="I164" i="1"/>
  <c r="S164" i="1" s="1"/>
  <c r="J164" i="1"/>
  <c r="I163" i="1"/>
  <c r="S163" i="1" s="1"/>
  <c r="I162" i="1"/>
  <c r="S162" i="1" s="1"/>
  <c r="I161" i="1"/>
  <c r="S161" i="1" s="1"/>
  <c r="I160" i="1"/>
  <c r="S160" i="1" s="1"/>
  <c r="I159" i="1"/>
  <c r="S159" i="1" s="1"/>
  <c r="I158" i="1"/>
  <c r="S158" i="1" s="1"/>
  <c r="I157" i="1"/>
  <c r="S157" i="1" s="1"/>
  <c r="I156" i="1"/>
  <c r="S156" i="1" s="1"/>
  <c r="I155" i="1"/>
  <c r="S155" i="1" s="1"/>
  <c r="I154" i="1"/>
  <c r="S154" i="1" s="1"/>
  <c r="I153" i="1"/>
  <c r="S153" i="1" s="1"/>
  <c r="I152" i="1"/>
  <c r="S152" i="1" s="1"/>
  <c r="I151" i="1"/>
  <c r="S151" i="1" s="1"/>
  <c r="I150" i="1"/>
  <c r="S150" i="1" s="1"/>
  <c r="I149" i="1"/>
  <c r="S149" i="1" s="1"/>
  <c r="I148" i="1"/>
  <c r="S148" i="1" s="1"/>
  <c r="N147" i="1"/>
  <c r="L147" i="1" s="1"/>
  <c r="V147" i="1" s="1"/>
  <c r="I147" i="1"/>
  <c r="S147" i="1" s="1"/>
  <c r="J147" i="1"/>
  <c r="P147" i="1" s="1"/>
  <c r="Z147" i="1" s="1"/>
  <c r="I146" i="1"/>
  <c r="S146" i="1" s="1"/>
  <c r="I145" i="1"/>
  <c r="S145" i="1" s="1"/>
  <c r="I144" i="1"/>
  <c r="S144" i="1" s="1"/>
  <c r="I143" i="1"/>
  <c r="S143" i="1" s="1"/>
  <c r="I142" i="1"/>
  <c r="S142" i="1" s="1"/>
  <c r="I141" i="1"/>
  <c r="S141" i="1" s="1"/>
  <c r="I140" i="1"/>
  <c r="S140" i="1" s="1"/>
  <c r="I139" i="1"/>
  <c r="S139" i="1" s="1"/>
  <c r="I138" i="1"/>
  <c r="S138" i="1" s="1"/>
  <c r="I137" i="1"/>
  <c r="S137" i="1" s="1"/>
  <c r="I136" i="1"/>
  <c r="S136" i="1" s="1"/>
  <c r="I135" i="1"/>
  <c r="S135" i="1" s="1"/>
  <c r="I134" i="1"/>
  <c r="S134" i="1" s="1"/>
  <c r="I133" i="1"/>
  <c r="S133" i="1" s="1"/>
  <c r="I132" i="1"/>
  <c r="S132" i="1" s="1"/>
  <c r="I131" i="1"/>
  <c r="S131" i="1" s="1"/>
  <c r="N130" i="1"/>
  <c r="I130" i="1"/>
  <c r="S130" i="1" s="1"/>
  <c r="J130" i="1"/>
  <c r="P130" i="1" s="1"/>
  <c r="Z130" i="1" s="1"/>
  <c r="I129" i="1"/>
  <c r="S129" i="1" s="1"/>
  <c r="I128" i="1"/>
  <c r="S128" i="1" s="1"/>
  <c r="I127" i="1"/>
  <c r="S127" i="1" s="1"/>
  <c r="I126" i="1"/>
  <c r="S126" i="1" s="1"/>
  <c r="I125" i="1"/>
  <c r="S125" i="1" s="1"/>
  <c r="I124" i="1"/>
  <c r="S124" i="1" s="1"/>
  <c r="I123" i="1"/>
  <c r="S123" i="1" s="1"/>
  <c r="I122" i="1"/>
  <c r="S122" i="1" s="1"/>
  <c r="I121" i="1"/>
  <c r="S121" i="1" s="1"/>
  <c r="I120" i="1"/>
  <c r="S120" i="1" s="1"/>
  <c r="I119" i="1"/>
  <c r="S119" i="1" s="1"/>
  <c r="I118" i="1"/>
  <c r="S118" i="1" s="1"/>
  <c r="I117" i="1"/>
  <c r="S117" i="1" s="1"/>
  <c r="I116" i="1"/>
  <c r="S116" i="1" s="1"/>
  <c r="I115" i="1"/>
  <c r="S115" i="1" s="1"/>
  <c r="I114" i="1"/>
  <c r="S114" i="1" s="1"/>
  <c r="N113" i="1"/>
  <c r="I113" i="1"/>
  <c r="S113" i="1" s="1"/>
  <c r="J113" i="1"/>
  <c r="I112" i="1"/>
  <c r="S112" i="1" s="1"/>
  <c r="I111" i="1"/>
  <c r="S111" i="1" s="1"/>
  <c r="I110" i="1"/>
  <c r="S110" i="1" s="1"/>
  <c r="I109" i="1"/>
  <c r="S109" i="1" s="1"/>
  <c r="I108" i="1"/>
  <c r="S108" i="1" s="1"/>
  <c r="I107" i="1"/>
  <c r="S107" i="1" s="1"/>
  <c r="I106" i="1"/>
  <c r="S106" i="1" s="1"/>
  <c r="I105" i="1"/>
  <c r="S105" i="1" s="1"/>
  <c r="I104" i="1"/>
  <c r="S104" i="1" s="1"/>
  <c r="I103" i="1"/>
  <c r="S103" i="1" s="1"/>
  <c r="I102" i="1"/>
  <c r="S102" i="1" s="1"/>
  <c r="I101" i="1"/>
  <c r="S101" i="1" s="1"/>
  <c r="I100" i="1"/>
  <c r="S100" i="1" s="1"/>
  <c r="I99" i="1"/>
  <c r="S99" i="1" s="1"/>
  <c r="I98" i="1"/>
  <c r="S98" i="1" s="1"/>
  <c r="I97" i="1"/>
  <c r="S97" i="1" s="1"/>
  <c r="N96" i="1"/>
  <c r="L96" i="1" s="1"/>
  <c r="V96" i="1" s="1"/>
  <c r="I96" i="1"/>
  <c r="S96" i="1" s="1"/>
  <c r="J96" i="1"/>
  <c r="P96" i="1" s="1"/>
  <c r="Z96" i="1" s="1"/>
  <c r="I95" i="1"/>
  <c r="S95" i="1" s="1"/>
  <c r="I94" i="1"/>
  <c r="S94" i="1" s="1"/>
  <c r="I93" i="1"/>
  <c r="S93" i="1" s="1"/>
  <c r="I92" i="1"/>
  <c r="S92" i="1" s="1"/>
  <c r="I91" i="1"/>
  <c r="S91" i="1" s="1"/>
  <c r="I90" i="1"/>
  <c r="S90" i="1" s="1"/>
  <c r="I89" i="1"/>
  <c r="S89" i="1" s="1"/>
  <c r="I88" i="1"/>
  <c r="S88" i="1" s="1"/>
  <c r="I87" i="1"/>
  <c r="S87" i="1" s="1"/>
  <c r="I86" i="1"/>
  <c r="S86" i="1" s="1"/>
  <c r="I85" i="1"/>
  <c r="S85" i="1" s="1"/>
  <c r="I84" i="1"/>
  <c r="S84" i="1" s="1"/>
  <c r="I83" i="1"/>
  <c r="S83" i="1" s="1"/>
  <c r="I82" i="1"/>
  <c r="S82" i="1" s="1"/>
  <c r="I81" i="1"/>
  <c r="S81" i="1" s="1"/>
  <c r="I80" i="1"/>
  <c r="S80" i="1" s="1"/>
  <c r="N79" i="1"/>
  <c r="I79" i="1"/>
  <c r="S79" i="1" s="1"/>
  <c r="J79" i="1"/>
  <c r="I78" i="1"/>
  <c r="S78" i="1" s="1"/>
  <c r="I77" i="1"/>
  <c r="S77" i="1" s="1"/>
  <c r="I76" i="1"/>
  <c r="S76" i="1" s="1"/>
  <c r="I75" i="1"/>
  <c r="S75" i="1" s="1"/>
  <c r="I74" i="1"/>
  <c r="S74" i="1" s="1"/>
  <c r="I73" i="1"/>
  <c r="S73" i="1" s="1"/>
  <c r="I72" i="1"/>
  <c r="S72" i="1" s="1"/>
  <c r="I71" i="1"/>
  <c r="S71" i="1" s="1"/>
  <c r="I70" i="1"/>
  <c r="S70" i="1" s="1"/>
  <c r="I69" i="1"/>
  <c r="S69" i="1" s="1"/>
  <c r="I68" i="1"/>
  <c r="S68" i="1" s="1"/>
  <c r="I67" i="1"/>
  <c r="S67" i="1" s="1"/>
  <c r="I66" i="1"/>
  <c r="S66" i="1" s="1"/>
  <c r="I65" i="1"/>
  <c r="S65" i="1" s="1"/>
  <c r="I64" i="1"/>
  <c r="S64" i="1" s="1"/>
  <c r="I63" i="1"/>
  <c r="S63" i="1" s="1"/>
  <c r="N62" i="1"/>
  <c r="X62" i="1" s="1"/>
  <c r="I62" i="1"/>
  <c r="S62" i="1" s="1"/>
  <c r="J62" i="1"/>
  <c r="T62" i="1" s="1"/>
  <c r="N61" i="1"/>
  <c r="L61" i="1" s="1"/>
  <c r="V61" i="1" s="1"/>
  <c r="I61" i="1"/>
  <c r="S61" i="1" s="1"/>
  <c r="J61" i="1"/>
  <c r="N60" i="1"/>
  <c r="X60" i="1" s="1"/>
  <c r="I60" i="1"/>
  <c r="S60" i="1" s="1"/>
  <c r="N59" i="1"/>
  <c r="L59" i="1" s="1"/>
  <c r="V59" i="1" s="1"/>
  <c r="I59" i="1"/>
  <c r="S59" i="1" s="1"/>
  <c r="J59" i="1"/>
  <c r="I58" i="1"/>
  <c r="S58" i="1" s="1"/>
  <c r="N57" i="1"/>
  <c r="I57" i="1"/>
  <c r="S57" i="1" s="1"/>
  <c r="J57" i="1"/>
  <c r="I56" i="1"/>
  <c r="S56" i="1" s="1"/>
  <c r="N55" i="1"/>
  <c r="I55" i="1"/>
  <c r="S55" i="1" s="1"/>
  <c r="J55" i="1"/>
  <c r="I54" i="1"/>
  <c r="S54" i="1" s="1"/>
  <c r="N53" i="1"/>
  <c r="X53" i="1" s="1"/>
  <c r="I53" i="1"/>
  <c r="S53" i="1" s="1"/>
  <c r="J53" i="1"/>
  <c r="N52" i="1"/>
  <c r="X52" i="1" s="1"/>
  <c r="I52" i="1"/>
  <c r="S52" i="1" s="1"/>
  <c r="N51" i="1"/>
  <c r="L51" i="1" s="1"/>
  <c r="V51" i="1" s="1"/>
  <c r="I51" i="1"/>
  <c r="S51" i="1" s="1"/>
  <c r="J51" i="1"/>
  <c r="I50" i="1"/>
  <c r="S50" i="1" s="1"/>
  <c r="N49" i="1"/>
  <c r="L49" i="1" s="1"/>
  <c r="V49" i="1" s="1"/>
  <c r="I49" i="1"/>
  <c r="S49" i="1" s="1"/>
  <c r="J49" i="1"/>
  <c r="I48" i="1"/>
  <c r="S48" i="1" s="1"/>
  <c r="N47" i="1"/>
  <c r="L47" i="1" s="1"/>
  <c r="V47" i="1" s="1"/>
  <c r="I47" i="1"/>
  <c r="S47" i="1" s="1"/>
  <c r="J47" i="1"/>
  <c r="I46" i="1"/>
  <c r="S46" i="1" s="1"/>
  <c r="N45" i="1"/>
  <c r="X45" i="1" s="1"/>
  <c r="I45" i="1"/>
  <c r="S45" i="1" s="1"/>
  <c r="J45" i="1"/>
  <c r="N44" i="1"/>
  <c r="L44" i="1" s="1"/>
  <c r="V44" i="1" s="1"/>
  <c r="I44" i="1"/>
  <c r="S44" i="1" s="1"/>
  <c r="J44" i="1"/>
  <c r="T44" i="1" s="1"/>
  <c r="N43" i="1"/>
  <c r="I43" i="1"/>
  <c r="S43" i="1" s="1"/>
  <c r="N42" i="1"/>
  <c r="X42" i="1" s="1"/>
  <c r="I42" i="1"/>
  <c r="S42" i="1" s="1"/>
  <c r="J42" i="1"/>
  <c r="T42" i="1" s="1"/>
  <c r="N41" i="1"/>
  <c r="X41" i="1" s="1"/>
  <c r="I41" i="1"/>
  <c r="S41" i="1" s="1"/>
  <c r="N40" i="1"/>
  <c r="X40" i="1" s="1"/>
  <c r="I40" i="1"/>
  <c r="S40" i="1" s="1"/>
  <c r="J40" i="1"/>
  <c r="T40" i="1" s="1"/>
  <c r="N39" i="1"/>
  <c r="I39" i="1"/>
  <c r="S39" i="1" s="1"/>
  <c r="J39" i="1"/>
  <c r="N38" i="1"/>
  <c r="L38" i="1" s="1"/>
  <c r="V38" i="1" s="1"/>
  <c r="I38" i="1"/>
  <c r="S38" i="1" s="1"/>
  <c r="J38" i="1"/>
  <c r="T38" i="1" s="1"/>
  <c r="N37" i="1"/>
  <c r="L37" i="1" s="1"/>
  <c r="V37" i="1" s="1"/>
  <c r="I37" i="1"/>
  <c r="S37" i="1" s="1"/>
  <c r="N36" i="1"/>
  <c r="X36" i="1" s="1"/>
  <c r="I36" i="1"/>
  <c r="S36" i="1" s="1"/>
  <c r="J36" i="1"/>
  <c r="T36" i="1" s="1"/>
  <c r="N35" i="1"/>
  <c r="X35" i="1" s="1"/>
  <c r="I35" i="1"/>
  <c r="S35" i="1" s="1"/>
  <c r="N34" i="1"/>
  <c r="I34" i="1"/>
  <c r="S34" i="1" s="1"/>
  <c r="J34" i="1"/>
  <c r="N33" i="1"/>
  <c r="L33" i="1" s="1"/>
  <c r="V33" i="1" s="1"/>
  <c r="I33" i="1"/>
  <c r="S33" i="1" s="1"/>
  <c r="N32" i="1"/>
  <c r="X32" i="1" s="1"/>
  <c r="I32" i="1"/>
  <c r="S32" i="1" s="1"/>
  <c r="J32" i="1"/>
  <c r="T32" i="1" s="1"/>
  <c r="N31" i="1"/>
  <c r="X31" i="1" s="1"/>
  <c r="I31" i="1"/>
  <c r="S31" i="1" s="1"/>
  <c r="J31" i="1"/>
  <c r="N30" i="1"/>
  <c r="I30" i="1"/>
  <c r="S30" i="1" s="1"/>
  <c r="J30" i="1"/>
  <c r="T30" i="1" s="1"/>
  <c r="N29" i="1"/>
  <c r="X29" i="1" s="1"/>
  <c r="I29" i="1"/>
  <c r="S29" i="1" s="1"/>
  <c r="J29" i="1"/>
  <c r="O28" i="1"/>
  <c r="Q28" i="1" s="1"/>
  <c r="N28" i="1"/>
  <c r="L28" i="1" s="1"/>
  <c r="V28" i="1" s="1"/>
  <c r="K28" i="1"/>
  <c r="M28" i="1" s="1"/>
  <c r="I28" i="1"/>
  <c r="S28" i="1" s="1"/>
  <c r="J28" i="1"/>
  <c r="T28" i="1" s="1"/>
  <c r="O27" i="1"/>
  <c r="Q27" i="1" s="1"/>
  <c r="N27" i="1"/>
  <c r="X27" i="1" s="1"/>
  <c r="K27" i="1"/>
  <c r="M27" i="1" s="1"/>
  <c r="I27" i="1"/>
  <c r="S27" i="1" s="1"/>
  <c r="J27" i="1"/>
  <c r="O26" i="1"/>
  <c r="Q26" i="1" s="1"/>
  <c r="I26" i="1"/>
  <c r="S26" i="1" s="1"/>
  <c r="O25" i="1"/>
  <c r="Q25" i="1" s="1"/>
  <c r="N25" i="1"/>
  <c r="X25" i="1" s="1"/>
  <c r="K25" i="1"/>
  <c r="M25" i="1" s="1"/>
  <c r="I25" i="1"/>
  <c r="S25" i="1" s="1"/>
  <c r="J25" i="1"/>
  <c r="O24" i="1"/>
  <c r="Q24" i="1" s="1"/>
  <c r="I24" i="1"/>
  <c r="S24" i="1" s="1"/>
  <c r="O23" i="1"/>
  <c r="Q23" i="1" s="1"/>
  <c r="N23" i="1"/>
  <c r="L23" i="1" s="1"/>
  <c r="V23" i="1" s="1"/>
  <c r="K23" i="1"/>
  <c r="M23" i="1" s="1"/>
  <c r="I23" i="1"/>
  <c r="S23" i="1" s="1"/>
  <c r="J23" i="1"/>
  <c r="O22" i="1"/>
  <c r="Q22" i="1" s="1"/>
  <c r="I22" i="1"/>
  <c r="S22" i="1" s="1"/>
  <c r="O21" i="1"/>
  <c r="Q21" i="1" s="1"/>
  <c r="N21" i="1"/>
  <c r="I21" i="1"/>
  <c r="S21" i="1" s="1"/>
  <c r="J21" i="1"/>
  <c r="O20" i="1"/>
  <c r="Q20" i="1" s="1"/>
  <c r="I20" i="1"/>
  <c r="S20" i="1" s="1"/>
  <c r="O19" i="1"/>
  <c r="Q19" i="1" s="1"/>
  <c r="N19" i="1"/>
  <c r="X19" i="1" s="1"/>
  <c r="I19" i="1"/>
  <c r="S19" i="1" s="1"/>
  <c r="J19" i="1"/>
  <c r="O18" i="1"/>
  <c r="Q18" i="1" s="1"/>
  <c r="I18" i="1"/>
  <c r="S18" i="1" s="1"/>
  <c r="O17" i="1"/>
  <c r="Q17" i="1" s="1"/>
  <c r="I17" i="1"/>
  <c r="S17" i="1" s="1"/>
  <c r="O16" i="1"/>
  <c r="Q16" i="1" s="1"/>
  <c r="I16" i="1"/>
  <c r="S16" i="1" s="1"/>
  <c r="O15" i="1"/>
  <c r="Q15" i="1" s="1"/>
  <c r="I15" i="1"/>
  <c r="S15" i="1" s="1"/>
  <c r="O14" i="1"/>
  <c r="Q14" i="1" s="1"/>
  <c r="N14" i="1"/>
  <c r="L14" i="1" s="1"/>
  <c r="V14" i="1" s="1"/>
  <c r="I14" i="1"/>
  <c r="S14" i="1" s="1"/>
  <c r="I13" i="1"/>
  <c r="S13" i="1" s="1"/>
  <c r="K12" i="36"/>
  <c r="M12" i="36" s="1"/>
  <c r="I12" i="36"/>
  <c r="S12" i="36" s="1"/>
  <c r="O11" i="36"/>
  <c r="N11" i="36"/>
  <c r="X11" i="36" s="1"/>
  <c r="K11" i="36"/>
  <c r="M11" i="36" s="1"/>
  <c r="I11" i="36"/>
  <c r="S11" i="36" s="1"/>
  <c r="J11" i="36"/>
  <c r="T11" i="36" s="1"/>
  <c r="G6" i="36"/>
  <c r="B5" i="36" a="1"/>
  <c r="B5" i="36" s="1"/>
  <c r="O12" i="35"/>
  <c r="N12" i="35"/>
  <c r="K12" i="35"/>
  <c r="I12" i="35"/>
  <c r="S12" i="35" s="1"/>
  <c r="O11" i="35"/>
  <c r="Q11" i="35" s="1"/>
  <c r="N11" i="35"/>
  <c r="L11" i="35" s="1"/>
  <c r="V11" i="35" s="1"/>
  <c r="K11" i="35"/>
  <c r="M11" i="35" s="1"/>
  <c r="I11" i="35"/>
  <c r="S11" i="35" s="1"/>
  <c r="J11" i="35"/>
  <c r="P11" i="35" s="1"/>
  <c r="Z11" i="35" s="1"/>
  <c r="G6" i="35"/>
  <c r="U6" i="35" s="1"/>
  <c r="B5" i="35" a="1"/>
  <c r="B5" i="35" s="1"/>
  <c r="D4" i="35" s="1"/>
  <c r="K12" i="34"/>
  <c r="M12" i="34" s="1"/>
  <c r="I12" i="34"/>
  <c r="S12" i="34" s="1"/>
  <c r="O11" i="34"/>
  <c r="Q11" i="34" s="1"/>
  <c r="N11" i="34"/>
  <c r="X11" i="34" s="1"/>
  <c r="K11" i="34"/>
  <c r="I11" i="34"/>
  <c r="S11" i="34" s="1"/>
  <c r="J11" i="34"/>
  <c r="P11" i="34" s="1"/>
  <c r="Z11" i="34" s="1"/>
  <c r="G6" i="34"/>
  <c r="Y6" i="34" s="1"/>
  <c r="B5" i="34" a="1"/>
  <c r="B5" i="34" s="1"/>
  <c r="O12" i="33"/>
  <c r="Q12" i="33" s="1"/>
  <c r="N12" i="33"/>
  <c r="I12" i="33"/>
  <c r="S12" i="33" s="1"/>
  <c r="J12" i="33"/>
  <c r="O11" i="33"/>
  <c r="N11" i="33"/>
  <c r="X11" i="33" s="1"/>
  <c r="K11" i="33"/>
  <c r="M11" i="33" s="1"/>
  <c r="I11" i="33"/>
  <c r="S11" i="33" s="1"/>
  <c r="J11" i="33"/>
  <c r="P11" i="33" s="1"/>
  <c r="Z11" i="33" s="1"/>
  <c r="G6" i="33"/>
  <c r="B5" i="33" a="1"/>
  <c r="B5" i="33" s="1"/>
  <c r="D4" i="33" s="1"/>
  <c r="N12" i="32"/>
  <c r="K12" i="32"/>
  <c r="M12" i="32" s="1"/>
  <c r="I12" i="32"/>
  <c r="S12" i="32" s="1"/>
  <c r="O11" i="32"/>
  <c r="Q11" i="32" s="1"/>
  <c r="N11" i="32"/>
  <c r="L11" i="32" s="1"/>
  <c r="V11" i="32" s="1"/>
  <c r="K11" i="32"/>
  <c r="M11" i="32" s="1"/>
  <c r="I11" i="32"/>
  <c r="S11" i="32" s="1"/>
  <c r="J11" i="32"/>
  <c r="G6" i="32"/>
  <c r="W6" i="32" s="1"/>
  <c r="B5" i="32" a="1"/>
  <c r="B5" i="32" s="1"/>
  <c r="O11" i="31"/>
  <c r="Q11" i="31" s="1"/>
  <c r="N11" i="31"/>
  <c r="L11" i="31" s="1"/>
  <c r="V11" i="31" s="1"/>
  <c r="K11" i="31"/>
  <c r="M11" i="31" s="1"/>
  <c r="I11" i="31"/>
  <c r="S11" i="31" s="1"/>
  <c r="J11" i="31"/>
  <c r="G6" i="31"/>
  <c r="B5" i="31" a="1"/>
  <c r="B5" i="31" s="1"/>
  <c r="I12" i="30"/>
  <c r="S12" i="30" s="1"/>
  <c r="I11" i="30"/>
  <c r="S11" i="30" s="1"/>
  <c r="G6" i="30"/>
  <c r="U6" i="30" s="1"/>
  <c r="B5" i="30" a="1"/>
  <c r="B5" i="30" s="1"/>
  <c r="D4" i="30" s="1"/>
  <c r="O12" i="29"/>
  <c r="Q12" i="29" s="1"/>
  <c r="N12" i="29"/>
  <c r="K12" i="29"/>
  <c r="M12" i="29" s="1"/>
  <c r="I12" i="29"/>
  <c r="S12" i="29" s="1"/>
  <c r="O11" i="29"/>
  <c r="Q11" i="29" s="1"/>
  <c r="N11" i="29"/>
  <c r="L11" i="29" s="1"/>
  <c r="V11" i="29" s="1"/>
  <c r="K11" i="29"/>
  <c r="M11" i="29" s="1"/>
  <c r="I11" i="29"/>
  <c r="S11" i="29" s="1"/>
  <c r="J11" i="29"/>
  <c r="G6" i="29"/>
  <c r="B5" i="29" a="1"/>
  <c r="B5" i="29" s="1"/>
  <c r="N183" i="28"/>
  <c r="L183" i="28" s="1"/>
  <c r="V183" i="28" s="1"/>
  <c r="I183" i="28"/>
  <c r="S183" i="28" s="1"/>
  <c r="J183" i="28"/>
  <c r="P183" i="28" s="1"/>
  <c r="Z183" i="28" s="1"/>
  <c r="N182" i="28"/>
  <c r="I182" i="28"/>
  <c r="S182" i="28" s="1"/>
  <c r="N181" i="28"/>
  <c r="I181" i="28"/>
  <c r="S181" i="28" s="1"/>
  <c r="J181" i="28"/>
  <c r="N180" i="28"/>
  <c r="L180" i="28" s="1"/>
  <c r="V180" i="28" s="1"/>
  <c r="I180" i="28"/>
  <c r="S180" i="28" s="1"/>
  <c r="N179" i="28"/>
  <c r="X179" i="28" s="1"/>
  <c r="I179" i="28"/>
  <c r="S179" i="28" s="1"/>
  <c r="J179" i="28"/>
  <c r="N178" i="28"/>
  <c r="I178" i="28"/>
  <c r="S178" i="28" s="1"/>
  <c r="N177" i="28"/>
  <c r="L177" i="28" s="1"/>
  <c r="V177" i="28" s="1"/>
  <c r="I177" i="28"/>
  <c r="S177" i="28" s="1"/>
  <c r="J177" i="28"/>
  <c r="N176" i="28"/>
  <c r="L176" i="28" s="1"/>
  <c r="V176" i="28" s="1"/>
  <c r="I176" i="28"/>
  <c r="S176" i="28" s="1"/>
  <c r="N175" i="28"/>
  <c r="L175" i="28" s="1"/>
  <c r="V175" i="28" s="1"/>
  <c r="I175" i="28"/>
  <c r="S175" i="28" s="1"/>
  <c r="J175" i="28"/>
  <c r="O12" i="28"/>
  <c r="N12" i="28"/>
  <c r="L12" i="28" s="1"/>
  <c r="V12" i="28" s="1"/>
  <c r="K12" i="28"/>
  <c r="M12" i="28" s="1"/>
  <c r="I12" i="28"/>
  <c r="S12" i="28" s="1"/>
  <c r="J12" i="28"/>
  <c r="O11" i="28"/>
  <c r="Q11" i="28" s="1"/>
  <c r="N11" i="28"/>
  <c r="X11" i="28" s="1"/>
  <c r="K11" i="28"/>
  <c r="I11" i="28"/>
  <c r="S11" i="28" s="1"/>
  <c r="J11" i="28"/>
  <c r="G6" i="28"/>
  <c r="B5" i="28" a="1"/>
  <c r="B5" i="28" s="1"/>
  <c r="N256" i="27"/>
  <c r="X256" i="27" s="1"/>
  <c r="I256" i="27"/>
  <c r="S256" i="27" s="1"/>
  <c r="J256" i="27"/>
  <c r="P256" i="27" s="1"/>
  <c r="Z256" i="27" s="1"/>
  <c r="N255" i="27"/>
  <c r="X255" i="27" s="1"/>
  <c r="I255" i="27"/>
  <c r="S255" i="27" s="1"/>
  <c r="N254" i="27"/>
  <c r="X254" i="27" s="1"/>
  <c r="I254" i="27"/>
  <c r="S254" i="27" s="1"/>
  <c r="J254" i="27"/>
  <c r="P254" i="27" s="1"/>
  <c r="Z254" i="27" s="1"/>
  <c r="I253" i="27"/>
  <c r="S253" i="27" s="1"/>
  <c r="N252" i="27"/>
  <c r="X252" i="27" s="1"/>
  <c r="I252" i="27"/>
  <c r="S252" i="27" s="1"/>
  <c r="J252" i="27"/>
  <c r="P252" i="27" s="1"/>
  <c r="Z252" i="27" s="1"/>
  <c r="I251" i="27"/>
  <c r="S251" i="27" s="1"/>
  <c r="N250" i="27"/>
  <c r="L250" i="27" s="1"/>
  <c r="V250" i="27" s="1"/>
  <c r="I250" i="27"/>
  <c r="S250" i="27" s="1"/>
  <c r="J250" i="27"/>
  <c r="N249" i="27"/>
  <c r="L249" i="27" s="1"/>
  <c r="V249" i="27" s="1"/>
  <c r="I249" i="27"/>
  <c r="S249" i="27" s="1"/>
  <c r="O248" i="27"/>
  <c r="Q248" i="27" s="1"/>
  <c r="N248" i="27"/>
  <c r="K248" i="27"/>
  <c r="M248" i="27" s="1"/>
  <c r="I248" i="27"/>
  <c r="S248" i="27" s="1"/>
  <c r="J248" i="27"/>
  <c r="P248" i="27" s="1"/>
  <c r="Z248" i="27" s="1"/>
  <c r="N247" i="27"/>
  <c r="L247" i="27" s="1"/>
  <c r="V247" i="27" s="1"/>
  <c r="I247" i="27"/>
  <c r="S247" i="27" s="1"/>
  <c r="J247" i="27"/>
  <c r="T247" i="27" s="1"/>
  <c r="I246" i="27"/>
  <c r="S246" i="27" s="1"/>
  <c r="J246" i="27"/>
  <c r="O245" i="27"/>
  <c r="Q245" i="27" s="1"/>
  <c r="N245" i="27"/>
  <c r="L245" i="27" s="1"/>
  <c r="V245" i="27" s="1"/>
  <c r="K245" i="27"/>
  <c r="I245" i="27"/>
  <c r="S245" i="27" s="1"/>
  <c r="J245" i="27"/>
  <c r="N244" i="27"/>
  <c r="I244" i="27"/>
  <c r="S244" i="27" s="1"/>
  <c r="J244" i="27"/>
  <c r="P244" i="27" s="1"/>
  <c r="Z244" i="27" s="1"/>
  <c r="N243" i="27"/>
  <c r="L243" i="27" s="1"/>
  <c r="V243" i="27" s="1"/>
  <c r="I243" i="27"/>
  <c r="S243" i="27" s="1"/>
  <c r="N242" i="27"/>
  <c r="X242" i="27" s="1"/>
  <c r="I242" i="27"/>
  <c r="S242" i="27" s="1"/>
  <c r="J242" i="27"/>
  <c r="N241" i="27"/>
  <c r="L241" i="27" s="1"/>
  <c r="V241" i="27" s="1"/>
  <c r="I241" i="27"/>
  <c r="S241" i="27" s="1"/>
  <c r="N240" i="27"/>
  <c r="I240" i="27"/>
  <c r="S240" i="27" s="1"/>
  <c r="J240" i="27"/>
  <c r="P240" i="27" s="1"/>
  <c r="Z240" i="27" s="1"/>
  <c r="N239" i="27"/>
  <c r="I239" i="27"/>
  <c r="S239" i="27" s="1"/>
  <c r="N238" i="27"/>
  <c r="I238" i="27"/>
  <c r="S238" i="27" s="1"/>
  <c r="J238" i="27"/>
  <c r="P238" i="27" s="1"/>
  <c r="Z238" i="27" s="1"/>
  <c r="N237" i="27"/>
  <c r="L237" i="27" s="1"/>
  <c r="V237" i="27" s="1"/>
  <c r="I237" i="27"/>
  <c r="S237" i="27" s="1"/>
  <c r="N236" i="27"/>
  <c r="L236" i="27" s="1"/>
  <c r="V236" i="27" s="1"/>
  <c r="I236" i="27"/>
  <c r="S236" i="27" s="1"/>
  <c r="J236" i="27"/>
  <c r="O235" i="27"/>
  <c r="N235" i="27"/>
  <c r="L235" i="27" s="1"/>
  <c r="V235" i="27" s="1"/>
  <c r="K235" i="27"/>
  <c r="M235" i="27" s="1"/>
  <c r="I235" i="27"/>
  <c r="S235" i="27" s="1"/>
  <c r="N234" i="27"/>
  <c r="X234" i="27" s="1"/>
  <c r="I234" i="27"/>
  <c r="S234" i="27" s="1"/>
  <c r="J234" i="27"/>
  <c r="P234" i="27" s="1"/>
  <c r="Z234" i="27" s="1"/>
  <c r="O233" i="27"/>
  <c r="Q233" i="27" s="1"/>
  <c r="N233" i="27"/>
  <c r="L233" i="27" s="1"/>
  <c r="V233" i="27" s="1"/>
  <c r="K233" i="27"/>
  <c r="I233" i="27"/>
  <c r="S233" i="27" s="1"/>
  <c r="N232" i="27"/>
  <c r="X232" i="27" s="1"/>
  <c r="I232" i="27"/>
  <c r="S232" i="27" s="1"/>
  <c r="J232" i="27"/>
  <c r="P232" i="27" s="1"/>
  <c r="Z232" i="27" s="1"/>
  <c r="N231" i="27"/>
  <c r="L231" i="27" s="1"/>
  <c r="V231" i="27" s="1"/>
  <c r="I231" i="27"/>
  <c r="S231" i="27" s="1"/>
  <c r="N230" i="27"/>
  <c r="X230" i="27" s="1"/>
  <c r="I230" i="27"/>
  <c r="S230" i="27" s="1"/>
  <c r="J230" i="27"/>
  <c r="N229" i="27"/>
  <c r="X229" i="27" s="1"/>
  <c r="I229" i="27"/>
  <c r="S229" i="27" s="1"/>
  <c r="N228" i="27"/>
  <c r="L228" i="27" s="1"/>
  <c r="V228" i="27" s="1"/>
  <c r="I228" i="27"/>
  <c r="S228" i="27" s="1"/>
  <c r="J228" i="27"/>
  <c r="N227" i="27"/>
  <c r="X227" i="27" s="1"/>
  <c r="I227" i="27"/>
  <c r="S227" i="27" s="1"/>
  <c r="N226" i="27"/>
  <c r="X226" i="27" s="1"/>
  <c r="I226" i="27"/>
  <c r="S226" i="27" s="1"/>
  <c r="J226" i="27"/>
  <c r="N225" i="27"/>
  <c r="L225" i="27" s="1"/>
  <c r="V225" i="27" s="1"/>
  <c r="I225" i="27"/>
  <c r="S225" i="27" s="1"/>
  <c r="O224" i="27"/>
  <c r="Q224" i="27" s="1"/>
  <c r="N224" i="27"/>
  <c r="X224" i="27" s="1"/>
  <c r="K224" i="27"/>
  <c r="I224" i="27"/>
  <c r="S224" i="27" s="1"/>
  <c r="J224" i="27"/>
  <c r="N223" i="27"/>
  <c r="X223" i="27" s="1"/>
  <c r="I223" i="27"/>
  <c r="S223" i="27" s="1"/>
  <c r="J223" i="27"/>
  <c r="I222" i="27"/>
  <c r="S222" i="27" s="1"/>
  <c r="N221" i="27"/>
  <c r="I221" i="27"/>
  <c r="S221" i="27" s="1"/>
  <c r="J221" i="27"/>
  <c r="T221" i="27" s="1"/>
  <c r="N220" i="27"/>
  <c r="X220" i="27" s="1"/>
  <c r="I220" i="27"/>
  <c r="S220" i="27" s="1"/>
  <c r="O219" i="27"/>
  <c r="Q219" i="27" s="1"/>
  <c r="N219" i="27"/>
  <c r="X219" i="27" s="1"/>
  <c r="K219" i="27"/>
  <c r="I219" i="27"/>
  <c r="S219" i="27" s="1"/>
  <c r="J219" i="27"/>
  <c r="N218" i="27"/>
  <c r="X218" i="27" s="1"/>
  <c r="I218" i="27"/>
  <c r="S218" i="27" s="1"/>
  <c r="J218" i="27"/>
  <c r="I217" i="27"/>
  <c r="S217" i="27" s="1"/>
  <c r="J217" i="27"/>
  <c r="T217" i="27" s="1"/>
  <c r="N216" i="27"/>
  <c r="X216" i="27" s="1"/>
  <c r="I216" i="27"/>
  <c r="S216" i="27" s="1"/>
  <c r="J216" i="27"/>
  <c r="I215" i="27"/>
  <c r="S215" i="27" s="1"/>
  <c r="J215" i="27"/>
  <c r="N214" i="27"/>
  <c r="X214" i="27" s="1"/>
  <c r="I214" i="27"/>
  <c r="S214" i="27" s="1"/>
  <c r="J214" i="27"/>
  <c r="I213" i="27"/>
  <c r="S213" i="27" s="1"/>
  <c r="J213" i="27"/>
  <c r="N212" i="27"/>
  <c r="I212" i="27"/>
  <c r="S212" i="27" s="1"/>
  <c r="J212" i="27"/>
  <c r="I211" i="27"/>
  <c r="S211" i="27" s="1"/>
  <c r="J211" i="27"/>
  <c r="N210" i="27"/>
  <c r="X210" i="27" s="1"/>
  <c r="I210" i="27"/>
  <c r="S210" i="27" s="1"/>
  <c r="J210" i="27"/>
  <c r="I209" i="27"/>
  <c r="S209" i="27" s="1"/>
  <c r="J209" i="27"/>
  <c r="N208" i="27"/>
  <c r="X208" i="27" s="1"/>
  <c r="I208" i="27"/>
  <c r="S208" i="27" s="1"/>
  <c r="J208" i="27"/>
  <c r="I207" i="27"/>
  <c r="S207" i="27" s="1"/>
  <c r="J207" i="27"/>
  <c r="P207" i="27" s="1"/>
  <c r="Z207" i="27" s="1"/>
  <c r="N206" i="27"/>
  <c r="L206" i="27" s="1"/>
  <c r="V206" i="27" s="1"/>
  <c r="I206" i="27"/>
  <c r="S206" i="27" s="1"/>
  <c r="J206" i="27"/>
  <c r="P206" i="27" s="1"/>
  <c r="Z206" i="27" s="1"/>
  <c r="I205" i="27"/>
  <c r="S205" i="27" s="1"/>
  <c r="J205" i="27"/>
  <c r="P205" i="27" s="1"/>
  <c r="Z205" i="27" s="1"/>
  <c r="N204" i="27"/>
  <c r="L204" i="27" s="1"/>
  <c r="V204" i="27" s="1"/>
  <c r="I204" i="27"/>
  <c r="S204" i="27" s="1"/>
  <c r="J204" i="27"/>
  <c r="P204" i="27" s="1"/>
  <c r="Z204" i="27" s="1"/>
  <c r="K203" i="27"/>
  <c r="I203" i="27"/>
  <c r="S203" i="27" s="1"/>
  <c r="J203" i="27"/>
  <c r="P203" i="27" s="1"/>
  <c r="Z203" i="27" s="1"/>
  <c r="I202" i="27"/>
  <c r="S202" i="27" s="1"/>
  <c r="I201" i="27"/>
  <c r="S201" i="27" s="1"/>
  <c r="I200" i="27"/>
  <c r="S200" i="27" s="1"/>
  <c r="I199" i="27"/>
  <c r="S199" i="27" s="1"/>
  <c r="I198" i="27"/>
  <c r="S198" i="27" s="1"/>
  <c r="I197" i="27"/>
  <c r="S197" i="27" s="1"/>
  <c r="I196" i="27"/>
  <c r="S196" i="27" s="1"/>
  <c r="I195" i="27"/>
  <c r="S195" i="27" s="1"/>
  <c r="I194" i="27"/>
  <c r="S194" i="27" s="1"/>
  <c r="I193" i="27"/>
  <c r="S193" i="27" s="1"/>
  <c r="I192" i="27"/>
  <c r="S192" i="27" s="1"/>
  <c r="I191" i="27"/>
  <c r="S191" i="27" s="1"/>
  <c r="I190" i="27"/>
  <c r="S190" i="27" s="1"/>
  <c r="I189" i="27"/>
  <c r="S189" i="27" s="1"/>
  <c r="I188" i="27"/>
  <c r="S188" i="27" s="1"/>
  <c r="I187" i="27"/>
  <c r="S187" i="27" s="1"/>
  <c r="I186" i="27"/>
  <c r="S186" i="27" s="1"/>
  <c r="I185" i="27"/>
  <c r="S185" i="27" s="1"/>
  <c r="I184" i="27"/>
  <c r="S184" i="27" s="1"/>
  <c r="I183" i="27"/>
  <c r="S183" i="27" s="1"/>
  <c r="I182" i="27"/>
  <c r="S182" i="27" s="1"/>
  <c r="I181" i="27"/>
  <c r="S181" i="27" s="1"/>
  <c r="I180" i="27"/>
  <c r="S180" i="27" s="1"/>
  <c r="I179" i="27"/>
  <c r="S179" i="27" s="1"/>
  <c r="I178" i="27"/>
  <c r="S178" i="27" s="1"/>
  <c r="I177" i="27"/>
  <c r="S177" i="27" s="1"/>
  <c r="I176" i="27"/>
  <c r="S176" i="27" s="1"/>
  <c r="I175" i="27"/>
  <c r="S175" i="27" s="1"/>
  <c r="I174" i="27"/>
  <c r="S174" i="27" s="1"/>
  <c r="I173" i="27"/>
  <c r="S173" i="27" s="1"/>
  <c r="O12" i="27"/>
  <c r="N12" i="27"/>
  <c r="K12" i="27"/>
  <c r="I12" i="27"/>
  <c r="S12" i="27" s="1"/>
  <c r="J12" i="27"/>
  <c r="P12" i="27" s="1"/>
  <c r="Z12" i="27" s="1"/>
  <c r="O11" i="27"/>
  <c r="N11" i="27"/>
  <c r="K11" i="27"/>
  <c r="I11" i="27"/>
  <c r="S11" i="27" s="1"/>
  <c r="J11" i="27"/>
  <c r="G6" i="27"/>
  <c r="AA6" i="27" s="1"/>
  <c r="B5" i="27" a="1"/>
  <c r="B5" i="27" s="1"/>
  <c r="N12" i="26"/>
  <c r="L12" i="26" s="1"/>
  <c r="V12" i="26" s="1"/>
  <c r="I12" i="26"/>
  <c r="S12" i="26" s="1"/>
  <c r="J12" i="26"/>
  <c r="P12" i="26" s="1"/>
  <c r="Z12" i="26" s="1"/>
  <c r="O11" i="26"/>
  <c r="Q11" i="26" s="1"/>
  <c r="N11" i="26"/>
  <c r="L11" i="26" s="1"/>
  <c r="V11" i="26" s="1"/>
  <c r="K11" i="26"/>
  <c r="I11" i="26"/>
  <c r="S11" i="26" s="1"/>
  <c r="J11" i="26"/>
  <c r="T11" i="26" s="1"/>
  <c r="G6" i="26"/>
  <c r="B5" i="26" a="1"/>
  <c r="B5" i="26" s="1"/>
  <c r="I12" i="25"/>
  <c r="S12" i="25" s="1"/>
  <c r="I11" i="25"/>
  <c r="S11" i="25" s="1"/>
  <c r="G6" i="25"/>
  <c r="B5" i="25" a="1"/>
  <c r="B5" i="25" s="1"/>
  <c r="D3" i="25" s="1"/>
  <c r="O12" i="24"/>
  <c r="K12" i="24"/>
  <c r="M12" i="24" s="1"/>
  <c r="I12" i="24"/>
  <c r="S12" i="24" s="1"/>
  <c r="O11" i="24"/>
  <c r="Q11" i="24" s="1"/>
  <c r="N11" i="24"/>
  <c r="K11" i="24"/>
  <c r="I11" i="24"/>
  <c r="S11" i="24" s="1"/>
  <c r="J11" i="24"/>
  <c r="P11" i="24" s="1"/>
  <c r="Z11" i="24" s="1"/>
  <c r="G6" i="24"/>
  <c r="AA6" i="24" s="1"/>
  <c r="B5" i="24" a="1"/>
  <c r="B5" i="24" s="1"/>
  <c r="N191" i="23"/>
  <c r="I191" i="23"/>
  <c r="S191" i="23" s="1"/>
  <c r="J191" i="23"/>
  <c r="N190" i="23"/>
  <c r="I190" i="23"/>
  <c r="S190" i="23" s="1"/>
  <c r="N189" i="23"/>
  <c r="I189" i="23"/>
  <c r="S189" i="23" s="1"/>
  <c r="J189" i="23"/>
  <c r="T189" i="23" s="1"/>
  <c r="N188" i="23"/>
  <c r="X188" i="23" s="1"/>
  <c r="I188" i="23"/>
  <c r="S188" i="23" s="1"/>
  <c r="N187" i="23"/>
  <c r="I187" i="23"/>
  <c r="S187" i="23" s="1"/>
  <c r="J187" i="23"/>
  <c r="N186" i="23"/>
  <c r="X186" i="23" s="1"/>
  <c r="I186" i="23"/>
  <c r="S186" i="23" s="1"/>
  <c r="N185" i="23"/>
  <c r="I185" i="23"/>
  <c r="S185" i="23" s="1"/>
  <c r="J185" i="23"/>
  <c r="N184" i="23"/>
  <c r="X184" i="23" s="1"/>
  <c r="I184" i="23"/>
  <c r="S184" i="23" s="1"/>
  <c r="N183" i="23"/>
  <c r="I183" i="23"/>
  <c r="S183" i="23" s="1"/>
  <c r="J183" i="23"/>
  <c r="T183" i="23" s="1"/>
  <c r="N182" i="23"/>
  <c r="X182" i="23" s="1"/>
  <c r="I182" i="23"/>
  <c r="S182" i="23" s="1"/>
  <c r="N181" i="23"/>
  <c r="X181" i="23" s="1"/>
  <c r="I181" i="23"/>
  <c r="S181" i="23" s="1"/>
  <c r="J181" i="23"/>
  <c r="N180" i="23"/>
  <c r="X180" i="23" s="1"/>
  <c r="I180" i="23"/>
  <c r="S180" i="23" s="1"/>
  <c r="N179" i="23"/>
  <c r="I179" i="23"/>
  <c r="S179" i="23" s="1"/>
  <c r="J179" i="23"/>
  <c r="N178" i="23"/>
  <c r="X178" i="23" s="1"/>
  <c r="I178" i="23"/>
  <c r="S178" i="23" s="1"/>
  <c r="N177" i="23"/>
  <c r="X177" i="23" s="1"/>
  <c r="I177" i="23"/>
  <c r="S177" i="23" s="1"/>
  <c r="J177" i="23"/>
  <c r="T177" i="23" s="1"/>
  <c r="N176" i="23"/>
  <c r="X176" i="23" s="1"/>
  <c r="I176" i="23"/>
  <c r="S176" i="23" s="1"/>
  <c r="N175" i="23"/>
  <c r="X175" i="23" s="1"/>
  <c r="I175" i="23"/>
  <c r="S175" i="23" s="1"/>
  <c r="J175" i="23"/>
  <c r="T175" i="23" s="1"/>
  <c r="N174" i="23"/>
  <c r="I174" i="23"/>
  <c r="S174" i="23" s="1"/>
  <c r="K12" i="23"/>
  <c r="M12" i="23" s="1"/>
  <c r="I12" i="23"/>
  <c r="S12" i="23" s="1"/>
  <c r="O11" i="23"/>
  <c r="Q11" i="23" s="1"/>
  <c r="N11" i="23"/>
  <c r="K11" i="23"/>
  <c r="M11" i="23" s="1"/>
  <c r="I11" i="23"/>
  <c r="S11" i="23" s="1"/>
  <c r="J11" i="23"/>
  <c r="T11" i="23" s="1"/>
  <c r="G6" i="23"/>
  <c r="W6" i="23" s="1"/>
  <c r="B5" i="23" a="1"/>
  <c r="B5" i="23" s="1"/>
  <c r="N307" i="22"/>
  <c r="I307" i="22"/>
  <c r="S307" i="22" s="1"/>
  <c r="J307" i="22"/>
  <c r="P307" i="22" s="1"/>
  <c r="Z307" i="22" s="1"/>
  <c r="N306" i="22"/>
  <c r="I306" i="22"/>
  <c r="S306" i="22" s="1"/>
  <c r="N305" i="22"/>
  <c r="X305" i="22" s="1"/>
  <c r="I305" i="22"/>
  <c r="S305" i="22" s="1"/>
  <c r="J305" i="22"/>
  <c r="P305" i="22" s="1"/>
  <c r="Z305" i="22" s="1"/>
  <c r="N304" i="22"/>
  <c r="I304" i="22"/>
  <c r="S304" i="22" s="1"/>
  <c r="N303" i="22"/>
  <c r="I303" i="22"/>
  <c r="S303" i="22" s="1"/>
  <c r="J303" i="22"/>
  <c r="P303" i="22" s="1"/>
  <c r="Z303" i="22" s="1"/>
  <c r="N302" i="22"/>
  <c r="L302" i="22" s="1"/>
  <c r="V302" i="22" s="1"/>
  <c r="I302" i="22"/>
  <c r="S302" i="22" s="1"/>
  <c r="O301" i="22"/>
  <c r="Q301" i="22" s="1"/>
  <c r="N301" i="22"/>
  <c r="L301" i="22" s="1"/>
  <c r="V301" i="22" s="1"/>
  <c r="K301" i="22"/>
  <c r="M301" i="22" s="1"/>
  <c r="I301" i="22"/>
  <c r="S301" i="22" s="1"/>
  <c r="J301" i="22"/>
  <c r="N300" i="22"/>
  <c r="X300" i="22" s="1"/>
  <c r="I300" i="22"/>
  <c r="S300" i="22" s="1"/>
  <c r="J300" i="22"/>
  <c r="I299" i="22"/>
  <c r="S299" i="22" s="1"/>
  <c r="N298" i="22"/>
  <c r="L298" i="22" s="1"/>
  <c r="V298" i="22" s="1"/>
  <c r="K298" i="22"/>
  <c r="M298" i="22" s="1"/>
  <c r="I298" i="22"/>
  <c r="S298" i="22" s="1"/>
  <c r="J298" i="22"/>
  <c r="I297" i="22"/>
  <c r="S297" i="22" s="1"/>
  <c r="I296" i="22"/>
  <c r="S296" i="22" s="1"/>
  <c r="I295" i="22"/>
  <c r="S295" i="22" s="1"/>
  <c r="I294" i="22"/>
  <c r="S294" i="22" s="1"/>
  <c r="I293" i="22"/>
  <c r="S293" i="22" s="1"/>
  <c r="I292" i="22"/>
  <c r="S292" i="22" s="1"/>
  <c r="I291" i="22"/>
  <c r="S291" i="22" s="1"/>
  <c r="I290" i="22"/>
  <c r="S290" i="22" s="1"/>
  <c r="I289" i="22"/>
  <c r="S289" i="22" s="1"/>
  <c r="I288" i="22"/>
  <c r="S288" i="22" s="1"/>
  <c r="I287" i="22"/>
  <c r="S287" i="22" s="1"/>
  <c r="I286" i="22"/>
  <c r="S286" i="22" s="1"/>
  <c r="I285" i="22"/>
  <c r="S285" i="22" s="1"/>
  <c r="I284" i="22"/>
  <c r="S284" i="22" s="1"/>
  <c r="I283" i="22"/>
  <c r="S283" i="22" s="1"/>
  <c r="I282" i="22"/>
  <c r="S282" i="22" s="1"/>
  <c r="I281" i="22"/>
  <c r="S281" i="22" s="1"/>
  <c r="I280" i="22"/>
  <c r="S280" i="22" s="1"/>
  <c r="I279" i="22"/>
  <c r="S279" i="22" s="1"/>
  <c r="I278" i="22"/>
  <c r="S278" i="22" s="1"/>
  <c r="I277" i="22"/>
  <c r="S277" i="22" s="1"/>
  <c r="I276" i="22"/>
  <c r="S276" i="22" s="1"/>
  <c r="I275" i="22"/>
  <c r="S275" i="22" s="1"/>
  <c r="I274" i="22"/>
  <c r="S274" i="22" s="1"/>
  <c r="I273" i="22"/>
  <c r="S273" i="22" s="1"/>
  <c r="I272" i="22"/>
  <c r="S272" i="22" s="1"/>
  <c r="I271" i="22"/>
  <c r="S271" i="22" s="1"/>
  <c r="I270" i="22"/>
  <c r="S270" i="22" s="1"/>
  <c r="I269" i="22"/>
  <c r="S269" i="22" s="1"/>
  <c r="I268" i="22"/>
  <c r="S268" i="22" s="1"/>
  <c r="I267" i="22"/>
  <c r="S267" i="22" s="1"/>
  <c r="I266" i="22"/>
  <c r="S266" i="22" s="1"/>
  <c r="I265" i="22"/>
  <c r="S265" i="22" s="1"/>
  <c r="I264" i="22"/>
  <c r="S264" i="22" s="1"/>
  <c r="I263" i="22"/>
  <c r="S263" i="22" s="1"/>
  <c r="I262" i="22"/>
  <c r="S262" i="22" s="1"/>
  <c r="I261" i="22"/>
  <c r="S261" i="22" s="1"/>
  <c r="I260" i="22"/>
  <c r="S260" i="22" s="1"/>
  <c r="I259" i="22"/>
  <c r="S259" i="22" s="1"/>
  <c r="I258" i="22"/>
  <c r="S258" i="22" s="1"/>
  <c r="I257" i="22"/>
  <c r="S257" i="22" s="1"/>
  <c r="I256" i="22"/>
  <c r="S256" i="22" s="1"/>
  <c r="I255" i="22"/>
  <c r="S255" i="22" s="1"/>
  <c r="I254" i="22"/>
  <c r="S254" i="22" s="1"/>
  <c r="I253" i="22"/>
  <c r="S253" i="22" s="1"/>
  <c r="I252" i="22"/>
  <c r="S252" i="22" s="1"/>
  <c r="I251" i="22"/>
  <c r="S251" i="22" s="1"/>
  <c r="O250" i="22"/>
  <c r="I250" i="22"/>
  <c r="S250" i="22" s="1"/>
  <c r="I249" i="22"/>
  <c r="S249" i="22" s="1"/>
  <c r="I248" i="22"/>
  <c r="S248" i="22" s="1"/>
  <c r="I247" i="22"/>
  <c r="S247" i="22" s="1"/>
  <c r="I246" i="22"/>
  <c r="S246" i="22" s="1"/>
  <c r="I245" i="22"/>
  <c r="S245" i="22" s="1"/>
  <c r="I244" i="22"/>
  <c r="S244" i="22" s="1"/>
  <c r="I243" i="22"/>
  <c r="S243" i="22" s="1"/>
  <c r="I242" i="22"/>
  <c r="S242" i="22" s="1"/>
  <c r="I241" i="22"/>
  <c r="S241" i="22" s="1"/>
  <c r="I240" i="22"/>
  <c r="S240" i="22" s="1"/>
  <c r="I239" i="22"/>
  <c r="S239" i="22" s="1"/>
  <c r="I238" i="22"/>
  <c r="S238" i="22" s="1"/>
  <c r="I237" i="22"/>
  <c r="S237" i="22" s="1"/>
  <c r="I236" i="22"/>
  <c r="S236" i="22" s="1"/>
  <c r="I235" i="22"/>
  <c r="S235" i="22" s="1"/>
  <c r="I234" i="22"/>
  <c r="S234" i="22" s="1"/>
  <c r="I233" i="22"/>
  <c r="S233" i="22" s="1"/>
  <c r="I232" i="22"/>
  <c r="S232" i="22" s="1"/>
  <c r="I231" i="22"/>
  <c r="S231" i="22" s="1"/>
  <c r="I230" i="22"/>
  <c r="S230" i="22" s="1"/>
  <c r="I229" i="22"/>
  <c r="S229" i="22" s="1"/>
  <c r="I228" i="22"/>
  <c r="S228" i="22" s="1"/>
  <c r="I227" i="22"/>
  <c r="S227" i="22" s="1"/>
  <c r="I226" i="22"/>
  <c r="S226" i="22" s="1"/>
  <c r="I225" i="22"/>
  <c r="S225" i="22" s="1"/>
  <c r="I224" i="22"/>
  <c r="S224" i="22" s="1"/>
  <c r="I223" i="22"/>
  <c r="S223" i="22" s="1"/>
  <c r="I222" i="22"/>
  <c r="S222" i="22" s="1"/>
  <c r="I221" i="22"/>
  <c r="S221" i="22" s="1"/>
  <c r="I220" i="22"/>
  <c r="S220" i="22" s="1"/>
  <c r="I219" i="22"/>
  <c r="S219" i="22" s="1"/>
  <c r="I218" i="22"/>
  <c r="S218" i="22" s="1"/>
  <c r="I217" i="22"/>
  <c r="S217" i="22" s="1"/>
  <c r="I216" i="22"/>
  <c r="S216" i="22" s="1"/>
  <c r="I215" i="22"/>
  <c r="S215" i="22" s="1"/>
  <c r="I214" i="22"/>
  <c r="S214" i="22" s="1"/>
  <c r="I213" i="22"/>
  <c r="S213" i="22" s="1"/>
  <c r="I212" i="22"/>
  <c r="S212" i="22" s="1"/>
  <c r="I211" i="22"/>
  <c r="S211" i="22" s="1"/>
  <c r="I210" i="22"/>
  <c r="S210" i="22" s="1"/>
  <c r="I209" i="22"/>
  <c r="S209" i="22" s="1"/>
  <c r="I208" i="22"/>
  <c r="S208" i="22" s="1"/>
  <c r="I207" i="22"/>
  <c r="S207" i="22" s="1"/>
  <c r="I206" i="22"/>
  <c r="S206" i="22" s="1"/>
  <c r="I205" i="22"/>
  <c r="S205" i="22" s="1"/>
  <c r="I204" i="22"/>
  <c r="S204" i="22" s="1"/>
  <c r="I203" i="22"/>
  <c r="S203" i="22" s="1"/>
  <c r="K202" i="22"/>
  <c r="M202" i="22" s="1"/>
  <c r="I202" i="22"/>
  <c r="S202" i="22" s="1"/>
  <c r="N201" i="22"/>
  <c r="L201" i="22" s="1"/>
  <c r="V201" i="22" s="1"/>
  <c r="I201" i="22"/>
  <c r="S201" i="22" s="1"/>
  <c r="J201" i="22"/>
  <c r="P201" i="22" s="1"/>
  <c r="Z201" i="22" s="1"/>
  <c r="N200" i="22"/>
  <c r="X200" i="22" s="1"/>
  <c r="I200" i="22"/>
  <c r="S200" i="22" s="1"/>
  <c r="N199" i="22"/>
  <c r="L199" i="22" s="1"/>
  <c r="V199" i="22" s="1"/>
  <c r="I199" i="22"/>
  <c r="S199" i="22" s="1"/>
  <c r="J199" i="22"/>
  <c r="I198" i="22"/>
  <c r="S198" i="22" s="1"/>
  <c r="N197" i="22"/>
  <c r="L197" i="22" s="1"/>
  <c r="V197" i="22" s="1"/>
  <c r="I197" i="22"/>
  <c r="S197" i="22" s="1"/>
  <c r="J197" i="22"/>
  <c r="P197" i="22" s="1"/>
  <c r="Z197" i="22" s="1"/>
  <c r="I196" i="22"/>
  <c r="S196" i="22" s="1"/>
  <c r="N195" i="22"/>
  <c r="L195" i="22" s="1"/>
  <c r="V195" i="22" s="1"/>
  <c r="I195" i="22"/>
  <c r="S195" i="22" s="1"/>
  <c r="J195" i="22"/>
  <c r="P195" i="22" s="1"/>
  <c r="Z195" i="22" s="1"/>
  <c r="I194" i="22"/>
  <c r="S194" i="22" s="1"/>
  <c r="N193" i="22"/>
  <c r="L193" i="22" s="1"/>
  <c r="V193" i="22" s="1"/>
  <c r="I193" i="22"/>
  <c r="S193" i="22" s="1"/>
  <c r="J193" i="22"/>
  <c r="P193" i="22" s="1"/>
  <c r="Z193" i="22" s="1"/>
  <c r="I192" i="22"/>
  <c r="S192" i="22" s="1"/>
  <c r="N191" i="22"/>
  <c r="L191" i="22" s="1"/>
  <c r="V191" i="22" s="1"/>
  <c r="I191" i="22"/>
  <c r="S191" i="22" s="1"/>
  <c r="J191" i="22"/>
  <c r="P191" i="22" s="1"/>
  <c r="Z191" i="22" s="1"/>
  <c r="N190" i="22"/>
  <c r="X190" i="22" s="1"/>
  <c r="I190" i="22"/>
  <c r="S190" i="22" s="1"/>
  <c r="N189" i="22"/>
  <c r="L189" i="22" s="1"/>
  <c r="V189" i="22" s="1"/>
  <c r="I189" i="22"/>
  <c r="S189" i="22" s="1"/>
  <c r="J189" i="22"/>
  <c r="N188" i="22"/>
  <c r="X188" i="22" s="1"/>
  <c r="I188" i="22"/>
  <c r="S188" i="22" s="1"/>
  <c r="N187" i="22"/>
  <c r="X187" i="22" s="1"/>
  <c r="I187" i="22"/>
  <c r="S187" i="22" s="1"/>
  <c r="J187" i="22"/>
  <c r="N186" i="22"/>
  <c r="L186" i="22" s="1"/>
  <c r="V186" i="22" s="1"/>
  <c r="I186" i="22"/>
  <c r="S186" i="22" s="1"/>
  <c r="J186" i="22"/>
  <c r="N185" i="22"/>
  <c r="L185" i="22" s="1"/>
  <c r="V185" i="22" s="1"/>
  <c r="I185" i="22"/>
  <c r="S185" i="22" s="1"/>
  <c r="J185" i="22"/>
  <c r="N184" i="22"/>
  <c r="X184" i="22" s="1"/>
  <c r="I184" i="22"/>
  <c r="S184" i="22" s="1"/>
  <c r="N183" i="22"/>
  <c r="X183" i="22" s="1"/>
  <c r="I183" i="22"/>
  <c r="S183" i="22" s="1"/>
  <c r="J183" i="22"/>
  <c r="T183" i="22" s="1"/>
  <c r="N182" i="22"/>
  <c r="X182" i="22" s="1"/>
  <c r="I182" i="22"/>
  <c r="S182" i="22" s="1"/>
  <c r="N181" i="22"/>
  <c r="L181" i="22" s="1"/>
  <c r="V181" i="22" s="1"/>
  <c r="I181" i="22"/>
  <c r="S181" i="22" s="1"/>
  <c r="J181" i="22"/>
  <c r="T181" i="22" s="1"/>
  <c r="N180" i="22"/>
  <c r="X180" i="22" s="1"/>
  <c r="I180" i="22"/>
  <c r="S180" i="22" s="1"/>
  <c r="N179" i="22"/>
  <c r="X179" i="22" s="1"/>
  <c r="I179" i="22"/>
  <c r="S179" i="22" s="1"/>
  <c r="J179" i="22"/>
  <c r="O178" i="22"/>
  <c r="Q178" i="22" s="1"/>
  <c r="K178" i="22"/>
  <c r="M178" i="22" s="1"/>
  <c r="I178" i="22"/>
  <c r="S178" i="22" s="1"/>
  <c r="N177" i="22"/>
  <c r="X177" i="22" s="1"/>
  <c r="I177" i="22"/>
  <c r="S177" i="22" s="1"/>
  <c r="J177" i="22"/>
  <c r="N176" i="22"/>
  <c r="L176" i="22" s="1"/>
  <c r="V176" i="22" s="1"/>
  <c r="I176" i="22"/>
  <c r="S176" i="22" s="1"/>
  <c r="N12" i="22"/>
  <c r="X12" i="22" s="1"/>
  <c r="K12" i="22"/>
  <c r="M12" i="22" s="1"/>
  <c r="I12" i="22"/>
  <c r="S12" i="22" s="1"/>
  <c r="J12" i="22"/>
  <c r="O11" i="22"/>
  <c r="Q11" i="22" s="1"/>
  <c r="N11" i="22"/>
  <c r="K11" i="22"/>
  <c r="M11" i="22" s="1"/>
  <c r="I11" i="22"/>
  <c r="S11" i="22" s="1"/>
  <c r="J11" i="22"/>
  <c r="T11" i="22" s="1"/>
  <c r="G6" i="22"/>
  <c r="W6" i="22" s="1"/>
  <c r="B5" i="22" a="1"/>
  <c r="B5" i="22" s="1"/>
  <c r="D4" i="22" s="1"/>
  <c r="I176" i="21"/>
  <c r="S176" i="21" s="1"/>
  <c r="O12" i="21"/>
  <c r="I12" i="21"/>
  <c r="S12" i="21" s="1"/>
  <c r="O11" i="21"/>
  <c r="N11" i="21"/>
  <c r="L11" i="21" s="1"/>
  <c r="V11" i="21" s="1"/>
  <c r="K11" i="21"/>
  <c r="I11" i="21"/>
  <c r="S11" i="21" s="1"/>
  <c r="J11" i="21"/>
  <c r="P11" i="21" s="1"/>
  <c r="Z11" i="21" s="1"/>
  <c r="G6" i="21"/>
  <c r="AA6" i="21" s="1"/>
  <c r="B5" i="21" a="1"/>
  <c r="B5" i="21" s="1"/>
  <c r="O12" i="20"/>
  <c r="N12" i="20"/>
  <c r="L12" i="20" s="1"/>
  <c r="V12" i="20" s="1"/>
  <c r="K12" i="20"/>
  <c r="M12" i="20" s="1"/>
  <c r="I12" i="20"/>
  <c r="S12" i="20" s="1"/>
  <c r="J12" i="20"/>
  <c r="O11" i="20"/>
  <c r="Q11" i="20" s="1"/>
  <c r="N11" i="20"/>
  <c r="L11" i="20" s="1"/>
  <c r="V11" i="20" s="1"/>
  <c r="K11" i="20"/>
  <c r="I11" i="20"/>
  <c r="S11" i="20" s="1"/>
  <c r="J11" i="20"/>
  <c r="P11" i="20" s="1"/>
  <c r="Z11" i="20" s="1"/>
  <c r="G6" i="20"/>
  <c r="Y6" i="20" s="1"/>
  <c r="B5" i="20" a="1"/>
  <c r="B5" i="20" s="1"/>
  <c r="O12" i="19"/>
  <c r="Q12" i="19" s="1"/>
  <c r="K12" i="19"/>
  <c r="M12" i="19" s="1"/>
  <c r="I12" i="19"/>
  <c r="S12" i="19" s="1"/>
  <c r="O11" i="19"/>
  <c r="Q11" i="19" s="1"/>
  <c r="N11" i="19"/>
  <c r="L11" i="19" s="1"/>
  <c r="V11" i="19" s="1"/>
  <c r="K11" i="19"/>
  <c r="M11" i="19" s="1"/>
  <c r="I11" i="19"/>
  <c r="S11" i="19" s="1"/>
  <c r="J11" i="19"/>
  <c r="G6" i="19"/>
  <c r="W6" i="19" s="1"/>
  <c r="B5" i="19" a="1"/>
  <c r="B5" i="19" s="1"/>
  <c r="O12" i="18"/>
  <c r="Q12" i="18" s="1"/>
  <c r="N12" i="18"/>
  <c r="L12" i="18" s="1"/>
  <c r="V12" i="18" s="1"/>
  <c r="I12" i="18"/>
  <c r="S12" i="18" s="1"/>
  <c r="O11" i="18"/>
  <c r="Q11" i="18" s="1"/>
  <c r="N11" i="18"/>
  <c r="L11" i="18" s="1"/>
  <c r="V11" i="18" s="1"/>
  <c r="K11" i="18"/>
  <c r="M11" i="18" s="1"/>
  <c r="I11" i="18"/>
  <c r="S11" i="18" s="1"/>
  <c r="J11" i="18"/>
  <c r="G6" i="18"/>
  <c r="Y6" i="18" s="1"/>
  <c r="B5" i="18" a="1"/>
  <c r="B5" i="18" s="1"/>
  <c r="D4" i="18" s="1"/>
  <c r="I22" i="2"/>
  <c r="S22" i="2" s="1"/>
  <c r="D22" i="2" a="1"/>
  <c r="D22" i="2" s="1"/>
  <c r="J22" i="2" s="1"/>
  <c r="O21" i="2"/>
  <c r="Q21" i="2" s="1"/>
  <c r="N21" i="2"/>
  <c r="X21" i="2" s="1"/>
  <c r="K21" i="2"/>
  <c r="M21" i="2" s="1"/>
  <c r="I21" i="2"/>
  <c r="S21" i="2" s="1"/>
  <c r="D21" i="2" a="1"/>
  <c r="D21" i="2" s="1"/>
  <c r="J21" i="2" s="1"/>
  <c r="I16" i="2"/>
  <c r="S16" i="2" s="1"/>
  <c r="D16" i="2" a="1"/>
  <c r="D16" i="2" s="1"/>
  <c r="J16" i="2" s="1"/>
  <c r="I15" i="2"/>
  <c r="S15" i="2" s="1"/>
  <c r="D15" i="2" a="1"/>
  <c r="D15" i="2" s="1"/>
  <c r="J15" i="2" s="1"/>
  <c r="O14" i="2"/>
  <c r="Q14" i="2" s="1"/>
  <c r="N14" i="2"/>
  <c r="X14" i="2" s="1"/>
  <c r="L14" i="2"/>
  <c r="V14" i="2" s="1"/>
  <c r="K14" i="2"/>
  <c r="M14" i="2" s="1"/>
  <c r="I14" i="2"/>
  <c r="S14" i="2" s="1"/>
  <c r="D14" i="2" a="1"/>
  <c r="D14" i="2" s="1"/>
  <c r="J14" i="2" s="1"/>
  <c r="I13" i="2"/>
  <c r="S13" i="2" s="1"/>
  <c r="D13" i="2" a="1"/>
  <c r="D13" i="2" s="1"/>
  <c r="J13" i="2" s="1"/>
  <c r="I12" i="2"/>
  <c r="S12" i="2" s="1"/>
  <c r="D12" i="2" a="1"/>
  <c r="D12" i="2" s="1"/>
  <c r="J12" i="2" s="1"/>
  <c r="O11" i="2"/>
  <c r="Q11" i="2" s="1"/>
  <c r="N11" i="2"/>
  <c r="X11" i="2" s="1"/>
  <c r="K11" i="2"/>
  <c r="M11" i="2" s="1"/>
  <c r="I11" i="2"/>
  <c r="S11" i="2" s="1"/>
  <c r="D11" i="2" a="1"/>
  <c r="D11" i="2" s="1"/>
  <c r="J11" i="2" s="1"/>
  <c r="G6" i="2"/>
  <c r="Y6" i="2" s="1"/>
  <c r="B5" i="2" a="1"/>
  <c r="B5" i="2" s="1"/>
  <c r="D4" i="2" s="1"/>
  <c r="B5" i="1" a="1"/>
  <c r="B5" i="1" s="1"/>
  <c r="N212" i="1"/>
  <c r="L212" i="1" s="1"/>
  <c r="N211" i="1"/>
  <c r="L211" i="1" s="1"/>
  <c r="N210" i="1"/>
  <c r="L210" i="1" s="1"/>
  <c r="N209" i="1"/>
  <c r="L209" i="1" s="1"/>
  <c r="N208" i="1"/>
  <c r="L208" i="1" s="1"/>
  <c r="N207" i="1"/>
  <c r="L207" i="1" s="1"/>
  <c r="N206" i="1"/>
  <c r="L206" i="1" s="1"/>
  <c r="N205" i="1"/>
  <c r="L205" i="1" s="1"/>
  <c r="N204" i="1"/>
  <c r="L204" i="1" s="1"/>
  <c r="N203" i="1"/>
  <c r="L203" i="1" s="1"/>
  <c r="N202" i="1"/>
  <c r="L202" i="1" s="1"/>
  <c r="N201" i="1"/>
  <c r="L201" i="1" s="1"/>
  <c r="N200" i="1"/>
  <c r="L200" i="1" s="1"/>
  <c r="O199" i="1"/>
  <c r="Q199" i="1" s="1"/>
  <c r="N199" i="1"/>
  <c r="L199" i="1" s="1"/>
  <c r="K199" i="1"/>
  <c r="M199" i="1" s="1"/>
  <c r="O198" i="1"/>
  <c r="Q198" i="1" s="1"/>
  <c r="N198" i="1"/>
  <c r="L198" i="1" s="1"/>
  <c r="K198" i="1"/>
  <c r="M198" i="1" s="1"/>
  <c r="N181" i="1"/>
  <c r="L181" i="1" s="1"/>
  <c r="N12" i="1"/>
  <c r="L12" i="1" s="1"/>
  <c r="K12" i="1"/>
  <c r="M12" i="1" s="1"/>
  <c r="O11" i="1"/>
  <c r="N11" i="1"/>
  <c r="K11" i="1"/>
  <c r="J11" i="1"/>
  <c r="E43" i="39" l="1"/>
  <c r="E44" i="39" s="1"/>
  <c r="E45" i="39" s="1"/>
  <c r="E46" i="39" s="1"/>
  <c r="E47" i="39" s="1"/>
  <c r="E48" i="39" s="1"/>
  <c r="E49" i="39" s="1"/>
  <c r="K42" i="39"/>
  <c r="M42" i="39" s="1"/>
  <c r="W42" i="39" s="1"/>
  <c r="K38" i="39"/>
  <c r="O39" i="39"/>
  <c r="Q39" i="39" s="1"/>
  <c r="K39" i="39"/>
  <c r="M39" i="39" s="1"/>
  <c r="W39" i="39" s="1"/>
  <c r="G28" i="39"/>
  <c r="O27" i="39"/>
  <c r="Q27" i="39" s="1"/>
  <c r="K28" i="39"/>
  <c r="M28" i="39" s="1"/>
  <c r="E29" i="39"/>
  <c r="G14" i="39"/>
  <c r="O13" i="39"/>
  <c r="K14" i="39"/>
  <c r="E15" i="39"/>
  <c r="P22" i="39"/>
  <c r="Z22" i="39" s="1"/>
  <c r="Q13" i="39"/>
  <c r="AA13" i="39" s="1"/>
  <c r="Y11" i="39"/>
  <c r="M13" i="39"/>
  <c r="U11" i="39"/>
  <c r="M11" i="39"/>
  <c r="U6" i="39"/>
  <c r="U37" i="39" s="1"/>
  <c r="X38" i="39"/>
  <c r="W6" i="39"/>
  <c r="Y6" i="39"/>
  <c r="Q11" i="39"/>
  <c r="AA11" i="39" s="1"/>
  <c r="T26" i="39"/>
  <c r="T41" i="39"/>
  <c r="AA25" i="39"/>
  <c r="L26" i="39"/>
  <c r="V26" i="39" s="1"/>
  <c r="P28" i="39"/>
  <c r="Z28" i="39" s="1"/>
  <c r="T36" i="39"/>
  <c r="P32" i="39"/>
  <c r="Z32" i="39" s="1"/>
  <c r="L39" i="39"/>
  <c r="V39" i="39" s="1"/>
  <c r="Y27" i="39"/>
  <c r="N43" i="39"/>
  <c r="T25" i="39"/>
  <c r="P25" i="39"/>
  <c r="Z25" i="39" s="1"/>
  <c r="N42" i="39"/>
  <c r="Q12" i="39"/>
  <c r="AA12" i="39" s="1"/>
  <c r="Y12" i="39"/>
  <c r="J44" i="39"/>
  <c r="X16" i="39"/>
  <c r="L16" i="39"/>
  <c r="V16" i="39" s="1"/>
  <c r="X17" i="39"/>
  <c r="L17" i="39"/>
  <c r="V17" i="39" s="1"/>
  <c r="D3" i="39"/>
  <c r="D4" i="39"/>
  <c r="J46" i="39"/>
  <c r="M14" i="39"/>
  <c r="W14" i="39" s="1"/>
  <c r="U14" i="39"/>
  <c r="W11" i="39"/>
  <c r="P12" i="39"/>
  <c r="Z12" i="39" s="1"/>
  <c r="L14" i="39"/>
  <c r="V14" i="39" s="1"/>
  <c r="P16" i="39"/>
  <c r="Z16" i="39" s="1"/>
  <c r="L18" i="39"/>
  <c r="V18" i="39" s="1"/>
  <c r="P20" i="39"/>
  <c r="Z20" i="39" s="1"/>
  <c r="J30" i="39"/>
  <c r="J38" i="39"/>
  <c r="J45" i="39"/>
  <c r="X11" i="39"/>
  <c r="T13" i="39"/>
  <c r="J43" i="39"/>
  <c r="N44" i="39"/>
  <c r="X15" i="39"/>
  <c r="T17" i="39"/>
  <c r="J47" i="39"/>
  <c r="N48" i="39"/>
  <c r="X19" i="39"/>
  <c r="T21" i="39"/>
  <c r="N22" i="39"/>
  <c r="T23" i="39"/>
  <c r="U25" i="39"/>
  <c r="L29" i="39"/>
  <c r="V29" i="39" s="1"/>
  <c r="L33" i="39"/>
  <c r="V33" i="39" s="1"/>
  <c r="X34" i="39"/>
  <c r="U38" i="39"/>
  <c r="U26" i="39"/>
  <c r="J42" i="39"/>
  <c r="N47" i="39"/>
  <c r="AA27" i="39"/>
  <c r="Q37" i="39"/>
  <c r="AA37" i="39" s="1"/>
  <c r="Y37" i="39"/>
  <c r="U42" i="39"/>
  <c r="U12" i="39"/>
  <c r="N13" i="39"/>
  <c r="J15" i="39"/>
  <c r="J19" i="39"/>
  <c r="N21" i="39"/>
  <c r="L23" i="39"/>
  <c r="V23" i="39" s="1"/>
  <c r="J24" i="39"/>
  <c r="N27" i="39"/>
  <c r="T29" i="39"/>
  <c r="N31" i="39"/>
  <c r="T33" i="39"/>
  <c r="P37" i="39"/>
  <c r="Z37" i="39" s="1"/>
  <c r="Y26" i="39"/>
  <c r="W28" i="39"/>
  <c r="L30" i="39"/>
  <c r="V30" i="39" s="1"/>
  <c r="N37" i="39"/>
  <c r="M38" i="39"/>
  <c r="W38" i="39" s="1"/>
  <c r="J40" i="39"/>
  <c r="J49" i="39"/>
  <c r="N12" i="39"/>
  <c r="J14" i="39"/>
  <c r="J18" i="39"/>
  <c r="N20" i="39"/>
  <c r="L24" i="39"/>
  <c r="V24" i="39" s="1"/>
  <c r="M25" i="39"/>
  <c r="W25" i="39" s="1"/>
  <c r="Y25" i="39"/>
  <c r="AA26" i="39"/>
  <c r="P27" i="39"/>
  <c r="Z27" i="39" s="1"/>
  <c r="U28" i="39"/>
  <c r="P31" i="39"/>
  <c r="Z31" i="39" s="1"/>
  <c r="N41" i="39"/>
  <c r="T48" i="39"/>
  <c r="P48" i="39"/>
  <c r="Z48" i="39" s="1"/>
  <c r="N49" i="39"/>
  <c r="N25" i="39"/>
  <c r="M27" i="39"/>
  <c r="W27" i="39" s="1"/>
  <c r="U27" i="39"/>
  <c r="J34" i="39"/>
  <c r="Y38" i="39"/>
  <c r="Q38" i="39"/>
  <c r="AA38" i="39" s="1"/>
  <c r="AA39" i="39"/>
  <c r="Y39" i="39"/>
  <c r="L40" i="39"/>
  <c r="V40" i="39" s="1"/>
  <c r="X40" i="39"/>
  <c r="N35" i="39"/>
  <c r="L36" i="39"/>
  <c r="V36" i="39" s="1"/>
  <c r="X36" i="39"/>
  <c r="N28" i="39"/>
  <c r="N32" i="39"/>
  <c r="W37" i="39"/>
  <c r="J35" i="39"/>
  <c r="J39" i="39"/>
  <c r="N79" i="38"/>
  <c r="L79" i="38" s="1"/>
  <c r="V79" i="38" s="1"/>
  <c r="J72" i="38"/>
  <c r="J79" i="38"/>
  <c r="P79" i="38" s="1"/>
  <c r="Z79" i="38" s="1"/>
  <c r="J147" i="38"/>
  <c r="P147" i="38" s="1"/>
  <c r="Z147" i="38" s="1"/>
  <c r="N96" i="38"/>
  <c r="L96" i="38" s="1"/>
  <c r="V96" i="38" s="1"/>
  <c r="N147" i="38"/>
  <c r="L147" i="38" s="1"/>
  <c r="V147" i="38" s="1"/>
  <c r="J113" i="38"/>
  <c r="T113" i="38" s="1"/>
  <c r="N113" i="38"/>
  <c r="X113" i="38" s="1"/>
  <c r="J130" i="38"/>
  <c r="P130" i="38" s="1"/>
  <c r="Z130" i="38" s="1"/>
  <c r="J96" i="38"/>
  <c r="P96" i="38" s="1"/>
  <c r="Z96" i="38" s="1"/>
  <c r="N130" i="38"/>
  <c r="L130" i="38" s="1"/>
  <c r="V130" i="38" s="1"/>
  <c r="F50" i="38"/>
  <c r="D49" i="38"/>
  <c r="N45" i="38"/>
  <c r="L45" i="38" s="1"/>
  <c r="V45" i="38" s="1"/>
  <c r="F37" i="38"/>
  <c r="J41" i="38"/>
  <c r="D45" i="38"/>
  <c r="D38" i="38"/>
  <c r="D40" i="38"/>
  <c r="J62" i="38"/>
  <c r="P62" i="38" s="1"/>
  <c r="Z62" i="38" s="1"/>
  <c r="E23" i="38"/>
  <c r="K23" i="38" s="1"/>
  <c r="G23" i="38"/>
  <c r="E24" i="38"/>
  <c r="E25" i="38" s="1"/>
  <c r="E26" i="38" s="1"/>
  <c r="K24" i="38"/>
  <c r="M24" i="38" s="1"/>
  <c r="W24" i="38" s="1"/>
  <c r="T25" i="38"/>
  <c r="K21" i="38"/>
  <c r="M21" i="38" s="1"/>
  <c r="W21" i="38" s="1"/>
  <c r="O21" i="38"/>
  <c r="Q21" i="38" s="1"/>
  <c r="P11" i="38"/>
  <c r="Z11" i="38" s="1"/>
  <c r="Q12" i="38"/>
  <c r="P13" i="38"/>
  <c r="Z13" i="38" s="1"/>
  <c r="T13" i="38"/>
  <c r="W11" i="38"/>
  <c r="U6" i="38"/>
  <c r="U19" i="38"/>
  <c r="Y6" i="38"/>
  <c r="Y12" i="38" s="1"/>
  <c r="T14" i="38"/>
  <c r="AA6" i="38"/>
  <c r="AA17" i="38" s="1"/>
  <c r="L13" i="38"/>
  <c r="V13" i="38" s="1"/>
  <c r="L17" i="38"/>
  <c r="V17" i="38" s="1"/>
  <c r="X19" i="38"/>
  <c r="P23" i="38"/>
  <c r="Z23" i="38" s="1"/>
  <c r="L28" i="38"/>
  <c r="V28" i="38" s="1"/>
  <c r="P30" i="38"/>
  <c r="Z30" i="38" s="1"/>
  <c r="X96" i="38"/>
  <c r="T18" i="38"/>
  <c r="X164" i="38"/>
  <c r="Q16" i="38"/>
  <c r="T17" i="38"/>
  <c r="L21" i="38"/>
  <c r="V21" i="38" s="1"/>
  <c r="T28" i="38"/>
  <c r="X45" i="38"/>
  <c r="X62" i="38"/>
  <c r="T79" i="38"/>
  <c r="T130" i="38"/>
  <c r="X79" i="38"/>
  <c r="T21" i="38"/>
  <c r="D4" i="38"/>
  <c r="D3" i="38"/>
  <c r="P20" i="38"/>
  <c r="Z20" i="38" s="1"/>
  <c r="T20" i="38"/>
  <c r="J33" i="38"/>
  <c r="M14" i="38"/>
  <c r="W14" i="38" s="1"/>
  <c r="U14" i="38"/>
  <c r="T12" i="38"/>
  <c r="P12" i="38"/>
  <c r="Z12" i="38" s="1"/>
  <c r="U15" i="38"/>
  <c r="M15" i="38"/>
  <c r="W15" i="38" s="1"/>
  <c r="Q15" i="38"/>
  <c r="M19" i="38"/>
  <c r="W19" i="38" s="1"/>
  <c r="P27" i="38"/>
  <c r="Z27" i="38" s="1"/>
  <c r="X35" i="38"/>
  <c r="L35" i="38"/>
  <c r="V35" i="38" s="1"/>
  <c r="N56" i="38"/>
  <c r="N12" i="38"/>
  <c r="J52" i="38"/>
  <c r="U17" i="38"/>
  <c r="U18" i="38"/>
  <c r="N20" i="38"/>
  <c r="U21" i="38"/>
  <c r="U22" i="38"/>
  <c r="N30" i="38"/>
  <c r="N60" i="38"/>
  <c r="O45" i="38"/>
  <c r="U13" i="38"/>
  <c r="J16" i="38"/>
  <c r="M18" i="38"/>
  <c r="W18" i="38" s="1"/>
  <c r="J19" i="38"/>
  <c r="M22" i="38"/>
  <c r="W22" i="38" s="1"/>
  <c r="J24" i="38"/>
  <c r="J35" i="38"/>
  <c r="U11" i="38"/>
  <c r="X11" i="38"/>
  <c r="U12" i="38"/>
  <c r="X15" i="38"/>
  <c r="U16" i="38"/>
  <c r="L18" i="38"/>
  <c r="V18" i="38" s="1"/>
  <c r="X18" i="38"/>
  <c r="L22" i="38"/>
  <c r="V22" i="38" s="1"/>
  <c r="X22" i="38"/>
  <c r="N27" i="38"/>
  <c r="X31" i="38"/>
  <c r="L31" i="38"/>
  <c r="V31" i="38" s="1"/>
  <c r="P34" i="38"/>
  <c r="Z34" i="38" s="1"/>
  <c r="N16" i="38"/>
  <c r="J29" i="38"/>
  <c r="W12" i="38"/>
  <c r="W13" i="38"/>
  <c r="L14" i="38"/>
  <c r="V14" i="38" s="1"/>
  <c r="W16" i="38"/>
  <c r="W17" i="38"/>
  <c r="Y18" i="38"/>
  <c r="J22" i="38"/>
  <c r="N23" i="38"/>
  <c r="N25" i="38"/>
  <c r="L26" i="38"/>
  <c r="V26" i="38" s="1"/>
  <c r="X26" i="38"/>
  <c r="K45" i="38"/>
  <c r="N32" i="38"/>
  <c r="J59" i="38"/>
  <c r="X24" i="38"/>
  <c r="L24" i="38"/>
  <c r="V24" i="38" s="1"/>
  <c r="U20" i="38"/>
  <c r="T41" i="38"/>
  <c r="P41" i="38"/>
  <c r="Z41" i="38" s="1"/>
  <c r="M23" i="38"/>
  <c r="W23" i="38" s="1"/>
  <c r="U23" i="38"/>
  <c r="J15" i="38"/>
  <c r="W20" i="38"/>
  <c r="U24" i="38"/>
  <c r="J26" i="38"/>
  <c r="N34" i="38"/>
  <c r="J42" i="38"/>
  <c r="J55" i="38"/>
  <c r="N39" i="38"/>
  <c r="N43" i="38"/>
  <c r="T72" i="38"/>
  <c r="P72" i="38"/>
  <c r="Z72" i="38" s="1"/>
  <c r="P181" i="38"/>
  <c r="Z181" i="38" s="1"/>
  <c r="T181" i="38"/>
  <c r="X181" i="38"/>
  <c r="L181" i="38"/>
  <c r="V181" i="38" s="1"/>
  <c r="T164" i="38"/>
  <c r="P164" i="38"/>
  <c r="Z164" i="38" s="1"/>
  <c r="J50" i="37"/>
  <c r="P50" i="37" s="1"/>
  <c r="Z50" i="37" s="1"/>
  <c r="D51" i="37"/>
  <c r="D54" i="37" s="1"/>
  <c r="N54" i="37"/>
  <c r="L54" i="37" s="1"/>
  <c r="V54" i="37" s="1"/>
  <c r="N51" i="37"/>
  <c r="L51" i="37" s="1"/>
  <c r="V51" i="37" s="1"/>
  <c r="J52" i="37"/>
  <c r="P52" i="37" s="1"/>
  <c r="Z52" i="37" s="1"/>
  <c r="N52" i="37"/>
  <c r="L52" i="37" s="1"/>
  <c r="V52" i="37" s="1"/>
  <c r="N50" i="37"/>
  <c r="L50" i="37" s="1"/>
  <c r="V50" i="37" s="1"/>
  <c r="N48" i="37"/>
  <c r="L48" i="37" s="1"/>
  <c r="V48" i="37" s="1"/>
  <c r="O52" i="37"/>
  <c r="O51" i="37"/>
  <c r="K47" i="37"/>
  <c r="K54" i="37"/>
  <c r="K55" i="37"/>
  <c r="O55" i="37"/>
  <c r="Y55" i="37" s="1"/>
  <c r="O54" i="37"/>
  <c r="Q54" i="37" s="1"/>
  <c r="AA54" i="37" s="1"/>
  <c r="T53" i="37"/>
  <c r="K52" i="37"/>
  <c r="K51" i="37"/>
  <c r="K48" i="37"/>
  <c r="K49" i="37"/>
  <c r="O49" i="37"/>
  <c r="O48" i="37"/>
  <c r="Q48" i="37" s="1"/>
  <c r="AA48" i="37" s="1"/>
  <c r="T49" i="37"/>
  <c r="E46" i="37"/>
  <c r="K46" i="37" s="1"/>
  <c r="M46" i="37" s="1"/>
  <c r="W46" i="37" s="1"/>
  <c r="K45" i="37"/>
  <c r="M45" i="37" s="1"/>
  <c r="W45" i="37" s="1"/>
  <c r="G46" i="37"/>
  <c r="O46" i="37" s="1"/>
  <c r="O45" i="37"/>
  <c r="X46" i="37"/>
  <c r="P42" i="37"/>
  <c r="Z42" i="37" s="1"/>
  <c r="T42" i="37"/>
  <c r="E43" i="37"/>
  <c r="K43" i="37" s="1"/>
  <c r="M43" i="37" s="1"/>
  <c r="O32" i="37"/>
  <c r="Q32" i="37" s="1"/>
  <c r="AA32" i="37" s="1"/>
  <c r="K39" i="37"/>
  <c r="M39" i="37" s="1"/>
  <c r="W39" i="37" s="1"/>
  <c r="E40" i="37"/>
  <c r="K40" i="37" s="1"/>
  <c r="G40" i="37"/>
  <c r="O40" i="37" s="1"/>
  <c r="O39" i="37"/>
  <c r="K36" i="37"/>
  <c r="M36" i="37" s="1"/>
  <c r="W36" i="37" s="1"/>
  <c r="E37" i="37"/>
  <c r="K37" i="37" s="1"/>
  <c r="M37" i="37" s="1"/>
  <c r="G37" i="37"/>
  <c r="O37" i="37" s="1"/>
  <c r="Q37" i="37" s="1"/>
  <c r="AA37" i="37" s="1"/>
  <c r="O36" i="37"/>
  <c r="Q36" i="37" s="1"/>
  <c r="K33" i="37"/>
  <c r="M33" i="37" s="1"/>
  <c r="E34" i="37"/>
  <c r="K34" i="37" s="1"/>
  <c r="M34" i="37" s="1"/>
  <c r="G34" i="37"/>
  <c r="O34" i="37" s="1"/>
  <c r="Q34" i="37" s="1"/>
  <c r="AA34" i="37" s="1"/>
  <c r="O33" i="37"/>
  <c r="Q33" i="37" s="1"/>
  <c r="AA33" i="37" s="1"/>
  <c r="K30" i="37"/>
  <c r="M30" i="37" s="1"/>
  <c r="E31" i="37"/>
  <c r="K31" i="37" s="1"/>
  <c r="M31" i="37" s="1"/>
  <c r="G31" i="37"/>
  <c r="O31" i="37" s="1"/>
  <c r="Q31" i="37" s="1"/>
  <c r="AA31" i="37" s="1"/>
  <c r="O30" i="37"/>
  <c r="Q30" i="37" s="1"/>
  <c r="AA30" i="37" s="1"/>
  <c r="E28" i="37"/>
  <c r="K28" i="37" s="1"/>
  <c r="M28" i="37" s="1"/>
  <c r="K27" i="37"/>
  <c r="M27" i="37" s="1"/>
  <c r="W27" i="37" s="1"/>
  <c r="G28" i="37"/>
  <c r="O28" i="37" s="1"/>
  <c r="Q28" i="37" s="1"/>
  <c r="AA28" i="37" s="1"/>
  <c r="O27" i="37"/>
  <c r="Q27" i="37" s="1"/>
  <c r="AA27" i="37" s="1"/>
  <c r="N19" i="37"/>
  <c r="L19" i="37" s="1"/>
  <c r="V19" i="37" s="1"/>
  <c r="D22" i="37"/>
  <c r="D25" i="37" s="1"/>
  <c r="J25" i="37" s="1"/>
  <c r="J19" i="37"/>
  <c r="F21" i="37"/>
  <c r="N21" i="37" s="1"/>
  <c r="N18" i="37"/>
  <c r="L18" i="37" s="1"/>
  <c r="V18" i="37" s="1"/>
  <c r="L15" i="37"/>
  <c r="V15" i="37" s="1"/>
  <c r="F23" i="37"/>
  <c r="N23" i="37" s="1"/>
  <c r="L23" i="37" s="1"/>
  <c r="V23" i="37" s="1"/>
  <c r="N20" i="37"/>
  <c r="L20" i="37" s="1"/>
  <c r="V20" i="37" s="1"/>
  <c r="F24" i="37"/>
  <c r="N24" i="37" s="1"/>
  <c r="X24" i="37" s="1"/>
  <c r="F25" i="37"/>
  <c r="N25" i="37" s="1"/>
  <c r="L25" i="37" s="1"/>
  <c r="V25" i="37" s="1"/>
  <c r="N22" i="37"/>
  <c r="X22" i="37" s="1"/>
  <c r="J22" i="37"/>
  <c r="D21" i="37"/>
  <c r="D23" i="37"/>
  <c r="J23" i="37" s="1"/>
  <c r="O15" i="37"/>
  <c r="Q15" i="37" s="1"/>
  <c r="G16" i="37"/>
  <c r="O16" i="37" s="1"/>
  <c r="Q16" i="37" s="1"/>
  <c r="AA16" i="37" s="1"/>
  <c r="E16" i="37"/>
  <c r="K16" i="37" s="1"/>
  <c r="M16" i="37" s="1"/>
  <c r="W16" i="37" s="1"/>
  <c r="K20" i="37"/>
  <c r="M20" i="37" s="1"/>
  <c r="O20" i="37"/>
  <c r="Q20" i="37" s="1"/>
  <c r="AA20" i="37" s="1"/>
  <c r="K25" i="37"/>
  <c r="M25" i="37" s="1"/>
  <c r="K24" i="37"/>
  <c r="M24" i="37" s="1"/>
  <c r="W24" i="37" s="1"/>
  <c r="O25" i="37"/>
  <c r="Q25" i="37" s="1"/>
  <c r="AA25" i="37" s="1"/>
  <c r="O24" i="37"/>
  <c r="Q24" i="37" s="1"/>
  <c r="AA24" i="37" s="1"/>
  <c r="O22" i="37"/>
  <c r="Q22" i="37" s="1"/>
  <c r="O21" i="37"/>
  <c r="Q21" i="37" s="1"/>
  <c r="AA21" i="37" s="1"/>
  <c r="K21" i="37"/>
  <c r="M21" i="37" s="1"/>
  <c r="O19" i="37"/>
  <c r="Q19" i="37" s="1"/>
  <c r="AA19" i="37" s="1"/>
  <c r="O18" i="37"/>
  <c r="Q18" i="37" s="1"/>
  <c r="X17" i="37"/>
  <c r="K18" i="37"/>
  <c r="M18" i="37" s="1"/>
  <c r="O14" i="37"/>
  <c r="Q14" i="37" s="1"/>
  <c r="O13" i="37"/>
  <c r="Q13" i="37" s="1"/>
  <c r="K14" i="37"/>
  <c r="M14" i="37" s="1"/>
  <c r="W14" i="37" s="1"/>
  <c r="K13" i="37"/>
  <c r="M13" i="37" s="1"/>
  <c r="L13" i="37"/>
  <c r="V13" i="37" s="1"/>
  <c r="M11" i="37"/>
  <c r="G60" i="36"/>
  <c r="G61" i="36" s="1"/>
  <c r="O59" i="36"/>
  <c r="Q59" i="36" s="1"/>
  <c r="E60" i="36"/>
  <c r="K59" i="36"/>
  <c r="M59" i="36" s="1"/>
  <c r="O60" i="36"/>
  <c r="Q60" i="36" s="1"/>
  <c r="G49" i="36"/>
  <c r="O48" i="36"/>
  <c r="Q48" i="36" s="1"/>
  <c r="K48" i="36"/>
  <c r="M48" i="36" s="1"/>
  <c r="E49" i="36"/>
  <c r="O36" i="36"/>
  <c r="G37" i="36"/>
  <c r="K36" i="36"/>
  <c r="M36" i="36" s="1"/>
  <c r="E37" i="36"/>
  <c r="G28" i="36"/>
  <c r="O27" i="36"/>
  <c r="Q27" i="36" s="1"/>
  <c r="K28" i="36"/>
  <c r="M28" i="36" s="1"/>
  <c r="E29" i="36"/>
  <c r="E25" i="36"/>
  <c r="K25" i="36" s="1"/>
  <c r="K24" i="36"/>
  <c r="M24" i="36" s="1"/>
  <c r="G25" i="36"/>
  <c r="O25" i="36" s="1"/>
  <c r="Q25" i="36" s="1"/>
  <c r="O24" i="36"/>
  <c r="Q24" i="36" s="1"/>
  <c r="K16" i="36"/>
  <c r="E17" i="36"/>
  <c r="E18" i="36" s="1"/>
  <c r="E19" i="36" s="1"/>
  <c r="E20" i="36" s="1"/>
  <c r="E21" i="36" s="1"/>
  <c r="E22" i="36" s="1"/>
  <c r="O16" i="36"/>
  <c r="G17" i="36"/>
  <c r="K17" i="36"/>
  <c r="M17" i="36" s="1"/>
  <c r="K14" i="36"/>
  <c r="K15" i="36"/>
  <c r="M15" i="36" s="1"/>
  <c r="O15" i="36"/>
  <c r="O14" i="36"/>
  <c r="Q14" i="36" s="1"/>
  <c r="N18" i="35"/>
  <c r="J18" i="35"/>
  <c r="T18" i="35" s="1"/>
  <c r="K52" i="35"/>
  <c r="K51" i="35"/>
  <c r="M51" i="35" s="1"/>
  <c r="O52" i="35"/>
  <c r="Q52" i="35" s="1"/>
  <c r="O51" i="35"/>
  <c r="Q51" i="35" s="1"/>
  <c r="K50" i="35"/>
  <c r="M50" i="35" s="1"/>
  <c r="K46" i="35"/>
  <c r="M46" i="35" s="1"/>
  <c r="K45" i="35"/>
  <c r="M45" i="35" s="1"/>
  <c r="O46" i="35"/>
  <c r="Q46" i="35" s="1"/>
  <c r="O45" i="35"/>
  <c r="Q45" i="35" s="1"/>
  <c r="O28" i="35"/>
  <c r="Q28" i="35" s="1"/>
  <c r="O27" i="35"/>
  <c r="K28" i="35"/>
  <c r="M28" i="35" s="1"/>
  <c r="K27" i="35"/>
  <c r="O22" i="35"/>
  <c r="Q22" i="35" s="1"/>
  <c r="O21" i="35"/>
  <c r="Q21" i="35" s="1"/>
  <c r="K21" i="35"/>
  <c r="M21" i="35" s="1"/>
  <c r="O17" i="35"/>
  <c r="K49" i="35"/>
  <c r="M49" i="35" s="1"/>
  <c r="K48" i="35"/>
  <c r="J21" i="35"/>
  <c r="P21" i="35" s="1"/>
  <c r="Z21" i="35" s="1"/>
  <c r="K31" i="35"/>
  <c r="M31" i="35" s="1"/>
  <c r="K30" i="35"/>
  <c r="M30" i="35" s="1"/>
  <c r="O49" i="35"/>
  <c r="Q49" i="35" s="1"/>
  <c r="O48" i="35"/>
  <c r="N21" i="35"/>
  <c r="X21" i="35" s="1"/>
  <c r="J25" i="35"/>
  <c r="P25" i="35" s="1"/>
  <c r="Z25" i="35" s="1"/>
  <c r="O31" i="35"/>
  <c r="O30" i="35"/>
  <c r="Q30" i="35" s="1"/>
  <c r="K43" i="35"/>
  <c r="M43" i="35" s="1"/>
  <c r="K42" i="35"/>
  <c r="U42" i="35" s="1"/>
  <c r="K25" i="35"/>
  <c r="U25" i="35" s="1"/>
  <c r="K24" i="35"/>
  <c r="U24" i="35" s="1"/>
  <c r="K33" i="35"/>
  <c r="M33" i="35" s="1"/>
  <c r="K34" i="35"/>
  <c r="M34" i="35" s="1"/>
  <c r="O43" i="35"/>
  <c r="O42" i="35"/>
  <c r="Q42" i="35" s="1"/>
  <c r="N22" i="35"/>
  <c r="O25" i="35"/>
  <c r="Q25" i="35" s="1"/>
  <c r="O24" i="35"/>
  <c r="Q24" i="35" s="1"/>
  <c r="O34" i="35"/>
  <c r="O33" i="35"/>
  <c r="O19" i="35"/>
  <c r="Q19" i="35" s="1"/>
  <c r="O18" i="35"/>
  <c r="Q18" i="35" s="1"/>
  <c r="J23" i="35"/>
  <c r="P23" i="35" s="1"/>
  <c r="Z23" i="35" s="1"/>
  <c r="K36" i="35"/>
  <c r="K37" i="35"/>
  <c r="M37" i="35" s="1"/>
  <c r="K19" i="35"/>
  <c r="M19" i="35" s="1"/>
  <c r="K18" i="35"/>
  <c r="M18" i="35" s="1"/>
  <c r="O37" i="35"/>
  <c r="Q37" i="35" s="1"/>
  <c r="O36" i="35"/>
  <c r="Q36" i="35" s="1"/>
  <c r="K55" i="35"/>
  <c r="M55" i="35" s="1"/>
  <c r="K54" i="35"/>
  <c r="M54" i="35" s="1"/>
  <c r="N20" i="35"/>
  <c r="K39" i="35"/>
  <c r="M39" i="35" s="1"/>
  <c r="K40" i="35"/>
  <c r="U40" i="35" s="1"/>
  <c r="O55" i="35"/>
  <c r="O54" i="35"/>
  <c r="Q54" i="35" s="1"/>
  <c r="J20" i="35"/>
  <c r="J22" i="35"/>
  <c r="O15" i="35"/>
  <c r="Q15" i="35" s="1"/>
  <c r="G16" i="35"/>
  <c r="O16" i="35" s="1"/>
  <c r="Q16" i="35" s="1"/>
  <c r="K15" i="35"/>
  <c r="M15" i="35" s="1"/>
  <c r="E16" i="35"/>
  <c r="K16" i="35" s="1"/>
  <c r="U16" i="35" s="1"/>
  <c r="O24" i="34"/>
  <c r="K21" i="34"/>
  <c r="K18" i="34"/>
  <c r="X13" i="34"/>
  <c r="E27" i="33"/>
  <c r="E28" i="33" s="1"/>
  <c r="K28" i="33" s="1"/>
  <c r="K23" i="33"/>
  <c r="O23" i="33"/>
  <c r="G18" i="33"/>
  <c r="E34" i="33"/>
  <c r="K34" i="33" s="1"/>
  <c r="K33" i="33"/>
  <c r="G34" i="33"/>
  <c r="O34" i="33" s="1"/>
  <c r="O33" i="33"/>
  <c r="Q33" i="33" s="1"/>
  <c r="AA33" i="33" s="1"/>
  <c r="E31" i="33"/>
  <c r="K31" i="33" s="1"/>
  <c r="K30" i="33"/>
  <c r="G31" i="33"/>
  <c r="O31" i="33" s="1"/>
  <c r="O30" i="33"/>
  <c r="G28" i="33"/>
  <c r="O28" i="33" s="1"/>
  <c r="O27" i="33"/>
  <c r="K27" i="33"/>
  <c r="M27" i="33" s="1"/>
  <c r="W27" i="33" s="1"/>
  <c r="X27" i="33"/>
  <c r="E25" i="33"/>
  <c r="K25" i="33" s="1"/>
  <c r="M25" i="33" s="1"/>
  <c r="W25" i="33" s="1"/>
  <c r="K24" i="33"/>
  <c r="G25" i="33"/>
  <c r="O25" i="33" s="1"/>
  <c r="O24" i="33"/>
  <c r="G22" i="33"/>
  <c r="O22" i="33" s="1"/>
  <c r="O21" i="33"/>
  <c r="E22" i="33"/>
  <c r="K22" i="33" s="1"/>
  <c r="M22" i="33" s="1"/>
  <c r="W22" i="33" s="1"/>
  <c r="E19" i="33"/>
  <c r="K19" i="33" s="1"/>
  <c r="U19" i="33" s="1"/>
  <c r="K18" i="33"/>
  <c r="M18" i="33" s="1"/>
  <c r="W18" i="33" s="1"/>
  <c r="X17" i="33"/>
  <c r="O15" i="33"/>
  <c r="G16" i="33"/>
  <c r="O16" i="33" s="1"/>
  <c r="K15" i="33"/>
  <c r="E16" i="33"/>
  <c r="K16" i="33" s="1"/>
  <c r="O52" i="32"/>
  <c r="Q52" i="32" s="1"/>
  <c r="G49" i="32"/>
  <c r="O49" i="32" s="1"/>
  <c r="Q49" i="32" s="1"/>
  <c r="O48" i="32"/>
  <c r="Q48" i="32" s="1"/>
  <c r="E49" i="32"/>
  <c r="K49" i="32" s="1"/>
  <c r="M49" i="32" s="1"/>
  <c r="K48" i="32"/>
  <c r="M48" i="32" s="1"/>
  <c r="W48" i="32" s="1"/>
  <c r="O44" i="32"/>
  <c r="Q44" i="32" s="1"/>
  <c r="G45" i="32"/>
  <c r="K44" i="32"/>
  <c r="M44" i="32" s="1"/>
  <c r="E45" i="32"/>
  <c r="O40" i="32"/>
  <c r="Q40" i="32" s="1"/>
  <c r="G41" i="32"/>
  <c r="K40" i="32"/>
  <c r="M40" i="32" s="1"/>
  <c r="E41" i="32"/>
  <c r="O36" i="32"/>
  <c r="G37" i="32"/>
  <c r="K36" i="32"/>
  <c r="M36" i="32" s="1"/>
  <c r="E37" i="32"/>
  <c r="K23" i="32"/>
  <c r="M23" i="32" s="1"/>
  <c r="K31" i="32"/>
  <c r="M31" i="32" s="1"/>
  <c r="D29" i="32"/>
  <c r="J23" i="32"/>
  <c r="K27" i="32"/>
  <c r="M27" i="32" s="1"/>
  <c r="N33" i="32"/>
  <c r="N29" i="32"/>
  <c r="L29" i="32" s="1"/>
  <c r="V29" i="32" s="1"/>
  <c r="J34" i="32"/>
  <c r="P34" i="32" s="1"/>
  <c r="Z34" i="32" s="1"/>
  <c r="J30" i="32"/>
  <c r="N34" i="32"/>
  <c r="X34" i="32" s="1"/>
  <c r="N30" i="32"/>
  <c r="X30" i="32" s="1"/>
  <c r="N31" i="32"/>
  <c r="X31" i="32" s="1"/>
  <c r="N27" i="32"/>
  <c r="X27" i="32" s="1"/>
  <c r="J28" i="32"/>
  <c r="J32" i="32"/>
  <c r="T32" i="32" s="1"/>
  <c r="N32" i="32"/>
  <c r="X32" i="32" s="1"/>
  <c r="N28" i="32"/>
  <c r="X28" i="32" s="1"/>
  <c r="O32" i="32"/>
  <c r="Q32" i="32" s="1"/>
  <c r="K32" i="32"/>
  <c r="M32" i="32" s="1"/>
  <c r="W32" i="32" s="1"/>
  <c r="O28" i="32"/>
  <c r="Q28" i="32" s="1"/>
  <c r="K28" i="32"/>
  <c r="M28" i="32" s="1"/>
  <c r="O24" i="32"/>
  <c r="Q24" i="32" s="1"/>
  <c r="K24" i="32"/>
  <c r="M24" i="32" s="1"/>
  <c r="W24" i="32" s="1"/>
  <c r="O20" i="32"/>
  <c r="Q20" i="32" s="1"/>
  <c r="G21" i="32"/>
  <c r="K20" i="32"/>
  <c r="M20" i="32" s="1"/>
  <c r="W20" i="32" s="1"/>
  <c r="E21" i="32"/>
  <c r="O33" i="31"/>
  <c r="Q33" i="31" s="1"/>
  <c r="K56" i="31"/>
  <c r="M56" i="31" s="1"/>
  <c r="K55" i="31"/>
  <c r="M55" i="31" s="1"/>
  <c r="K72" i="31"/>
  <c r="M72" i="31" s="1"/>
  <c r="O72" i="31"/>
  <c r="Q72" i="31" s="1"/>
  <c r="T72" i="31"/>
  <c r="J23" i="31"/>
  <c r="N28" i="31"/>
  <c r="N33" i="31"/>
  <c r="L33" i="31" s="1"/>
  <c r="V33" i="31" s="1"/>
  <c r="N25" i="31"/>
  <c r="X25" i="31" s="1"/>
  <c r="N26" i="31"/>
  <c r="J32" i="31"/>
  <c r="J26" i="31"/>
  <c r="J38" i="31"/>
  <c r="T38" i="31" s="1"/>
  <c r="F30" i="31"/>
  <c r="F24" i="31"/>
  <c r="D31" i="31"/>
  <c r="L72" i="31"/>
  <c r="V72" i="31" s="1"/>
  <c r="D28" i="31"/>
  <c r="F32" i="31"/>
  <c r="D29" i="31"/>
  <c r="O44" i="31"/>
  <c r="Q44" i="31" s="1"/>
  <c r="D24" i="31"/>
  <c r="F29" i="31"/>
  <c r="D25" i="31"/>
  <c r="D30" i="31"/>
  <c r="K67" i="31"/>
  <c r="M67" i="31" s="1"/>
  <c r="O55" i="31"/>
  <c r="Q55" i="31" s="1"/>
  <c r="K33" i="31"/>
  <c r="M33" i="31" s="1"/>
  <c r="O67" i="31"/>
  <c r="Q67" i="31" s="1"/>
  <c r="O56" i="31"/>
  <c r="Q56" i="31" s="1"/>
  <c r="K45" i="31"/>
  <c r="M45" i="31" s="1"/>
  <c r="O45" i="31"/>
  <c r="Q45" i="31" s="1"/>
  <c r="K34" i="31"/>
  <c r="M34" i="31" s="1"/>
  <c r="O34" i="31"/>
  <c r="Q34" i="31" s="1"/>
  <c r="G24" i="31"/>
  <c r="O23" i="31"/>
  <c r="Q23" i="31" s="1"/>
  <c r="E24" i="31"/>
  <c r="K23" i="31"/>
  <c r="M23" i="31" s="1"/>
  <c r="J55" i="30"/>
  <c r="J43" i="30"/>
  <c r="O173" i="28"/>
  <c r="Q173" i="28" s="1"/>
  <c r="G174" i="28"/>
  <c r="K173" i="28"/>
  <c r="E174" i="28"/>
  <c r="G158" i="28"/>
  <c r="O157" i="28"/>
  <c r="Q157" i="28" s="1"/>
  <c r="K157" i="28"/>
  <c r="M157" i="28" s="1"/>
  <c r="E158" i="28"/>
  <c r="F127" i="28"/>
  <c r="N127" i="28" s="1"/>
  <c r="X127" i="28" s="1"/>
  <c r="N98" i="28"/>
  <c r="N101" i="28"/>
  <c r="X101" i="28" s="1"/>
  <c r="F130" i="28"/>
  <c r="N130" i="28" s="1"/>
  <c r="X130" i="28" s="1"/>
  <c r="F154" i="28"/>
  <c r="N154" i="28" s="1"/>
  <c r="X154" i="28" s="1"/>
  <c r="N125" i="28"/>
  <c r="X125" i="28" s="1"/>
  <c r="N102" i="28"/>
  <c r="F131" i="28"/>
  <c r="N131" i="28" s="1"/>
  <c r="X131" i="28" s="1"/>
  <c r="F135" i="28"/>
  <c r="N135" i="28" s="1"/>
  <c r="X135" i="28" s="1"/>
  <c r="N106" i="28"/>
  <c r="F139" i="28"/>
  <c r="N139" i="28" s="1"/>
  <c r="X139" i="28" s="1"/>
  <c r="N110" i="28"/>
  <c r="F143" i="28"/>
  <c r="N143" i="28" s="1"/>
  <c r="X143" i="28" s="1"/>
  <c r="N114" i="28"/>
  <c r="F147" i="28"/>
  <c r="N147" i="28" s="1"/>
  <c r="X147" i="28" s="1"/>
  <c r="N118" i="28"/>
  <c r="X118" i="28" s="1"/>
  <c r="F151" i="28"/>
  <c r="N151" i="28" s="1"/>
  <c r="X151" i="28" s="1"/>
  <c r="N122" i="28"/>
  <c r="F155" i="28"/>
  <c r="N155" i="28" s="1"/>
  <c r="L155" i="28" s="1"/>
  <c r="V155" i="28" s="1"/>
  <c r="N126" i="28"/>
  <c r="X126" i="28" s="1"/>
  <c r="J99" i="28"/>
  <c r="D128" i="28"/>
  <c r="J128" i="28" s="1"/>
  <c r="J103" i="28"/>
  <c r="D132" i="28"/>
  <c r="J132" i="28" s="1"/>
  <c r="T132" i="28" s="1"/>
  <c r="J107" i="28"/>
  <c r="D136" i="28"/>
  <c r="J136" i="28" s="1"/>
  <c r="D148" i="28"/>
  <c r="J148" i="28" s="1"/>
  <c r="T148" i="28" s="1"/>
  <c r="J119" i="28"/>
  <c r="D152" i="28"/>
  <c r="J152" i="28" s="1"/>
  <c r="T152" i="28" s="1"/>
  <c r="J123" i="28"/>
  <c r="N121" i="28"/>
  <c r="X121" i="28" s="1"/>
  <c r="F150" i="28"/>
  <c r="N150" i="28" s="1"/>
  <c r="L150" i="28" s="1"/>
  <c r="V150" i="28" s="1"/>
  <c r="N99" i="28"/>
  <c r="X99" i="28" s="1"/>
  <c r="F128" i="28"/>
  <c r="N128" i="28" s="1"/>
  <c r="F132" i="28"/>
  <c r="N132" i="28" s="1"/>
  <c r="L132" i="28" s="1"/>
  <c r="V132" i="28" s="1"/>
  <c r="N103" i="28"/>
  <c r="X103" i="28" s="1"/>
  <c r="F136" i="28"/>
  <c r="N136" i="28" s="1"/>
  <c r="L136" i="28" s="1"/>
  <c r="V136" i="28" s="1"/>
  <c r="N107" i="28"/>
  <c r="X107" i="28" s="1"/>
  <c r="N111" i="28"/>
  <c r="X111" i="28" s="1"/>
  <c r="F140" i="28"/>
  <c r="N140" i="28" s="1"/>
  <c r="L140" i="28" s="1"/>
  <c r="V140" i="28" s="1"/>
  <c r="F144" i="28"/>
  <c r="N144" i="28" s="1"/>
  <c r="N115" i="28"/>
  <c r="X115" i="28" s="1"/>
  <c r="N119" i="28"/>
  <c r="X119" i="28" s="1"/>
  <c r="F148" i="28"/>
  <c r="N148" i="28" s="1"/>
  <c r="L148" i="28" s="1"/>
  <c r="V148" i="28" s="1"/>
  <c r="N123" i="28"/>
  <c r="X123" i="28" s="1"/>
  <c r="F152" i="28"/>
  <c r="N152" i="28" s="1"/>
  <c r="N117" i="28"/>
  <c r="X117" i="28" s="1"/>
  <c r="F146" i="28"/>
  <c r="N146" i="28" s="1"/>
  <c r="X146" i="28" s="1"/>
  <c r="F134" i="28"/>
  <c r="N134" i="28" s="1"/>
  <c r="X134" i="28" s="1"/>
  <c r="N105" i="28"/>
  <c r="X105" i="28" s="1"/>
  <c r="N113" i="28"/>
  <c r="X113" i="28" s="1"/>
  <c r="F142" i="28"/>
  <c r="N142" i="28" s="1"/>
  <c r="X142" i="28" s="1"/>
  <c r="F129" i="28"/>
  <c r="N129" i="28" s="1"/>
  <c r="X129" i="28" s="1"/>
  <c r="N100" i="28"/>
  <c r="F133" i="28"/>
  <c r="N133" i="28" s="1"/>
  <c r="X133" i="28" s="1"/>
  <c r="N104" i="28"/>
  <c r="L104" i="28" s="1"/>
  <c r="V104" i="28" s="1"/>
  <c r="F137" i="28"/>
  <c r="N137" i="28" s="1"/>
  <c r="X137" i="28" s="1"/>
  <c r="N108" i="28"/>
  <c r="F141" i="28"/>
  <c r="N141" i="28" s="1"/>
  <c r="X141" i="28" s="1"/>
  <c r="N112" i="28"/>
  <c r="F145" i="28"/>
  <c r="N145" i="28" s="1"/>
  <c r="X145" i="28" s="1"/>
  <c r="N116" i="28"/>
  <c r="F149" i="28"/>
  <c r="N149" i="28" s="1"/>
  <c r="X149" i="28" s="1"/>
  <c r="N120" i="28"/>
  <c r="L120" i="28" s="1"/>
  <c r="V120" i="28" s="1"/>
  <c r="F153" i="28"/>
  <c r="N153" i="28" s="1"/>
  <c r="N124" i="28"/>
  <c r="L124" i="28" s="1"/>
  <c r="V124" i="28" s="1"/>
  <c r="N109" i="28"/>
  <c r="X109" i="28" s="1"/>
  <c r="F138" i="28"/>
  <c r="N138" i="28" s="1"/>
  <c r="X138" i="28" s="1"/>
  <c r="J105" i="28"/>
  <c r="D134" i="28"/>
  <c r="J134" i="28" s="1"/>
  <c r="J109" i="28"/>
  <c r="D138" i="28"/>
  <c r="J138" i="28" s="1"/>
  <c r="P138" i="28" s="1"/>
  <c r="Z138" i="28" s="1"/>
  <c r="D150" i="28"/>
  <c r="J150" i="28" s="1"/>
  <c r="T150" i="28" s="1"/>
  <c r="J121" i="28"/>
  <c r="J125" i="28"/>
  <c r="D154" i="28"/>
  <c r="J154" i="28" s="1"/>
  <c r="T154" i="28" s="1"/>
  <c r="J118" i="28"/>
  <c r="T118" i="28" s="1"/>
  <c r="J70" i="28"/>
  <c r="J92" i="28"/>
  <c r="T92" i="28" s="1"/>
  <c r="J80" i="28"/>
  <c r="T80" i="28" s="1"/>
  <c r="J98" i="28"/>
  <c r="T98" i="28" s="1"/>
  <c r="J104" i="28"/>
  <c r="T104" i="28" s="1"/>
  <c r="J108" i="28"/>
  <c r="T108" i="28" s="1"/>
  <c r="J122" i="28"/>
  <c r="T122" i="28" s="1"/>
  <c r="J74" i="28"/>
  <c r="T74" i="28" s="1"/>
  <c r="J94" i="28"/>
  <c r="T94" i="28" s="1"/>
  <c r="J126" i="28"/>
  <c r="J76" i="28"/>
  <c r="T76" i="28" s="1"/>
  <c r="J96" i="28"/>
  <c r="T96" i="28" s="1"/>
  <c r="J112" i="28"/>
  <c r="T112" i="28" s="1"/>
  <c r="J116" i="28"/>
  <c r="T116" i="28" s="1"/>
  <c r="J78" i="28"/>
  <c r="T78" i="28" s="1"/>
  <c r="D101" i="28"/>
  <c r="D111" i="28"/>
  <c r="D113" i="28"/>
  <c r="D115" i="28"/>
  <c r="D117" i="28"/>
  <c r="D131" i="28"/>
  <c r="J131" i="28" s="1"/>
  <c r="D135" i="28"/>
  <c r="J135" i="28" s="1"/>
  <c r="D139" i="28"/>
  <c r="J139" i="28" s="1"/>
  <c r="D149" i="28"/>
  <c r="J149" i="28" s="1"/>
  <c r="P149" i="28" s="1"/>
  <c r="Z149" i="28" s="1"/>
  <c r="D153" i="28"/>
  <c r="J153" i="28" s="1"/>
  <c r="K128" i="28"/>
  <c r="M128" i="28" s="1"/>
  <c r="O128" i="28"/>
  <c r="Q128" i="28" s="1"/>
  <c r="AA128" i="28" s="1"/>
  <c r="K99" i="28"/>
  <c r="M99" i="28" s="1"/>
  <c r="O99" i="28"/>
  <c r="Q99" i="28" s="1"/>
  <c r="K70" i="28"/>
  <c r="M70" i="28" s="1"/>
  <c r="O70" i="28"/>
  <c r="Q70" i="28" s="1"/>
  <c r="E42" i="28"/>
  <c r="K41" i="28"/>
  <c r="M41" i="28" s="1"/>
  <c r="G42" i="28"/>
  <c r="O41" i="28"/>
  <c r="Q41" i="28" s="1"/>
  <c r="E250" i="27"/>
  <c r="K249" i="27"/>
  <c r="M249" i="27" s="1"/>
  <c r="G250" i="27"/>
  <c r="O249" i="27"/>
  <c r="Q249" i="27" s="1"/>
  <c r="E247" i="27"/>
  <c r="K247" i="27" s="1"/>
  <c r="M247" i="27" s="1"/>
  <c r="K246" i="27"/>
  <c r="M246" i="27" s="1"/>
  <c r="G247" i="27"/>
  <c r="O247" i="27" s="1"/>
  <c r="O246" i="27"/>
  <c r="K236" i="27"/>
  <c r="M236" i="27" s="1"/>
  <c r="E237" i="27"/>
  <c r="O236" i="27"/>
  <c r="Q236" i="27" s="1"/>
  <c r="G237" i="27"/>
  <c r="E226" i="27"/>
  <c r="K225" i="27"/>
  <c r="M225" i="27" s="1"/>
  <c r="G226" i="27"/>
  <c r="O225" i="27"/>
  <c r="Q225" i="27" s="1"/>
  <c r="E221" i="27"/>
  <c r="K220" i="27"/>
  <c r="M220" i="27" s="1"/>
  <c r="G221" i="27"/>
  <c r="O220" i="27"/>
  <c r="Q220" i="27" s="1"/>
  <c r="G205" i="27"/>
  <c r="O204" i="27"/>
  <c r="K204" i="27"/>
  <c r="E205" i="27"/>
  <c r="O203" i="27"/>
  <c r="Q203" i="27" s="1"/>
  <c r="AA203" i="27" s="1"/>
  <c r="D69" i="27"/>
  <c r="D85" i="27" s="1"/>
  <c r="D101" i="27" s="1"/>
  <c r="D117" i="27" s="1"/>
  <c r="D133" i="27" s="1"/>
  <c r="D149" i="27" s="1"/>
  <c r="D165" i="27" s="1"/>
  <c r="D181" i="27" s="1"/>
  <c r="D197" i="27" s="1"/>
  <c r="D59" i="27"/>
  <c r="D75" i="27" s="1"/>
  <c r="D91" i="27" s="1"/>
  <c r="D107" i="27" s="1"/>
  <c r="D123" i="27" s="1"/>
  <c r="D139" i="27" s="1"/>
  <c r="D155" i="27" s="1"/>
  <c r="D171" i="27" s="1"/>
  <c r="D187" i="27" s="1"/>
  <c r="D73" i="27"/>
  <c r="D89" i="27" s="1"/>
  <c r="D105" i="27" s="1"/>
  <c r="D121" i="27" s="1"/>
  <c r="D137" i="27" s="1"/>
  <c r="D153" i="27" s="1"/>
  <c r="D169" i="27" s="1"/>
  <c r="D185" i="27" s="1"/>
  <c r="D201" i="27" s="1"/>
  <c r="D65" i="27"/>
  <c r="D81" i="27" s="1"/>
  <c r="D97" i="27" s="1"/>
  <c r="D113" i="27" s="1"/>
  <c r="D129" i="27" s="1"/>
  <c r="D145" i="27" s="1"/>
  <c r="D161" i="27" s="1"/>
  <c r="D177" i="27" s="1"/>
  <c r="D193" i="27" s="1"/>
  <c r="F59" i="27"/>
  <c r="F75" i="27" s="1"/>
  <c r="F91" i="27" s="1"/>
  <c r="F107" i="27" s="1"/>
  <c r="F123" i="27" s="1"/>
  <c r="F139" i="27" s="1"/>
  <c r="F155" i="27" s="1"/>
  <c r="F171" i="27" s="1"/>
  <c r="F187" i="27" s="1"/>
  <c r="N44" i="27"/>
  <c r="L44" i="27" s="1"/>
  <c r="V44" i="27" s="1"/>
  <c r="N46" i="27"/>
  <c r="X46" i="27" s="1"/>
  <c r="N48" i="27"/>
  <c r="X48" i="27" s="1"/>
  <c r="N52" i="27"/>
  <c r="L52" i="27" s="1"/>
  <c r="V52" i="27" s="1"/>
  <c r="N61" i="27"/>
  <c r="N65" i="27"/>
  <c r="L65" i="27" s="1"/>
  <c r="V65" i="27" s="1"/>
  <c r="N69" i="27"/>
  <c r="X69" i="27" s="1"/>
  <c r="N73" i="27"/>
  <c r="X73" i="27" s="1"/>
  <c r="J62" i="27"/>
  <c r="P62" i="27" s="1"/>
  <c r="Z62" i="27" s="1"/>
  <c r="J66" i="27"/>
  <c r="P66" i="27" s="1"/>
  <c r="Z66" i="27" s="1"/>
  <c r="J70" i="27"/>
  <c r="T70" i="27" s="1"/>
  <c r="J74" i="27"/>
  <c r="T74" i="27" s="1"/>
  <c r="N62" i="27"/>
  <c r="X62" i="27" s="1"/>
  <c r="N66" i="27"/>
  <c r="L66" i="27" s="1"/>
  <c r="V66" i="27" s="1"/>
  <c r="N70" i="27"/>
  <c r="L70" i="27" s="1"/>
  <c r="V70" i="27" s="1"/>
  <c r="N74" i="27"/>
  <c r="L74" i="27" s="1"/>
  <c r="V74" i="27" s="1"/>
  <c r="N67" i="27"/>
  <c r="L67" i="27" s="1"/>
  <c r="V67" i="27" s="1"/>
  <c r="J80" i="27"/>
  <c r="P80" i="27" s="1"/>
  <c r="Z80" i="27" s="1"/>
  <c r="J116" i="27"/>
  <c r="T116" i="27" s="1"/>
  <c r="N76" i="27"/>
  <c r="L76" i="27" s="1"/>
  <c r="V76" i="27" s="1"/>
  <c r="N112" i="27"/>
  <c r="X112" i="27" s="1"/>
  <c r="N77" i="27"/>
  <c r="L77" i="27" s="1"/>
  <c r="V77" i="27" s="1"/>
  <c r="N81" i="27"/>
  <c r="X81" i="27" s="1"/>
  <c r="N85" i="27"/>
  <c r="L85" i="27" s="1"/>
  <c r="V85" i="27" s="1"/>
  <c r="N89" i="27"/>
  <c r="X89" i="27" s="1"/>
  <c r="J78" i="27"/>
  <c r="P78" i="27" s="1"/>
  <c r="Z78" i="27" s="1"/>
  <c r="J82" i="27"/>
  <c r="P82" i="27" s="1"/>
  <c r="Z82" i="27" s="1"/>
  <c r="J86" i="27"/>
  <c r="P86" i="27" s="1"/>
  <c r="Z86" i="27" s="1"/>
  <c r="N78" i="27"/>
  <c r="L78" i="27" s="1"/>
  <c r="V78" i="27" s="1"/>
  <c r="N82" i="27"/>
  <c r="L82" i="27" s="1"/>
  <c r="V82" i="27" s="1"/>
  <c r="N86" i="27"/>
  <c r="L86" i="27" s="1"/>
  <c r="V86" i="27" s="1"/>
  <c r="N80" i="27"/>
  <c r="X80" i="27" s="1"/>
  <c r="N116" i="27"/>
  <c r="X116" i="27" s="1"/>
  <c r="N84" i="27"/>
  <c r="L84" i="27" s="1"/>
  <c r="V84" i="27" s="1"/>
  <c r="N124" i="27"/>
  <c r="L124" i="27" s="1"/>
  <c r="V124" i="27" s="1"/>
  <c r="N92" i="27"/>
  <c r="X92" i="27" s="1"/>
  <c r="N128" i="27"/>
  <c r="X128" i="27" s="1"/>
  <c r="J132" i="27"/>
  <c r="N60" i="27"/>
  <c r="X60" i="27" s="1"/>
  <c r="N96" i="27"/>
  <c r="X96" i="27" s="1"/>
  <c r="N64" i="27"/>
  <c r="X64" i="27" s="1"/>
  <c r="N100" i="27"/>
  <c r="X100" i="27" s="1"/>
  <c r="N132" i="27"/>
  <c r="X132" i="27" s="1"/>
  <c r="J47" i="27"/>
  <c r="T47" i="27" s="1"/>
  <c r="N68" i="27"/>
  <c r="N104" i="27"/>
  <c r="X104" i="27" s="1"/>
  <c r="N108" i="27"/>
  <c r="X108" i="27" s="1"/>
  <c r="J136" i="27"/>
  <c r="T136" i="27" s="1"/>
  <c r="J76" i="27"/>
  <c r="T76" i="27" s="1"/>
  <c r="J112" i="27"/>
  <c r="T112" i="27" s="1"/>
  <c r="J60" i="27"/>
  <c r="P60" i="27" s="1"/>
  <c r="Z60" i="27" s="1"/>
  <c r="J96" i="27"/>
  <c r="T96" i="27" s="1"/>
  <c r="J64" i="27"/>
  <c r="P64" i="27" s="1"/>
  <c r="Z64" i="27" s="1"/>
  <c r="J100" i="27"/>
  <c r="T100" i="27" s="1"/>
  <c r="J148" i="27"/>
  <c r="T148" i="27" s="1"/>
  <c r="N140" i="27"/>
  <c r="L140" i="27" s="1"/>
  <c r="V140" i="27" s="1"/>
  <c r="N148" i="27"/>
  <c r="X148" i="27" s="1"/>
  <c r="J144" i="27"/>
  <c r="T144" i="27" s="1"/>
  <c r="J84" i="27"/>
  <c r="P84" i="27" s="1"/>
  <c r="Z84" i="27" s="1"/>
  <c r="J120" i="27"/>
  <c r="J68" i="27"/>
  <c r="P68" i="27" s="1"/>
  <c r="Z68" i="27" s="1"/>
  <c r="J104" i="27"/>
  <c r="J124" i="27"/>
  <c r="T124" i="27" s="1"/>
  <c r="J140" i="27"/>
  <c r="T140" i="27" s="1"/>
  <c r="J88" i="27"/>
  <c r="P88" i="27" s="1"/>
  <c r="Z88" i="27" s="1"/>
  <c r="J108" i="27"/>
  <c r="T108" i="27" s="1"/>
  <c r="J72" i="27"/>
  <c r="P72" i="27" s="1"/>
  <c r="Z72" i="27" s="1"/>
  <c r="J92" i="27"/>
  <c r="J128" i="27"/>
  <c r="G28" i="27"/>
  <c r="O28" i="27" s="1"/>
  <c r="Q28" i="27" s="1"/>
  <c r="E28" i="27"/>
  <c r="E29" i="27" s="1"/>
  <c r="N171" i="27"/>
  <c r="L171" i="27" s="1"/>
  <c r="V171" i="27" s="1"/>
  <c r="N187" i="27"/>
  <c r="L187" i="27" s="1"/>
  <c r="V187" i="27" s="1"/>
  <c r="N91" i="27"/>
  <c r="L91" i="27" s="1"/>
  <c r="V91" i="27" s="1"/>
  <c r="J160" i="27"/>
  <c r="T160" i="27" s="1"/>
  <c r="J164" i="27"/>
  <c r="N156" i="27"/>
  <c r="X156" i="27" s="1"/>
  <c r="N164" i="27"/>
  <c r="L164" i="27" s="1"/>
  <c r="V164" i="27" s="1"/>
  <c r="O43" i="27"/>
  <c r="Q43" i="27" s="1"/>
  <c r="AA43" i="27" s="1"/>
  <c r="K43" i="27"/>
  <c r="M43" i="27" s="1"/>
  <c r="J71" i="27"/>
  <c r="T71" i="27" s="1"/>
  <c r="N107" i="27"/>
  <c r="X107" i="27" s="1"/>
  <c r="N123" i="27"/>
  <c r="X123" i="27" s="1"/>
  <c r="J55" i="27"/>
  <c r="T55" i="27" s="1"/>
  <c r="L53" i="27"/>
  <c r="V53" i="27" s="1"/>
  <c r="N59" i="27"/>
  <c r="X59" i="27" s="1"/>
  <c r="N139" i="27"/>
  <c r="L139" i="27" s="1"/>
  <c r="V139" i="27" s="1"/>
  <c r="N155" i="27"/>
  <c r="X155" i="27" s="1"/>
  <c r="N75" i="27"/>
  <c r="X75" i="27" s="1"/>
  <c r="O44" i="27"/>
  <c r="Q44" i="27" s="1"/>
  <c r="AA44" i="27" s="1"/>
  <c r="K44" i="27"/>
  <c r="M44" i="27" s="1"/>
  <c r="L49" i="27"/>
  <c r="V49" i="27" s="1"/>
  <c r="J25" i="27"/>
  <c r="N25" i="27"/>
  <c r="L25" i="27" s="1"/>
  <c r="V25" i="27" s="1"/>
  <c r="D24" i="27"/>
  <c r="J24" i="27" s="1"/>
  <c r="P24" i="27" s="1"/>
  <c r="Z24" i="27" s="1"/>
  <c r="D22" i="27"/>
  <c r="J22" i="27" s="1"/>
  <c r="P22" i="27" s="1"/>
  <c r="Z22" i="27" s="1"/>
  <c r="J19" i="27"/>
  <c r="D18" i="27"/>
  <c r="J18" i="27" s="1"/>
  <c r="K15" i="27"/>
  <c r="M15" i="27" s="1"/>
  <c r="K18" i="27"/>
  <c r="M18" i="27" s="1"/>
  <c r="X50" i="26"/>
  <c r="L50" i="26"/>
  <c r="V50" i="26" s="1"/>
  <c r="K50" i="26"/>
  <c r="M50" i="26" s="1"/>
  <c r="O50" i="26"/>
  <c r="Q50" i="26" s="1"/>
  <c r="K41" i="26"/>
  <c r="M41" i="26" s="1"/>
  <c r="O41" i="26"/>
  <c r="Q41" i="26" s="1"/>
  <c r="K32" i="26"/>
  <c r="M32" i="26" s="1"/>
  <c r="O32" i="26"/>
  <c r="Q32" i="26" s="1"/>
  <c r="K25" i="26"/>
  <c r="M25" i="26" s="1"/>
  <c r="O25" i="26"/>
  <c r="Q25" i="26" s="1"/>
  <c r="K20" i="26"/>
  <c r="M20" i="26" s="1"/>
  <c r="O20" i="26"/>
  <c r="Q20" i="26" s="1"/>
  <c r="K19" i="26"/>
  <c r="M19" i="26" s="1"/>
  <c r="K18" i="26"/>
  <c r="M18" i="26" s="1"/>
  <c r="O19" i="26"/>
  <c r="Q19" i="26" s="1"/>
  <c r="O18" i="26"/>
  <c r="Q18" i="26" s="1"/>
  <c r="AA18" i="26" s="1"/>
  <c r="O16" i="26"/>
  <c r="Q16" i="26" s="1"/>
  <c r="O15" i="26"/>
  <c r="Q15" i="26" s="1"/>
  <c r="AA15" i="26" s="1"/>
  <c r="K16" i="26"/>
  <c r="M16" i="26" s="1"/>
  <c r="K15" i="26"/>
  <c r="M15" i="26" s="1"/>
  <c r="O14" i="26"/>
  <c r="Q14" i="26" s="1"/>
  <c r="O13" i="26"/>
  <c r="Q13" i="26" s="1"/>
  <c r="O12" i="26"/>
  <c r="K12" i="26"/>
  <c r="M12" i="26" s="1"/>
  <c r="K14" i="26"/>
  <c r="M14" i="26" s="1"/>
  <c r="K13" i="26"/>
  <c r="M13" i="26" s="1"/>
  <c r="N14" i="26"/>
  <c r="X14" i="26" s="1"/>
  <c r="N13" i="26"/>
  <c r="X13" i="26" s="1"/>
  <c r="K57" i="24"/>
  <c r="E58" i="24"/>
  <c r="G58" i="24"/>
  <c r="O57" i="24"/>
  <c r="O42" i="24"/>
  <c r="G43" i="24"/>
  <c r="E44" i="24"/>
  <c r="K43" i="24"/>
  <c r="M43" i="24" s="1"/>
  <c r="K42" i="24"/>
  <c r="U42" i="24" s="1"/>
  <c r="O28" i="24"/>
  <c r="Q28" i="24" s="1"/>
  <c r="AA28" i="24" s="1"/>
  <c r="G29" i="24"/>
  <c r="E28" i="24"/>
  <c r="K27" i="24"/>
  <c r="M27" i="24" s="1"/>
  <c r="O27" i="24"/>
  <c r="Q27" i="24" s="1"/>
  <c r="AA27" i="24" s="1"/>
  <c r="K21" i="24"/>
  <c r="M21" i="24" s="1"/>
  <c r="O21" i="24"/>
  <c r="K13" i="24"/>
  <c r="O13" i="24"/>
  <c r="Q13" i="24" s="1"/>
  <c r="K14" i="24"/>
  <c r="M14" i="24" s="1"/>
  <c r="E171" i="23"/>
  <c r="K170" i="23"/>
  <c r="M170" i="23" s="1"/>
  <c r="G171" i="23"/>
  <c r="O170" i="23"/>
  <c r="Q170" i="23" s="1"/>
  <c r="K147" i="23"/>
  <c r="M147" i="23" s="1"/>
  <c r="E148" i="23"/>
  <c r="G148" i="23"/>
  <c r="O147" i="23"/>
  <c r="Q147" i="23" s="1"/>
  <c r="G136" i="23"/>
  <c r="O135" i="23"/>
  <c r="Q135" i="23" s="1"/>
  <c r="E136" i="23"/>
  <c r="K135" i="23"/>
  <c r="K134" i="23"/>
  <c r="M134" i="23" s="1"/>
  <c r="K130" i="23"/>
  <c r="M130" i="23" s="1"/>
  <c r="E131" i="23"/>
  <c r="G131" i="23"/>
  <c r="O130" i="23"/>
  <c r="E124" i="23"/>
  <c r="E125" i="23" s="1"/>
  <c r="K124" i="23"/>
  <c r="M124" i="23" s="1"/>
  <c r="O124" i="23"/>
  <c r="Q124" i="23" s="1"/>
  <c r="G125" i="23"/>
  <c r="K120" i="23"/>
  <c r="M120" i="23" s="1"/>
  <c r="E121" i="23"/>
  <c r="E122" i="23" s="1"/>
  <c r="G121" i="23"/>
  <c r="G122" i="23" s="1"/>
  <c r="O122" i="23" s="1"/>
  <c r="Q122" i="23" s="1"/>
  <c r="O120" i="23"/>
  <c r="Q120" i="23" s="1"/>
  <c r="K122" i="23"/>
  <c r="M122" i="23" s="1"/>
  <c r="K121" i="23"/>
  <c r="M121" i="23" s="1"/>
  <c r="W121" i="23" s="1"/>
  <c r="O121" i="23"/>
  <c r="Q121" i="23" s="1"/>
  <c r="O113" i="23"/>
  <c r="Q113" i="23" s="1"/>
  <c r="K113" i="23"/>
  <c r="K112" i="23"/>
  <c r="M112" i="23" s="1"/>
  <c r="K102" i="23"/>
  <c r="M102" i="23" s="1"/>
  <c r="O102" i="23"/>
  <c r="Q102" i="23" s="1"/>
  <c r="E97" i="23"/>
  <c r="K96" i="23"/>
  <c r="M96" i="23" s="1"/>
  <c r="G97" i="23"/>
  <c r="O96" i="23"/>
  <c r="Q96" i="23" s="1"/>
  <c r="E82" i="23"/>
  <c r="K81" i="23"/>
  <c r="G82" i="23"/>
  <c r="O81" i="23"/>
  <c r="Q81" i="23" s="1"/>
  <c r="X90" i="23"/>
  <c r="O57" i="23"/>
  <c r="Q57" i="23" s="1"/>
  <c r="G59" i="23"/>
  <c r="O58" i="23"/>
  <c r="E59" i="23"/>
  <c r="O42" i="23"/>
  <c r="G43" i="23"/>
  <c r="E42" i="23"/>
  <c r="G36" i="23"/>
  <c r="O35" i="23"/>
  <c r="Q35" i="23" s="1"/>
  <c r="E36" i="23"/>
  <c r="G32" i="23"/>
  <c r="O31" i="23"/>
  <c r="Q31" i="23" s="1"/>
  <c r="E31" i="23"/>
  <c r="K30" i="23"/>
  <c r="M30" i="23" s="1"/>
  <c r="O30" i="23"/>
  <c r="Q30" i="23" s="1"/>
  <c r="K25" i="23"/>
  <c r="M25" i="23" s="1"/>
  <c r="O25" i="23"/>
  <c r="Q25" i="23" s="1"/>
  <c r="K22" i="23"/>
  <c r="M22" i="23" s="1"/>
  <c r="O22" i="23"/>
  <c r="Q22" i="23" s="1"/>
  <c r="K13" i="23"/>
  <c r="M13" i="23" s="1"/>
  <c r="K302" i="22"/>
  <c r="M302" i="22" s="1"/>
  <c r="E303" i="22"/>
  <c r="G303" i="22"/>
  <c r="O302" i="22"/>
  <c r="O298" i="22"/>
  <c r="K299" i="22"/>
  <c r="E300" i="22"/>
  <c r="K300" i="22" s="1"/>
  <c r="M300" i="22" s="1"/>
  <c r="G300" i="22"/>
  <c r="O300" i="22" s="1"/>
  <c r="O299" i="22"/>
  <c r="Q299" i="22" s="1"/>
  <c r="D212" i="22"/>
  <c r="D224" i="22" s="1"/>
  <c r="D236" i="22" s="1"/>
  <c r="D248" i="22" s="1"/>
  <c r="D260" i="22" s="1"/>
  <c r="D272" i="22" s="1"/>
  <c r="D284" i="22" s="1"/>
  <c r="D296" i="22" s="1"/>
  <c r="K286" i="22"/>
  <c r="M286" i="22" s="1"/>
  <c r="K226" i="22"/>
  <c r="K274" i="22"/>
  <c r="M274" i="22" s="1"/>
  <c r="E191" i="22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39" i="22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J190" i="22"/>
  <c r="P190" i="22" s="1"/>
  <c r="Z190" i="22" s="1"/>
  <c r="J192" i="22"/>
  <c r="P192" i="22" s="1"/>
  <c r="Z192" i="22" s="1"/>
  <c r="J196" i="22"/>
  <c r="P196" i="22" s="1"/>
  <c r="Z196" i="22" s="1"/>
  <c r="J205" i="22"/>
  <c r="P205" i="22" s="1"/>
  <c r="Z205" i="22" s="1"/>
  <c r="N213" i="22"/>
  <c r="L213" i="22" s="1"/>
  <c r="V213" i="22" s="1"/>
  <c r="N216" i="22"/>
  <c r="L216" i="22" s="1"/>
  <c r="V216" i="22" s="1"/>
  <c r="N212" i="22"/>
  <c r="L212" i="22" s="1"/>
  <c r="V212" i="22" s="1"/>
  <c r="N214" i="22"/>
  <c r="L214" i="22" s="1"/>
  <c r="V214" i="22" s="1"/>
  <c r="O287" i="22"/>
  <c r="Q287" i="22" s="1"/>
  <c r="N203" i="22"/>
  <c r="X203" i="22" s="1"/>
  <c r="J207" i="22"/>
  <c r="K203" i="22"/>
  <c r="M203" i="22" s="1"/>
  <c r="K215" i="22"/>
  <c r="K287" i="22"/>
  <c r="M287" i="22" s="1"/>
  <c r="J203" i="22"/>
  <c r="T203" i="22" s="1"/>
  <c r="J211" i="22"/>
  <c r="O216" i="22"/>
  <c r="Q216" i="22" s="1"/>
  <c r="AA216" i="22" s="1"/>
  <c r="O275" i="22"/>
  <c r="Q275" i="22" s="1"/>
  <c r="O215" i="22"/>
  <c r="N223" i="22"/>
  <c r="X223" i="22" s="1"/>
  <c r="N211" i="22"/>
  <c r="X211" i="22" s="1"/>
  <c r="N204" i="22"/>
  <c r="L204" i="22" s="1"/>
  <c r="V204" i="22" s="1"/>
  <c r="O191" i="22"/>
  <c r="Y191" i="22" s="1"/>
  <c r="O251" i="22"/>
  <c r="O239" i="22"/>
  <c r="Q239" i="22" s="1"/>
  <c r="AA239" i="22" s="1"/>
  <c r="J219" i="22"/>
  <c r="P219" i="22" s="1"/>
  <c r="Z219" i="22" s="1"/>
  <c r="O227" i="22"/>
  <c r="N207" i="22"/>
  <c r="X207" i="22" s="1"/>
  <c r="J202" i="22"/>
  <c r="P202" i="22" s="1"/>
  <c r="Z202" i="22" s="1"/>
  <c r="J217" i="22"/>
  <c r="P217" i="22" s="1"/>
  <c r="Z217" i="22" s="1"/>
  <c r="J209" i="22"/>
  <c r="P209" i="22" s="1"/>
  <c r="Z209" i="22" s="1"/>
  <c r="J213" i="22"/>
  <c r="P213" i="22" s="1"/>
  <c r="Z213" i="22" s="1"/>
  <c r="K191" i="22"/>
  <c r="M191" i="22" s="1"/>
  <c r="W191" i="22" s="1"/>
  <c r="N205" i="22"/>
  <c r="L205" i="22" s="1"/>
  <c r="V205" i="22" s="1"/>
  <c r="N209" i="22"/>
  <c r="L209" i="22" s="1"/>
  <c r="V209" i="22" s="1"/>
  <c r="O238" i="22"/>
  <c r="Y238" i="22" s="1"/>
  <c r="O286" i="22"/>
  <c r="Q286" i="22" s="1"/>
  <c r="O190" i="22"/>
  <c r="O214" i="22"/>
  <c r="Q214" i="22" s="1"/>
  <c r="O226" i="22"/>
  <c r="Q226" i="22" s="1"/>
  <c r="O274" i="22"/>
  <c r="Q274" i="22" s="1"/>
  <c r="O262" i="22"/>
  <c r="O179" i="22"/>
  <c r="Q179" i="22" s="1"/>
  <c r="G180" i="22"/>
  <c r="K179" i="22"/>
  <c r="M179" i="22" s="1"/>
  <c r="W179" i="22" s="1"/>
  <c r="E180" i="22"/>
  <c r="K214" i="22"/>
  <c r="M214" i="22" s="1"/>
  <c r="O207" i="22"/>
  <c r="K218" i="22"/>
  <c r="M218" i="22" s="1"/>
  <c r="W218" i="22" s="1"/>
  <c r="K262" i="22"/>
  <c r="M262" i="22" s="1"/>
  <c r="K264" i="22"/>
  <c r="M264" i="22" s="1"/>
  <c r="W264" i="22" s="1"/>
  <c r="K265" i="22"/>
  <c r="K263" i="22"/>
  <c r="M263" i="22" s="1"/>
  <c r="W263" i="22" s="1"/>
  <c r="O263" i="22"/>
  <c r="Q263" i="22" s="1"/>
  <c r="AA263" i="22" s="1"/>
  <c r="K250" i="22"/>
  <c r="M250" i="22" s="1"/>
  <c r="W250" i="22" s="1"/>
  <c r="O202" i="22"/>
  <c r="Q202" i="22" s="1"/>
  <c r="AA202" i="22" s="1"/>
  <c r="O209" i="22"/>
  <c r="Y209" i="22" s="1"/>
  <c r="O204" i="22"/>
  <c r="Q204" i="22" s="1"/>
  <c r="O211" i="22"/>
  <c r="O206" i="22"/>
  <c r="Q206" i="22" s="1"/>
  <c r="O208" i="22"/>
  <c r="Q208" i="22" s="1"/>
  <c r="AA208" i="22" s="1"/>
  <c r="O210" i="22"/>
  <c r="Q210" i="22" s="1"/>
  <c r="AA210" i="22" s="1"/>
  <c r="O203" i="22"/>
  <c r="Y203" i="22" s="1"/>
  <c r="O212" i="22"/>
  <c r="Q212" i="22" s="1"/>
  <c r="O205" i="22"/>
  <c r="Y205" i="22" s="1"/>
  <c r="J226" i="22"/>
  <c r="J204" i="22"/>
  <c r="P204" i="22" s="1"/>
  <c r="Z204" i="22" s="1"/>
  <c r="J208" i="22"/>
  <c r="P208" i="22" s="1"/>
  <c r="Z208" i="22" s="1"/>
  <c r="J212" i="22"/>
  <c r="P212" i="22" s="1"/>
  <c r="Z212" i="22" s="1"/>
  <c r="J206" i="22"/>
  <c r="P206" i="22" s="1"/>
  <c r="Z206" i="22" s="1"/>
  <c r="J210" i="22"/>
  <c r="P210" i="22" s="1"/>
  <c r="Z210" i="22" s="1"/>
  <c r="J194" i="22"/>
  <c r="P194" i="22" s="1"/>
  <c r="Z194" i="22" s="1"/>
  <c r="K227" i="22"/>
  <c r="M227" i="22" s="1"/>
  <c r="K251" i="22"/>
  <c r="M251" i="22" s="1"/>
  <c r="W251" i="22" s="1"/>
  <c r="K266" i="22"/>
  <c r="M266" i="22" s="1"/>
  <c r="W266" i="22" s="1"/>
  <c r="K275" i="22"/>
  <c r="M275" i="22" s="1"/>
  <c r="O240" i="22"/>
  <c r="Q240" i="22" s="1"/>
  <c r="O264" i="22"/>
  <c r="Q264" i="22" s="1"/>
  <c r="AA264" i="22" s="1"/>
  <c r="O288" i="22"/>
  <c r="Q288" i="22" s="1"/>
  <c r="AA288" i="22" s="1"/>
  <c r="N202" i="22"/>
  <c r="X202" i="22" s="1"/>
  <c r="J198" i="22"/>
  <c r="P198" i="22" s="1"/>
  <c r="Z198" i="22" s="1"/>
  <c r="J214" i="22"/>
  <c r="P214" i="22" s="1"/>
  <c r="Z214" i="22" s="1"/>
  <c r="J229" i="22"/>
  <c r="P229" i="22" s="1"/>
  <c r="Z229" i="22" s="1"/>
  <c r="J221" i="22"/>
  <c r="N221" i="22"/>
  <c r="O176" i="22"/>
  <c r="Q176" i="22" s="1"/>
  <c r="O177" i="22"/>
  <c r="Q177" i="22" s="1"/>
  <c r="K177" i="22"/>
  <c r="M177" i="22" s="1"/>
  <c r="K176" i="22"/>
  <c r="M176" i="22" s="1"/>
  <c r="K168" i="22"/>
  <c r="M168" i="22" s="1"/>
  <c r="W168" i="22" s="1"/>
  <c r="O168" i="22"/>
  <c r="Q168" i="22" s="1"/>
  <c r="AA168" i="22" s="1"/>
  <c r="K151" i="22"/>
  <c r="M151" i="22" s="1"/>
  <c r="E152" i="22"/>
  <c r="N129" i="22"/>
  <c r="L129" i="22" s="1"/>
  <c r="V129" i="22" s="1"/>
  <c r="F149" i="22"/>
  <c r="N149" i="22" s="1"/>
  <c r="X130" i="22"/>
  <c r="L130" i="22"/>
  <c r="V130" i="22" s="1"/>
  <c r="F148" i="22"/>
  <c r="N148" i="22" s="1"/>
  <c r="N128" i="22"/>
  <c r="X128" i="22" s="1"/>
  <c r="D149" i="22"/>
  <c r="J149" i="22" s="1"/>
  <c r="T149" i="22" s="1"/>
  <c r="J129" i="22"/>
  <c r="T129" i="22" s="1"/>
  <c r="N126" i="22"/>
  <c r="X126" i="22" s="1"/>
  <c r="F146" i="22"/>
  <c r="N146" i="22" s="1"/>
  <c r="J126" i="22"/>
  <c r="P126" i="22" s="1"/>
  <c r="Z126" i="22" s="1"/>
  <c r="D146" i="22"/>
  <c r="J146" i="22" s="1"/>
  <c r="F147" i="22"/>
  <c r="N147" i="22" s="1"/>
  <c r="N127" i="22"/>
  <c r="L127" i="22" s="1"/>
  <c r="V127" i="22" s="1"/>
  <c r="D130" i="22"/>
  <c r="J130" i="22" s="1"/>
  <c r="P130" i="22" s="1"/>
  <c r="Z130" i="22" s="1"/>
  <c r="D134" i="22"/>
  <c r="J134" i="22" s="1"/>
  <c r="P134" i="22" s="1"/>
  <c r="Z134" i="22" s="1"/>
  <c r="D148" i="22"/>
  <c r="J148" i="22" s="1"/>
  <c r="P148" i="22" s="1"/>
  <c r="Z148" i="22" s="1"/>
  <c r="J76" i="22"/>
  <c r="D136" i="22"/>
  <c r="J136" i="22" s="1"/>
  <c r="G148" i="22"/>
  <c r="O147" i="22"/>
  <c r="E148" i="22"/>
  <c r="K147" i="22"/>
  <c r="M147" i="22" s="1"/>
  <c r="E140" i="22"/>
  <c r="K139" i="22"/>
  <c r="M139" i="22" s="1"/>
  <c r="G139" i="22"/>
  <c r="O138" i="22"/>
  <c r="Q138" i="22" s="1"/>
  <c r="K138" i="22"/>
  <c r="M138" i="22" s="1"/>
  <c r="E128" i="22"/>
  <c r="K127" i="22"/>
  <c r="M127" i="22" s="1"/>
  <c r="G128" i="22"/>
  <c r="O127" i="22"/>
  <c r="Q127" i="22" s="1"/>
  <c r="J80" i="22"/>
  <c r="J102" i="22"/>
  <c r="J86" i="22"/>
  <c r="D81" i="22"/>
  <c r="D104" i="22" s="1"/>
  <c r="D127" i="22" s="1"/>
  <c r="D87" i="22"/>
  <c r="D110" i="22" s="1"/>
  <c r="D133" i="22" s="1"/>
  <c r="J133" i="22" s="1"/>
  <c r="D117" i="22"/>
  <c r="D138" i="22" s="1"/>
  <c r="J138" i="22" s="1"/>
  <c r="P138" i="22" s="1"/>
  <c r="Z138" i="22" s="1"/>
  <c r="D119" i="22"/>
  <c r="N107" i="22"/>
  <c r="L107" i="22" s="1"/>
  <c r="V107" i="22" s="1"/>
  <c r="N84" i="22"/>
  <c r="X84" i="22" s="1"/>
  <c r="N111" i="22"/>
  <c r="N88" i="22"/>
  <c r="L88" i="22" s="1"/>
  <c r="V88" i="22" s="1"/>
  <c r="N115" i="22"/>
  <c r="N92" i="22"/>
  <c r="N119" i="22"/>
  <c r="L119" i="22" s="1"/>
  <c r="V119" i="22" s="1"/>
  <c r="N96" i="22"/>
  <c r="X96" i="22" s="1"/>
  <c r="N123" i="22"/>
  <c r="L123" i="22" s="1"/>
  <c r="V123" i="22" s="1"/>
  <c r="N100" i="22"/>
  <c r="N105" i="22"/>
  <c r="L105" i="22" s="1"/>
  <c r="V105" i="22" s="1"/>
  <c r="N82" i="22"/>
  <c r="N109" i="22"/>
  <c r="L109" i="22" s="1"/>
  <c r="V109" i="22" s="1"/>
  <c r="N86" i="22"/>
  <c r="X86" i="22" s="1"/>
  <c r="N90" i="22"/>
  <c r="X90" i="22" s="1"/>
  <c r="N113" i="22"/>
  <c r="L113" i="22" s="1"/>
  <c r="V113" i="22" s="1"/>
  <c r="N117" i="22"/>
  <c r="X117" i="22" s="1"/>
  <c r="N94" i="22"/>
  <c r="N121" i="22"/>
  <c r="L121" i="22" s="1"/>
  <c r="V121" i="22" s="1"/>
  <c r="N98" i="22"/>
  <c r="L98" i="22" s="1"/>
  <c r="V98" i="22" s="1"/>
  <c r="N125" i="22"/>
  <c r="N102" i="22"/>
  <c r="L102" i="22" s="1"/>
  <c r="V102" i="22" s="1"/>
  <c r="J83" i="22"/>
  <c r="T83" i="22" s="1"/>
  <c r="J91" i="22"/>
  <c r="T91" i="22" s="1"/>
  <c r="J95" i="22"/>
  <c r="T95" i="22" s="1"/>
  <c r="N103" i="22"/>
  <c r="N80" i="22"/>
  <c r="X80" i="22" s="1"/>
  <c r="J92" i="22"/>
  <c r="J82" i="22"/>
  <c r="T82" i="22" s="1"/>
  <c r="J90" i="22"/>
  <c r="P90" i="22" s="1"/>
  <c r="Z90" i="22" s="1"/>
  <c r="J98" i="22"/>
  <c r="J68" i="22"/>
  <c r="J88" i="22"/>
  <c r="P88" i="22" s="1"/>
  <c r="Z88" i="22" s="1"/>
  <c r="J84" i="22"/>
  <c r="J72" i="22"/>
  <c r="J60" i="22"/>
  <c r="P60" i="22" s="1"/>
  <c r="Z60" i="22" s="1"/>
  <c r="J74" i="22"/>
  <c r="P74" i="22" s="1"/>
  <c r="Z74" i="22" s="1"/>
  <c r="J109" i="22"/>
  <c r="J123" i="22"/>
  <c r="J125" i="22"/>
  <c r="T125" i="22" s="1"/>
  <c r="N106" i="22"/>
  <c r="X106" i="22" s="1"/>
  <c r="N83" i="22"/>
  <c r="N95" i="22"/>
  <c r="N118" i="22"/>
  <c r="N122" i="22"/>
  <c r="L122" i="22" s="1"/>
  <c r="V122" i="22" s="1"/>
  <c r="N99" i="22"/>
  <c r="X99" i="22" s="1"/>
  <c r="J85" i="22"/>
  <c r="P85" i="22" s="1"/>
  <c r="Z85" i="22" s="1"/>
  <c r="J108" i="22"/>
  <c r="P108" i="22" s="1"/>
  <c r="Z108" i="22" s="1"/>
  <c r="J89" i="22"/>
  <c r="T89" i="22" s="1"/>
  <c r="J112" i="22"/>
  <c r="J93" i="22"/>
  <c r="J116" i="22"/>
  <c r="J101" i="22"/>
  <c r="J124" i="22"/>
  <c r="P124" i="22" s="1"/>
  <c r="Z124" i="22" s="1"/>
  <c r="N104" i="22"/>
  <c r="N81" i="22"/>
  <c r="L81" i="22" s="1"/>
  <c r="V81" i="22" s="1"/>
  <c r="N108" i="22"/>
  <c r="L108" i="22" s="1"/>
  <c r="V108" i="22" s="1"/>
  <c r="N85" i="22"/>
  <c r="L85" i="22" s="1"/>
  <c r="V85" i="22" s="1"/>
  <c r="N112" i="22"/>
  <c r="N89" i="22"/>
  <c r="L89" i="22" s="1"/>
  <c r="V89" i="22" s="1"/>
  <c r="N116" i="22"/>
  <c r="X116" i="22" s="1"/>
  <c r="N93" i="22"/>
  <c r="L93" i="22" s="1"/>
  <c r="V93" i="22" s="1"/>
  <c r="N120" i="22"/>
  <c r="L120" i="22" s="1"/>
  <c r="V120" i="22" s="1"/>
  <c r="N97" i="22"/>
  <c r="L97" i="22" s="1"/>
  <c r="V97" i="22" s="1"/>
  <c r="N124" i="22"/>
  <c r="X124" i="22" s="1"/>
  <c r="N101" i="22"/>
  <c r="L101" i="22" s="1"/>
  <c r="V101" i="22" s="1"/>
  <c r="J105" i="22"/>
  <c r="J113" i="22"/>
  <c r="T113" i="22" s="1"/>
  <c r="J121" i="22"/>
  <c r="N72" i="22"/>
  <c r="J62" i="22"/>
  <c r="P62" i="22" s="1"/>
  <c r="Z62" i="22" s="1"/>
  <c r="J78" i="22"/>
  <c r="T78" i="22" s="1"/>
  <c r="J103" i="22"/>
  <c r="J106" i="22"/>
  <c r="J114" i="22"/>
  <c r="J118" i="22"/>
  <c r="P118" i="22" s="1"/>
  <c r="Z118" i="22" s="1"/>
  <c r="N60" i="22"/>
  <c r="X60" i="22" s="1"/>
  <c r="N76" i="22"/>
  <c r="L76" i="22" s="1"/>
  <c r="V76" i="22" s="1"/>
  <c r="J66" i="22"/>
  <c r="P66" i="22" s="1"/>
  <c r="Z66" i="22" s="1"/>
  <c r="N70" i="22"/>
  <c r="L70" i="22" s="1"/>
  <c r="V70" i="22" s="1"/>
  <c r="J70" i="22"/>
  <c r="P70" i="22" s="1"/>
  <c r="Z70" i="22" s="1"/>
  <c r="N58" i="22"/>
  <c r="X58" i="22" s="1"/>
  <c r="N74" i="22"/>
  <c r="X74" i="22" s="1"/>
  <c r="K104" i="22"/>
  <c r="M104" i="22" s="1"/>
  <c r="O104" i="22"/>
  <c r="Q104" i="22" s="1"/>
  <c r="AA104" i="22" s="1"/>
  <c r="K81" i="22"/>
  <c r="O81" i="22"/>
  <c r="K58" i="22"/>
  <c r="M58" i="22" s="1"/>
  <c r="W58" i="22" s="1"/>
  <c r="O58" i="22"/>
  <c r="Q58" i="22" s="1"/>
  <c r="O35" i="22"/>
  <c r="G36" i="22"/>
  <c r="E37" i="22"/>
  <c r="E38" i="22" s="1"/>
  <c r="K36" i="22"/>
  <c r="K35" i="22"/>
  <c r="M35" i="22" s="1"/>
  <c r="K24" i="22"/>
  <c r="O24" i="22"/>
  <c r="Q24" i="22" s="1"/>
  <c r="N34" i="22"/>
  <c r="X34" i="22" s="1"/>
  <c r="O12" i="22"/>
  <c r="Q12" i="22" s="1"/>
  <c r="K25" i="22"/>
  <c r="M25" i="22" s="1"/>
  <c r="K13" i="22"/>
  <c r="M13" i="22" s="1"/>
  <c r="O13" i="22"/>
  <c r="N27" i="21"/>
  <c r="F41" i="21"/>
  <c r="F45" i="21"/>
  <c r="N31" i="21"/>
  <c r="D49" i="21"/>
  <c r="J35" i="21"/>
  <c r="P35" i="21" s="1"/>
  <c r="Z35" i="21" s="1"/>
  <c r="D53" i="21"/>
  <c r="D67" i="21" s="1"/>
  <c r="D81" i="21" s="1"/>
  <c r="D95" i="21" s="1"/>
  <c r="D109" i="21" s="1"/>
  <c r="D123" i="21" s="1"/>
  <c r="D137" i="21" s="1"/>
  <c r="D151" i="21" s="1"/>
  <c r="D165" i="21" s="1"/>
  <c r="J165" i="21" s="1"/>
  <c r="J39" i="21"/>
  <c r="P39" i="21" s="1"/>
  <c r="Z39" i="21" s="1"/>
  <c r="D41" i="21"/>
  <c r="J27" i="21"/>
  <c r="T27" i="21" s="1"/>
  <c r="D43" i="21"/>
  <c r="J29" i="21"/>
  <c r="J33" i="21"/>
  <c r="D47" i="21"/>
  <c r="J37" i="21"/>
  <c r="D51" i="21"/>
  <c r="N39" i="21"/>
  <c r="X39" i="21" s="1"/>
  <c r="F53" i="21"/>
  <c r="N33" i="21"/>
  <c r="F47" i="21"/>
  <c r="F51" i="21"/>
  <c r="N37" i="21"/>
  <c r="L37" i="21" s="1"/>
  <c r="V37" i="21" s="1"/>
  <c r="J34" i="21"/>
  <c r="T34" i="21" s="1"/>
  <c r="D48" i="21"/>
  <c r="D62" i="21" s="1"/>
  <c r="D76" i="21" s="1"/>
  <c r="D90" i="21" s="1"/>
  <c r="D104" i="21" s="1"/>
  <c r="D118" i="21" s="1"/>
  <c r="D132" i="21" s="1"/>
  <c r="D146" i="21" s="1"/>
  <c r="D160" i="21" s="1"/>
  <c r="D174" i="21" s="1"/>
  <c r="J174" i="21" s="1"/>
  <c r="F28" i="21"/>
  <c r="F32" i="21"/>
  <c r="F36" i="21"/>
  <c r="G38" i="21"/>
  <c r="G80" i="21"/>
  <c r="G81" i="21" s="1"/>
  <c r="G82" i="21" s="1"/>
  <c r="G83" i="21" s="1"/>
  <c r="G84" i="21" s="1"/>
  <c r="G85" i="21" s="1"/>
  <c r="G86" i="21" s="1"/>
  <c r="G87" i="21" s="1"/>
  <c r="G88" i="21" s="1"/>
  <c r="G89" i="21" s="1"/>
  <c r="G90" i="21" s="1"/>
  <c r="G91" i="21" s="1"/>
  <c r="G92" i="21" s="1"/>
  <c r="G93" i="21" s="1"/>
  <c r="F26" i="21"/>
  <c r="N23" i="21"/>
  <c r="X23" i="21" s="1"/>
  <c r="E25" i="21"/>
  <c r="D30" i="21"/>
  <c r="G94" i="2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F30" i="21"/>
  <c r="F34" i="21"/>
  <c r="N19" i="21"/>
  <c r="L19" i="21" s="1"/>
  <c r="V19" i="21" s="1"/>
  <c r="D31" i="21"/>
  <c r="G108" i="2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50" i="2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F35" i="21"/>
  <c r="G66" i="2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F29" i="21"/>
  <c r="D26" i="21"/>
  <c r="D28" i="21"/>
  <c r="D32" i="21"/>
  <c r="D36" i="21"/>
  <c r="G122" i="2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J53" i="21"/>
  <c r="P53" i="21" s="1"/>
  <c r="Z53" i="21" s="1"/>
  <c r="J48" i="21"/>
  <c r="N66" i="21"/>
  <c r="L66" i="21" s="1"/>
  <c r="V66" i="21" s="1"/>
  <c r="O26" i="21"/>
  <c r="E13" i="21"/>
  <c r="E14" i="21" s="1"/>
  <c r="E15" i="21" s="1"/>
  <c r="E16" i="21" s="1"/>
  <c r="E17" i="21" s="1"/>
  <c r="E18" i="21" s="1"/>
  <c r="E19" i="21" s="1"/>
  <c r="E20" i="21" s="1"/>
  <c r="E21" i="21" s="1"/>
  <c r="E22" i="21" s="1"/>
  <c r="E23" i="21" s="1"/>
  <c r="K23" i="21" s="1"/>
  <c r="O23" i="21"/>
  <c r="Q23" i="21" s="1"/>
  <c r="AA23" i="21" s="1"/>
  <c r="O22" i="21"/>
  <c r="Q22" i="21" s="1"/>
  <c r="O13" i="21"/>
  <c r="Q13" i="21" s="1"/>
  <c r="AA13" i="21" s="1"/>
  <c r="X16" i="37"/>
  <c r="X49" i="37"/>
  <c r="X44" i="37"/>
  <c r="X18" i="37"/>
  <c r="X54" i="37"/>
  <c r="X19" i="35"/>
  <c r="X19" i="34"/>
  <c r="X15" i="34"/>
  <c r="X21" i="34"/>
  <c r="X24" i="34"/>
  <c r="L11" i="33"/>
  <c r="V11" i="33" s="1"/>
  <c r="X23" i="33"/>
  <c r="X32" i="33"/>
  <c r="X13" i="33"/>
  <c r="X16" i="33"/>
  <c r="L51" i="32"/>
  <c r="V51" i="32" s="1"/>
  <c r="L16" i="31"/>
  <c r="V16" i="31" s="1"/>
  <c r="L170" i="28"/>
  <c r="V170" i="28" s="1"/>
  <c r="X171" i="28"/>
  <c r="T256" i="27"/>
  <c r="L19" i="26"/>
  <c r="V19" i="26" s="1"/>
  <c r="X43" i="23"/>
  <c r="L79" i="23"/>
  <c r="V79" i="23" s="1"/>
  <c r="L23" i="21"/>
  <c r="V23" i="21" s="1"/>
  <c r="L39" i="21"/>
  <c r="V39" i="21" s="1"/>
  <c r="X38" i="21"/>
  <c r="G32" i="20"/>
  <c r="O32" i="20" s="1"/>
  <c r="Q32" i="20" s="1"/>
  <c r="O31" i="20"/>
  <c r="Q31" i="20" s="1"/>
  <c r="E32" i="20"/>
  <c r="K32" i="20" s="1"/>
  <c r="M32" i="20" s="1"/>
  <c r="E29" i="20"/>
  <c r="K29" i="20" s="1"/>
  <c r="M29" i="20" s="1"/>
  <c r="K28" i="20"/>
  <c r="M28" i="20" s="1"/>
  <c r="O28" i="20"/>
  <c r="Q28" i="20" s="1"/>
  <c r="O25" i="20"/>
  <c r="Q25" i="20" s="1"/>
  <c r="K25" i="20"/>
  <c r="M25" i="20" s="1"/>
  <c r="O21" i="20"/>
  <c r="Q21" i="20" s="1"/>
  <c r="G23" i="20"/>
  <c r="O23" i="20" s="1"/>
  <c r="Q23" i="20" s="1"/>
  <c r="O22" i="20"/>
  <c r="Q22" i="20" s="1"/>
  <c r="K22" i="20"/>
  <c r="M22" i="20" s="1"/>
  <c r="K18" i="20"/>
  <c r="M18" i="20" s="1"/>
  <c r="E19" i="20"/>
  <c r="K19" i="20" s="1"/>
  <c r="M19" i="20" s="1"/>
  <c r="G18" i="20"/>
  <c r="O17" i="20"/>
  <c r="Q17" i="20" s="1"/>
  <c r="K17" i="20"/>
  <c r="M17" i="20" s="1"/>
  <c r="W17" i="20" s="1"/>
  <c r="E39" i="18"/>
  <c r="K38" i="18"/>
  <c r="M38" i="18" s="1"/>
  <c r="E110" i="18"/>
  <c r="E111" i="18" s="1"/>
  <c r="E112" i="18" s="1"/>
  <c r="E113" i="18" s="1"/>
  <c r="E114" i="18" s="1"/>
  <c r="E115" i="18" s="1"/>
  <c r="E116" i="18" s="1"/>
  <c r="E117" i="18" s="1"/>
  <c r="E118" i="18" s="1"/>
  <c r="E119" i="18" s="1"/>
  <c r="E120" i="18" s="1"/>
  <c r="E121" i="18" s="1"/>
  <c r="E122" i="18" s="1"/>
  <c r="E123" i="18" s="1"/>
  <c r="E124" i="18" s="1"/>
  <c r="E125" i="18" s="1"/>
  <c r="E126" i="18" s="1"/>
  <c r="E127" i="18" s="1"/>
  <c r="E128" i="18" s="1"/>
  <c r="E129" i="18" s="1"/>
  <c r="E130" i="18" s="1"/>
  <c r="E131" i="18" s="1"/>
  <c r="E132" i="18" s="1"/>
  <c r="E133" i="18"/>
  <c r="E86" i="18"/>
  <c r="E87" i="18" s="1"/>
  <c r="E88" i="18" s="1"/>
  <c r="E89" i="18" s="1"/>
  <c r="E90" i="18" s="1"/>
  <c r="E91" i="18" s="1"/>
  <c r="E92" i="18" s="1"/>
  <c r="E93" i="18" s="1"/>
  <c r="E94" i="18" s="1"/>
  <c r="E95" i="18" s="1"/>
  <c r="E96" i="18" s="1"/>
  <c r="E97" i="18" s="1"/>
  <c r="E98" i="18" s="1"/>
  <c r="E99" i="18" s="1"/>
  <c r="E100" i="18" s="1"/>
  <c r="E101" i="18" s="1"/>
  <c r="E102" i="18" s="1"/>
  <c r="E103" i="18" s="1"/>
  <c r="E104" i="18" s="1"/>
  <c r="E105" i="18" s="1"/>
  <c r="E106" i="18" s="1"/>
  <c r="E107" i="18" s="1"/>
  <c r="E108" i="18" s="1"/>
  <c r="K85" i="18"/>
  <c r="U85" i="18" s="1"/>
  <c r="G168" i="18"/>
  <c r="O167" i="18"/>
  <c r="Q167" i="18" s="1"/>
  <c r="X172" i="18"/>
  <c r="G159" i="18"/>
  <c r="O158" i="18"/>
  <c r="O157" i="18"/>
  <c r="O134" i="18"/>
  <c r="G135" i="18"/>
  <c r="G155" i="18"/>
  <c r="O155" i="18" s="1"/>
  <c r="E134" i="18"/>
  <c r="O154" i="18"/>
  <c r="Q154" i="18" s="1"/>
  <c r="AA154" i="18" s="1"/>
  <c r="L150" i="18"/>
  <c r="V150" i="18" s="1"/>
  <c r="X150" i="18"/>
  <c r="J103" i="18"/>
  <c r="J105" i="18"/>
  <c r="J87" i="18"/>
  <c r="P87" i="18" s="1"/>
  <c r="Z87" i="18" s="1"/>
  <c r="J107" i="18"/>
  <c r="J99" i="18"/>
  <c r="J116" i="18"/>
  <c r="T116" i="18" s="1"/>
  <c r="J120" i="18"/>
  <c r="P120" i="18" s="1"/>
  <c r="Z120" i="18" s="1"/>
  <c r="X102" i="18"/>
  <c r="O110" i="18"/>
  <c r="Q110" i="18" s="1"/>
  <c r="K110" i="18"/>
  <c r="M110" i="18" s="1"/>
  <c r="X111" i="18"/>
  <c r="L111" i="18"/>
  <c r="V111" i="18" s="1"/>
  <c r="X124" i="18"/>
  <c r="K109" i="18"/>
  <c r="M109" i="18" s="1"/>
  <c r="W109" i="18" s="1"/>
  <c r="O86" i="18"/>
  <c r="G70" i="18"/>
  <c r="O69" i="18"/>
  <c r="X69" i="18"/>
  <c r="E63" i="18"/>
  <c r="K62" i="18"/>
  <c r="G63" i="18"/>
  <c r="O62" i="18"/>
  <c r="Q62" i="18" s="1"/>
  <c r="N34" i="18"/>
  <c r="L34" i="18" s="1"/>
  <c r="V34" i="18" s="1"/>
  <c r="N30" i="18"/>
  <c r="L30" i="18" s="1"/>
  <c r="V30" i="18" s="1"/>
  <c r="N26" i="18"/>
  <c r="L26" i="18" s="1"/>
  <c r="V26" i="18" s="1"/>
  <c r="F56" i="18"/>
  <c r="N56" i="18" s="1"/>
  <c r="L56" i="18" s="1"/>
  <c r="V56" i="18" s="1"/>
  <c r="N25" i="18"/>
  <c r="L25" i="18" s="1"/>
  <c r="V25" i="18" s="1"/>
  <c r="F57" i="18"/>
  <c r="N57" i="18" s="1"/>
  <c r="F52" i="18"/>
  <c r="N52" i="18" s="1"/>
  <c r="L52" i="18" s="1"/>
  <c r="V52" i="18" s="1"/>
  <c r="F60" i="18"/>
  <c r="N60" i="18" s="1"/>
  <c r="L60" i="18" s="1"/>
  <c r="V60" i="18" s="1"/>
  <c r="F53" i="18"/>
  <c r="N53" i="18" s="1"/>
  <c r="L53" i="18" s="1"/>
  <c r="V53" i="18" s="1"/>
  <c r="D54" i="18"/>
  <c r="J54" i="18" s="1"/>
  <c r="T54" i="18" s="1"/>
  <c r="D58" i="18"/>
  <c r="J58" i="18" s="1"/>
  <c r="T58" i="18" s="1"/>
  <c r="D51" i="18"/>
  <c r="J51" i="18" s="1"/>
  <c r="T51" i="18" s="1"/>
  <c r="D55" i="18"/>
  <c r="J55" i="18" s="1"/>
  <c r="P55" i="18" s="1"/>
  <c r="Z55" i="18" s="1"/>
  <c r="D59" i="18"/>
  <c r="J59" i="18" s="1"/>
  <c r="D52" i="18"/>
  <c r="J52" i="18" s="1"/>
  <c r="P52" i="18" s="1"/>
  <c r="Z52" i="18" s="1"/>
  <c r="D56" i="18"/>
  <c r="J56" i="18" s="1"/>
  <c r="T56" i="18" s="1"/>
  <c r="D60" i="18"/>
  <c r="J60" i="18" s="1"/>
  <c r="T60" i="18" s="1"/>
  <c r="D53" i="18"/>
  <c r="J53" i="18" s="1"/>
  <c r="D57" i="18"/>
  <c r="J57" i="18" s="1"/>
  <c r="J12" i="18"/>
  <c r="E40" i="18"/>
  <c r="K39" i="18"/>
  <c r="M39" i="18" s="1"/>
  <c r="G40" i="18"/>
  <c r="O39" i="18"/>
  <c r="Q39" i="18" s="1"/>
  <c r="L42" i="18"/>
  <c r="V42" i="18" s="1"/>
  <c r="X43" i="18"/>
  <c r="G27" i="18"/>
  <c r="O26" i="18"/>
  <c r="Q26" i="18" s="1"/>
  <c r="X31" i="18"/>
  <c r="L28" i="18"/>
  <c r="V28" i="18" s="1"/>
  <c r="X26" i="18"/>
  <c r="E28" i="18"/>
  <c r="K27" i="18"/>
  <c r="M27" i="18" s="1"/>
  <c r="G28" i="18"/>
  <c r="O27" i="18"/>
  <c r="Q27" i="18" s="1"/>
  <c r="O14" i="18"/>
  <c r="Q14" i="18" s="1"/>
  <c r="E16" i="18"/>
  <c r="K15" i="18"/>
  <c r="X78" i="18"/>
  <c r="X123" i="18"/>
  <c r="L21" i="18"/>
  <c r="V21" i="18" s="1"/>
  <c r="L38" i="18"/>
  <c r="V38" i="18" s="1"/>
  <c r="X59" i="18"/>
  <c r="X146" i="18"/>
  <c r="X24" i="18"/>
  <c r="X32" i="18"/>
  <c r="X41" i="18"/>
  <c r="X52" i="18"/>
  <c r="X142" i="18"/>
  <c r="X51" i="18"/>
  <c r="L100" i="18"/>
  <c r="V100" i="18" s="1"/>
  <c r="L117" i="18"/>
  <c r="V117" i="18" s="1"/>
  <c r="L18" i="18"/>
  <c r="V18" i="18" s="1"/>
  <c r="X13" i="18"/>
  <c r="X16" i="18"/>
  <c r="X15" i="18"/>
  <c r="D91" i="1"/>
  <c r="D108" i="1" s="1"/>
  <c r="D125" i="1" s="1"/>
  <c r="D142" i="1" s="1"/>
  <c r="D159" i="1" s="1"/>
  <c r="D176" i="1" s="1"/>
  <c r="D193" i="1" s="1"/>
  <c r="J52" i="1"/>
  <c r="T52" i="1" s="1"/>
  <c r="J103" i="1"/>
  <c r="P103" i="1" s="1"/>
  <c r="Z103" i="1" s="1"/>
  <c r="D120" i="1"/>
  <c r="D137" i="1" s="1"/>
  <c r="D154" i="1" s="1"/>
  <c r="D171" i="1" s="1"/>
  <c r="D188" i="1" s="1"/>
  <c r="E63" i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/>
  <c r="D95" i="1"/>
  <c r="D112" i="1" s="1"/>
  <c r="D129" i="1" s="1"/>
  <c r="D146" i="1" s="1"/>
  <c r="D163" i="1" s="1"/>
  <c r="D180" i="1" s="1"/>
  <c r="D197" i="1" s="1"/>
  <c r="F134" i="1"/>
  <c r="F151" i="1" s="1"/>
  <c r="F168" i="1" s="1"/>
  <c r="F185" i="1" s="1"/>
  <c r="N117" i="1"/>
  <c r="D83" i="1"/>
  <c r="D100" i="1" s="1"/>
  <c r="D117" i="1" s="1"/>
  <c r="D134" i="1" s="1"/>
  <c r="D151" i="1" s="1"/>
  <c r="D168" i="1" s="1"/>
  <c r="D185" i="1" s="1"/>
  <c r="G62" i="1"/>
  <c r="N50" i="1"/>
  <c r="J46" i="1"/>
  <c r="T46" i="1" s="1"/>
  <c r="J54" i="1"/>
  <c r="T54" i="1" s="1"/>
  <c r="N74" i="1"/>
  <c r="J65" i="1"/>
  <c r="T65" i="1" s="1"/>
  <c r="N71" i="1"/>
  <c r="X71" i="1" s="1"/>
  <c r="J50" i="1"/>
  <c r="N64" i="1"/>
  <c r="X64" i="1" s="1"/>
  <c r="N56" i="1"/>
  <c r="E29" i="1"/>
  <c r="E30" i="1" s="1"/>
  <c r="E31" i="1" s="1"/>
  <c r="K31" i="1" s="1"/>
  <c r="M31" i="1" s="1"/>
  <c r="O45" i="1"/>
  <c r="Q45" i="1" s="1"/>
  <c r="G29" i="1"/>
  <c r="O29" i="1" s="1"/>
  <c r="Q29" i="1" s="1"/>
  <c r="K45" i="1"/>
  <c r="M45" i="1" s="1"/>
  <c r="N68" i="1"/>
  <c r="X68" i="1" s="1"/>
  <c r="J73" i="1"/>
  <c r="N87" i="1"/>
  <c r="L87" i="1" s="1"/>
  <c r="V87" i="1" s="1"/>
  <c r="N65" i="1"/>
  <c r="N69" i="1"/>
  <c r="L69" i="1" s="1"/>
  <c r="V69" i="1" s="1"/>
  <c r="N73" i="1"/>
  <c r="X73" i="1" s="1"/>
  <c r="N77" i="1"/>
  <c r="X77" i="1" s="1"/>
  <c r="N72" i="1"/>
  <c r="L72" i="1" s="1"/>
  <c r="V72" i="1" s="1"/>
  <c r="N91" i="1"/>
  <c r="J100" i="1"/>
  <c r="N76" i="1"/>
  <c r="J67" i="1"/>
  <c r="P67" i="1" s="1"/>
  <c r="Z67" i="1" s="1"/>
  <c r="J71" i="1"/>
  <c r="P71" i="1" s="1"/>
  <c r="Z71" i="1" s="1"/>
  <c r="J58" i="1"/>
  <c r="T58" i="1" s="1"/>
  <c r="N78" i="1"/>
  <c r="N63" i="1"/>
  <c r="L63" i="1" s="1"/>
  <c r="V63" i="1" s="1"/>
  <c r="N67" i="1"/>
  <c r="X67" i="1" s="1"/>
  <c r="N75" i="1"/>
  <c r="L75" i="1" s="1"/>
  <c r="V75" i="1" s="1"/>
  <c r="N81" i="1"/>
  <c r="N48" i="1"/>
  <c r="X48" i="1" s="1"/>
  <c r="N54" i="1"/>
  <c r="L54" i="1" s="1"/>
  <c r="V54" i="1" s="1"/>
  <c r="J81" i="1"/>
  <c r="P81" i="1" s="1"/>
  <c r="Z81" i="1" s="1"/>
  <c r="J85" i="1"/>
  <c r="P85" i="1" s="1"/>
  <c r="Z85" i="1" s="1"/>
  <c r="J93" i="1"/>
  <c r="P93" i="1" s="1"/>
  <c r="Z93" i="1" s="1"/>
  <c r="J120" i="1"/>
  <c r="J95" i="1"/>
  <c r="P95" i="1" s="1"/>
  <c r="Z95" i="1" s="1"/>
  <c r="J68" i="1"/>
  <c r="T68" i="1" s="1"/>
  <c r="N70" i="1"/>
  <c r="X70" i="1" s="1"/>
  <c r="J76" i="1"/>
  <c r="P76" i="1" s="1"/>
  <c r="Z76" i="1" s="1"/>
  <c r="N83" i="1"/>
  <c r="X83" i="1" s="1"/>
  <c r="J94" i="1"/>
  <c r="J56" i="1"/>
  <c r="T56" i="1" s="1"/>
  <c r="J117" i="1"/>
  <c r="P117" i="1" s="1"/>
  <c r="Z117" i="1" s="1"/>
  <c r="J86" i="1"/>
  <c r="P86" i="1" s="1"/>
  <c r="Z86" i="1" s="1"/>
  <c r="J69" i="1"/>
  <c r="T69" i="1" s="1"/>
  <c r="J77" i="1"/>
  <c r="P77" i="1" s="1"/>
  <c r="Z77" i="1" s="1"/>
  <c r="N100" i="1"/>
  <c r="L100" i="1" s="1"/>
  <c r="V100" i="1" s="1"/>
  <c r="J82" i="1"/>
  <c r="P82" i="1" s="1"/>
  <c r="Z82" i="1" s="1"/>
  <c r="J60" i="1"/>
  <c r="T60" i="1" s="1"/>
  <c r="J64" i="1"/>
  <c r="T64" i="1" s="1"/>
  <c r="N66" i="1"/>
  <c r="L66" i="1" s="1"/>
  <c r="V66" i="1" s="1"/>
  <c r="J48" i="1"/>
  <c r="T48" i="1" s="1"/>
  <c r="J84" i="1"/>
  <c r="P84" i="1" s="1"/>
  <c r="Z84" i="1" s="1"/>
  <c r="J90" i="1"/>
  <c r="J83" i="1"/>
  <c r="N104" i="1"/>
  <c r="X104" i="1" s="1"/>
  <c r="O200" i="1"/>
  <c r="Q200" i="1" s="1"/>
  <c r="K200" i="1"/>
  <c r="M200" i="1" s="1"/>
  <c r="L13" i="20"/>
  <c r="V13" i="20" s="1"/>
  <c r="X13" i="20"/>
  <c r="X96" i="1"/>
  <c r="O91" i="29"/>
  <c r="K91" i="29"/>
  <c r="G83" i="29"/>
  <c r="O82" i="29"/>
  <c r="K81" i="29"/>
  <c r="X87" i="29"/>
  <c r="G84" i="29"/>
  <c r="O83" i="29"/>
  <c r="Q83" i="29" s="1"/>
  <c r="E83" i="29"/>
  <c r="K82" i="29"/>
  <c r="M82" i="29" s="1"/>
  <c r="K59" i="29"/>
  <c r="M59" i="29" s="1"/>
  <c r="E60" i="29"/>
  <c r="O59" i="29"/>
  <c r="Q59" i="29" s="1"/>
  <c r="G60" i="29"/>
  <c r="G38" i="29"/>
  <c r="O38" i="29" s="1"/>
  <c r="Q38" i="29" s="1"/>
  <c r="O37" i="29"/>
  <c r="Q37" i="29" s="1"/>
  <c r="E38" i="29"/>
  <c r="K38" i="29" s="1"/>
  <c r="M38" i="29" s="1"/>
  <c r="K37" i="29"/>
  <c r="M37" i="29" s="1"/>
  <c r="E39" i="29"/>
  <c r="G39" i="29"/>
  <c r="K35" i="29"/>
  <c r="M35" i="29" s="1"/>
  <c r="K36" i="29"/>
  <c r="M36" i="29" s="1"/>
  <c r="J26" i="29"/>
  <c r="L31" i="29"/>
  <c r="V31" i="29" s="1"/>
  <c r="J34" i="29"/>
  <c r="T34" i="29" s="1"/>
  <c r="N34" i="29"/>
  <c r="X34" i="29" s="1"/>
  <c r="N36" i="29"/>
  <c r="X36" i="29" s="1"/>
  <c r="O35" i="29"/>
  <c r="Q35" i="29" s="1"/>
  <c r="O36" i="29"/>
  <c r="Q36" i="29" s="1"/>
  <c r="J14" i="29"/>
  <c r="J12" i="29"/>
  <c r="K22" i="29"/>
  <c r="M22" i="29" s="1"/>
  <c r="O22" i="29"/>
  <c r="Q22" i="29" s="1"/>
  <c r="L13" i="29"/>
  <c r="V13" i="29" s="1"/>
  <c r="J23" i="29"/>
  <c r="P23" i="29" s="1"/>
  <c r="Z23" i="29" s="1"/>
  <c r="L15" i="29"/>
  <c r="V15" i="29" s="1"/>
  <c r="L70" i="29"/>
  <c r="V70" i="29" s="1"/>
  <c r="X97" i="29"/>
  <c r="X33" i="29"/>
  <c r="X74" i="29"/>
  <c r="X11" i="29"/>
  <c r="L27" i="29"/>
  <c r="V27" i="29" s="1"/>
  <c r="E158" i="19"/>
  <c r="K157" i="19"/>
  <c r="M157" i="19" s="1"/>
  <c r="G157" i="19"/>
  <c r="O156" i="19"/>
  <c r="Q156" i="19" s="1"/>
  <c r="K156" i="19"/>
  <c r="E149" i="19"/>
  <c r="K149" i="19" s="1"/>
  <c r="M149" i="19" s="1"/>
  <c r="K148" i="19"/>
  <c r="M148" i="19" s="1"/>
  <c r="G149" i="19"/>
  <c r="G150" i="19" s="1"/>
  <c r="O148" i="19"/>
  <c r="Q148" i="19" s="1"/>
  <c r="O149" i="19"/>
  <c r="Q149" i="19" s="1"/>
  <c r="E150" i="19"/>
  <c r="O124" i="19"/>
  <c r="Q124" i="19" s="1"/>
  <c r="G125" i="19"/>
  <c r="E125" i="19"/>
  <c r="K124" i="19"/>
  <c r="M124" i="19" s="1"/>
  <c r="G101" i="19"/>
  <c r="O100" i="19"/>
  <c r="Q100" i="19" s="1"/>
  <c r="O99" i="19"/>
  <c r="E101" i="19"/>
  <c r="K100" i="19"/>
  <c r="M100" i="19" s="1"/>
  <c r="O92" i="19"/>
  <c r="G93" i="19"/>
  <c r="X95" i="19"/>
  <c r="L95" i="19"/>
  <c r="V95" i="19" s="1"/>
  <c r="K92" i="19"/>
  <c r="M92" i="19" s="1"/>
  <c r="W92" i="19" s="1"/>
  <c r="E93" i="19"/>
  <c r="X167" i="19"/>
  <c r="X166" i="19"/>
  <c r="O78" i="19"/>
  <c r="G14" i="19"/>
  <c r="O13" i="19"/>
  <c r="Q13" i="19" s="1"/>
  <c r="E14" i="19"/>
  <c r="K13" i="19"/>
  <c r="M13" i="19" s="1"/>
  <c r="G71" i="19"/>
  <c r="G72" i="19" s="1"/>
  <c r="G73" i="19" s="1"/>
  <c r="G74" i="19" s="1"/>
  <c r="G75" i="19" s="1"/>
  <c r="O70" i="19"/>
  <c r="J70" i="19"/>
  <c r="P70" i="19" s="1"/>
  <c r="Z70" i="19" s="1"/>
  <c r="N70" i="19"/>
  <c r="L70" i="19" s="1"/>
  <c r="V70" i="19" s="1"/>
  <c r="K70" i="19"/>
  <c r="M70" i="19" s="1"/>
  <c r="W70" i="19" s="1"/>
  <c r="O71" i="19"/>
  <c r="Q71" i="19" s="1"/>
  <c r="N69" i="19"/>
  <c r="L69" i="19" s="1"/>
  <c r="V69" i="19" s="1"/>
  <c r="J56" i="19"/>
  <c r="T56" i="19" s="1"/>
  <c r="J54" i="19"/>
  <c r="P54" i="19" s="1"/>
  <c r="Z54" i="19" s="1"/>
  <c r="O56" i="19"/>
  <c r="Q56" i="19" s="1"/>
  <c r="O54" i="19"/>
  <c r="K54" i="19"/>
  <c r="N54" i="19"/>
  <c r="L54" i="19" s="1"/>
  <c r="V54" i="19" s="1"/>
  <c r="N56" i="19"/>
  <c r="L56" i="19" s="1"/>
  <c r="V56" i="19" s="1"/>
  <c r="N55" i="19"/>
  <c r="L55" i="19" s="1"/>
  <c r="V55" i="19" s="1"/>
  <c r="J55" i="19"/>
  <c r="P55" i="19" s="1"/>
  <c r="Z55" i="19" s="1"/>
  <c r="K55" i="19"/>
  <c r="K56" i="19"/>
  <c r="O55" i="19"/>
  <c r="G59" i="19"/>
  <c r="O58" i="19"/>
  <c r="K58" i="19"/>
  <c r="G42" i="19"/>
  <c r="O41" i="19"/>
  <c r="Q41" i="19" s="1"/>
  <c r="O40" i="19"/>
  <c r="Q40" i="19" s="1"/>
  <c r="K59" i="19"/>
  <c r="E60" i="19"/>
  <c r="G43" i="19"/>
  <c r="O42" i="19"/>
  <c r="Q42" i="19" s="1"/>
  <c r="K42" i="19"/>
  <c r="M42" i="19" s="1"/>
  <c r="E43" i="19"/>
  <c r="J12" i="19"/>
  <c r="P12" i="19" s="1"/>
  <c r="Z12" i="19" s="1"/>
  <c r="F35" i="19"/>
  <c r="N35" i="19" s="1"/>
  <c r="L35" i="19" s="1"/>
  <c r="V35" i="19" s="1"/>
  <c r="N18" i="19"/>
  <c r="F29" i="19"/>
  <c r="F33" i="19"/>
  <c r="N33" i="19" s="1"/>
  <c r="L33" i="19" s="1"/>
  <c r="V33" i="19" s="1"/>
  <c r="J16" i="19"/>
  <c r="P16" i="19" s="1"/>
  <c r="Z16" i="19" s="1"/>
  <c r="F34" i="19"/>
  <c r="N34" i="19" s="1"/>
  <c r="N13" i="19"/>
  <c r="L13" i="19" s="1"/>
  <c r="V13" i="19" s="1"/>
  <c r="J14" i="19"/>
  <c r="P14" i="19" s="1"/>
  <c r="Z14" i="19" s="1"/>
  <c r="J13" i="19"/>
  <c r="P13" i="19" s="1"/>
  <c r="Z13" i="19" s="1"/>
  <c r="D33" i="19"/>
  <c r="J17" i="19"/>
  <c r="D37" i="19"/>
  <c r="J31" i="19"/>
  <c r="P31" i="19" s="1"/>
  <c r="Z31" i="19" s="1"/>
  <c r="N16" i="19"/>
  <c r="L16" i="19" s="1"/>
  <c r="V16" i="19" s="1"/>
  <c r="N23" i="19"/>
  <c r="L23" i="19" s="1"/>
  <c r="V23" i="19" s="1"/>
  <c r="J20" i="19"/>
  <c r="T20" i="19" s="1"/>
  <c r="N38" i="19"/>
  <c r="L38" i="19" s="1"/>
  <c r="V38" i="19" s="1"/>
  <c r="N22" i="19"/>
  <c r="X22" i="19" s="1"/>
  <c r="N25" i="19"/>
  <c r="L25" i="19" s="1"/>
  <c r="V25" i="19" s="1"/>
  <c r="J35" i="19"/>
  <c r="P35" i="19" s="1"/>
  <c r="Z35" i="19" s="1"/>
  <c r="J25" i="19"/>
  <c r="J15" i="19"/>
  <c r="T15" i="19" s="1"/>
  <c r="J33" i="19"/>
  <c r="P33" i="19" s="1"/>
  <c r="Z33" i="19" s="1"/>
  <c r="J21" i="19"/>
  <c r="P21" i="19" s="1"/>
  <c r="Z21" i="19" s="1"/>
  <c r="N26" i="19"/>
  <c r="L26" i="19" s="1"/>
  <c r="V26" i="19" s="1"/>
  <c r="N30" i="19"/>
  <c r="X30" i="19" s="1"/>
  <c r="J24" i="19"/>
  <c r="T24" i="19" s="1"/>
  <c r="J28" i="19"/>
  <c r="T28" i="19" s="1"/>
  <c r="G26" i="19"/>
  <c r="E28" i="19"/>
  <c r="E29" i="19" s="1"/>
  <c r="K27" i="19"/>
  <c r="M27" i="19" s="1"/>
  <c r="K26" i="19"/>
  <c r="M26" i="19" s="1"/>
  <c r="W26" i="19" s="1"/>
  <c r="N37" i="19"/>
  <c r="L37" i="19" s="1"/>
  <c r="V37" i="19" s="1"/>
  <c r="N27" i="19"/>
  <c r="L27" i="19" s="1"/>
  <c r="V27" i="19" s="1"/>
  <c r="N17" i="19"/>
  <c r="L17" i="19" s="1"/>
  <c r="V17" i="19" s="1"/>
  <c r="N12" i="19"/>
  <c r="X12" i="19" s="1"/>
  <c r="J22" i="19"/>
  <c r="T22" i="19" s="1"/>
  <c r="N24" i="19"/>
  <c r="L24" i="19" s="1"/>
  <c r="V24" i="19" s="1"/>
  <c r="J14" i="34"/>
  <c r="P14" i="34" s="1"/>
  <c r="Z14" i="34" s="1"/>
  <c r="K14" i="34"/>
  <c r="N14" i="34"/>
  <c r="L14" i="34" s="1"/>
  <c r="V14" i="34" s="1"/>
  <c r="O14" i="34"/>
  <c r="Y14" i="34" s="1"/>
  <c r="L53" i="36"/>
  <c r="V53" i="36" s="1"/>
  <c r="X32" i="36"/>
  <c r="L45" i="36"/>
  <c r="V45" i="36" s="1"/>
  <c r="L11" i="36"/>
  <c r="V11" i="36" s="1"/>
  <c r="X62" i="36"/>
  <c r="T17" i="36"/>
  <c r="X21" i="36"/>
  <c r="L59" i="36"/>
  <c r="V59" i="36" s="1"/>
  <c r="X17" i="36"/>
  <c r="X31" i="36"/>
  <c r="L37" i="36"/>
  <c r="V37" i="36" s="1"/>
  <c r="X39" i="36"/>
  <c r="X63" i="36"/>
  <c r="X66" i="36"/>
  <c r="L47" i="36"/>
  <c r="V47" i="36" s="1"/>
  <c r="X28" i="36"/>
  <c r="L35" i="36"/>
  <c r="V35" i="36" s="1"/>
  <c r="X47" i="32"/>
  <c r="L21" i="32"/>
  <c r="V21" i="32" s="1"/>
  <c r="L25" i="32"/>
  <c r="V25" i="32" s="1"/>
  <c r="L30" i="32"/>
  <c r="V30" i="32" s="1"/>
  <c r="L36" i="32"/>
  <c r="V36" i="32" s="1"/>
  <c r="L54" i="32"/>
  <c r="V54" i="32" s="1"/>
  <c r="L19" i="32"/>
  <c r="V19" i="32" s="1"/>
  <c r="X20" i="31"/>
  <c r="L14" i="31"/>
  <c r="V14" i="31" s="1"/>
  <c r="X18" i="31"/>
  <c r="X21" i="31"/>
  <c r="X66" i="31"/>
  <c r="L12" i="31"/>
  <c r="V12" i="31" s="1"/>
  <c r="L25" i="31"/>
  <c r="V25" i="31" s="1"/>
  <c r="L70" i="31"/>
  <c r="V70" i="31" s="1"/>
  <c r="X67" i="31"/>
  <c r="L162" i="28"/>
  <c r="V162" i="28" s="1"/>
  <c r="T163" i="28"/>
  <c r="L165" i="28"/>
  <c r="V165" i="28" s="1"/>
  <c r="T149" i="28"/>
  <c r="L147" i="28"/>
  <c r="V147" i="28" s="1"/>
  <c r="X245" i="27"/>
  <c r="L37" i="27"/>
  <c r="V37" i="27" s="1"/>
  <c r="L252" i="27"/>
  <c r="V252" i="27" s="1"/>
  <c r="X203" i="27"/>
  <c r="X57" i="27"/>
  <c r="L218" i="27"/>
  <c r="V218" i="27" s="1"/>
  <c r="X249" i="27"/>
  <c r="X23" i="27"/>
  <c r="X124" i="27"/>
  <c r="X82" i="27"/>
  <c r="X228" i="27"/>
  <c r="L29" i="27"/>
  <c r="V29" i="27" s="1"/>
  <c r="L18" i="27"/>
  <c r="V18" i="27" s="1"/>
  <c r="T36" i="27"/>
  <c r="L41" i="27"/>
  <c r="V41" i="27" s="1"/>
  <c r="L45" i="27"/>
  <c r="V45" i="27" s="1"/>
  <c r="X77" i="27"/>
  <c r="L14" i="27"/>
  <c r="V14" i="27" s="1"/>
  <c r="L17" i="27"/>
  <c r="V17" i="27" s="1"/>
  <c r="L24" i="27"/>
  <c r="V24" i="27" s="1"/>
  <c r="L254" i="27"/>
  <c r="V254" i="27" s="1"/>
  <c r="L34" i="27"/>
  <c r="V34" i="27" s="1"/>
  <c r="T52" i="27"/>
  <c r="L253" i="27"/>
  <c r="V253" i="27" s="1"/>
  <c r="X58" i="27"/>
  <c r="X76" i="27"/>
  <c r="T86" i="27"/>
  <c r="L229" i="27"/>
  <c r="V229" i="27" s="1"/>
  <c r="L30" i="27"/>
  <c r="V30" i="27" s="1"/>
  <c r="T44" i="27"/>
  <c r="X39" i="26"/>
  <c r="L23" i="26"/>
  <c r="V23" i="26" s="1"/>
  <c r="L26" i="26"/>
  <c r="V26" i="26" s="1"/>
  <c r="L32" i="26"/>
  <c r="V32" i="26" s="1"/>
  <c r="L47" i="26"/>
  <c r="V47" i="26" s="1"/>
  <c r="L31" i="26"/>
  <c r="V31" i="26" s="1"/>
  <c r="L16" i="26"/>
  <c r="V16" i="26" s="1"/>
  <c r="X20" i="26"/>
  <c r="X40" i="26"/>
  <c r="L15" i="26"/>
  <c r="V15" i="26" s="1"/>
  <c r="L34" i="26"/>
  <c r="V34" i="26" s="1"/>
  <c r="X28" i="26"/>
  <c r="L68" i="24"/>
  <c r="V68" i="24" s="1"/>
  <c r="X61" i="24"/>
  <c r="AA11" i="24"/>
  <c r="X14" i="24"/>
  <c r="X45" i="24"/>
  <c r="U6" i="24"/>
  <c r="X44" i="24"/>
  <c r="L60" i="24"/>
  <c r="V60" i="24" s="1"/>
  <c r="L36" i="24"/>
  <c r="V36" i="24" s="1"/>
  <c r="P59" i="24"/>
  <c r="Z59" i="24" s="1"/>
  <c r="X84" i="23"/>
  <c r="X116" i="23"/>
  <c r="L176" i="23"/>
  <c r="V176" i="23" s="1"/>
  <c r="X39" i="23"/>
  <c r="X23" i="23"/>
  <c r="X32" i="23"/>
  <c r="X42" i="23"/>
  <c r="X48" i="23"/>
  <c r="X117" i="23"/>
  <c r="L122" i="23"/>
  <c r="V122" i="23" s="1"/>
  <c r="X123" i="23"/>
  <c r="L61" i="23"/>
  <c r="V61" i="23" s="1"/>
  <c r="L105" i="23"/>
  <c r="V105" i="23" s="1"/>
  <c r="X115" i="23"/>
  <c r="L127" i="23"/>
  <c r="V127" i="23" s="1"/>
  <c r="L131" i="23"/>
  <c r="V131" i="23" s="1"/>
  <c r="L153" i="23"/>
  <c r="V153" i="23" s="1"/>
  <c r="L159" i="23"/>
  <c r="V159" i="23" s="1"/>
  <c r="L126" i="23"/>
  <c r="V126" i="23" s="1"/>
  <c r="L137" i="23"/>
  <c r="V137" i="23" s="1"/>
  <c r="L13" i="23"/>
  <c r="V13" i="23" s="1"/>
  <c r="L63" i="23"/>
  <c r="V63" i="23" s="1"/>
  <c r="X72" i="23"/>
  <c r="X96" i="23"/>
  <c r="T131" i="23"/>
  <c r="L19" i="23"/>
  <c r="V19" i="23" s="1"/>
  <c r="L103" i="23"/>
  <c r="V103" i="23" s="1"/>
  <c r="X104" i="23"/>
  <c r="L133" i="23"/>
  <c r="V133" i="23" s="1"/>
  <c r="L136" i="23"/>
  <c r="V136" i="23" s="1"/>
  <c r="X146" i="23"/>
  <c r="T149" i="23"/>
  <c r="X77" i="23"/>
  <c r="X85" i="23"/>
  <c r="L109" i="23"/>
  <c r="V109" i="23" s="1"/>
  <c r="X164" i="23"/>
  <c r="X195" i="22"/>
  <c r="L161" i="22"/>
  <c r="V161" i="22" s="1"/>
  <c r="P182" i="22"/>
  <c r="Z182" i="22" s="1"/>
  <c r="T16" i="22"/>
  <c r="L187" i="22"/>
  <c r="V187" i="22" s="1"/>
  <c r="L196" i="22"/>
  <c r="V196" i="22" s="1"/>
  <c r="X137" i="22"/>
  <c r="X205" i="22"/>
  <c r="L14" i="22"/>
  <c r="V14" i="22" s="1"/>
  <c r="L74" i="22"/>
  <c r="V74" i="22" s="1"/>
  <c r="X121" i="22"/>
  <c r="L200" i="22"/>
  <c r="V200" i="22" s="1"/>
  <c r="X201" i="22"/>
  <c r="X15" i="22"/>
  <c r="X109" i="22"/>
  <c r="L132" i="22"/>
  <c r="V132" i="22" s="1"/>
  <c r="X129" i="22"/>
  <c r="L58" i="22"/>
  <c r="V58" i="22" s="1"/>
  <c r="X59" i="22"/>
  <c r="L157" i="22"/>
  <c r="V157" i="22" s="1"/>
  <c r="L188" i="22"/>
  <c r="V188" i="22" s="1"/>
  <c r="T71" i="22"/>
  <c r="L138" i="22"/>
  <c r="V138" i="22" s="1"/>
  <c r="L16" i="22"/>
  <c r="V16" i="22" s="1"/>
  <c r="L126" i="22"/>
  <c r="V126" i="22" s="1"/>
  <c r="X135" i="22"/>
  <c r="P151" i="22"/>
  <c r="Z151" i="22" s="1"/>
  <c r="X298" i="22"/>
  <c r="L158" i="19"/>
  <c r="V158" i="19" s="1"/>
  <c r="X14" i="19"/>
  <c r="X69" i="19"/>
  <c r="L154" i="19"/>
  <c r="V154" i="19" s="1"/>
  <c r="X57" i="19"/>
  <c r="X136" i="19"/>
  <c r="X77" i="19"/>
  <c r="X168" i="19"/>
  <c r="T62" i="19"/>
  <c r="X107" i="19"/>
  <c r="L160" i="19"/>
  <c r="V160" i="19" s="1"/>
  <c r="T70" i="19"/>
  <c r="T85" i="1"/>
  <c r="L42" i="1"/>
  <c r="V42" i="1" s="1"/>
  <c r="X14" i="1"/>
  <c r="X28" i="1"/>
  <c r="X47" i="1"/>
  <c r="L53" i="1"/>
  <c r="V53" i="1" s="1"/>
  <c r="L52" i="1"/>
  <c r="V52" i="1" s="1"/>
  <c r="L41" i="1"/>
  <c r="V41" i="1" s="1"/>
  <c r="L67" i="1"/>
  <c r="V67" i="1" s="1"/>
  <c r="P74" i="1"/>
  <c r="Z74" i="1" s="1"/>
  <c r="X22" i="1"/>
  <c r="X61" i="1"/>
  <c r="L27" i="1"/>
  <c r="V27" i="1" s="1"/>
  <c r="T147" i="1"/>
  <c r="T82" i="1"/>
  <c r="L31" i="1"/>
  <c r="V31" i="1" s="1"/>
  <c r="L32" i="1"/>
  <c r="V32" i="1" s="1"/>
  <c r="L62" i="1"/>
  <c r="V62" i="1" s="1"/>
  <c r="X75" i="1"/>
  <c r="G26" i="25"/>
  <c r="E24" i="25"/>
  <c r="E25" i="25" s="1"/>
  <c r="F23" i="25"/>
  <c r="J13" i="25"/>
  <c r="P13" i="25" s="1"/>
  <c r="Z13" i="25" s="1"/>
  <c r="D23" i="25"/>
  <c r="J12" i="25"/>
  <c r="P12" i="25" s="1"/>
  <c r="Z12" i="25" s="1"/>
  <c r="D22" i="25"/>
  <c r="D32" i="25" s="1"/>
  <c r="D42" i="25" s="1"/>
  <c r="D52" i="25" s="1"/>
  <c r="D62" i="25" s="1"/>
  <c r="D72" i="25" s="1"/>
  <c r="D82" i="25" s="1"/>
  <c r="D92" i="25" s="1"/>
  <c r="J81" i="25"/>
  <c r="P81" i="25" s="1"/>
  <c r="Z81" i="25" s="1"/>
  <c r="J91" i="25"/>
  <c r="J31" i="25"/>
  <c r="J23" i="30"/>
  <c r="T23" i="30" s="1"/>
  <c r="O23" i="30"/>
  <c r="N23" i="30"/>
  <c r="K23" i="30"/>
  <c r="J32" i="30"/>
  <c r="P32" i="30" s="1"/>
  <c r="Z32" i="30" s="1"/>
  <c r="N32" i="30"/>
  <c r="K32" i="30"/>
  <c r="M32" i="30" s="1"/>
  <c r="J36" i="30"/>
  <c r="P36" i="30" s="1"/>
  <c r="Z36" i="30" s="1"/>
  <c r="O36" i="30"/>
  <c r="Q36" i="30" s="1"/>
  <c r="K36" i="30"/>
  <c r="M36" i="30" s="1"/>
  <c r="J44" i="30"/>
  <c r="P44" i="30" s="1"/>
  <c r="Z44" i="30" s="1"/>
  <c r="K44" i="30"/>
  <c r="M44" i="30" s="1"/>
  <c r="J48" i="30"/>
  <c r="P48" i="30" s="1"/>
  <c r="Z48" i="30" s="1"/>
  <c r="O48" i="30"/>
  <c r="Q48" i="30" s="1"/>
  <c r="K48" i="30"/>
  <c r="M48" i="30" s="1"/>
  <c r="N48" i="30"/>
  <c r="J56" i="30"/>
  <c r="P56" i="30" s="1"/>
  <c r="Z56" i="30" s="1"/>
  <c r="O56" i="30"/>
  <c r="N56" i="30"/>
  <c r="L56" i="30" s="1"/>
  <c r="V56" i="30" s="1"/>
  <c r="J60" i="30"/>
  <c r="P60" i="30" s="1"/>
  <c r="Z60" i="30" s="1"/>
  <c r="O60" i="30"/>
  <c r="N60" i="30"/>
  <c r="L60" i="30" s="1"/>
  <c r="V60" i="30" s="1"/>
  <c r="K60" i="30"/>
  <c r="M60" i="30" s="1"/>
  <c r="J64" i="30"/>
  <c r="P64" i="30" s="1"/>
  <c r="Z64" i="30" s="1"/>
  <c r="K64" i="30"/>
  <c r="M64" i="30" s="1"/>
  <c r="J68" i="30"/>
  <c r="O68" i="30"/>
  <c r="Q68" i="30" s="1"/>
  <c r="N68" i="30"/>
  <c r="L68" i="30" s="1"/>
  <c r="V68" i="30" s="1"/>
  <c r="K68" i="30"/>
  <c r="M68" i="30" s="1"/>
  <c r="J21" i="30"/>
  <c r="T21" i="30" s="1"/>
  <c r="K21" i="30"/>
  <c r="O21" i="30"/>
  <c r="N21" i="30"/>
  <c r="J25" i="30"/>
  <c r="T25" i="30" s="1"/>
  <c r="K25" i="30"/>
  <c r="M25" i="30" s="1"/>
  <c r="J59" i="30"/>
  <c r="T59" i="30" s="1"/>
  <c r="N59" i="30"/>
  <c r="L59" i="30" s="1"/>
  <c r="V59" i="30" s="1"/>
  <c r="K59" i="30"/>
  <c r="M59" i="30" s="1"/>
  <c r="J16" i="30"/>
  <c r="P16" i="30" s="1"/>
  <c r="Z16" i="30" s="1"/>
  <c r="N16" i="30"/>
  <c r="X16" i="30" s="1"/>
  <c r="K16" i="30"/>
  <c r="M16" i="30" s="1"/>
  <c r="O16" i="30"/>
  <c r="Q16" i="30" s="1"/>
  <c r="J11" i="30"/>
  <c r="P11" i="30" s="1"/>
  <c r="Z11" i="30" s="1"/>
  <c r="O11" i="30"/>
  <c r="N11" i="30"/>
  <c r="L11" i="30" s="1"/>
  <c r="V11" i="30" s="1"/>
  <c r="J14" i="30"/>
  <c r="P14" i="30" s="1"/>
  <c r="Z14" i="30" s="1"/>
  <c r="K14" i="30"/>
  <c r="M14" i="30" s="1"/>
  <c r="J29" i="30"/>
  <c r="T29" i="30" s="1"/>
  <c r="N29" i="30"/>
  <c r="L29" i="30" s="1"/>
  <c r="V29" i="30" s="1"/>
  <c r="K29" i="30"/>
  <c r="J33" i="30"/>
  <c r="T33" i="30" s="1"/>
  <c r="O33" i="30"/>
  <c r="N33" i="30"/>
  <c r="L33" i="30" s="1"/>
  <c r="V33" i="30" s="1"/>
  <c r="K33" i="30"/>
  <c r="M33" i="30" s="1"/>
  <c r="J41" i="30"/>
  <c r="N41" i="30"/>
  <c r="L41" i="30" s="1"/>
  <c r="V41" i="30" s="1"/>
  <c r="K41" i="30"/>
  <c r="M41" i="30" s="1"/>
  <c r="J45" i="30"/>
  <c r="O45" i="30"/>
  <c r="Q45" i="30" s="1"/>
  <c r="K45" i="30"/>
  <c r="M45" i="30" s="1"/>
  <c r="N45" i="30"/>
  <c r="L45" i="30" s="1"/>
  <c r="V45" i="30" s="1"/>
  <c r="J49" i="30"/>
  <c r="T49" i="30" s="1"/>
  <c r="O49" i="30"/>
  <c r="Q49" i="30" s="1"/>
  <c r="N49" i="30"/>
  <c r="K49" i="30"/>
  <c r="M49" i="30" s="1"/>
  <c r="J53" i="30"/>
  <c r="T53" i="30" s="1"/>
  <c r="N53" i="30"/>
  <c r="L53" i="30" s="1"/>
  <c r="V53" i="30" s="1"/>
  <c r="K53" i="30"/>
  <c r="J57" i="30"/>
  <c r="O57" i="30"/>
  <c r="Q57" i="30" s="1"/>
  <c r="N57" i="30"/>
  <c r="L57" i="30" s="1"/>
  <c r="V57" i="30" s="1"/>
  <c r="K57" i="30"/>
  <c r="J65" i="30"/>
  <c r="T65" i="30" s="1"/>
  <c r="O65" i="30"/>
  <c r="Q65" i="30" s="1"/>
  <c r="K65" i="30"/>
  <c r="M65" i="30" s="1"/>
  <c r="N65" i="30"/>
  <c r="J39" i="30"/>
  <c r="N39" i="30"/>
  <c r="L39" i="30" s="1"/>
  <c r="V39" i="30" s="1"/>
  <c r="O39" i="30"/>
  <c r="Q39" i="30" s="1"/>
  <c r="K39" i="30"/>
  <c r="M39" i="30" s="1"/>
  <c r="J51" i="30"/>
  <c r="T51" i="30" s="1"/>
  <c r="O51" i="30"/>
  <c r="Q51" i="30" s="1"/>
  <c r="K51" i="30"/>
  <c r="M51" i="30" s="1"/>
  <c r="J67" i="30"/>
  <c r="P67" i="30" s="1"/>
  <c r="Z67" i="30" s="1"/>
  <c r="N67" i="30"/>
  <c r="K67" i="30"/>
  <c r="M67" i="30" s="1"/>
  <c r="J18" i="30"/>
  <c r="P18" i="30" s="1"/>
  <c r="Z18" i="30" s="1"/>
  <c r="N18" i="30"/>
  <c r="K18" i="30"/>
  <c r="M18" i="30" s="1"/>
  <c r="J22" i="30"/>
  <c r="P22" i="30" s="1"/>
  <c r="Z22" i="30" s="1"/>
  <c r="N22" i="30"/>
  <c r="J26" i="30"/>
  <c r="P26" i="30" s="1"/>
  <c r="Z26" i="30" s="1"/>
  <c r="O26" i="30"/>
  <c r="N26" i="30"/>
  <c r="K26" i="30"/>
  <c r="M26" i="30" s="1"/>
  <c r="J19" i="30"/>
  <c r="T19" i="30" s="1"/>
  <c r="N19" i="30"/>
  <c r="O19" i="30"/>
  <c r="K19" i="30"/>
  <c r="U19" i="30" s="1"/>
  <c r="J27" i="30"/>
  <c r="T27" i="30" s="1"/>
  <c r="O27" i="30"/>
  <c r="N27" i="30"/>
  <c r="L27" i="30" s="1"/>
  <c r="V27" i="30" s="1"/>
  <c r="K27" i="30"/>
  <c r="J35" i="30"/>
  <c r="T35" i="30" s="1"/>
  <c r="O35" i="30"/>
  <c r="Q35" i="30" s="1"/>
  <c r="K35" i="30"/>
  <c r="N35" i="30"/>
  <c r="J47" i="30"/>
  <c r="K47" i="30"/>
  <c r="J63" i="30"/>
  <c r="T63" i="30" s="1"/>
  <c r="O63" i="30"/>
  <c r="Q63" i="30" s="1"/>
  <c r="N63" i="30"/>
  <c r="L63" i="30" s="1"/>
  <c r="V63" i="30" s="1"/>
  <c r="K63" i="30"/>
  <c r="M63" i="30" s="1"/>
  <c r="J12" i="30"/>
  <c r="P12" i="30" s="1"/>
  <c r="Z12" i="30" s="1"/>
  <c r="O12" i="30"/>
  <c r="Q12" i="30" s="1"/>
  <c r="N12" i="30"/>
  <c r="L12" i="30" s="1"/>
  <c r="V12" i="30" s="1"/>
  <c r="K12" i="30"/>
  <c r="J15" i="30"/>
  <c r="T15" i="30" s="1"/>
  <c r="O15" i="30"/>
  <c r="N15" i="30"/>
  <c r="L15" i="30" s="1"/>
  <c r="V15" i="30" s="1"/>
  <c r="J30" i="30"/>
  <c r="P30" i="30" s="1"/>
  <c r="Z30" i="30" s="1"/>
  <c r="N30" i="30"/>
  <c r="X30" i="30" s="1"/>
  <c r="O30" i="30"/>
  <c r="K30" i="30"/>
  <c r="M30" i="30" s="1"/>
  <c r="J38" i="30"/>
  <c r="P38" i="30" s="1"/>
  <c r="Z38" i="30" s="1"/>
  <c r="K38" i="30"/>
  <c r="M38" i="30" s="1"/>
  <c r="J42" i="30"/>
  <c r="P42" i="30" s="1"/>
  <c r="Z42" i="30" s="1"/>
  <c r="O42" i="30"/>
  <c r="Q42" i="30" s="1"/>
  <c r="N42" i="30"/>
  <c r="K42" i="30"/>
  <c r="M42" i="30" s="1"/>
  <c r="J46" i="30"/>
  <c r="P46" i="30" s="1"/>
  <c r="Z46" i="30" s="1"/>
  <c r="O46" i="30"/>
  <c r="N46" i="30"/>
  <c r="L46" i="30" s="1"/>
  <c r="V46" i="30" s="1"/>
  <c r="K46" i="30"/>
  <c r="M46" i="30" s="1"/>
  <c r="J50" i="30"/>
  <c r="K50" i="30"/>
  <c r="J54" i="30"/>
  <c r="P54" i="30" s="1"/>
  <c r="Z54" i="30" s="1"/>
  <c r="N54" i="30"/>
  <c r="L54" i="30" s="1"/>
  <c r="V54" i="30" s="1"/>
  <c r="K54" i="30"/>
  <c r="M54" i="30" s="1"/>
  <c r="O54" i="30"/>
  <c r="J58" i="30"/>
  <c r="P58" i="30" s="1"/>
  <c r="Z58" i="30" s="1"/>
  <c r="K58" i="30"/>
  <c r="M58" i="30" s="1"/>
  <c r="O58" i="30"/>
  <c r="N58" i="30"/>
  <c r="J62" i="30"/>
  <c r="T62" i="30" s="1"/>
  <c r="O62" i="30"/>
  <c r="N62" i="30"/>
  <c r="L62" i="30" s="1"/>
  <c r="V62" i="30" s="1"/>
  <c r="J70" i="30"/>
  <c r="N70" i="30"/>
  <c r="X70" i="30" s="1"/>
  <c r="K70" i="30"/>
  <c r="M70" i="30" s="1"/>
  <c r="K11" i="30"/>
  <c r="N36" i="30"/>
  <c r="N14" i="30"/>
  <c r="K17" i="30"/>
  <c r="U17" i="30" s="1"/>
  <c r="O18" i="30"/>
  <c r="Q18" i="30" s="1"/>
  <c r="O22" i="30"/>
  <c r="N25" i="30"/>
  <c r="L25" i="30" s="1"/>
  <c r="V25" i="30" s="1"/>
  <c r="K28" i="30"/>
  <c r="M28" i="30" s="1"/>
  <c r="O29" i="30"/>
  <c r="K31" i="30"/>
  <c r="O32" i="30"/>
  <c r="Q32" i="30" s="1"/>
  <c r="K34" i="30"/>
  <c r="N38" i="30"/>
  <c r="O41" i="30"/>
  <c r="Q41" i="30" s="1"/>
  <c r="N44" i="30"/>
  <c r="L44" i="30" s="1"/>
  <c r="V44" i="30" s="1"/>
  <c r="N47" i="30"/>
  <c r="L47" i="30" s="1"/>
  <c r="V47" i="30" s="1"/>
  <c r="N50" i="30"/>
  <c r="X50" i="30" s="1"/>
  <c r="O53" i="30"/>
  <c r="Q53" i="30" s="1"/>
  <c r="K55" i="30"/>
  <c r="M55" i="30" s="1"/>
  <c r="O59" i="30"/>
  <c r="K61" i="30"/>
  <c r="U61" i="30" s="1"/>
  <c r="N64" i="30"/>
  <c r="O67" i="30"/>
  <c r="Q67" i="30" s="1"/>
  <c r="O70" i="30"/>
  <c r="Q70" i="30" s="1"/>
  <c r="K15" i="30"/>
  <c r="K13" i="30"/>
  <c r="O14" i="30"/>
  <c r="Q14" i="30" s="1"/>
  <c r="N17" i="30"/>
  <c r="L17" i="30" s="1"/>
  <c r="V17" i="30" s="1"/>
  <c r="K20" i="30"/>
  <c r="M20" i="30" s="1"/>
  <c r="K24" i="30"/>
  <c r="M24" i="30" s="1"/>
  <c r="O25" i="30"/>
  <c r="N31" i="30"/>
  <c r="L31" i="30" s="1"/>
  <c r="V31" i="30" s="1"/>
  <c r="N34" i="30"/>
  <c r="K37" i="30"/>
  <c r="M37" i="30" s="1"/>
  <c r="O38" i="30"/>
  <c r="Q38" i="30" s="1"/>
  <c r="K40" i="30"/>
  <c r="M40" i="30" s="1"/>
  <c r="K43" i="30"/>
  <c r="M43" i="30" s="1"/>
  <c r="O44" i="30"/>
  <c r="Q44" i="30" s="1"/>
  <c r="O47" i="30"/>
  <c r="Q47" i="30" s="1"/>
  <c r="O50" i="30"/>
  <c r="Q50" i="30" s="1"/>
  <c r="K52" i="30"/>
  <c r="M52" i="30" s="1"/>
  <c r="N55" i="30"/>
  <c r="L55" i="30" s="1"/>
  <c r="V55" i="30" s="1"/>
  <c r="N61" i="30"/>
  <c r="L61" i="30" s="1"/>
  <c r="V61" i="30" s="1"/>
  <c r="O64" i="30"/>
  <c r="K66" i="30"/>
  <c r="M66" i="30" s="1"/>
  <c r="K69" i="30"/>
  <c r="N51" i="30"/>
  <c r="L51" i="30" s="1"/>
  <c r="V51" i="30" s="1"/>
  <c r="K56" i="30"/>
  <c r="M56" i="30" s="1"/>
  <c r="K62" i="30"/>
  <c r="M62" i="30" s="1"/>
  <c r="N13" i="30"/>
  <c r="O17" i="30"/>
  <c r="Q17" i="30" s="1"/>
  <c r="N28" i="30"/>
  <c r="O31" i="30"/>
  <c r="Q31" i="30" s="1"/>
  <c r="O34" i="30"/>
  <c r="Q34" i="30" s="1"/>
  <c r="N37" i="30"/>
  <c r="L37" i="30" s="1"/>
  <c r="V37" i="30" s="1"/>
  <c r="N40" i="30"/>
  <c r="L40" i="30" s="1"/>
  <c r="V40" i="30" s="1"/>
  <c r="N43" i="30"/>
  <c r="N52" i="30"/>
  <c r="O55" i="30"/>
  <c r="Q55" i="30" s="1"/>
  <c r="O61" i="30"/>
  <c r="Q61" i="30" s="1"/>
  <c r="N66" i="30"/>
  <c r="X66" i="30" s="1"/>
  <c r="N69" i="30"/>
  <c r="L69" i="30" s="1"/>
  <c r="V69" i="30" s="1"/>
  <c r="K22" i="30"/>
  <c r="M22" i="30" s="1"/>
  <c r="O13" i="30"/>
  <c r="Q13" i="30" s="1"/>
  <c r="N20" i="30"/>
  <c r="N24" i="30"/>
  <c r="O28" i="30"/>
  <c r="O37" i="30"/>
  <c r="Q37" i="30" s="1"/>
  <c r="O40" i="30"/>
  <c r="Q40" i="30" s="1"/>
  <c r="O43" i="30"/>
  <c r="Q43" i="30" s="1"/>
  <c r="O52" i="30"/>
  <c r="O66" i="30"/>
  <c r="Q66" i="30" s="1"/>
  <c r="O69" i="30"/>
  <c r="Q69" i="30" s="1"/>
  <c r="O20" i="30"/>
  <c r="O24" i="30"/>
  <c r="P34" i="30"/>
  <c r="Z34" i="30" s="1"/>
  <c r="T34" i="30"/>
  <c r="X68" i="30"/>
  <c r="L70" i="30"/>
  <c r="V70" i="30" s="1"/>
  <c r="K32" i="25"/>
  <c r="M32" i="25" s="1"/>
  <c r="N32" i="25"/>
  <c r="L32" i="25" s="1"/>
  <c r="V32" i="25" s="1"/>
  <c r="J51" i="25"/>
  <c r="P51" i="25" s="1"/>
  <c r="Z51" i="25" s="1"/>
  <c r="N93" i="25"/>
  <c r="X93" i="25" s="1"/>
  <c r="O33" i="25"/>
  <c r="Q33" i="25" s="1"/>
  <c r="N33" i="25"/>
  <c r="K33" i="25"/>
  <c r="M33" i="25" s="1"/>
  <c r="J41" i="25"/>
  <c r="T41" i="25" s="1"/>
  <c r="O41" i="25"/>
  <c r="Q41" i="25" s="1"/>
  <c r="N41" i="25"/>
  <c r="L41" i="25" s="1"/>
  <c r="V41" i="25" s="1"/>
  <c r="K41" i="25"/>
  <c r="M41" i="25" s="1"/>
  <c r="N52" i="25"/>
  <c r="N63" i="25"/>
  <c r="X63" i="25" s="1"/>
  <c r="J71" i="25"/>
  <c r="T71" i="25" s="1"/>
  <c r="O34" i="25"/>
  <c r="Q34" i="25" s="1"/>
  <c r="N72" i="25"/>
  <c r="X72" i="25" s="1"/>
  <c r="J61" i="25"/>
  <c r="T61" i="25" s="1"/>
  <c r="N92" i="25"/>
  <c r="X92" i="25" s="1"/>
  <c r="N51" i="25"/>
  <c r="X51" i="25" s="1"/>
  <c r="N62" i="25"/>
  <c r="X62" i="25" s="1"/>
  <c r="O32" i="25"/>
  <c r="Q32" i="25" s="1"/>
  <c r="N42" i="25"/>
  <c r="X42" i="25" s="1"/>
  <c r="N82" i="25"/>
  <c r="X82" i="25" s="1"/>
  <c r="K31" i="25"/>
  <c r="M31" i="25" s="1"/>
  <c r="K34" i="25"/>
  <c r="M34" i="25" s="1"/>
  <c r="O35" i="25"/>
  <c r="Q35" i="25" s="1"/>
  <c r="N91" i="25"/>
  <c r="X91" i="25" s="1"/>
  <c r="N43" i="25"/>
  <c r="L43" i="25" s="1"/>
  <c r="V43" i="25" s="1"/>
  <c r="N31" i="25"/>
  <c r="L31" i="25" s="1"/>
  <c r="V31" i="25" s="1"/>
  <c r="N61" i="25"/>
  <c r="L61" i="25" s="1"/>
  <c r="V61" i="25" s="1"/>
  <c r="N81" i="25"/>
  <c r="O31" i="25"/>
  <c r="Q31" i="25" s="1"/>
  <c r="N71" i="25"/>
  <c r="L71" i="25" s="1"/>
  <c r="V71" i="25" s="1"/>
  <c r="O14" i="25"/>
  <c r="Q14" i="25" s="1"/>
  <c r="N22" i="25"/>
  <c r="L22" i="25" s="1"/>
  <c r="V22" i="25" s="1"/>
  <c r="K22" i="25"/>
  <c r="M22" i="25" s="1"/>
  <c r="O17" i="25"/>
  <c r="Q17" i="25" s="1"/>
  <c r="K25" i="25"/>
  <c r="M25" i="25" s="1"/>
  <c r="O18" i="25"/>
  <c r="Q18" i="25" s="1"/>
  <c r="K18" i="25"/>
  <c r="M18" i="25" s="1"/>
  <c r="O15" i="25"/>
  <c r="Q15" i="25" s="1"/>
  <c r="K15" i="25"/>
  <c r="M15" i="25" s="1"/>
  <c r="K19" i="25"/>
  <c r="M19" i="25" s="1"/>
  <c r="K23" i="25"/>
  <c r="M23" i="25" s="1"/>
  <c r="O23" i="25"/>
  <c r="Q23" i="25" s="1"/>
  <c r="N23" i="25"/>
  <c r="L23" i="25" s="1"/>
  <c r="V23" i="25" s="1"/>
  <c r="O26" i="25"/>
  <c r="Q26" i="25" s="1"/>
  <c r="K16" i="25"/>
  <c r="M16" i="25" s="1"/>
  <c r="O20" i="25"/>
  <c r="Q20" i="25" s="1"/>
  <c r="K20" i="25"/>
  <c r="M20" i="25" s="1"/>
  <c r="J11" i="25"/>
  <c r="T11" i="25" s="1"/>
  <c r="O11" i="25"/>
  <c r="Q11" i="25" s="1"/>
  <c r="N11" i="25"/>
  <c r="L11" i="25" s="1"/>
  <c r="V11" i="25" s="1"/>
  <c r="K11" i="25"/>
  <c r="M11" i="25" s="1"/>
  <c r="K12" i="25"/>
  <c r="M12" i="25" s="1"/>
  <c r="N13" i="25"/>
  <c r="X13" i="25" s="1"/>
  <c r="O16" i="25"/>
  <c r="Q16" i="25" s="1"/>
  <c r="O19" i="25"/>
  <c r="Q19" i="25" s="1"/>
  <c r="K21" i="25"/>
  <c r="M21" i="25" s="1"/>
  <c r="K13" i="25"/>
  <c r="M13" i="25" s="1"/>
  <c r="O22" i="25"/>
  <c r="Q22" i="25" s="1"/>
  <c r="O25" i="25"/>
  <c r="Q25" i="25" s="1"/>
  <c r="N12" i="25"/>
  <c r="X12" i="25" s="1"/>
  <c r="O13" i="25"/>
  <c r="Q13" i="25" s="1"/>
  <c r="N21" i="25"/>
  <c r="L21" i="25" s="1"/>
  <c r="V21" i="25" s="1"/>
  <c r="O24" i="25"/>
  <c r="Q24" i="25" s="1"/>
  <c r="O12" i="25"/>
  <c r="Q12" i="25" s="1"/>
  <c r="K14" i="25"/>
  <c r="M14" i="25" s="1"/>
  <c r="K17" i="25"/>
  <c r="M17" i="25" s="1"/>
  <c r="O21" i="25"/>
  <c r="Q21" i="25" s="1"/>
  <c r="N14" i="25"/>
  <c r="L14" i="25" s="1"/>
  <c r="V14" i="25" s="1"/>
  <c r="X14" i="34"/>
  <c r="K20" i="2"/>
  <c r="M20" i="2" s="1"/>
  <c r="P18" i="2"/>
  <c r="Z18" i="2" s="1"/>
  <c r="T18" i="2"/>
  <c r="T17" i="2"/>
  <c r="P17" i="2"/>
  <c r="Z17" i="2" s="1"/>
  <c r="P20" i="2"/>
  <c r="Z20" i="2" s="1"/>
  <c r="T20" i="2"/>
  <c r="T19" i="2"/>
  <c r="P19" i="2"/>
  <c r="Z19" i="2" s="1"/>
  <c r="W20" i="2"/>
  <c r="U6" i="2"/>
  <c r="U14" i="2" s="1"/>
  <c r="AA21" i="2"/>
  <c r="Y17" i="2"/>
  <c r="U18" i="2"/>
  <c r="Y19" i="2"/>
  <c r="N18" i="2"/>
  <c r="N20" i="2"/>
  <c r="AA6" i="2"/>
  <c r="AA19" i="2" s="1"/>
  <c r="K12" i="2"/>
  <c r="N12" i="2"/>
  <c r="L12" i="2" s="1"/>
  <c r="V12" i="2" s="1"/>
  <c r="K16" i="2"/>
  <c r="U16" i="2" s="1"/>
  <c r="O18" i="2"/>
  <c r="O20" i="2"/>
  <c r="U17" i="2"/>
  <c r="U19" i="2"/>
  <c r="AA11" i="2"/>
  <c r="K13" i="2"/>
  <c r="M13" i="2" s="1"/>
  <c r="W13" i="37"/>
  <c r="W6" i="37"/>
  <c r="W17" i="37" s="1"/>
  <c r="AA11" i="37"/>
  <c r="X19" i="37"/>
  <c r="X20" i="37"/>
  <c r="X36" i="37"/>
  <c r="X42" i="37"/>
  <c r="X43" i="37"/>
  <c r="T48" i="37"/>
  <c r="Y6" i="37"/>
  <c r="Y34" i="37" s="1"/>
  <c r="X23" i="37"/>
  <c r="X25" i="37"/>
  <c r="X27" i="37"/>
  <c r="X29" i="37"/>
  <c r="X31" i="37"/>
  <c r="X33" i="37"/>
  <c r="X41" i="37"/>
  <c r="T47" i="37"/>
  <c r="X48" i="37"/>
  <c r="X53" i="37"/>
  <c r="AA12" i="37"/>
  <c r="AA13" i="37"/>
  <c r="W15" i="37"/>
  <c r="X37" i="37"/>
  <c r="X47" i="37"/>
  <c r="X11" i="37"/>
  <c r="X12" i="37"/>
  <c r="W18" i="37"/>
  <c r="X38" i="37"/>
  <c r="X39" i="37"/>
  <c r="X40" i="37"/>
  <c r="W19" i="37"/>
  <c r="W20" i="37"/>
  <c r="L35" i="37"/>
  <c r="V35" i="37" s="1"/>
  <c r="W43" i="37"/>
  <c r="T45" i="37"/>
  <c r="X51" i="37"/>
  <c r="W12" i="37"/>
  <c r="X14" i="37"/>
  <c r="AA17" i="37"/>
  <c r="W21" i="37"/>
  <c r="W22" i="37"/>
  <c r="W23" i="37"/>
  <c r="W25" i="37"/>
  <c r="W26" i="37"/>
  <c r="W28" i="37"/>
  <c r="W29" i="37"/>
  <c r="W30" i="37"/>
  <c r="W31" i="37"/>
  <c r="W32" i="37"/>
  <c r="W33" i="37"/>
  <c r="W34" i="37"/>
  <c r="W35" i="37"/>
  <c r="X45" i="37"/>
  <c r="T55" i="37"/>
  <c r="W11" i="37"/>
  <c r="AA18" i="37"/>
  <c r="AA42" i="37"/>
  <c r="X55" i="37"/>
  <c r="T19" i="37"/>
  <c r="P19" i="37"/>
  <c r="Z19" i="37" s="1"/>
  <c r="P18" i="37"/>
  <c r="Z18" i="37" s="1"/>
  <c r="T18" i="37"/>
  <c r="P30" i="37"/>
  <c r="Z30" i="37" s="1"/>
  <c r="T30" i="37"/>
  <c r="T35" i="37"/>
  <c r="P35" i="37"/>
  <c r="Z35" i="37" s="1"/>
  <c r="D4" i="37"/>
  <c r="D3" i="37"/>
  <c r="T13" i="37"/>
  <c r="P13" i="37"/>
  <c r="Z13" i="37" s="1"/>
  <c r="AA14" i="37"/>
  <c r="AA15" i="37"/>
  <c r="AA22" i="37"/>
  <c r="P32" i="37"/>
  <c r="Z32" i="37" s="1"/>
  <c r="T32" i="37"/>
  <c r="P12" i="37"/>
  <c r="Z12" i="37" s="1"/>
  <c r="T12" i="37"/>
  <c r="P20" i="37"/>
  <c r="Z20" i="37" s="1"/>
  <c r="T20" i="37"/>
  <c r="T23" i="37"/>
  <c r="P23" i="37"/>
  <c r="Z23" i="37" s="1"/>
  <c r="P34" i="37"/>
  <c r="Z34" i="37" s="1"/>
  <c r="T34" i="37"/>
  <c r="T15" i="37"/>
  <c r="P15" i="37"/>
  <c r="Z15" i="37" s="1"/>
  <c r="T25" i="37"/>
  <c r="P25" i="37"/>
  <c r="Z25" i="37" s="1"/>
  <c r="AA26" i="37"/>
  <c r="AA29" i="37"/>
  <c r="P14" i="37"/>
  <c r="Z14" i="37" s="1"/>
  <c r="T14" i="37"/>
  <c r="P22" i="37"/>
  <c r="Z22" i="37" s="1"/>
  <c r="T22" i="37"/>
  <c r="T27" i="37"/>
  <c r="P27" i="37"/>
  <c r="Z27" i="37" s="1"/>
  <c r="T33" i="37"/>
  <c r="P33" i="37"/>
  <c r="Z33" i="37" s="1"/>
  <c r="T17" i="37"/>
  <c r="P17" i="37"/>
  <c r="Z17" i="37" s="1"/>
  <c r="T29" i="37"/>
  <c r="P29" i="37"/>
  <c r="Z29" i="37" s="1"/>
  <c r="P28" i="37"/>
  <c r="Z28" i="37" s="1"/>
  <c r="T28" i="37"/>
  <c r="T11" i="37"/>
  <c r="P11" i="37"/>
  <c r="Z11" i="37" s="1"/>
  <c r="P16" i="37"/>
  <c r="Z16" i="37" s="1"/>
  <c r="T16" i="37"/>
  <c r="P26" i="37"/>
  <c r="Z26" i="37" s="1"/>
  <c r="T26" i="37"/>
  <c r="T31" i="37"/>
  <c r="P31" i="37"/>
  <c r="Z31" i="37" s="1"/>
  <c r="Y36" i="37"/>
  <c r="U37" i="37"/>
  <c r="T38" i="37"/>
  <c r="T41" i="37"/>
  <c r="Q45" i="37"/>
  <c r="AA45" i="37" s="1"/>
  <c r="Y45" i="37"/>
  <c r="T46" i="37"/>
  <c r="M51" i="37"/>
  <c r="W51" i="37" s="1"/>
  <c r="U51" i="37"/>
  <c r="Q53" i="37"/>
  <c r="AA53" i="37" s="1"/>
  <c r="Y53" i="37"/>
  <c r="AA38" i="37"/>
  <c r="Y35" i="37"/>
  <c r="AA36" i="37"/>
  <c r="W37" i="37"/>
  <c r="Y39" i="37"/>
  <c r="U40" i="37"/>
  <c r="Q43" i="37"/>
  <c r="AA43" i="37" s="1"/>
  <c r="Y43" i="37"/>
  <c r="Q44" i="37"/>
  <c r="AA44" i="37" s="1"/>
  <c r="Y44" i="37"/>
  <c r="M50" i="37"/>
  <c r="W50" i="37" s="1"/>
  <c r="U50" i="37"/>
  <c r="Q52" i="37"/>
  <c r="AA52" i="37" s="1"/>
  <c r="Y52" i="37"/>
  <c r="Y11" i="37"/>
  <c r="U12" i="37"/>
  <c r="Y13" i="37"/>
  <c r="Y15" i="37"/>
  <c r="U16" i="37"/>
  <c r="Y17" i="37"/>
  <c r="U18" i="37"/>
  <c r="U20" i="37"/>
  <c r="L22" i="37"/>
  <c r="V22" i="37" s="1"/>
  <c r="U22" i="37"/>
  <c r="Y23" i="37"/>
  <c r="Y25" i="37"/>
  <c r="L26" i="37"/>
  <c r="V26" i="37" s="1"/>
  <c r="U26" i="37"/>
  <c r="L28" i="37"/>
  <c r="V28" i="37" s="1"/>
  <c r="U28" i="37"/>
  <c r="Y29" i="37"/>
  <c r="L30" i="37"/>
  <c r="V30" i="37" s="1"/>
  <c r="U30" i="37"/>
  <c r="Y31" i="37"/>
  <c r="L32" i="37"/>
  <c r="V32" i="37" s="1"/>
  <c r="U32" i="37"/>
  <c r="L34" i="37"/>
  <c r="V34" i="37" s="1"/>
  <c r="U34" i="37"/>
  <c r="T36" i="37"/>
  <c r="Q39" i="37"/>
  <c r="AA39" i="37" s="1"/>
  <c r="M40" i="37"/>
  <c r="W40" i="37" s="1"/>
  <c r="T43" i="37"/>
  <c r="T44" i="37"/>
  <c r="M49" i="37"/>
  <c r="W49" i="37" s="1"/>
  <c r="U49" i="37"/>
  <c r="Q51" i="37"/>
  <c r="AA51" i="37" s="1"/>
  <c r="Y51" i="37"/>
  <c r="T52" i="37"/>
  <c r="Q46" i="37"/>
  <c r="AA46" i="37" s="1"/>
  <c r="Y46" i="37"/>
  <c r="U38" i="37"/>
  <c r="T39" i="37"/>
  <c r="M48" i="37"/>
  <c r="W48" i="37" s="1"/>
  <c r="U48" i="37"/>
  <c r="Q50" i="37"/>
  <c r="AA50" i="37" s="1"/>
  <c r="Y50" i="37"/>
  <c r="Q41" i="37"/>
  <c r="AA41" i="37" s="1"/>
  <c r="Y41" i="37"/>
  <c r="M44" i="37"/>
  <c r="W44" i="37" s="1"/>
  <c r="U44" i="37"/>
  <c r="W38" i="37"/>
  <c r="Y40" i="37"/>
  <c r="U41" i="37"/>
  <c r="M47" i="37"/>
  <c r="W47" i="37" s="1"/>
  <c r="U47" i="37"/>
  <c r="Q49" i="37"/>
  <c r="AA49" i="37" s="1"/>
  <c r="Y49" i="37"/>
  <c r="T50" i="37"/>
  <c r="M55" i="37"/>
  <c r="W55" i="37" s="1"/>
  <c r="U55" i="37"/>
  <c r="Y42" i="37"/>
  <c r="T37" i="37"/>
  <c r="Q40" i="37"/>
  <c r="AA40" i="37" s="1"/>
  <c r="M41" i="37"/>
  <c r="W41" i="37" s="1"/>
  <c r="M42" i="37"/>
  <c r="W42" i="37" s="1"/>
  <c r="U42" i="37"/>
  <c r="M54" i="37"/>
  <c r="W54" i="37" s="1"/>
  <c r="U54" i="37"/>
  <c r="M52" i="37"/>
  <c r="W52" i="37" s="1"/>
  <c r="U52" i="37"/>
  <c r="Y12" i="37"/>
  <c r="U13" i="37"/>
  <c r="Y14" i="37"/>
  <c r="U15" i="37"/>
  <c r="Y16" i="37"/>
  <c r="U17" i="37"/>
  <c r="Y18" i="37"/>
  <c r="U19" i="37"/>
  <c r="Y20" i="37"/>
  <c r="U21" i="37"/>
  <c r="Y22" i="37"/>
  <c r="U23" i="37"/>
  <c r="U25" i="37"/>
  <c r="Y26" i="37"/>
  <c r="Y28" i="37"/>
  <c r="U29" i="37"/>
  <c r="Y30" i="37"/>
  <c r="U31" i="37"/>
  <c r="Y32" i="37"/>
  <c r="U33" i="37"/>
  <c r="Y38" i="37"/>
  <c r="U39" i="37"/>
  <c r="T40" i="37"/>
  <c r="U43" i="37"/>
  <c r="Q47" i="37"/>
  <c r="AA47" i="37" s="1"/>
  <c r="Y47" i="37"/>
  <c r="M53" i="37"/>
  <c r="W53" i="37" s="1"/>
  <c r="U53" i="37"/>
  <c r="X23" i="1"/>
  <c r="X51" i="1"/>
  <c r="L26" i="1"/>
  <c r="V26" i="1" s="1"/>
  <c r="X33" i="1"/>
  <c r="L40" i="1"/>
  <c r="V40" i="1" s="1"/>
  <c r="X44" i="1"/>
  <c r="L64" i="1"/>
  <c r="V64" i="1" s="1"/>
  <c r="X37" i="1"/>
  <c r="X59" i="1"/>
  <c r="L19" i="1"/>
  <c r="V19" i="1" s="1"/>
  <c r="L25" i="1"/>
  <c r="V25" i="1" s="1"/>
  <c r="L35" i="1"/>
  <c r="V35" i="1" s="1"/>
  <c r="X87" i="1"/>
  <c r="L13" i="1"/>
  <c r="V13" i="1" s="1"/>
  <c r="L24" i="1"/>
  <c r="V24" i="1" s="1"/>
  <c r="L68" i="1"/>
  <c r="V68" i="1" s="1"/>
  <c r="L29" i="1"/>
  <c r="V29" i="1" s="1"/>
  <c r="L60" i="1"/>
  <c r="V60" i="1" s="1"/>
  <c r="T103" i="18"/>
  <c r="P103" i="18"/>
  <c r="Z103" i="18" s="1"/>
  <c r="L17" i="18"/>
  <c r="V17" i="18" s="1"/>
  <c r="X23" i="18"/>
  <c r="L27" i="18"/>
  <c r="V27" i="18" s="1"/>
  <c r="X29" i="18"/>
  <c r="X34" i="18"/>
  <c r="L37" i="18"/>
  <c r="V37" i="18" s="1"/>
  <c r="X39" i="18"/>
  <c r="L49" i="18"/>
  <c r="V49" i="18" s="1"/>
  <c r="L96" i="18"/>
  <c r="V96" i="18" s="1"/>
  <c r="L115" i="18"/>
  <c r="V115" i="18" s="1"/>
  <c r="X119" i="18"/>
  <c r="L133" i="18"/>
  <c r="V133" i="18" s="1"/>
  <c r="T173" i="18"/>
  <c r="X22" i="18"/>
  <c r="X149" i="18"/>
  <c r="L84" i="18"/>
  <c r="V84" i="18" s="1"/>
  <c r="X107" i="18"/>
  <c r="L113" i="18"/>
  <c r="V113" i="18" s="1"/>
  <c r="L129" i="18"/>
  <c r="V129" i="18" s="1"/>
  <c r="L139" i="18"/>
  <c r="V139" i="18" s="1"/>
  <c r="L14" i="18"/>
  <c r="V14" i="18" s="1"/>
  <c r="L47" i="18"/>
  <c r="V47" i="18" s="1"/>
  <c r="X64" i="18"/>
  <c r="X140" i="18"/>
  <c r="X148" i="18"/>
  <c r="X36" i="18"/>
  <c r="L40" i="18"/>
  <c r="V40" i="18" s="1"/>
  <c r="X44" i="18"/>
  <c r="X56" i="18"/>
  <c r="X75" i="18"/>
  <c r="L79" i="18"/>
  <c r="V79" i="18" s="1"/>
  <c r="X92" i="18"/>
  <c r="X168" i="18"/>
  <c r="T171" i="18"/>
  <c r="X109" i="18"/>
  <c r="X121" i="18"/>
  <c r="X147" i="18"/>
  <c r="P13" i="18"/>
  <c r="Z13" i="18" s="1"/>
  <c r="T124" i="18"/>
  <c r="X174" i="18"/>
  <c r="T54" i="19"/>
  <c r="X53" i="19"/>
  <c r="X78" i="19"/>
  <c r="L97" i="19"/>
  <c r="V97" i="19" s="1"/>
  <c r="L171" i="19"/>
  <c r="V171" i="19" s="1"/>
  <c r="X19" i="19"/>
  <c r="X61" i="19"/>
  <c r="X87" i="19"/>
  <c r="L157" i="19"/>
  <c r="V157" i="19" s="1"/>
  <c r="X120" i="19"/>
  <c r="X60" i="19"/>
  <c r="X116" i="19"/>
  <c r="L169" i="19"/>
  <c r="V169" i="19" s="1"/>
  <c r="X76" i="19"/>
  <c r="X89" i="19"/>
  <c r="X134" i="19"/>
  <c r="P170" i="19"/>
  <c r="Z170" i="19" s="1"/>
  <c r="L113" i="19"/>
  <c r="V113" i="19" s="1"/>
  <c r="X79" i="19"/>
  <c r="L109" i="19"/>
  <c r="V109" i="19" s="1"/>
  <c r="P118" i="19"/>
  <c r="Z118" i="19" s="1"/>
  <c r="L121" i="19"/>
  <c r="V121" i="19" s="1"/>
  <c r="L155" i="19"/>
  <c r="V155" i="19" s="1"/>
  <c r="P166" i="19"/>
  <c r="Z166" i="19" s="1"/>
  <c r="U6" i="20"/>
  <c r="X11" i="20"/>
  <c r="W6" i="20"/>
  <c r="W12" i="20" s="1"/>
  <c r="AA6" i="20"/>
  <c r="X52" i="21"/>
  <c r="P38" i="21"/>
  <c r="Z38" i="21" s="1"/>
  <c r="P21" i="21"/>
  <c r="Z21" i="21" s="1"/>
  <c r="L18" i="21"/>
  <c r="V18" i="21" s="1"/>
  <c r="P42" i="22"/>
  <c r="Z42" i="22" s="1"/>
  <c r="T42" i="22"/>
  <c r="L182" i="22"/>
  <c r="V182" i="22" s="1"/>
  <c r="L183" i="22"/>
  <c r="V183" i="22" s="1"/>
  <c r="X199" i="22"/>
  <c r="X18" i="22"/>
  <c r="L28" i="22"/>
  <c r="V28" i="22" s="1"/>
  <c r="L42" i="22"/>
  <c r="V42" i="22" s="1"/>
  <c r="X71" i="22"/>
  <c r="L90" i="22"/>
  <c r="V90" i="22" s="1"/>
  <c r="X102" i="22"/>
  <c r="X119" i="22"/>
  <c r="X140" i="22"/>
  <c r="W11" i="22"/>
  <c r="X189" i="22"/>
  <c r="X193" i="22"/>
  <c r="X194" i="22"/>
  <c r="T219" i="22"/>
  <c r="L20" i="22"/>
  <c r="V20" i="22" s="1"/>
  <c r="L32" i="22"/>
  <c r="V32" i="22" s="1"/>
  <c r="L64" i="22"/>
  <c r="V64" i="22" s="1"/>
  <c r="X98" i="22"/>
  <c r="X105" i="22"/>
  <c r="L136" i="22"/>
  <c r="V136" i="22" s="1"/>
  <c r="X139" i="22"/>
  <c r="X41" i="22"/>
  <c r="L86" i="22"/>
  <c r="V86" i="22" s="1"/>
  <c r="X89" i="22"/>
  <c r="L165" i="22"/>
  <c r="V165" i="22" s="1"/>
  <c r="L169" i="22"/>
  <c r="V169" i="22" s="1"/>
  <c r="W214" i="22"/>
  <c r="X27" i="22"/>
  <c r="L46" i="22"/>
  <c r="V46" i="22" s="1"/>
  <c r="L62" i="22"/>
  <c r="V62" i="22" s="1"/>
  <c r="L134" i="22"/>
  <c r="V134" i="22" s="1"/>
  <c r="L190" i="22"/>
  <c r="V190" i="22" s="1"/>
  <c r="L50" i="22"/>
  <c r="V50" i="22" s="1"/>
  <c r="L60" i="22"/>
  <c r="V60" i="22" s="1"/>
  <c r="P152" i="22"/>
  <c r="Z152" i="22" s="1"/>
  <c r="X13" i="22"/>
  <c r="L34" i="22"/>
  <c r="V34" i="22" s="1"/>
  <c r="X61" i="22"/>
  <c r="L66" i="22"/>
  <c r="V66" i="22" s="1"/>
  <c r="T130" i="22"/>
  <c r="P162" i="23"/>
  <c r="Z162" i="23" s="1"/>
  <c r="T162" i="23"/>
  <c r="P163" i="23"/>
  <c r="Z163" i="23" s="1"/>
  <c r="T163" i="23"/>
  <c r="T115" i="23"/>
  <c r="P115" i="23"/>
  <c r="Z115" i="23" s="1"/>
  <c r="T135" i="23"/>
  <c r="P135" i="23"/>
  <c r="Z135" i="23" s="1"/>
  <c r="P154" i="23"/>
  <c r="Z154" i="23" s="1"/>
  <c r="T154" i="23"/>
  <c r="P24" i="23"/>
  <c r="Z24" i="23" s="1"/>
  <c r="L27" i="23"/>
  <c r="V27" i="23" s="1"/>
  <c r="X34" i="23"/>
  <c r="P68" i="23"/>
  <c r="Z68" i="23" s="1"/>
  <c r="P126" i="23"/>
  <c r="Z126" i="23" s="1"/>
  <c r="X15" i="23"/>
  <c r="L37" i="23"/>
  <c r="V37" i="23" s="1"/>
  <c r="X46" i="23"/>
  <c r="X53" i="23"/>
  <c r="X54" i="23"/>
  <c r="X58" i="23"/>
  <c r="X60" i="23"/>
  <c r="L65" i="23"/>
  <c r="V65" i="23" s="1"/>
  <c r="X68" i="23"/>
  <c r="L71" i="23"/>
  <c r="V71" i="23" s="1"/>
  <c r="X80" i="23"/>
  <c r="L99" i="23"/>
  <c r="V99" i="23" s="1"/>
  <c r="X101" i="23"/>
  <c r="L114" i="23"/>
  <c r="V114" i="23" s="1"/>
  <c r="L129" i="23"/>
  <c r="V129" i="23" s="1"/>
  <c r="L157" i="23"/>
  <c r="V157" i="23" s="1"/>
  <c r="X158" i="23"/>
  <c r="X14" i="23"/>
  <c r="L17" i="23"/>
  <c r="V17" i="23" s="1"/>
  <c r="X59" i="23"/>
  <c r="X73" i="23"/>
  <c r="X74" i="23"/>
  <c r="L83" i="23"/>
  <c r="V83" i="23" s="1"/>
  <c r="X86" i="23"/>
  <c r="X88" i="23"/>
  <c r="X78" i="23"/>
  <c r="L112" i="23"/>
  <c r="V112" i="23" s="1"/>
  <c r="L128" i="23"/>
  <c r="V128" i="23" s="1"/>
  <c r="L140" i="23"/>
  <c r="V140" i="23" s="1"/>
  <c r="L173" i="23"/>
  <c r="V173" i="23" s="1"/>
  <c r="X30" i="23"/>
  <c r="P119" i="23"/>
  <c r="Z119" i="23" s="1"/>
  <c r="P44" i="23"/>
  <c r="Z44" i="23" s="1"/>
  <c r="X50" i="23"/>
  <c r="L111" i="23"/>
  <c r="V111" i="23" s="1"/>
  <c r="X113" i="23"/>
  <c r="X120" i="23"/>
  <c r="X82" i="23"/>
  <c r="L87" i="23"/>
  <c r="V87" i="23" s="1"/>
  <c r="L89" i="23"/>
  <c r="V89" i="23" s="1"/>
  <c r="L94" i="23"/>
  <c r="V94" i="23" s="1"/>
  <c r="L125" i="23"/>
  <c r="V125" i="23" s="1"/>
  <c r="X134" i="23"/>
  <c r="X25" i="24"/>
  <c r="X18" i="24"/>
  <c r="X21" i="24"/>
  <c r="P43" i="24"/>
  <c r="Z43" i="24" s="1"/>
  <c r="T20" i="24"/>
  <c r="X65" i="24"/>
  <c r="X19" i="24"/>
  <c r="X23" i="24"/>
  <c r="X27" i="24"/>
  <c r="X38" i="24"/>
  <c r="X16" i="24"/>
  <c r="X63" i="24"/>
  <c r="X37" i="24"/>
  <c r="L52" i="24"/>
  <c r="V52" i="24" s="1"/>
  <c r="L58" i="24"/>
  <c r="V58" i="24" s="1"/>
  <c r="X69" i="24"/>
  <c r="L24" i="26"/>
  <c r="V24" i="26" s="1"/>
  <c r="X27" i="26"/>
  <c r="L43" i="26"/>
  <c r="V43" i="26" s="1"/>
  <c r="X48" i="26"/>
  <c r="L14" i="26"/>
  <c r="V14" i="26" s="1"/>
  <c r="L18" i="26"/>
  <c r="V18" i="26" s="1"/>
  <c r="X25" i="26"/>
  <c r="L30" i="26"/>
  <c r="V30" i="26" s="1"/>
  <c r="L35" i="26"/>
  <c r="V35" i="26" s="1"/>
  <c r="L36" i="26"/>
  <c r="V36" i="26" s="1"/>
  <c r="L42" i="26"/>
  <c r="V42" i="26" s="1"/>
  <c r="L17" i="26"/>
  <c r="V17" i="26" s="1"/>
  <c r="L29" i="26"/>
  <c r="V29" i="26" s="1"/>
  <c r="L33" i="26"/>
  <c r="V33" i="26" s="1"/>
  <c r="L56" i="26"/>
  <c r="V56" i="26" s="1"/>
  <c r="L22" i="26"/>
  <c r="V22" i="26" s="1"/>
  <c r="X44" i="26"/>
  <c r="X51" i="26"/>
  <c r="L21" i="26"/>
  <c r="V21" i="26" s="1"/>
  <c r="L33" i="27"/>
  <c r="V33" i="27" s="1"/>
  <c r="L35" i="27"/>
  <c r="V35" i="27" s="1"/>
  <c r="L56" i="27"/>
  <c r="V56" i="27" s="1"/>
  <c r="X28" i="27"/>
  <c r="L13" i="27"/>
  <c r="V13" i="27" s="1"/>
  <c r="T34" i="27"/>
  <c r="L69" i="27"/>
  <c r="V69" i="27" s="1"/>
  <c r="X78" i="27"/>
  <c r="T234" i="27"/>
  <c r="L256" i="27"/>
  <c r="V256" i="27" s="1"/>
  <c r="P51" i="27"/>
  <c r="Z51" i="27" s="1"/>
  <c r="L112" i="27"/>
  <c r="V112" i="27" s="1"/>
  <c r="X217" i="27"/>
  <c r="X243" i="27"/>
  <c r="X20" i="27"/>
  <c r="X42" i="27"/>
  <c r="X50" i="27"/>
  <c r="L220" i="27"/>
  <c r="V220" i="27" s="1"/>
  <c r="L255" i="27"/>
  <c r="V255" i="27" s="1"/>
  <c r="X19" i="27"/>
  <c r="L62" i="27"/>
  <c r="V62" i="27" s="1"/>
  <c r="X124" i="28"/>
  <c r="X132" i="28"/>
  <c r="X168" i="28"/>
  <c r="X148" i="28"/>
  <c r="X12" i="28"/>
  <c r="X175" i="28"/>
  <c r="L151" i="28"/>
  <c r="V151" i="28" s="1"/>
  <c r="L160" i="28"/>
  <c r="V160" i="28" s="1"/>
  <c r="X172" i="28"/>
  <c r="X156" i="28"/>
  <c r="L159" i="28"/>
  <c r="V159" i="28" s="1"/>
  <c r="L163" i="28"/>
  <c r="V163" i="28" s="1"/>
  <c r="L174" i="28"/>
  <c r="V174" i="28" s="1"/>
  <c r="X177" i="28"/>
  <c r="X155" i="28"/>
  <c r="P150" i="28"/>
  <c r="Z150" i="28" s="1"/>
  <c r="T50" i="29"/>
  <c r="P50" i="29"/>
  <c r="Z50" i="29" s="1"/>
  <c r="P68" i="29"/>
  <c r="Z68" i="29" s="1"/>
  <c r="T68" i="29"/>
  <c r="L55" i="29"/>
  <c r="V55" i="29" s="1"/>
  <c r="L57" i="29"/>
  <c r="V57" i="29" s="1"/>
  <c r="L63" i="29"/>
  <c r="V63" i="29" s="1"/>
  <c r="X29" i="29"/>
  <c r="L53" i="29"/>
  <c r="V53" i="29" s="1"/>
  <c r="X89" i="29"/>
  <c r="P34" i="29"/>
  <c r="Z34" i="29" s="1"/>
  <c r="P48" i="29"/>
  <c r="Z48" i="29" s="1"/>
  <c r="X71" i="29"/>
  <c r="L45" i="29"/>
  <c r="V45" i="29" s="1"/>
  <c r="L59" i="29"/>
  <c r="V59" i="29" s="1"/>
  <c r="L61" i="29"/>
  <c r="V61" i="29" s="1"/>
  <c r="L66" i="29"/>
  <c r="V66" i="29" s="1"/>
  <c r="L17" i="29"/>
  <c r="V17" i="29" s="1"/>
  <c r="L25" i="29"/>
  <c r="V25" i="29" s="1"/>
  <c r="X78" i="29"/>
  <c r="L72" i="29"/>
  <c r="V72" i="29" s="1"/>
  <c r="L50" i="30"/>
  <c r="V50" i="30" s="1"/>
  <c r="X55" i="30"/>
  <c r="X63" i="30"/>
  <c r="X12" i="30"/>
  <c r="L30" i="30"/>
  <c r="V30" i="30" s="1"/>
  <c r="T66" i="30"/>
  <c r="L16" i="30"/>
  <c r="V16" i="30" s="1"/>
  <c r="T36" i="30"/>
  <c r="X41" i="30"/>
  <c r="X69" i="30"/>
  <c r="X29" i="30"/>
  <c r="X61" i="30"/>
  <c r="X15" i="30"/>
  <c r="T52" i="30"/>
  <c r="L13" i="31"/>
  <c r="V13" i="31" s="1"/>
  <c r="X73" i="31"/>
  <c r="L17" i="31"/>
  <c r="V17" i="31" s="1"/>
  <c r="L22" i="31"/>
  <c r="V22" i="31" s="1"/>
  <c r="L23" i="31"/>
  <c r="V23" i="31" s="1"/>
  <c r="X76" i="31"/>
  <c r="X11" i="31"/>
  <c r="L15" i="31"/>
  <c r="V15" i="31" s="1"/>
  <c r="L68" i="31"/>
  <c r="V68" i="31" s="1"/>
  <c r="L74" i="31"/>
  <c r="V74" i="31" s="1"/>
  <c r="U6" i="32"/>
  <c r="X43" i="32"/>
  <c r="X45" i="32"/>
  <c r="L40" i="32"/>
  <c r="V40" i="32" s="1"/>
  <c r="L44" i="32"/>
  <c r="V44" i="32" s="1"/>
  <c r="X15" i="33"/>
  <c r="X22" i="33"/>
  <c r="X33" i="33"/>
  <c r="X25" i="33"/>
  <c r="U6" i="34"/>
  <c r="X20" i="34"/>
  <c r="T19" i="34"/>
  <c r="P12" i="34"/>
  <c r="Z12" i="34" s="1"/>
  <c r="T18" i="34"/>
  <c r="T14" i="34"/>
  <c r="X25" i="34"/>
  <c r="X14" i="35"/>
  <c r="X22" i="36"/>
  <c r="X33" i="36"/>
  <c r="X38" i="36"/>
  <c r="L60" i="36"/>
  <c r="V60" i="36" s="1"/>
  <c r="X67" i="36"/>
  <c r="L19" i="36"/>
  <c r="V19" i="36" s="1"/>
  <c r="L25" i="36"/>
  <c r="V25" i="36" s="1"/>
  <c r="L41" i="36"/>
  <c r="V41" i="36" s="1"/>
  <c r="L13" i="36"/>
  <c r="V13" i="36" s="1"/>
  <c r="L23" i="36"/>
  <c r="V23" i="36" s="1"/>
  <c r="X24" i="36"/>
  <c r="L27" i="36"/>
  <c r="V27" i="36" s="1"/>
  <c r="X40" i="36"/>
  <c r="X64" i="36"/>
  <c r="L179" i="22"/>
  <c r="V179" i="22" s="1"/>
  <c r="L180" i="22"/>
  <c r="V180" i="22" s="1"/>
  <c r="L178" i="23"/>
  <c r="V178" i="23" s="1"/>
  <c r="L181" i="23"/>
  <c r="V181" i="23" s="1"/>
  <c r="L186" i="23"/>
  <c r="V186" i="23" s="1"/>
  <c r="L12" i="27"/>
  <c r="V12" i="27" s="1"/>
  <c r="X12" i="27"/>
  <c r="L17" i="1"/>
  <c r="V17" i="1" s="1"/>
  <c r="T34" i="1"/>
  <c r="P34" i="1"/>
  <c r="Z34" i="1" s="1"/>
  <c r="T47" i="30"/>
  <c r="P47" i="30"/>
  <c r="Z47" i="30" s="1"/>
  <c r="X23" i="29"/>
  <c r="L23" i="29"/>
  <c r="V23" i="29" s="1"/>
  <c r="T26" i="29"/>
  <c r="P26" i="29"/>
  <c r="Z26" i="29" s="1"/>
  <c r="U6" i="21"/>
  <c r="X11" i="21"/>
  <c r="L184" i="22"/>
  <c r="V184" i="22" s="1"/>
  <c r="T191" i="22"/>
  <c r="X192" i="22"/>
  <c r="L177" i="23"/>
  <c r="V177" i="23" s="1"/>
  <c r="T26" i="1"/>
  <c r="P26" i="1"/>
  <c r="Z26" i="1" s="1"/>
  <c r="L79" i="1"/>
  <c r="V79" i="1" s="1"/>
  <c r="X79" i="1"/>
  <c r="P100" i="1"/>
  <c r="Z100" i="1" s="1"/>
  <c r="T100" i="1"/>
  <c r="X12" i="18"/>
  <c r="W6" i="21"/>
  <c r="W12" i="21" s="1"/>
  <c r="X216" i="22"/>
  <c r="L11" i="27"/>
  <c r="V11" i="27" s="1"/>
  <c r="X11" i="27"/>
  <c r="L182" i="28"/>
  <c r="V182" i="28" s="1"/>
  <c r="X182" i="28"/>
  <c r="L16" i="1"/>
  <c r="V16" i="1" s="1"/>
  <c r="X16" i="1"/>
  <c r="L21" i="1"/>
  <c r="V21" i="1" s="1"/>
  <c r="X21" i="1"/>
  <c r="L39" i="1"/>
  <c r="V39" i="1" s="1"/>
  <c r="X39" i="1"/>
  <c r="P42" i="1"/>
  <c r="Z42" i="1" s="1"/>
  <c r="X51" i="36"/>
  <c r="L51" i="36"/>
  <c r="V51" i="36" s="1"/>
  <c r="L54" i="36"/>
  <c r="V54" i="36" s="1"/>
  <c r="X54" i="36"/>
  <c r="Y6" i="19"/>
  <c r="Y6" i="21"/>
  <c r="X181" i="22"/>
  <c r="X209" i="22"/>
  <c r="P242" i="27"/>
  <c r="Z242" i="27" s="1"/>
  <c r="T242" i="27"/>
  <c r="T18" i="1"/>
  <c r="P18" i="1"/>
  <c r="Z18" i="1" s="1"/>
  <c r="L34" i="1"/>
  <c r="V34" i="1" s="1"/>
  <c r="X34" i="1"/>
  <c r="L78" i="1"/>
  <c r="V78" i="1" s="1"/>
  <c r="X78" i="1"/>
  <c r="L48" i="36"/>
  <c r="V48" i="36" s="1"/>
  <c r="X48" i="36"/>
  <c r="W6" i="18"/>
  <c r="L188" i="23"/>
  <c r="V188" i="23" s="1"/>
  <c r="L20" i="1"/>
  <c r="V20" i="1" s="1"/>
  <c r="X20" i="1"/>
  <c r="T22" i="1"/>
  <c r="P22" i="1"/>
  <c r="Z22" i="1" s="1"/>
  <c r="L30" i="1"/>
  <c r="V30" i="1" s="1"/>
  <c r="X30" i="1"/>
  <c r="AA11" i="20"/>
  <c r="L12" i="21"/>
  <c r="V12" i="21" s="1"/>
  <c r="X185" i="22"/>
  <c r="X212" i="27"/>
  <c r="L212" i="27"/>
  <c r="V212" i="27" s="1"/>
  <c r="P38" i="1"/>
  <c r="Z38" i="1" s="1"/>
  <c r="L300" i="22"/>
  <c r="V300" i="22" s="1"/>
  <c r="L305" i="22"/>
  <c r="V305" i="22" s="1"/>
  <c r="L182" i="23"/>
  <c r="V182" i="23" s="1"/>
  <c r="L239" i="27"/>
  <c r="V239" i="27" s="1"/>
  <c r="X239" i="27"/>
  <c r="P251" i="27"/>
  <c r="Z251" i="27" s="1"/>
  <c r="T251" i="27"/>
  <c r="T14" i="1"/>
  <c r="P14" i="1"/>
  <c r="Z14" i="1" s="1"/>
  <c r="L50" i="1"/>
  <c r="V50" i="1" s="1"/>
  <c r="X50" i="1"/>
  <c r="X55" i="1"/>
  <c r="L55" i="1"/>
  <c r="V55" i="1" s="1"/>
  <c r="X56" i="1"/>
  <c r="L56" i="1"/>
  <c r="V56" i="1" s="1"/>
  <c r="L117" i="1"/>
  <c r="V117" i="1" s="1"/>
  <c r="X117" i="1"/>
  <c r="P14" i="36"/>
  <c r="Z14" i="36" s="1"/>
  <c r="T14" i="36"/>
  <c r="L43" i="36"/>
  <c r="V43" i="36" s="1"/>
  <c r="X43" i="36"/>
  <c r="T12" i="27"/>
  <c r="X15" i="1"/>
  <c r="L18" i="1"/>
  <c r="V18" i="1" s="1"/>
  <c r="L36" i="1"/>
  <c r="V36" i="1" s="1"/>
  <c r="X38" i="1"/>
  <c r="L113" i="1"/>
  <c r="V113" i="1" s="1"/>
  <c r="X113" i="1"/>
  <c r="L130" i="1"/>
  <c r="V130" i="1" s="1"/>
  <c r="X130" i="1"/>
  <c r="P164" i="1"/>
  <c r="Z164" i="1" s="1"/>
  <c r="T164" i="1"/>
  <c r="L50" i="36"/>
  <c r="V50" i="36" s="1"/>
  <c r="X50" i="36"/>
  <c r="L56" i="36"/>
  <c r="V56" i="36" s="1"/>
  <c r="X56" i="36"/>
  <c r="L18" i="35"/>
  <c r="V18" i="35" s="1"/>
  <c r="X18" i="35"/>
  <c r="L22" i="35"/>
  <c r="V22" i="35" s="1"/>
  <c r="X22" i="35"/>
  <c r="L214" i="27"/>
  <c r="V214" i="27" s="1"/>
  <c r="L242" i="27"/>
  <c r="V242" i="27" s="1"/>
  <c r="L251" i="27"/>
  <c r="V251" i="27" s="1"/>
  <c r="L11" i="28"/>
  <c r="V11" i="28" s="1"/>
  <c r="L179" i="28"/>
  <c r="V179" i="28" s="1"/>
  <c r="X12" i="34"/>
  <c r="L12" i="36"/>
  <c r="V12" i="36" s="1"/>
  <c r="P30" i="1"/>
  <c r="Z30" i="1" s="1"/>
  <c r="L45" i="1"/>
  <c r="V45" i="1" s="1"/>
  <c r="L77" i="1"/>
  <c r="V77" i="1" s="1"/>
  <c r="T13" i="33"/>
  <c r="T14" i="33"/>
  <c r="P24" i="33"/>
  <c r="Z24" i="33" s="1"/>
  <c r="T24" i="33"/>
  <c r="L210" i="27"/>
  <c r="V210" i="27" s="1"/>
  <c r="L222" i="27"/>
  <c r="V222" i="27" s="1"/>
  <c r="T50" i="1"/>
  <c r="P50" i="1"/>
  <c r="Z50" i="1" s="1"/>
  <c r="T66" i="1"/>
  <c r="P66" i="1"/>
  <c r="Z66" i="1" s="1"/>
  <c r="X81" i="1"/>
  <c r="L81" i="1"/>
  <c r="V81" i="1" s="1"/>
  <c r="L30" i="36"/>
  <c r="V30" i="36" s="1"/>
  <c r="X30" i="36"/>
  <c r="L58" i="36"/>
  <c r="V58" i="36" s="1"/>
  <c r="X58" i="36"/>
  <c r="L31" i="31"/>
  <c r="V31" i="31" s="1"/>
  <c r="X31" i="31"/>
  <c r="L43" i="1"/>
  <c r="V43" i="1" s="1"/>
  <c r="X43" i="1"/>
  <c r="P46" i="1"/>
  <c r="Z46" i="1" s="1"/>
  <c r="L58" i="1"/>
  <c r="V58" i="1" s="1"/>
  <c r="X58" i="1"/>
  <c r="X49" i="36"/>
  <c r="L49" i="36"/>
  <c r="V49" i="36" s="1"/>
  <c r="L52" i="36"/>
  <c r="V52" i="36" s="1"/>
  <c r="X52" i="36"/>
  <c r="X55" i="36"/>
  <c r="L55" i="36"/>
  <c r="V55" i="36" s="1"/>
  <c r="X180" i="28"/>
  <c r="L57" i="1"/>
  <c r="V57" i="1" s="1"/>
  <c r="X57" i="1"/>
  <c r="L29" i="36"/>
  <c r="V29" i="36" s="1"/>
  <c r="X29" i="36"/>
  <c r="L18" i="34"/>
  <c r="V18" i="34" s="1"/>
  <c r="X18" i="34"/>
  <c r="L27" i="31"/>
  <c r="V27" i="31" s="1"/>
  <c r="X27" i="31"/>
  <c r="L69" i="31"/>
  <c r="V69" i="31" s="1"/>
  <c r="X69" i="31"/>
  <c r="X204" i="27"/>
  <c r="P217" i="27"/>
  <c r="Z217" i="27" s="1"/>
  <c r="X241" i="27"/>
  <c r="X250" i="27"/>
  <c r="P58" i="1"/>
  <c r="Z58" i="1" s="1"/>
  <c r="X65" i="1"/>
  <c r="L65" i="1"/>
  <c r="V65" i="1" s="1"/>
  <c r="L74" i="1"/>
  <c r="V74" i="1" s="1"/>
  <c r="X74" i="1"/>
  <c r="L44" i="36"/>
  <c r="V44" i="36" s="1"/>
  <c r="X44" i="36"/>
  <c r="X57" i="36"/>
  <c r="L57" i="36"/>
  <c r="V57" i="36" s="1"/>
  <c r="L16" i="35"/>
  <c r="V16" i="35" s="1"/>
  <c r="X16" i="35"/>
  <c r="L20" i="35"/>
  <c r="V20" i="35" s="1"/>
  <c r="X20" i="35"/>
  <c r="T19" i="31"/>
  <c r="P19" i="31"/>
  <c r="Z19" i="31" s="1"/>
  <c r="L46" i="1"/>
  <c r="V46" i="1" s="1"/>
  <c r="X15" i="36"/>
  <c r="T20" i="36"/>
  <c r="X26" i="36"/>
  <c r="X68" i="36"/>
  <c r="L17" i="35"/>
  <c r="V17" i="35" s="1"/>
  <c r="L22" i="34"/>
  <c r="V22" i="34" s="1"/>
  <c r="X22" i="34"/>
  <c r="L29" i="33"/>
  <c r="V29" i="33" s="1"/>
  <c r="X29" i="33"/>
  <c r="P42" i="32"/>
  <c r="Z42" i="32" s="1"/>
  <c r="T42" i="32"/>
  <c r="P13" i="31"/>
  <c r="Z13" i="31" s="1"/>
  <c r="T13" i="31"/>
  <c r="P22" i="24"/>
  <c r="Z22" i="24" s="1"/>
  <c r="T22" i="24"/>
  <c r="X49" i="1"/>
  <c r="P54" i="1"/>
  <c r="Z54" i="1" s="1"/>
  <c r="X63" i="1"/>
  <c r="X100" i="1"/>
  <c r="X34" i="36"/>
  <c r="X36" i="36"/>
  <c r="X42" i="36"/>
  <c r="L17" i="34"/>
  <c r="V17" i="34" s="1"/>
  <c r="X17" i="34"/>
  <c r="T25" i="34"/>
  <c r="T34" i="33"/>
  <c r="L71" i="31"/>
  <c r="V71" i="31" s="1"/>
  <c r="X46" i="36"/>
  <c r="T21" i="35"/>
  <c r="L19" i="33"/>
  <c r="V19" i="33" s="1"/>
  <c r="X19" i="33"/>
  <c r="L28" i="33"/>
  <c r="V28" i="33" s="1"/>
  <c r="X28" i="33"/>
  <c r="L31" i="33"/>
  <c r="V31" i="33" s="1"/>
  <c r="X31" i="33"/>
  <c r="P15" i="32"/>
  <c r="Z15" i="32" s="1"/>
  <c r="T15" i="32"/>
  <c r="L23" i="32"/>
  <c r="V23" i="32" s="1"/>
  <c r="L34" i="32"/>
  <c r="V34" i="32" s="1"/>
  <c r="T18" i="31"/>
  <c r="P18" i="31"/>
  <c r="Z18" i="31" s="1"/>
  <c r="L26" i="31"/>
  <c r="V26" i="31" s="1"/>
  <c r="X26" i="31"/>
  <c r="X62" i="30"/>
  <c r="L65" i="30"/>
  <c r="V65" i="30" s="1"/>
  <c r="X65" i="30"/>
  <c r="L77" i="29"/>
  <c r="V77" i="29" s="1"/>
  <c r="X77" i="29"/>
  <c r="X61" i="36"/>
  <c r="X65" i="36"/>
  <c r="P22" i="34"/>
  <c r="Z22" i="34" s="1"/>
  <c r="T22" i="34"/>
  <c r="L23" i="34"/>
  <c r="V23" i="34" s="1"/>
  <c r="X23" i="34"/>
  <c r="P13" i="32"/>
  <c r="Z13" i="32" s="1"/>
  <c r="T13" i="32"/>
  <c r="L22" i="32"/>
  <c r="V22" i="32" s="1"/>
  <c r="X22" i="32"/>
  <c r="L41" i="32"/>
  <c r="V41" i="32" s="1"/>
  <c r="T40" i="29"/>
  <c r="P40" i="29"/>
  <c r="Z40" i="29" s="1"/>
  <c r="L21" i="33"/>
  <c r="V21" i="33" s="1"/>
  <c r="X21" i="33"/>
  <c r="L14" i="32"/>
  <c r="V14" i="32" s="1"/>
  <c r="X14" i="32"/>
  <c r="X17" i="32"/>
  <c r="L17" i="32"/>
  <c r="V17" i="32" s="1"/>
  <c r="L28" i="31"/>
  <c r="V28" i="31" s="1"/>
  <c r="X28" i="31"/>
  <c r="T41" i="30"/>
  <c r="P41" i="30"/>
  <c r="Z41" i="30" s="1"/>
  <c r="L49" i="30"/>
  <c r="V49" i="30" s="1"/>
  <c r="X49" i="30"/>
  <c r="T17" i="34"/>
  <c r="T30" i="33"/>
  <c r="X19" i="31"/>
  <c r="L75" i="31"/>
  <c r="V75" i="31" s="1"/>
  <c r="L52" i="30"/>
  <c r="V52" i="30" s="1"/>
  <c r="X52" i="30"/>
  <c r="X41" i="29"/>
  <c r="L41" i="29"/>
  <c r="V41" i="29" s="1"/>
  <c r="L38" i="32"/>
  <c r="V38" i="32" s="1"/>
  <c r="L49" i="32"/>
  <c r="V49" i="32" s="1"/>
  <c r="L53" i="32"/>
  <c r="V53" i="32" s="1"/>
  <c r="X34" i="30"/>
  <c r="L34" i="30"/>
  <c r="V34" i="30" s="1"/>
  <c r="P50" i="30"/>
  <c r="Z50" i="30" s="1"/>
  <c r="T50" i="30"/>
  <c r="L64" i="30"/>
  <c r="V64" i="30" s="1"/>
  <c r="X64" i="30"/>
  <c r="T20" i="29"/>
  <c r="P20" i="29"/>
  <c r="Z20" i="29" s="1"/>
  <c r="T77" i="29"/>
  <c r="T21" i="26"/>
  <c r="P21" i="26"/>
  <c r="Z21" i="26" s="1"/>
  <c r="X16" i="34"/>
  <c r="T18" i="33"/>
  <c r="X21" i="29"/>
  <c r="L21" i="29"/>
  <c r="V21" i="29" s="1"/>
  <c r="T24" i="29"/>
  <c r="P24" i="29"/>
  <c r="Z24" i="29" s="1"/>
  <c r="T54" i="29"/>
  <c r="P54" i="29"/>
  <c r="Z54" i="29" s="1"/>
  <c r="L83" i="29"/>
  <c r="V83" i="29" s="1"/>
  <c r="X83" i="29"/>
  <c r="L46" i="32"/>
  <c r="V46" i="32" s="1"/>
  <c r="T42" i="29"/>
  <c r="P42" i="29"/>
  <c r="Z42" i="29" s="1"/>
  <c r="X65" i="29"/>
  <c r="L65" i="29"/>
  <c r="V65" i="29" s="1"/>
  <c r="X76" i="29"/>
  <c r="L21" i="27"/>
  <c r="V21" i="27" s="1"/>
  <c r="X21" i="27"/>
  <c r="X37" i="32"/>
  <c r="X40" i="30"/>
  <c r="L66" i="30"/>
  <c r="V66" i="30" s="1"/>
  <c r="T36" i="29"/>
  <c r="P36" i="29"/>
  <c r="Z36" i="29" s="1"/>
  <c r="X43" i="29"/>
  <c r="L43" i="29"/>
  <c r="V43" i="29" s="1"/>
  <c r="T62" i="29"/>
  <c r="P62" i="29"/>
  <c r="Z62" i="29" s="1"/>
  <c r="P95" i="29"/>
  <c r="Z95" i="29" s="1"/>
  <c r="T95" i="29"/>
  <c r="T61" i="30"/>
  <c r="P61" i="30"/>
  <c r="Z61" i="30" s="1"/>
  <c r="L82" i="29"/>
  <c r="V82" i="29" s="1"/>
  <c r="X82" i="29"/>
  <c r="P87" i="29"/>
  <c r="Z87" i="29" s="1"/>
  <c r="T87" i="29"/>
  <c r="X51" i="30"/>
  <c r="L19" i="29"/>
  <c r="V19" i="29" s="1"/>
  <c r="X35" i="29"/>
  <c r="X68" i="29"/>
  <c r="X69" i="29"/>
  <c r="X98" i="29"/>
  <c r="X99" i="29"/>
  <c r="P172" i="28"/>
  <c r="Z172" i="28" s="1"/>
  <c r="T172" i="28"/>
  <c r="T29" i="27"/>
  <c r="P48" i="27"/>
  <c r="Z48" i="27" s="1"/>
  <c r="T48" i="27"/>
  <c r="X61" i="27"/>
  <c r="L61" i="27"/>
  <c r="V61" i="27" s="1"/>
  <c r="T19" i="26"/>
  <c r="P19" i="26"/>
  <c r="Z19" i="26" s="1"/>
  <c r="T25" i="26"/>
  <c r="P25" i="26"/>
  <c r="Z25" i="26" s="1"/>
  <c r="T39" i="26"/>
  <c r="P39" i="26"/>
  <c r="Z39" i="26" s="1"/>
  <c r="X46" i="26"/>
  <c r="L46" i="26"/>
  <c r="V46" i="26" s="1"/>
  <c r="P49" i="26"/>
  <c r="Z49" i="26" s="1"/>
  <c r="X79" i="29"/>
  <c r="X150" i="28"/>
  <c r="P15" i="27"/>
  <c r="Z15" i="27" s="1"/>
  <c r="T15" i="27"/>
  <c r="X27" i="27"/>
  <c r="L27" i="27"/>
  <c r="V27" i="27" s="1"/>
  <c r="L36" i="27"/>
  <c r="V36" i="27" s="1"/>
  <c r="X36" i="27"/>
  <c r="X55" i="27"/>
  <c r="L55" i="27"/>
  <c r="V55" i="27" s="1"/>
  <c r="T14" i="26"/>
  <c r="P14" i="26"/>
  <c r="Z14" i="26" s="1"/>
  <c r="P64" i="22"/>
  <c r="Z64" i="22" s="1"/>
  <c r="T64" i="22"/>
  <c r="T155" i="28"/>
  <c r="L173" i="28"/>
  <c r="V173" i="28" s="1"/>
  <c r="X173" i="28"/>
  <c r="P31" i="27"/>
  <c r="Z31" i="27" s="1"/>
  <c r="T31" i="27"/>
  <c r="T18" i="26"/>
  <c r="P18" i="26"/>
  <c r="Z18" i="26" s="1"/>
  <c r="T31" i="26"/>
  <c r="P31" i="26"/>
  <c r="Z31" i="26" s="1"/>
  <c r="X57" i="30"/>
  <c r="P18" i="29"/>
  <c r="Z18" i="29" s="1"/>
  <c r="P58" i="29"/>
  <c r="Z58" i="29" s="1"/>
  <c r="P157" i="28"/>
  <c r="Z157" i="28" s="1"/>
  <c r="T157" i="28"/>
  <c r="L164" i="28"/>
  <c r="V164" i="28" s="1"/>
  <c r="X164" i="28"/>
  <c r="P169" i="28"/>
  <c r="Z169" i="28" s="1"/>
  <c r="T169" i="28"/>
  <c r="P13" i="27"/>
  <c r="Z13" i="27" s="1"/>
  <c r="T13" i="27"/>
  <c r="L16" i="27"/>
  <c r="V16" i="27" s="1"/>
  <c r="X16" i="27"/>
  <c r="L26" i="27"/>
  <c r="V26" i="27" s="1"/>
  <c r="X26" i="27"/>
  <c r="X32" i="27"/>
  <c r="L32" i="27"/>
  <c r="V32" i="27" s="1"/>
  <c r="X39" i="27"/>
  <c r="L39" i="27"/>
  <c r="V39" i="27" s="1"/>
  <c r="X54" i="27"/>
  <c r="L54" i="27"/>
  <c r="V54" i="27" s="1"/>
  <c r="P56" i="27"/>
  <c r="Z56" i="27" s="1"/>
  <c r="T56" i="27"/>
  <c r="X66" i="27"/>
  <c r="X53" i="26"/>
  <c r="L53" i="26"/>
  <c r="V53" i="26" s="1"/>
  <c r="P15" i="24"/>
  <c r="Z15" i="24" s="1"/>
  <c r="T15" i="24"/>
  <c r="L43" i="24"/>
  <c r="V43" i="24" s="1"/>
  <c r="X43" i="24"/>
  <c r="L47" i="29"/>
  <c r="V47" i="29" s="1"/>
  <c r="L49" i="29"/>
  <c r="V49" i="29" s="1"/>
  <c r="L51" i="29"/>
  <c r="V51" i="29" s="1"/>
  <c r="T93" i="29"/>
  <c r="X95" i="29"/>
  <c r="X153" i="28"/>
  <c r="L153" i="28"/>
  <c r="V153" i="28" s="1"/>
  <c r="P21" i="27"/>
  <c r="Z21" i="27" s="1"/>
  <c r="T21" i="27"/>
  <c r="T164" i="27"/>
  <c r="P164" i="27"/>
  <c r="Z164" i="27" s="1"/>
  <c r="T23" i="26"/>
  <c r="P23" i="26"/>
  <c r="Z23" i="26" s="1"/>
  <c r="T35" i="26"/>
  <c r="P35" i="26"/>
  <c r="Z35" i="26" s="1"/>
  <c r="L33" i="24"/>
  <c r="V33" i="24" s="1"/>
  <c r="X33" i="24"/>
  <c r="X158" i="28"/>
  <c r="L158" i="28"/>
  <c r="V158" i="28" s="1"/>
  <c r="X22" i="27"/>
  <c r="L22" i="27"/>
  <c r="V22" i="27" s="1"/>
  <c r="L31" i="27"/>
  <c r="V31" i="27" s="1"/>
  <c r="X31" i="27"/>
  <c r="X38" i="27"/>
  <c r="L38" i="27"/>
  <c r="V38" i="27" s="1"/>
  <c r="P40" i="27"/>
  <c r="Z40" i="27" s="1"/>
  <c r="T40" i="27"/>
  <c r="X68" i="27"/>
  <c r="L68" i="27"/>
  <c r="V68" i="27" s="1"/>
  <c r="T29" i="26"/>
  <c r="P29" i="26"/>
  <c r="Z29" i="26" s="1"/>
  <c r="X38" i="26"/>
  <c r="L38" i="26"/>
  <c r="V38" i="26" s="1"/>
  <c r="P35" i="30"/>
  <c r="Z35" i="30" s="1"/>
  <c r="X81" i="29"/>
  <c r="X90" i="29"/>
  <c r="X91" i="29"/>
  <c r="L157" i="28"/>
  <c r="V157" i="28" s="1"/>
  <c r="X157" i="28"/>
  <c r="T162" i="28"/>
  <c r="P165" i="28"/>
  <c r="Z165" i="28" s="1"/>
  <c r="T165" i="28"/>
  <c r="P167" i="28"/>
  <c r="Z167" i="28" s="1"/>
  <c r="T167" i="28"/>
  <c r="P43" i="27"/>
  <c r="Z43" i="27" s="1"/>
  <c r="X47" i="27"/>
  <c r="L47" i="27"/>
  <c r="V47" i="27" s="1"/>
  <c r="T57" i="27"/>
  <c r="T16" i="26"/>
  <c r="P16" i="26"/>
  <c r="Z16" i="26" s="1"/>
  <c r="T27" i="26"/>
  <c r="P27" i="26"/>
  <c r="Z27" i="26" s="1"/>
  <c r="T33" i="26"/>
  <c r="P33" i="26"/>
  <c r="Z33" i="26" s="1"/>
  <c r="P34" i="24"/>
  <c r="Z34" i="24" s="1"/>
  <c r="T34" i="24"/>
  <c r="L35" i="24"/>
  <c r="V35" i="24" s="1"/>
  <c r="X35" i="24"/>
  <c r="L49" i="24"/>
  <c r="V49" i="24" s="1"/>
  <c r="X49" i="24"/>
  <c r="X100" i="22"/>
  <c r="L100" i="22"/>
  <c r="V100" i="22" s="1"/>
  <c r="X142" i="22"/>
  <c r="L142" i="22"/>
  <c r="V142" i="22" s="1"/>
  <c r="X150" i="22"/>
  <c r="L150" i="22"/>
  <c r="V150" i="22" s="1"/>
  <c r="T163" i="22"/>
  <c r="P163" i="22"/>
  <c r="Z163" i="22" s="1"/>
  <c r="L165" i="18"/>
  <c r="V165" i="18" s="1"/>
  <c r="X165" i="18"/>
  <c r="L55" i="24"/>
  <c r="V55" i="24" s="1"/>
  <c r="X55" i="24"/>
  <c r="L154" i="28"/>
  <c r="V154" i="28" s="1"/>
  <c r="L161" i="28"/>
  <c r="V161" i="28" s="1"/>
  <c r="L166" i="28"/>
  <c r="V166" i="28" s="1"/>
  <c r="X167" i="28"/>
  <c r="X15" i="27"/>
  <c r="X25" i="27"/>
  <c r="T26" i="27"/>
  <c r="L40" i="27"/>
  <c r="V40" i="27" s="1"/>
  <c r="X43" i="27"/>
  <c r="X51" i="27"/>
  <c r="X65" i="27"/>
  <c r="X52" i="26"/>
  <c r="L54" i="26"/>
  <c r="V54" i="26" s="1"/>
  <c r="P32" i="24"/>
  <c r="Z32" i="24" s="1"/>
  <c r="T32" i="24"/>
  <c r="L42" i="24"/>
  <c r="V42" i="24" s="1"/>
  <c r="L59" i="24"/>
  <c r="V59" i="24" s="1"/>
  <c r="X59" i="24"/>
  <c r="X70" i="24"/>
  <c r="L70" i="24"/>
  <c r="V70" i="24" s="1"/>
  <c r="P143" i="23"/>
  <c r="Z143" i="23" s="1"/>
  <c r="T143" i="23"/>
  <c r="P158" i="28"/>
  <c r="Z158" i="28" s="1"/>
  <c r="P39" i="27"/>
  <c r="Z39" i="27" s="1"/>
  <c r="T68" i="27"/>
  <c r="X41" i="26"/>
  <c r="X45" i="26"/>
  <c r="L55" i="26"/>
  <c r="V55" i="26" s="1"/>
  <c r="P28" i="24"/>
  <c r="Z28" i="24" s="1"/>
  <c r="T28" i="24"/>
  <c r="L47" i="24"/>
  <c r="V47" i="24" s="1"/>
  <c r="X47" i="24"/>
  <c r="X91" i="23"/>
  <c r="L91" i="23"/>
  <c r="V91" i="23" s="1"/>
  <c r="P58" i="22"/>
  <c r="Z58" i="22" s="1"/>
  <c r="T58" i="22"/>
  <c r="X37" i="26"/>
  <c r="P43" i="26"/>
  <c r="Z43" i="26" s="1"/>
  <c r="X49" i="26"/>
  <c r="L31" i="24"/>
  <c r="V31" i="24" s="1"/>
  <c r="X31" i="24"/>
  <c r="L51" i="24"/>
  <c r="V51" i="24" s="1"/>
  <c r="X51" i="24"/>
  <c r="L56" i="23"/>
  <c r="V56" i="23" s="1"/>
  <c r="X56" i="23"/>
  <c r="L70" i="23"/>
  <c r="V70" i="23" s="1"/>
  <c r="X70" i="23"/>
  <c r="X169" i="28"/>
  <c r="T23" i="27"/>
  <c r="T17" i="24"/>
  <c r="T24" i="24"/>
  <c r="L29" i="24"/>
  <c r="V29" i="24" s="1"/>
  <c r="X29" i="24"/>
  <c r="L41" i="24"/>
  <c r="V41" i="24" s="1"/>
  <c r="X41" i="24"/>
  <c r="L50" i="24"/>
  <c r="V50" i="24" s="1"/>
  <c r="X50" i="24"/>
  <c r="L67" i="24"/>
  <c r="V67" i="24" s="1"/>
  <c r="X67" i="24"/>
  <c r="L20" i="23"/>
  <c r="V20" i="23" s="1"/>
  <c r="X20" i="23"/>
  <c r="L24" i="23"/>
  <c r="V24" i="23" s="1"/>
  <c r="X24" i="23"/>
  <c r="L33" i="23"/>
  <c r="V33" i="23" s="1"/>
  <c r="X33" i="23"/>
  <c r="L69" i="23"/>
  <c r="V69" i="23" s="1"/>
  <c r="X69" i="23"/>
  <c r="X98" i="23"/>
  <c r="L98" i="23"/>
  <c r="V98" i="23" s="1"/>
  <c r="T64" i="27"/>
  <c r="P51" i="26"/>
  <c r="Z51" i="26" s="1"/>
  <c r="L57" i="24"/>
  <c r="V57" i="24" s="1"/>
  <c r="X57" i="24"/>
  <c r="L28" i="23"/>
  <c r="V28" i="23" s="1"/>
  <c r="X28" i="23"/>
  <c r="L62" i="23"/>
  <c r="V62" i="23" s="1"/>
  <c r="X62" i="23"/>
  <c r="L119" i="23"/>
  <c r="V119" i="23" s="1"/>
  <c r="X119" i="23"/>
  <c r="L121" i="23"/>
  <c r="V121" i="23" s="1"/>
  <c r="X121" i="23"/>
  <c r="P36" i="22"/>
  <c r="Z36" i="22" s="1"/>
  <c r="T36" i="22"/>
  <c r="X44" i="22"/>
  <c r="L44" i="22"/>
  <c r="V44" i="22" s="1"/>
  <c r="L141" i="22"/>
  <c r="V141" i="22" s="1"/>
  <c r="X141" i="22"/>
  <c r="P162" i="22"/>
  <c r="Z162" i="22" s="1"/>
  <c r="T162" i="22"/>
  <c r="T30" i="24"/>
  <c r="L18" i="23"/>
  <c r="V18" i="23" s="1"/>
  <c r="X18" i="23"/>
  <c r="X45" i="23"/>
  <c r="L45" i="23"/>
  <c r="V45" i="23" s="1"/>
  <c r="L52" i="23"/>
  <c r="V52" i="23" s="1"/>
  <c r="X52" i="23"/>
  <c r="T84" i="23"/>
  <c r="P84" i="23"/>
  <c r="Z84" i="23" s="1"/>
  <c r="X110" i="23"/>
  <c r="L110" i="23"/>
  <c r="V110" i="23" s="1"/>
  <c r="L118" i="23"/>
  <c r="V118" i="23" s="1"/>
  <c r="X118" i="23"/>
  <c r="T127" i="23"/>
  <c r="P127" i="23"/>
  <c r="Z127" i="23" s="1"/>
  <c r="X39" i="24"/>
  <c r="X54" i="24"/>
  <c r="L66" i="24"/>
  <c r="V66" i="24" s="1"/>
  <c r="X21" i="23"/>
  <c r="L21" i="23"/>
  <c r="V21" i="23" s="1"/>
  <c r="L26" i="23"/>
  <c r="V26" i="23" s="1"/>
  <c r="X26" i="23"/>
  <c r="X57" i="23"/>
  <c r="L57" i="23"/>
  <c r="V57" i="23" s="1"/>
  <c r="T76" i="23"/>
  <c r="P76" i="23"/>
  <c r="Z76" i="23" s="1"/>
  <c r="P147" i="23"/>
  <c r="Z147" i="23" s="1"/>
  <c r="T147" i="23"/>
  <c r="P52" i="22"/>
  <c r="Z52" i="22" s="1"/>
  <c r="T52" i="22"/>
  <c r="X53" i="24"/>
  <c r="P14" i="23"/>
  <c r="Z14" i="23" s="1"/>
  <c r="T14" i="23"/>
  <c r="L25" i="23"/>
  <c r="V25" i="23" s="1"/>
  <c r="X25" i="23"/>
  <c r="X29" i="23"/>
  <c r="L29" i="23"/>
  <c r="V29" i="23" s="1"/>
  <c r="L44" i="23"/>
  <c r="V44" i="23" s="1"/>
  <c r="X44" i="23"/>
  <c r="X108" i="23"/>
  <c r="L108" i="23"/>
  <c r="V108" i="23" s="1"/>
  <c r="T125" i="23"/>
  <c r="P125" i="23"/>
  <c r="Z125" i="23" s="1"/>
  <c r="P152" i="23"/>
  <c r="Z152" i="23" s="1"/>
  <c r="T152" i="23"/>
  <c r="L160" i="23"/>
  <c r="V160" i="23" s="1"/>
  <c r="X160" i="23"/>
  <c r="L16" i="23"/>
  <c r="V16" i="23" s="1"/>
  <c r="X16" i="23"/>
  <c r="L49" i="23"/>
  <c r="V49" i="23" s="1"/>
  <c r="X49" i="23"/>
  <c r="T60" i="23"/>
  <c r="P60" i="23"/>
  <c r="Z60" i="23" s="1"/>
  <c r="T113" i="23"/>
  <c r="P113" i="23"/>
  <c r="Z113" i="23" s="1"/>
  <c r="T117" i="23"/>
  <c r="P117" i="23"/>
  <c r="Z117" i="23" s="1"/>
  <c r="P123" i="23"/>
  <c r="Z123" i="23" s="1"/>
  <c r="T123" i="23"/>
  <c r="X22" i="23"/>
  <c r="X31" i="23"/>
  <c r="P32" i="23"/>
  <c r="Z32" i="23" s="1"/>
  <c r="X40" i="23"/>
  <c r="X41" i="23"/>
  <c r="X47" i="23"/>
  <c r="P48" i="23"/>
  <c r="Z48" i="23" s="1"/>
  <c r="X76" i="23"/>
  <c r="X81" i="23"/>
  <c r="L132" i="23"/>
  <c r="V132" i="23" s="1"/>
  <c r="X135" i="23"/>
  <c r="L135" i="23"/>
  <c r="V135" i="23" s="1"/>
  <c r="T138" i="23"/>
  <c r="P138" i="23"/>
  <c r="Z138" i="23" s="1"/>
  <c r="L17" i="22"/>
  <c r="V17" i="22" s="1"/>
  <c r="X17" i="22"/>
  <c r="X22" i="22"/>
  <c r="L22" i="22"/>
  <c r="V22" i="22" s="1"/>
  <c r="P30" i="22"/>
  <c r="Z30" i="22" s="1"/>
  <c r="T30" i="22"/>
  <c r="X54" i="22"/>
  <c r="L54" i="22"/>
  <c r="V54" i="22" s="1"/>
  <c r="P86" i="22"/>
  <c r="Z86" i="22" s="1"/>
  <c r="T86" i="22"/>
  <c r="X118" i="22"/>
  <c r="L118" i="22"/>
  <c r="V118" i="22" s="1"/>
  <c r="T53" i="21"/>
  <c r="T80" i="23"/>
  <c r="P80" i="23"/>
  <c r="Z80" i="23" s="1"/>
  <c r="P139" i="23"/>
  <c r="Z139" i="23" s="1"/>
  <c r="T139" i="23"/>
  <c r="X36" i="22"/>
  <c r="L36" i="22"/>
  <c r="V36" i="22" s="1"/>
  <c r="L133" i="22"/>
  <c r="V133" i="22" s="1"/>
  <c r="X133" i="22"/>
  <c r="P166" i="22"/>
  <c r="Z166" i="22" s="1"/>
  <c r="T166" i="22"/>
  <c r="X13" i="21"/>
  <c r="L13" i="21"/>
  <c r="V13" i="21" s="1"/>
  <c r="X35" i="23"/>
  <c r="X36" i="23"/>
  <c r="X51" i="23"/>
  <c r="P52" i="23"/>
  <c r="Z52" i="23" s="1"/>
  <c r="X55" i="23"/>
  <c r="P56" i="23"/>
  <c r="Z56" i="23" s="1"/>
  <c r="P121" i="23"/>
  <c r="Z121" i="23" s="1"/>
  <c r="T133" i="23"/>
  <c r="P168" i="23"/>
  <c r="Z168" i="23" s="1"/>
  <c r="T168" i="23"/>
  <c r="P46" i="22"/>
  <c r="Z46" i="22" s="1"/>
  <c r="T46" i="22"/>
  <c r="L57" i="22"/>
  <c r="V57" i="22" s="1"/>
  <c r="X57" i="22"/>
  <c r="X112" i="22"/>
  <c r="L112" i="22"/>
  <c r="V112" i="22" s="1"/>
  <c r="L33" i="21"/>
  <c r="V33" i="21" s="1"/>
  <c r="X33" i="21"/>
  <c r="X107" i="23"/>
  <c r="P150" i="23"/>
  <c r="Z150" i="23" s="1"/>
  <c r="T150" i="23"/>
  <c r="L163" i="23"/>
  <c r="V163" i="23" s="1"/>
  <c r="X163" i="23"/>
  <c r="T164" i="22"/>
  <c r="P164" i="22"/>
  <c r="Z164" i="22" s="1"/>
  <c r="T168" i="22"/>
  <c r="P168" i="22"/>
  <c r="Z168" i="22" s="1"/>
  <c r="X22" i="21"/>
  <c r="L22" i="21"/>
  <c r="V22" i="21" s="1"/>
  <c r="T122" i="23"/>
  <c r="P122" i="23"/>
  <c r="Z122" i="23" s="1"/>
  <c r="T129" i="23"/>
  <c r="P129" i="23"/>
  <c r="Z129" i="23" s="1"/>
  <c r="L168" i="23"/>
  <c r="V168" i="23" s="1"/>
  <c r="X168" i="23"/>
  <c r="P22" i="22"/>
  <c r="Z22" i="22" s="1"/>
  <c r="T22" i="22"/>
  <c r="X56" i="22"/>
  <c r="L56" i="22"/>
  <c r="V56" i="22" s="1"/>
  <c r="T65" i="22"/>
  <c r="P65" i="22"/>
  <c r="Z65" i="22" s="1"/>
  <c r="L131" i="22"/>
  <c r="V131" i="22" s="1"/>
  <c r="X131" i="22"/>
  <c r="X38" i="23"/>
  <c r="X64" i="23"/>
  <c r="X66" i="23"/>
  <c r="X75" i="23"/>
  <c r="L92" i="23"/>
  <c r="V92" i="23" s="1"/>
  <c r="X92" i="23"/>
  <c r="T114" i="23"/>
  <c r="P114" i="23"/>
  <c r="Z114" i="23" s="1"/>
  <c r="X167" i="23"/>
  <c r="L167" i="23"/>
  <c r="V167" i="23" s="1"/>
  <c r="X38" i="22"/>
  <c r="L38" i="22"/>
  <c r="V38" i="22" s="1"/>
  <c r="P48" i="22"/>
  <c r="Z48" i="22" s="1"/>
  <c r="T48" i="22"/>
  <c r="X72" i="22"/>
  <c r="L72" i="22"/>
  <c r="V72" i="22" s="1"/>
  <c r="L83" i="22"/>
  <c r="V83" i="22" s="1"/>
  <c r="X83" i="22"/>
  <c r="X92" i="22"/>
  <c r="L92" i="22"/>
  <c r="V92" i="22" s="1"/>
  <c r="L104" i="22"/>
  <c r="V104" i="22" s="1"/>
  <c r="X104" i="22"/>
  <c r="X124" i="23"/>
  <c r="X67" i="22"/>
  <c r="X75" i="22"/>
  <c r="X88" i="22"/>
  <c r="L99" i="22"/>
  <c r="V99" i="22" s="1"/>
  <c r="X101" i="22"/>
  <c r="T137" i="22"/>
  <c r="P137" i="22"/>
  <c r="Z137" i="22" s="1"/>
  <c r="X146" i="22"/>
  <c r="L146" i="22"/>
  <c r="V146" i="22" s="1"/>
  <c r="X17" i="21"/>
  <c r="L17" i="21"/>
  <c r="V17" i="21" s="1"/>
  <c r="P88" i="23"/>
  <c r="Z88" i="23" s="1"/>
  <c r="L144" i="23"/>
  <c r="V144" i="23" s="1"/>
  <c r="L148" i="23"/>
  <c r="V148" i="23" s="1"/>
  <c r="L151" i="23"/>
  <c r="V151" i="23" s="1"/>
  <c r="L24" i="22"/>
  <c r="V24" i="22" s="1"/>
  <c r="L26" i="22"/>
  <c r="V26" i="22" s="1"/>
  <c r="L40" i="22"/>
  <c r="V40" i="22" s="1"/>
  <c r="X43" i="22"/>
  <c r="L48" i="22"/>
  <c r="V48" i="22" s="1"/>
  <c r="X55" i="22"/>
  <c r="L111" i="22"/>
  <c r="V111" i="22" s="1"/>
  <c r="X111" i="22"/>
  <c r="L115" i="22"/>
  <c r="V115" i="22" s="1"/>
  <c r="X115" i="22"/>
  <c r="L145" i="22"/>
  <c r="V145" i="22" s="1"/>
  <c r="X145" i="22"/>
  <c r="L21" i="21"/>
  <c r="V21" i="21" s="1"/>
  <c r="X21" i="21"/>
  <c r="T164" i="23"/>
  <c r="P172" i="23"/>
  <c r="Z172" i="23" s="1"/>
  <c r="T18" i="22"/>
  <c r="P79" i="22"/>
  <c r="Z79" i="22" s="1"/>
  <c r="T85" i="22"/>
  <c r="L103" i="22"/>
  <c r="V103" i="22" s="1"/>
  <c r="X103" i="22"/>
  <c r="T128" i="22"/>
  <c r="X144" i="22"/>
  <c r="L144" i="22"/>
  <c r="V144" i="22" s="1"/>
  <c r="L149" i="22"/>
  <c r="V149" i="22" s="1"/>
  <c r="X149" i="22"/>
  <c r="L126" i="19"/>
  <c r="V126" i="19" s="1"/>
  <c r="X126" i="19"/>
  <c r="P102" i="23"/>
  <c r="Z102" i="23" s="1"/>
  <c r="T145" i="23"/>
  <c r="L155" i="23"/>
  <c r="V155" i="23" s="1"/>
  <c r="L30" i="22"/>
  <c r="V30" i="22" s="1"/>
  <c r="X39" i="22"/>
  <c r="L52" i="22"/>
  <c r="V52" i="22" s="1"/>
  <c r="T62" i="22"/>
  <c r="P142" i="22"/>
  <c r="Z142" i="22" s="1"/>
  <c r="T142" i="22"/>
  <c r="X148" i="22"/>
  <c r="L148" i="22"/>
  <c r="V148" i="22" s="1"/>
  <c r="X153" i="22"/>
  <c r="L153" i="22"/>
  <c r="V153" i="22" s="1"/>
  <c r="T167" i="22"/>
  <c r="P167" i="22"/>
  <c r="Z167" i="22" s="1"/>
  <c r="L27" i="21"/>
  <c r="V27" i="21" s="1"/>
  <c r="X27" i="21"/>
  <c r="L31" i="21"/>
  <c r="V31" i="21" s="1"/>
  <c r="X31" i="21"/>
  <c r="L125" i="22"/>
  <c r="V125" i="22" s="1"/>
  <c r="X125" i="22"/>
  <c r="L143" i="22"/>
  <c r="V143" i="22" s="1"/>
  <c r="X143" i="22"/>
  <c r="P146" i="22"/>
  <c r="Z146" i="22" s="1"/>
  <c r="T146" i="22"/>
  <c r="X152" i="22"/>
  <c r="L152" i="22"/>
  <c r="V152" i="22" s="1"/>
  <c r="P64" i="19"/>
  <c r="Z64" i="19" s="1"/>
  <c r="T64" i="19"/>
  <c r="L68" i="19"/>
  <c r="V68" i="19" s="1"/>
  <c r="X68" i="19"/>
  <c r="X169" i="23"/>
  <c r="X73" i="22"/>
  <c r="X76" i="22"/>
  <c r="X77" i="22"/>
  <c r="L147" i="22"/>
  <c r="V147" i="22" s="1"/>
  <c r="X147" i="22"/>
  <c r="X172" i="22"/>
  <c r="L172" i="22"/>
  <c r="V172" i="22" s="1"/>
  <c r="X25" i="21"/>
  <c r="L85" i="19"/>
  <c r="V85" i="19" s="1"/>
  <c r="X85" i="19"/>
  <c r="X125" i="19"/>
  <c r="L125" i="19"/>
  <c r="V125" i="19" s="1"/>
  <c r="T150" i="22"/>
  <c r="L160" i="22"/>
  <c r="V160" i="22" s="1"/>
  <c r="L164" i="22"/>
  <c r="V164" i="22" s="1"/>
  <c r="L168" i="22"/>
  <c r="V168" i="22" s="1"/>
  <c r="L24" i="21"/>
  <c r="V24" i="21" s="1"/>
  <c r="P50" i="19"/>
  <c r="Z50" i="19" s="1"/>
  <c r="T50" i="19"/>
  <c r="L84" i="19"/>
  <c r="V84" i="19" s="1"/>
  <c r="X84" i="19"/>
  <c r="L92" i="19"/>
  <c r="V92" i="19" s="1"/>
  <c r="X92" i="19"/>
  <c r="X117" i="19"/>
  <c r="L117" i="19"/>
  <c r="V117" i="19" s="1"/>
  <c r="P122" i="18"/>
  <c r="Z122" i="18" s="1"/>
  <c r="T122" i="18"/>
  <c r="L106" i="19"/>
  <c r="V106" i="19" s="1"/>
  <c r="X106" i="19"/>
  <c r="L156" i="22"/>
  <c r="V156" i="22" s="1"/>
  <c r="L67" i="19"/>
  <c r="V67" i="19" s="1"/>
  <c r="X67" i="19"/>
  <c r="L83" i="19"/>
  <c r="V83" i="19" s="1"/>
  <c r="X83" i="19"/>
  <c r="X156" i="19"/>
  <c r="L156" i="19"/>
  <c r="V156" i="19" s="1"/>
  <c r="P77" i="19"/>
  <c r="Z77" i="19" s="1"/>
  <c r="T77" i="19"/>
  <c r="L173" i="22"/>
  <c r="V173" i="22" s="1"/>
  <c r="L14" i="21"/>
  <c r="V14" i="21" s="1"/>
  <c r="L86" i="19"/>
  <c r="V86" i="19" s="1"/>
  <c r="X86" i="19"/>
  <c r="X90" i="18"/>
  <c r="L90" i="18"/>
  <c r="V90" i="18" s="1"/>
  <c r="L104" i="18"/>
  <c r="V104" i="18" s="1"/>
  <c r="X104" i="18"/>
  <c r="T93" i="19"/>
  <c r="L130" i="19"/>
  <c r="V130" i="19" s="1"/>
  <c r="X130" i="19"/>
  <c r="L170" i="19"/>
  <c r="V170" i="19" s="1"/>
  <c r="X170" i="19"/>
  <c r="P20" i="18"/>
  <c r="Z20" i="18" s="1"/>
  <c r="T20" i="18"/>
  <c r="L46" i="18"/>
  <c r="V46" i="18" s="1"/>
  <c r="X46" i="18"/>
  <c r="T79" i="18"/>
  <c r="P79" i="18"/>
  <c r="Z79" i="18" s="1"/>
  <c r="X81" i="18"/>
  <c r="L81" i="18"/>
  <c r="V81" i="18" s="1"/>
  <c r="T93" i="18"/>
  <c r="P93" i="18"/>
  <c r="Z93" i="18" s="1"/>
  <c r="L131" i="18"/>
  <c r="V131" i="18" s="1"/>
  <c r="L135" i="18"/>
  <c r="V135" i="18" s="1"/>
  <c r="X135" i="18"/>
  <c r="L173" i="18"/>
  <c r="V173" i="18" s="1"/>
  <c r="X173" i="18"/>
  <c r="T85" i="19"/>
  <c r="T135" i="19"/>
  <c r="T137" i="19"/>
  <c r="X65" i="18"/>
  <c r="L65" i="18"/>
  <c r="V65" i="18" s="1"/>
  <c r="T66" i="19"/>
  <c r="L114" i="19"/>
  <c r="V114" i="19" s="1"/>
  <c r="X114" i="19"/>
  <c r="L128" i="19"/>
  <c r="V128" i="19" s="1"/>
  <c r="X128" i="19"/>
  <c r="L162" i="19"/>
  <c r="V162" i="19" s="1"/>
  <c r="X162" i="19"/>
  <c r="X163" i="19"/>
  <c r="L45" i="18"/>
  <c r="V45" i="18" s="1"/>
  <c r="X45" i="18"/>
  <c r="L68" i="18"/>
  <c r="V68" i="18" s="1"/>
  <c r="X68" i="18"/>
  <c r="L94" i="18"/>
  <c r="V94" i="18" s="1"/>
  <c r="X94" i="18"/>
  <c r="X98" i="18"/>
  <c r="L98" i="18"/>
  <c r="V98" i="18" s="1"/>
  <c r="P105" i="18"/>
  <c r="Z105" i="18" s="1"/>
  <c r="T105" i="18"/>
  <c r="X65" i="19"/>
  <c r="X91" i="19"/>
  <c r="L103" i="19"/>
  <c r="V103" i="19" s="1"/>
  <c r="X106" i="18"/>
  <c r="L106" i="18"/>
  <c r="V106" i="18" s="1"/>
  <c r="L126" i="18"/>
  <c r="V126" i="18" s="1"/>
  <c r="X126" i="18"/>
  <c r="L151" i="18"/>
  <c r="V151" i="18" s="1"/>
  <c r="X151" i="18"/>
  <c r="L171" i="18"/>
  <c r="V171" i="18" s="1"/>
  <c r="X171" i="18"/>
  <c r="L101" i="19"/>
  <c r="V101" i="19" s="1"/>
  <c r="X101" i="19"/>
  <c r="L161" i="19"/>
  <c r="V161" i="19" s="1"/>
  <c r="X161" i="19"/>
  <c r="X165" i="19"/>
  <c r="L165" i="19"/>
  <c r="V165" i="19" s="1"/>
  <c r="X67" i="18"/>
  <c r="L67" i="18"/>
  <c r="V67" i="18" s="1"/>
  <c r="L145" i="18"/>
  <c r="V145" i="18" s="1"/>
  <c r="X145" i="18"/>
  <c r="X21" i="19"/>
  <c r="X31" i="19"/>
  <c r="X41" i="19"/>
  <c r="X43" i="19"/>
  <c r="X63" i="19"/>
  <c r="X81" i="19"/>
  <c r="L132" i="19"/>
  <c r="V132" i="19" s="1"/>
  <c r="X132" i="19"/>
  <c r="T29" i="18"/>
  <c r="P29" i="18"/>
  <c r="Z29" i="18" s="1"/>
  <c r="X48" i="18"/>
  <c r="L48" i="18"/>
  <c r="V48" i="18" s="1"/>
  <c r="T95" i="18"/>
  <c r="P95" i="18"/>
  <c r="Z95" i="18" s="1"/>
  <c r="L125" i="18"/>
  <c r="V125" i="18" s="1"/>
  <c r="X125" i="18"/>
  <c r="L166" i="18"/>
  <c r="V166" i="18" s="1"/>
  <c r="X166" i="18"/>
  <c r="L111" i="19"/>
  <c r="V111" i="19" s="1"/>
  <c r="X118" i="19"/>
  <c r="X122" i="19"/>
  <c r="X124" i="19"/>
  <c r="P155" i="19"/>
  <c r="Z155" i="19" s="1"/>
  <c r="P158" i="19"/>
  <c r="Z158" i="19" s="1"/>
  <c r="P159" i="19"/>
  <c r="Z159" i="19" s="1"/>
  <c r="L19" i="18"/>
  <c r="V19" i="18" s="1"/>
  <c r="L20" i="18"/>
  <c r="V20" i="18" s="1"/>
  <c r="L33" i="18"/>
  <c r="V33" i="18" s="1"/>
  <c r="L35" i="18"/>
  <c r="V35" i="18" s="1"/>
  <c r="T46" i="18"/>
  <c r="L50" i="18"/>
  <c r="V50" i="18" s="1"/>
  <c r="T62" i="18"/>
  <c r="T63" i="18"/>
  <c r="X72" i="18"/>
  <c r="L85" i="18"/>
  <c r="V85" i="18" s="1"/>
  <c r="P97" i="18"/>
  <c r="Z97" i="18" s="1"/>
  <c r="X128" i="18"/>
  <c r="X88" i="18"/>
  <c r="X138" i="18"/>
  <c r="X144" i="18"/>
  <c r="T152" i="18"/>
  <c r="T153" i="18"/>
  <c r="T154" i="18"/>
  <c r="T155" i="18"/>
  <c r="T156" i="18"/>
  <c r="T157" i="18"/>
  <c r="T158" i="18"/>
  <c r="T159" i="18"/>
  <c r="T160" i="18"/>
  <c r="T161" i="18"/>
  <c r="T162" i="18"/>
  <c r="T163" i="18"/>
  <c r="X164" i="18"/>
  <c r="X164" i="19"/>
  <c r="T48" i="18"/>
  <c r="X66" i="18"/>
  <c r="L83" i="18"/>
  <c r="V83" i="18" s="1"/>
  <c r="X127" i="18"/>
  <c r="X137" i="18"/>
  <c r="X152" i="18"/>
  <c r="X153" i="18"/>
  <c r="X154" i="18"/>
  <c r="X155" i="18"/>
  <c r="X156" i="18"/>
  <c r="X157" i="18"/>
  <c r="X158" i="18"/>
  <c r="X159" i="18"/>
  <c r="X160" i="18"/>
  <c r="X161" i="18"/>
  <c r="X162" i="18"/>
  <c r="X163" i="18"/>
  <c r="X170" i="18"/>
  <c r="X110" i="19"/>
  <c r="T22" i="18"/>
  <c r="X120" i="18"/>
  <c r="X169" i="18"/>
  <c r="AA6" i="18"/>
  <c r="AA25" i="21"/>
  <c r="P189" i="22"/>
  <c r="Z189" i="22" s="1"/>
  <c r="T189" i="22"/>
  <c r="P226" i="22"/>
  <c r="Z226" i="22" s="1"/>
  <c r="T226" i="22"/>
  <c r="L306" i="22"/>
  <c r="V306" i="22" s="1"/>
  <c r="X306" i="22"/>
  <c r="T178" i="23"/>
  <c r="P178" i="23"/>
  <c r="Z178" i="23" s="1"/>
  <c r="T181" i="23"/>
  <c r="P181" i="23"/>
  <c r="Z181" i="23" s="1"/>
  <c r="Y6" i="26"/>
  <c r="AA6" i="26"/>
  <c r="U6" i="26"/>
  <c r="U25" i="26" s="1"/>
  <c r="P245" i="27"/>
  <c r="Z245" i="27" s="1"/>
  <c r="T245" i="27"/>
  <c r="P177" i="28"/>
  <c r="Z177" i="28" s="1"/>
  <c r="T177" i="28"/>
  <c r="X181" i="28"/>
  <c r="L181" i="28"/>
  <c r="V181" i="28" s="1"/>
  <c r="U15" i="32"/>
  <c r="U13" i="32"/>
  <c r="U14" i="32"/>
  <c r="U27" i="32"/>
  <c r="T15" i="1"/>
  <c r="P15" i="1"/>
  <c r="Z15" i="1" s="1"/>
  <c r="T23" i="1"/>
  <c r="P23" i="1"/>
  <c r="Z23" i="1" s="1"/>
  <c r="T31" i="1"/>
  <c r="P31" i="1"/>
  <c r="Z31" i="1" s="1"/>
  <c r="T39" i="1"/>
  <c r="P39" i="1"/>
  <c r="Z39" i="1" s="1"/>
  <c r="T47" i="1"/>
  <c r="P47" i="1"/>
  <c r="Z47" i="1" s="1"/>
  <c r="T55" i="1"/>
  <c r="P55" i="1"/>
  <c r="Z55" i="1" s="1"/>
  <c r="T70" i="1"/>
  <c r="P70" i="1"/>
  <c r="Z70" i="1" s="1"/>
  <c r="P94" i="1"/>
  <c r="Z94" i="1" s="1"/>
  <c r="T94" i="1"/>
  <c r="L16" i="36"/>
  <c r="V16" i="36" s="1"/>
  <c r="X16" i="36"/>
  <c r="Q13" i="36"/>
  <c r="X11" i="18"/>
  <c r="W124" i="19"/>
  <c r="W90" i="19"/>
  <c r="W76" i="19"/>
  <c r="W40" i="19"/>
  <c r="W146" i="23"/>
  <c r="P189" i="23"/>
  <c r="Z189" i="23" s="1"/>
  <c r="U62" i="30"/>
  <c r="U32" i="30"/>
  <c r="U30" i="30"/>
  <c r="U26" i="30"/>
  <c r="U24" i="30"/>
  <c r="U22" i="30"/>
  <c r="U20" i="30"/>
  <c r="U14" i="30"/>
  <c r="U56" i="30"/>
  <c r="U36" i="30"/>
  <c r="U60" i="30"/>
  <c r="U68" i="30"/>
  <c r="U52" i="30"/>
  <c r="L12" i="32"/>
  <c r="V12" i="32" s="1"/>
  <c r="X12" i="32"/>
  <c r="AA6" i="33"/>
  <c r="Y6" i="33"/>
  <c r="W6" i="33"/>
  <c r="U6" i="33"/>
  <c r="U29" i="35"/>
  <c r="U49" i="35"/>
  <c r="U33" i="35"/>
  <c r="U17" i="35"/>
  <c r="U13" i="35"/>
  <c r="U53" i="35"/>
  <c r="U37" i="35"/>
  <c r="U21" i="35"/>
  <c r="U55" i="35"/>
  <c r="U23" i="35"/>
  <c r="P12" i="35"/>
  <c r="Z12" i="35" s="1"/>
  <c r="T12" i="35"/>
  <c r="T45" i="36"/>
  <c r="X11" i="23"/>
  <c r="L11" i="23"/>
  <c r="V11" i="23" s="1"/>
  <c r="T185" i="23"/>
  <c r="P185" i="23"/>
  <c r="Z185" i="23" s="1"/>
  <c r="L178" i="28"/>
  <c r="V178" i="28" s="1"/>
  <c r="X178" i="28"/>
  <c r="T13" i="1"/>
  <c r="P13" i="1"/>
  <c r="Z13" i="1" s="1"/>
  <c r="P16" i="1"/>
  <c r="Z16" i="1" s="1"/>
  <c r="T21" i="1"/>
  <c r="P21" i="1"/>
  <c r="Z21" i="1" s="1"/>
  <c r="P24" i="1"/>
  <c r="Z24" i="1" s="1"/>
  <c r="T29" i="1"/>
  <c r="P29" i="1"/>
  <c r="Z29" i="1" s="1"/>
  <c r="P32" i="1"/>
  <c r="Z32" i="1" s="1"/>
  <c r="T37" i="1"/>
  <c r="P37" i="1"/>
  <c r="Z37" i="1" s="1"/>
  <c r="P40" i="1"/>
  <c r="Z40" i="1" s="1"/>
  <c r="T45" i="1"/>
  <c r="P45" i="1"/>
  <c r="Z45" i="1" s="1"/>
  <c r="T53" i="1"/>
  <c r="P53" i="1"/>
  <c r="Z53" i="1" s="1"/>
  <c r="P56" i="1"/>
  <c r="Z56" i="1" s="1"/>
  <c r="T61" i="1"/>
  <c r="P61" i="1"/>
  <c r="Z61" i="1" s="1"/>
  <c r="P72" i="1"/>
  <c r="Z72" i="1" s="1"/>
  <c r="T72" i="1"/>
  <c r="P73" i="1"/>
  <c r="Z73" i="1" s="1"/>
  <c r="T73" i="1"/>
  <c r="L91" i="1"/>
  <c r="V91" i="1" s="1"/>
  <c r="X91" i="1"/>
  <c r="P13" i="36"/>
  <c r="Z13" i="36" s="1"/>
  <c r="T13" i="36"/>
  <c r="P44" i="36"/>
  <c r="Z44" i="36" s="1"/>
  <c r="T44" i="36"/>
  <c r="T182" i="23"/>
  <c r="P182" i="23"/>
  <c r="Z182" i="23" s="1"/>
  <c r="W11" i="18"/>
  <c r="X12" i="20"/>
  <c r="Y25" i="21"/>
  <c r="L198" i="22"/>
  <c r="V198" i="22" s="1"/>
  <c r="X198" i="22"/>
  <c r="L304" i="22"/>
  <c r="V304" i="22" s="1"/>
  <c r="X304" i="22"/>
  <c r="X174" i="23"/>
  <c r="L174" i="23"/>
  <c r="V174" i="23" s="1"/>
  <c r="L213" i="27"/>
  <c r="V213" i="27" s="1"/>
  <c r="X213" i="27"/>
  <c r="AA6" i="28"/>
  <c r="Y6" i="28"/>
  <c r="U6" i="28"/>
  <c r="L12" i="33"/>
  <c r="V12" i="33" s="1"/>
  <c r="X12" i="33"/>
  <c r="P79" i="1"/>
  <c r="Z79" i="1" s="1"/>
  <c r="T79" i="1"/>
  <c r="P113" i="1"/>
  <c r="Z113" i="1" s="1"/>
  <c r="T113" i="1"/>
  <c r="P120" i="1"/>
  <c r="Z120" i="1" s="1"/>
  <c r="T120" i="1"/>
  <c r="P15" i="36"/>
  <c r="Z15" i="36" s="1"/>
  <c r="T15" i="36"/>
  <c r="L238" i="27"/>
  <c r="V238" i="27" s="1"/>
  <c r="X238" i="27"/>
  <c r="X248" i="27"/>
  <c r="L248" i="27"/>
  <c r="V248" i="27" s="1"/>
  <c r="T299" i="22"/>
  <c r="P181" i="28"/>
  <c r="Z181" i="28" s="1"/>
  <c r="T181" i="28"/>
  <c r="T19" i="1"/>
  <c r="P19" i="1"/>
  <c r="Z19" i="1" s="1"/>
  <c r="T27" i="1"/>
  <c r="P27" i="1"/>
  <c r="Z27" i="1" s="1"/>
  <c r="T35" i="1"/>
  <c r="P35" i="1"/>
  <c r="Z35" i="1" s="1"/>
  <c r="T43" i="1"/>
  <c r="P43" i="1"/>
  <c r="Z43" i="1" s="1"/>
  <c r="T51" i="1"/>
  <c r="P51" i="1"/>
  <c r="Z51" i="1" s="1"/>
  <c r="T59" i="1"/>
  <c r="P59" i="1"/>
  <c r="Z59" i="1" s="1"/>
  <c r="P62" i="1"/>
  <c r="Z62" i="1" s="1"/>
  <c r="T67" i="1"/>
  <c r="Q36" i="36"/>
  <c r="Y109" i="18"/>
  <c r="Y110" i="18"/>
  <c r="Y68" i="18"/>
  <c r="Y27" i="18"/>
  <c r="Y39" i="18"/>
  <c r="L178" i="22"/>
  <c r="V178" i="22" s="1"/>
  <c r="X178" i="22"/>
  <c r="L307" i="22"/>
  <c r="V307" i="22" s="1"/>
  <c r="X307" i="22"/>
  <c r="X12" i="23"/>
  <c r="L12" i="23"/>
  <c r="V12" i="23" s="1"/>
  <c r="X190" i="23"/>
  <c r="L190" i="23"/>
  <c r="V190" i="23" s="1"/>
  <c r="P11" i="28"/>
  <c r="Z11" i="28" s="1"/>
  <c r="T11" i="28"/>
  <c r="P175" i="28"/>
  <c r="Z175" i="28" s="1"/>
  <c r="T175" i="28"/>
  <c r="P179" i="28"/>
  <c r="Z179" i="28" s="1"/>
  <c r="T179" i="28"/>
  <c r="L76" i="1"/>
  <c r="V76" i="1" s="1"/>
  <c r="X76" i="1"/>
  <c r="P83" i="1"/>
  <c r="Z83" i="1" s="1"/>
  <c r="T83" i="1"/>
  <c r="P90" i="1"/>
  <c r="Z90" i="1" s="1"/>
  <c r="T90" i="1"/>
  <c r="M14" i="36"/>
  <c r="T60" i="36"/>
  <c r="P246" i="27"/>
  <c r="Z246" i="27" s="1"/>
  <c r="T246" i="27"/>
  <c r="W13" i="32"/>
  <c r="P28" i="36"/>
  <c r="Z28" i="36" s="1"/>
  <c r="T28" i="36"/>
  <c r="U6" i="18"/>
  <c r="Y11" i="18"/>
  <c r="L221" i="22"/>
  <c r="V221" i="22" s="1"/>
  <c r="X221" i="22"/>
  <c r="L303" i="22"/>
  <c r="V303" i="22" s="1"/>
  <c r="X303" i="22"/>
  <c r="T179" i="23"/>
  <c r="P179" i="23"/>
  <c r="Z179" i="23" s="1"/>
  <c r="L11" i="24"/>
  <c r="V11" i="24" s="1"/>
  <c r="X11" i="24"/>
  <c r="AA11" i="26"/>
  <c r="T183" i="28"/>
  <c r="Y6" i="36"/>
  <c r="AA6" i="36"/>
  <c r="W6" i="36"/>
  <c r="U6" i="36"/>
  <c r="T17" i="1"/>
  <c r="P17" i="1"/>
  <c r="Z17" i="1" s="1"/>
  <c r="P20" i="1"/>
  <c r="Z20" i="1" s="1"/>
  <c r="T25" i="1"/>
  <c r="P25" i="1"/>
  <c r="Z25" i="1" s="1"/>
  <c r="P28" i="1"/>
  <c r="Z28" i="1" s="1"/>
  <c r="T33" i="1"/>
  <c r="P33" i="1"/>
  <c r="Z33" i="1" s="1"/>
  <c r="P36" i="1"/>
  <c r="Z36" i="1" s="1"/>
  <c r="T41" i="1"/>
  <c r="P41" i="1"/>
  <c r="Z41" i="1" s="1"/>
  <c r="P44" i="1"/>
  <c r="Z44" i="1" s="1"/>
  <c r="T49" i="1"/>
  <c r="P49" i="1"/>
  <c r="Z49" i="1" s="1"/>
  <c r="P52" i="1"/>
  <c r="Z52" i="1" s="1"/>
  <c r="T57" i="1"/>
  <c r="P57" i="1"/>
  <c r="Z57" i="1" s="1"/>
  <c r="P60" i="1"/>
  <c r="Z60" i="1" s="1"/>
  <c r="P19" i="36"/>
  <c r="Z19" i="36" s="1"/>
  <c r="T19" i="36"/>
  <c r="T29" i="36"/>
  <c r="U51" i="35"/>
  <c r="W12" i="22"/>
  <c r="W57" i="22"/>
  <c r="W25" i="22"/>
  <c r="X212" i="22"/>
  <c r="X301" i="22"/>
  <c r="P175" i="23"/>
  <c r="Z175" i="23" s="1"/>
  <c r="X11" i="26"/>
  <c r="X206" i="27"/>
  <c r="X207" i="27"/>
  <c r="X231" i="27"/>
  <c r="T232" i="27"/>
  <c r="X233" i="27"/>
  <c r="W6" i="34"/>
  <c r="U23" i="36"/>
  <c r="P34" i="36"/>
  <c r="Z34" i="36" s="1"/>
  <c r="T34" i="36"/>
  <c r="T35" i="36"/>
  <c r="P50" i="36"/>
  <c r="Z50" i="36" s="1"/>
  <c r="T50" i="36"/>
  <c r="T51" i="36"/>
  <c r="P65" i="36"/>
  <c r="Z65" i="36" s="1"/>
  <c r="T65" i="36"/>
  <c r="T66" i="36"/>
  <c r="P66" i="36"/>
  <c r="Z66" i="36" s="1"/>
  <c r="P13" i="35"/>
  <c r="Z13" i="35" s="1"/>
  <c r="T13" i="35"/>
  <c r="T16" i="35"/>
  <c r="P16" i="35"/>
  <c r="Z16" i="35" s="1"/>
  <c r="Q33" i="35"/>
  <c r="Q48" i="35"/>
  <c r="Y6" i="22"/>
  <c r="X186" i="22"/>
  <c r="X197" i="22"/>
  <c r="X213" i="22"/>
  <c r="X302" i="22"/>
  <c r="T303" i="22"/>
  <c r="L180" i="23"/>
  <c r="V180" i="23" s="1"/>
  <c r="L209" i="27"/>
  <c r="V209" i="27" s="1"/>
  <c r="L224" i="27"/>
  <c r="V224" i="27" s="1"/>
  <c r="X237" i="27"/>
  <c r="T238" i="27"/>
  <c r="T252" i="27"/>
  <c r="X183" i="28"/>
  <c r="U11" i="32"/>
  <c r="AA6" i="34"/>
  <c r="AA12" i="34" s="1"/>
  <c r="T78" i="1"/>
  <c r="T130" i="1"/>
  <c r="Q16" i="36"/>
  <c r="T18" i="36"/>
  <c r="X20" i="36"/>
  <c r="P24" i="36"/>
  <c r="Z24" i="36" s="1"/>
  <c r="T24" i="36"/>
  <c r="T25" i="36"/>
  <c r="Q26" i="36"/>
  <c r="P40" i="36"/>
  <c r="Z40" i="36" s="1"/>
  <c r="T40" i="36"/>
  <c r="T41" i="36"/>
  <c r="P56" i="36"/>
  <c r="Z56" i="36" s="1"/>
  <c r="T56" i="36"/>
  <c r="T57" i="36"/>
  <c r="U26" i="35"/>
  <c r="M26" i="35"/>
  <c r="U27" i="35"/>
  <c r="Q24" i="34"/>
  <c r="AA24" i="34" s="1"/>
  <c r="Y24" i="34"/>
  <c r="AA6" i="22"/>
  <c r="X191" i="22"/>
  <c r="T209" i="22"/>
  <c r="L211" i="22"/>
  <c r="V211" i="22" s="1"/>
  <c r="T11" i="24"/>
  <c r="X12" i="24"/>
  <c r="X12" i="26"/>
  <c r="Q12" i="27"/>
  <c r="AA12" i="27" s="1"/>
  <c r="T203" i="27"/>
  <c r="T204" i="27"/>
  <c r="X205" i="27"/>
  <c r="M224" i="27"/>
  <c r="X235" i="27"/>
  <c r="X236" i="27"/>
  <c r="P241" i="27"/>
  <c r="Z241" i="27" s="1"/>
  <c r="L246" i="27"/>
  <c r="V246" i="27" s="1"/>
  <c r="X247" i="27"/>
  <c r="T248" i="27"/>
  <c r="X11" i="32"/>
  <c r="X11" i="35"/>
  <c r="T86" i="1"/>
  <c r="X164" i="1"/>
  <c r="T16" i="36"/>
  <c r="M23" i="36"/>
  <c r="P30" i="36"/>
  <c r="Z30" i="36" s="1"/>
  <c r="T30" i="36"/>
  <c r="T31" i="36"/>
  <c r="P46" i="36"/>
  <c r="Z46" i="36" s="1"/>
  <c r="T46" i="36"/>
  <c r="T47" i="36"/>
  <c r="P61" i="36"/>
  <c r="Z61" i="36" s="1"/>
  <c r="T61" i="36"/>
  <c r="T62" i="36"/>
  <c r="P67" i="36"/>
  <c r="Z67" i="36" s="1"/>
  <c r="T67" i="36"/>
  <c r="T68" i="36"/>
  <c r="P68" i="36"/>
  <c r="Z68" i="36" s="1"/>
  <c r="P22" i="35"/>
  <c r="Z22" i="35" s="1"/>
  <c r="T22" i="35"/>
  <c r="U41" i="35"/>
  <c r="M41" i="35"/>
  <c r="M22" i="34"/>
  <c r="U22" i="34"/>
  <c r="U27" i="24"/>
  <c r="U21" i="24"/>
  <c r="U12" i="36"/>
  <c r="X18" i="36"/>
  <c r="T21" i="36"/>
  <c r="P36" i="36"/>
  <c r="Z36" i="36" s="1"/>
  <c r="T36" i="36"/>
  <c r="T37" i="36"/>
  <c r="P52" i="36"/>
  <c r="Z52" i="36" s="1"/>
  <c r="T52" i="36"/>
  <c r="T53" i="36"/>
  <c r="P20" i="35"/>
  <c r="Z20" i="35" s="1"/>
  <c r="T20" i="35"/>
  <c r="U43" i="35"/>
  <c r="P27" i="33"/>
  <c r="Z27" i="33" s="1"/>
  <c r="T27" i="33"/>
  <c r="W30" i="20"/>
  <c r="W22" i="20"/>
  <c r="W18" i="20"/>
  <c r="W14" i="20"/>
  <c r="W177" i="22"/>
  <c r="W190" i="22"/>
  <c r="W287" i="22"/>
  <c r="W301" i="22"/>
  <c r="L184" i="23"/>
  <c r="V184" i="23" s="1"/>
  <c r="U6" i="27"/>
  <c r="U12" i="27" s="1"/>
  <c r="L216" i="27"/>
  <c r="V216" i="27" s="1"/>
  <c r="AA219" i="27"/>
  <c r="L227" i="27"/>
  <c r="V227" i="27" s="1"/>
  <c r="L234" i="27"/>
  <c r="V234" i="27" s="1"/>
  <c r="T254" i="27"/>
  <c r="L73" i="1"/>
  <c r="V73" i="1" s="1"/>
  <c r="T103" i="1"/>
  <c r="W15" i="36"/>
  <c r="P26" i="36"/>
  <c r="Z26" i="36" s="1"/>
  <c r="T26" i="36"/>
  <c r="T27" i="36"/>
  <c r="P42" i="36"/>
  <c r="Z42" i="36" s="1"/>
  <c r="T42" i="36"/>
  <c r="T43" i="36"/>
  <c r="U47" i="36"/>
  <c r="P58" i="36"/>
  <c r="Z58" i="36" s="1"/>
  <c r="T58" i="36"/>
  <c r="T59" i="36"/>
  <c r="P20" i="34"/>
  <c r="Z20" i="34" s="1"/>
  <c r="T20" i="34"/>
  <c r="AA29" i="20"/>
  <c r="AA25" i="20"/>
  <c r="AA21" i="20"/>
  <c r="AA17" i="20"/>
  <c r="AA13" i="20"/>
  <c r="L177" i="22"/>
  <c r="V177" i="22" s="1"/>
  <c r="T195" i="22"/>
  <c r="Y6" i="27"/>
  <c r="Y12" i="27" s="1"/>
  <c r="W12" i="32"/>
  <c r="T81" i="1"/>
  <c r="T96" i="1"/>
  <c r="X147" i="1"/>
  <c r="M13" i="36"/>
  <c r="X14" i="36"/>
  <c r="M25" i="36"/>
  <c r="P32" i="36"/>
  <c r="Z32" i="36" s="1"/>
  <c r="T32" i="36"/>
  <c r="T33" i="36"/>
  <c r="W36" i="36"/>
  <c r="P48" i="36"/>
  <c r="Z48" i="36" s="1"/>
  <c r="T48" i="36"/>
  <c r="T49" i="36"/>
  <c r="P63" i="36"/>
  <c r="Z63" i="36" s="1"/>
  <c r="T63" i="36"/>
  <c r="T64" i="36"/>
  <c r="X15" i="35"/>
  <c r="L15" i="35"/>
  <c r="V15" i="35" s="1"/>
  <c r="U35" i="35"/>
  <c r="Q16" i="34"/>
  <c r="Y16" i="34"/>
  <c r="M16" i="33"/>
  <c r="W16" i="33" s="1"/>
  <c r="U16" i="33"/>
  <c r="Y11" i="21"/>
  <c r="Y176" i="22"/>
  <c r="U12" i="24"/>
  <c r="U11" i="28"/>
  <c r="X176" i="28"/>
  <c r="W11" i="33"/>
  <c r="Q15" i="36"/>
  <c r="Y15" i="36"/>
  <c r="M16" i="36"/>
  <c r="P22" i="36"/>
  <c r="Z22" i="36" s="1"/>
  <c r="T22" i="36"/>
  <c r="T23" i="36"/>
  <c r="U27" i="36"/>
  <c r="P38" i="36"/>
  <c r="Z38" i="36" s="1"/>
  <c r="T38" i="36"/>
  <c r="T39" i="36"/>
  <c r="P54" i="36"/>
  <c r="Z54" i="36" s="1"/>
  <c r="T54" i="36"/>
  <c r="T55" i="36"/>
  <c r="Q17" i="35"/>
  <c r="P18" i="35"/>
  <c r="Z18" i="35" s="1"/>
  <c r="Q32" i="35"/>
  <c r="M14" i="34"/>
  <c r="U14" i="34"/>
  <c r="T19" i="35"/>
  <c r="M27" i="35"/>
  <c r="Q34" i="35"/>
  <c r="Q50" i="35"/>
  <c r="M13" i="34"/>
  <c r="W13" i="34" s="1"/>
  <c r="U13" i="34"/>
  <c r="Q15" i="34"/>
  <c r="Y15" i="34"/>
  <c r="T16" i="34"/>
  <c r="M21" i="34"/>
  <c r="U21" i="34"/>
  <c r="Q23" i="34"/>
  <c r="Y23" i="34"/>
  <c r="T24" i="34"/>
  <c r="Q20" i="33"/>
  <c r="AA20" i="33" s="1"/>
  <c r="Y20" i="33"/>
  <c r="W31" i="32"/>
  <c r="U44" i="32"/>
  <c r="T45" i="32"/>
  <c r="P45" i="32"/>
  <c r="Z45" i="32" s="1"/>
  <c r="P14" i="35"/>
  <c r="Z14" i="35" s="1"/>
  <c r="T17" i="35"/>
  <c r="U22" i="35"/>
  <c r="Q31" i="35"/>
  <c r="U38" i="35"/>
  <c r="Q47" i="35"/>
  <c r="U54" i="35"/>
  <c r="Q14" i="34"/>
  <c r="T15" i="34"/>
  <c r="M20" i="34"/>
  <c r="U20" i="34"/>
  <c r="Q22" i="34"/>
  <c r="Y22" i="34"/>
  <c r="T23" i="34"/>
  <c r="P23" i="33"/>
  <c r="Z23" i="33" s="1"/>
  <c r="T23" i="33"/>
  <c r="L18" i="32"/>
  <c r="V18" i="32" s="1"/>
  <c r="X18" i="32"/>
  <c r="T40" i="32"/>
  <c r="P40" i="32"/>
  <c r="Z40" i="32" s="1"/>
  <c r="Y23" i="36"/>
  <c r="Y25" i="36"/>
  <c r="Y27" i="36"/>
  <c r="U28" i="36"/>
  <c r="Y35" i="36"/>
  <c r="U36" i="36"/>
  <c r="Y47" i="36"/>
  <c r="Y59" i="36"/>
  <c r="L13" i="35"/>
  <c r="V13" i="35" s="1"/>
  <c r="T15" i="35"/>
  <c r="U20" i="35"/>
  <c r="L21" i="35"/>
  <c r="V21" i="35" s="1"/>
  <c r="U36" i="35"/>
  <c r="U52" i="35"/>
  <c r="Q13" i="34"/>
  <c r="Y13" i="34"/>
  <c r="M19" i="34"/>
  <c r="U19" i="34"/>
  <c r="Q21" i="34"/>
  <c r="AA21" i="34" s="1"/>
  <c r="Y21" i="34"/>
  <c r="L26" i="33"/>
  <c r="V26" i="33" s="1"/>
  <c r="X26" i="33"/>
  <c r="T29" i="33"/>
  <c r="P33" i="33"/>
  <c r="Z33" i="33" s="1"/>
  <c r="T33" i="33"/>
  <c r="W17" i="32"/>
  <c r="P28" i="32"/>
  <c r="Z28" i="32" s="1"/>
  <c r="T28" i="32"/>
  <c r="U18" i="35"/>
  <c r="M20" i="35"/>
  <c r="Q27" i="35"/>
  <c r="U31" i="35"/>
  <c r="U34" i="35"/>
  <c r="M36" i="35"/>
  <c r="Q43" i="35"/>
  <c r="U47" i="35"/>
  <c r="U50" i="35"/>
  <c r="M52" i="35"/>
  <c r="T13" i="34"/>
  <c r="M18" i="34"/>
  <c r="W18" i="34" s="1"/>
  <c r="U18" i="34"/>
  <c r="Q20" i="34"/>
  <c r="AA20" i="34" s="1"/>
  <c r="Y20" i="34"/>
  <c r="T21" i="34"/>
  <c r="W16" i="32"/>
  <c r="Q36" i="32"/>
  <c r="U32" i="35"/>
  <c r="U48" i="35"/>
  <c r="M17" i="34"/>
  <c r="U17" i="34"/>
  <c r="Q19" i="34"/>
  <c r="AA19" i="34" s="1"/>
  <c r="Y19" i="34"/>
  <c r="M25" i="34"/>
  <c r="U25" i="34"/>
  <c r="P17" i="33"/>
  <c r="Z17" i="33" s="1"/>
  <c r="T17" i="33"/>
  <c r="Q25" i="33"/>
  <c r="AA25" i="33" s="1"/>
  <c r="Y25" i="33"/>
  <c r="T25" i="32"/>
  <c r="P25" i="32"/>
  <c r="Z25" i="32" s="1"/>
  <c r="U14" i="35"/>
  <c r="Q23" i="35"/>
  <c r="T25" i="35"/>
  <c r="M32" i="35"/>
  <c r="M48" i="35"/>
  <c r="Q55" i="35"/>
  <c r="M16" i="34"/>
  <c r="W16" i="34" s="1"/>
  <c r="U16" i="34"/>
  <c r="Q18" i="34"/>
  <c r="Y18" i="34"/>
  <c r="M24" i="34"/>
  <c r="U24" i="34"/>
  <c r="M21" i="33"/>
  <c r="W21" i="33" s="1"/>
  <c r="U21" i="33"/>
  <c r="P28" i="33"/>
  <c r="Z28" i="33" s="1"/>
  <c r="T28" i="33"/>
  <c r="M32" i="33"/>
  <c r="W32" i="33" s="1"/>
  <c r="U32" i="33"/>
  <c r="L15" i="32"/>
  <c r="V15" i="32" s="1"/>
  <c r="X15" i="32"/>
  <c r="T23" i="35"/>
  <c r="U28" i="35"/>
  <c r="U44" i="35"/>
  <c r="M15" i="34"/>
  <c r="W15" i="34" s="1"/>
  <c r="U15" i="34"/>
  <c r="Q17" i="34"/>
  <c r="Y17" i="34"/>
  <c r="M23" i="34"/>
  <c r="W23" i="34" s="1"/>
  <c r="U23" i="34"/>
  <c r="Q25" i="34"/>
  <c r="Y25" i="34"/>
  <c r="L33" i="32"/>
  <c r="V33" i="32" s="1"/>
  <c r="X33" i="32"/>
  <c r="Q15" i="33"/>
  <c r="AA15" i="33" s="1"/>
  <c r="Y15" i="33"/>
  <c r="X18" i="33"/>
  <c r="T19" i="33"/>
  <c r="Q26" i="33"/>
  <c r="Y26" i="33"/>
  <c r="U27" i="33"/>
  <c r="Q31" i="33"/>
  <c r="Y31" i="33"/>
  <c r="X34" i="33"/>
  <c r="U23" i="32"/>
  <c r="T26" i="32"/>
  <c r="P26" i="32"/>
  <c r="Z26" i="32" s="1"/>
  <c r="T41" i="32"/>
  <c r="P41" i="32"/>
  <c r="Z41" i="32" s="1"/>
  <c r="T46" i="32"/>
  <c r="P46" i="32"/>
  <c r="Z46" i="32" s="1"/>
  <c r="T47" i="32"/>
  <c r="T48" i="32"/>
  <c r="P52" i="32"/>
  <c r="Z52" i="32" s="1"/>
  <c r="P53" i="32"/>
  <c r="Z53" i="32" s="1"/>
  <c r="W54" i="32"/>
  <c r="Q16" i="33"/>
  <c r="AA16" i="33" s="1"/>
  <c r="Y16" i="33"/>
  <c r="M17" i="33"/>
  <c r="W17" i="33" s="1"/>
  <c r="U17" i="33"/>
  <c r="T20" i="33"/>
  <c r="Q21" i="33"/>
  <c r="AA21" i="33" s="1"/>
  <c r="Y21" i="33"/>
  <c r="X24" i="33"/>
  <c r="T25" i="33"/>
  <c r="M28" i="33"/>
  <c r="W28" i="33" s="1"/>
  <c r="U28" i="33"/>
  <c r="Q32" i="33"/>
  <c r="Y32" i="33"/>
  <c r="M33" i="33"/>
  <c r="W33" i="33" s="1"/>
  <c r="U33" i="33"/>
  <c r="T21" i="32"/>
  <c r="P21" i="32"/>
  <c r="Z21" i="32" s="1"/>
  <c r="T23" i="32"/>
  <c r="P23" i="32"/>
  <c r="Z23" i="32" s="1"/>
  <c r="P24" i="32"/>
  <c r="Z24" i="32" s="1"/>
  <c r="T24" i="32"/>
  <c r="W27" i="32"/>
  <c r="W28" i="32"/>
  <c r="T36" i="32"/>
  <c r="P36" i="32"/>
  <c r="Z36" i="32" s="1"/>
  <c r="T38" i="32"/>
  <c r="P38" i="32"/>
  <c r="Z38" i="32" s="1"/>
  <c r="P39" i="32"/>
  <c r="Z39" i="32" s="1"/>
  <c r="T39" i="32"/>
  <c r="U40" i="32"/>
  <c r="W44" i="32"/>
  <c r="P49" i="32"/>
  <c r="Z49" i="32" s="1"/>
  <c r="T49" i="32"/>
  <c r="T14" i="31"/>
  <c r="P14" i="31"/>
  <c r="Z14" i="31" s="1"/>
  <c r="T25" i="29"/>
  <c r="P25" i="29"/>
  <c r="Z25" i="29" s="1"/>
  <c r="X14" i="33"/>
  <c r="T15" i="33"/>
  <c r="Q22" i="33"/>
  <c r="AA22" i="33" s="1"/>
  <c r="Y22" i="33"/>
  <c r="M23" i="33"/>
  <c r="W23" i="33" s="1"/>
  <c r="U23" i="33"/>
  <c r="T26" i="33"/>
  <c r="Q27" i="33"/>
  <c r="AA27" i="33" s="1"/>
  <c r="Y27" i="33"/>
  <c r="X30" i="33"/>
  <c r="T31" i="33"/>
  <c r="M34" i="33"/>
  <c r="W34" i="33" s="1"/>
  <c r="U34" i="33"/>
  <c r="U19" i="32"/>
  <c r="T22" i="32"/>
  <c r="P22" i="32"/>
  <c r="Z22" i="32" s="1"/>
  <c r="T37" i="32"/>
  <c r="P37" i="32"/>
  <c r="Z37" i="32" s="1"/>
  <c r="P50" i="32"/>
  <c r="Z50" i="32" s="1"/>
  <c r="T50" i="32"/>
  <c r="P51" i="32"/>
  <c r="Z51" i="32" s="1"/>
  <c r="T51" i="32"/>
  <c r="M13" i="33"/>
  <c r="W13" i="33" s="1"/>
  <c r="U13" i="33"/>
  <c r="T16" i="33"/>
  <c r="Q17" i="33"/>
  <c r="AA17" i="33" s="1"/>
  <c r="Y17" i="33"/>
  <c r="X20" i="33"/>
  <c r="T21" i="33"/>
  <c r="M24" i="33"/>
  <c r="W24" i="33" s="1"/>
  <c r="U24" i="33"/>
  <c r="Q28" i="33"/>
  <c r="AA28" i="33" s="1"/>
  <c r="Y28" i="33"/>
  <c r="M29" i="33"/>
  <c r="W29" i="33" s="1"/>
  <c r="U29" i="33"/>
  <c r="T32" i="33"/>
  <c r="Y33" i="33"/>
  <c r="L13" i="32"/>
  <c r="V13" i="32" s="1"/>
  <c r="X13" i="32"/>
  <c r="P14" i="32"/>
  <c r="Z14" i="32" s="1"/>
  <c r="T14" i="32"/>
  <c r="T17" i="32"/>
  <c r="P17" i="32"/>
  <c r="Z17" i="32" s="1"/>
  <c r="T19" i="32"/>
  <c r="P19" i="32"/>
  <c r="Z19" i="32" s="1"/>
  <c r="P20" i="32"/>
  <c r="Z20" i="32" s="1"/>
  <c r="T20" i="32"/>
  <c r="W23" i="32"/>
  <c r="P35" i="32"/>
  <c r="Z35" i="32" s="1"/>
  <c r="T35" i="32"/>
  <c r="U36" i="32"/>
  <c r="W39" i="32"/>
  <c r="W40" i="32"/>
  <c r="T70" i="31"/>
  <c r="P70" i="31"/>
  <c r="Z70" i="31" s="1"/>
  <c r="M14" i="33"/>
  <c r="W14" i="33" s="1"/>
  <c r="U14" i="33"/>
  <c r="M19" i="33"/>
  <c r="W19" i="33" s="1"/>
  <c r="T22" i="33"/>
  <c r="Q23" i="33"/>
  <c r="AA23" i="33" s="1"/>
  <c r="Y23" i="33"/>
  <c r="M30" i="33"/>
  <c r="W30" i="33" s="1"/>
  <c r="U30" i="33"/>
  <c r="Q34" i="33"/>
  <c r="AA34" i="33" s="1"/>
  <c r="Y34" i="33"/>
  <c r="W14" i="32"/>
  <c r="T18" i="32"/>
  <c r="P18" i="32"/>
  <c r="Z18" i="32" s="1"/>
  <c r="U50" i="32"/>
  <c r="U52" i="32"/>
  <c r="T54" i="32"/>
  <c r="P54" i="32"/>
  <c r="Z54" i="32" s="1"/>
  <c r="T23" i="31"/>
  <c r="P23" i="31"/>
  <c r="Z23" i="31" s="1"/>
  <c r="Q13" i="33"/>
  <c r="AA13" i="33" s="1"/>
  <c r="Y13" i="33"/>
  <c r="M20" i="33"/>
  <c r="W20" i="33" s="1"/>
  <c r="U20" i="33"/>
  <c r="Q24" i="33"/>
  <c r="AA24" i="33" s="1"/>
  <c r="Y24" i="33"/>
  <c r="Q29" i="33"/>
  <c r="AA29" i="33" s="1"/>
  <c r="Y29" i="33"/>
  <c r="P16" i="32"/>
  <c r="Z16" i="32" s="1"/>
  <c r="T16" i="32"/>
  <c r="U17" i="32"/>
  <c r="W19" i="32"/>
  <c r="X26" i="32"/>
  <c r="T30" i="32"/>
  <c r="P30" i="32"/>
  <c r="Z30" i="32" s="1"/>
  <c r="U32" i="32"/>
  <c r="W35" i="32"/>
  <c r="W36" i="32"/>
  <c r="W50" i="32"/>
  <c r="W52" i="32"/>
  <c r="T75" i="31"/>
  <c r="P75" i="31"/>
  <c r="Z75" i="31" s="1"/>
  <c r="Q14" i="33"/>
  <c r="AA14" i="33" s="1"/>
  <c r="Y14" i="33"/>
  <c r="M15" i="33"/>
  <c r="W15" i="33" s="1"/>
  <c r="U15" i="33"/>
  <c r="M26" i="33"/>
  <c r="W26" i="33" s="1"/>
  <c r="U26" i="33"/>
  <c r="Q30" i="33"/>
  <c r="AA30" i="33" s="1"/>
  <c r="Y30" i="33"/>
  <c r="M31" i="33"/>
  <c r="W31" i="33" s="1"/>
  <c r="U31" i="33"/>
  <c r="W15" i="32"/>
  <c r="W18" i="32"/>
  <c r="U54" i="32"/>
  <c r="P37" i="30"/>
  <c r="Z37" i="30" s="1"/>
  <c r="T37" i="30"/>
  <c r="X42" i="32"/>
  <c r="W47" i="32"/>
  <c r="U47" i="32"/>
  <c r="U48" i="32"/>
  <c r="T39" i="30"/>
  <c r="P39" i="30"/>
  <c r="Z39" i="30" s="1"/>
  <c r="T57" i="30"/>
  <c r="P57" i="30"/>
  <c r="Z57" i="30" s="1"/>
  <c r="P70" i="29"/>
  <c r="Z70" i="29" s="1"/>
  <c r="T70" i="29"/>
  <c r="P24" i="28"/>
  <c r="Z24" i="28" s="1"/>
  <c r="T24" i="28"/>
  <c r="AA27" i="28"/>
  <c r="U16" i="32"/>
  <c r="U28" i="32"/>
  <c r="U31" i="32"/>
  <c r="U35" i="32"/>
  <c r="U39" i="32"/>
  <c r="L48" i="32"/>
  <c r="V48" i="32" s="1"/>
  <c r="W49" i="32"/>
  <c r="U49" i="32"/>
  <c r="P16" i="31"/>
  <c r="Z16" i="31" s="1"/>
  <c r="T67" i="30"/>
  <c r="T30" i="29"/>
  <c r="P30" i="29"/>
  <c r="Z30" i="29" s="1"/>
  <c r="L16" i="32"/>
  <c r="V16" i="32" s="1"/>
  <c r="L20" i="32"/>
  <c r="V20" i="32" s="1"/>
  <c r="L24" i="32"/>
  <c r="V24" i="32" s="1"/>
  <c r="L28" i="32"/>
  <c r="V28" i="32" s="1"/>
  <c r="L31" i="32"/>
  <c r="V31" i="32" s="1"/>
  <c r="L35" i="32"/>
  <c r="V35" i="32" s="1"/>
  <c r="L39" i="32"/>
  <c r="V39" i="32" s="1"/>
  <c r="P43" i="32"/>
  <c r="Z43" i="32" s="1"/>
  <c r="L50" i="32"/>
  <c r="V50" i="32" s="1"/>
  <c r="W51" i="32"/>
  <c r="U51" i="32"/>
  <c r="P12" i="31"/>
  <c r="Z12" i="31" s="1"/>
  <c r="T15" i="31"/>
  <c r="P15" i="31"/>
  <c r="Z15" i="31" s="1"/>
  <c r="P21" i="31"/>
  <c r="Z21" i="31" s="1"/>
  <c r="T68" i="31"/>
  <c r="P68" i="31"/>
  <c r="Z68" i="31" s="1"/>
  <c r="P69" i="31"/>
  <c r="Z69" i="31" s="1"/>
  <c r="P74" i="31"/>
  <c r="Z74" i="31" s="1"/>
  <c r="Q15" i="30"/>
  <c r="Q19" i="30"/>
  <c r="Q21" i="30"/>
  <c r="Q23" i="30"/>
  <c r="Q25" i="30"/>
  <c r="Q27" i="30"/>
  <c r="Q29" i="30"/>
  <c r="Q33" i="30"/>
  <c r="T55" i="30"/>
  <c r="P55" i="30"/>
  <c r="Z55" i="30" s="1"/>
  <c r="Q64" i="30"/>
  <c r="AA15" i="28"/>
  <c r="T17" i="28"/>
  <c r="P17" i="28"/>
  <c r="Z17" i="28" s="1"/>
  <c r="P18" i="28"/>
  <c r="Z18" i="28" s="1"/>
  <c r="T18" i="28"/>
  <c r="P44" i="32"/>
  <c r="Z44" i="32" s="1"/>
  <c r="L52" i="32"/>
  <c r="V52" i="32" s="1"/>
  <c r="W53" i="32"/>
  <c r="U53" i="32"/>
  <c r="T20" i="31"/>
  <c r="P20" i="31"/>
  <c r="Z20" i="31" s="1"/>
  <c r="P27" i="31"/>
  <c r="Z27" i="31" s="1"/>
  <c r="T66" i="31"/>
  <c r="P66" i="31"/>
  <c r="Z66" i="31" s="1"/>
  <c r="T73" i="31"/>
  <c r="P73" i="31"/>
  <c r="Z73" i="31" s="1"/>
  <c r="T43" i="30"/>
  <c r="P43" i="30"/>
  <c r="Z43" i="30" s="1"/>
  <c r="Q59" i="30"/>
  <c r="T14" i="29"/>
  <c r="P14" i="29"/>
  <c r="Z14" i="29" s="1"/>
  <c r="T49" i="29"/>
  <c r="P49" i="29"/>
  <c r="Z49" i="29" s="1"/>
  <c r="T26" i="31"/>
  <c r="P26" i="31"/>
  <c r="Z26" i="31" s="1"/>
  <c r="P67" i="31"/>
  <c r="Z67" i="31" s="1"/>
  <c r="M50" i="30"/>
  <c r="U50" i="30"/>
  <c r="L128" i="28"/>
  <c r="V128" i="28" s="1"/>
  <c r="X128" i="28"/>
  <c r="U18" i="32"/>
  <c r="T17" i="31"/>
  <c r="P17" i="31"/>
  <c r="Z17" i="31" s="1"/>
  <c r="T32" i="31"/>
  <c r="P32" i="31"/>
  <c r="Z32" i="31" s="1"/>
  <c r="T45" i="30"/>
  <c r="P45" i="30"/>
  <c r="Z45" i="30" s="1"/>
  <c r="P62" i="30"/>
  <c r="Z62" i="30" s="1"/>
  <c r="T41" i="29"/>
  <c r="P41" i="29"/>
  <c r="Z41" i="29" s="1"/>
  <c r="P36" i="28"/>
  <c r="Z36" i="28" s="1"/>
  <c r="T36" i="28"/>
  <c r="W43" i="32"/>
  <c r="U43" i="32"/>
  <c r="T22" i="31"/>
  <c r="P22" i="31"/>
  <c r="Z22" i="31" s="1"/>
  <c r="P71" i="31"/>
  <c r="Z71" i="31" s="1"/>
  <c r="P76" i="31"/>
  <c r="Z76" i="31" s="1"/>
  <c r="T13" i="30"/>
  <c r="P13" i="30"/>
  <c r="Z13" i="30" s="1"/>
  <c r="M34" i="30"/>
  <c r="U34" i="30"/>
  <c r="P89" i="29"/>
  <c r="Z89" i="29" s="1"/>
  <c r="T89" i="29"/>
  <c r="P15" i="30"/>
  <c r="Z15" i="30" s="1"/>
  <c r="P17" i="30"/>
  <c r="Z17" i="30" s="1"/>
  <c r="P19" i="30"/>
  <c r="Z19" i="30" s="1"/>
  <c r="P23" i="30"/>
  <c r="Z23" i="30" s="1"/>
  <c r="P25" i="30"/>
  <c r="Z25" i="30" s="1"/>
  <c r="P27" i="30"/>
  <c r="Z27" i="30" s="1"/>
  <c r="P29" i="30"/>
  <c r="Z29" i="30" s="1"/>
  <c r="P31" i="30"/>
  <c r="Z31" i="30" s="1"/>
  <c r="P33" i="30"/>
  <c r="Z33" i="30" s="1"/>
  <c r="T42" i="30"/>
  <c r="U44" i="30"/>
  <c r="T48" i="30"/>
  <c r="Q54" i="30"/>
  <c r="P59" i="30"/>
  <c r="Z59" i="30" s="1"/>
  <c r="M61" i="30"/>
  <c r="T64" i="30"/>
  <c r="P69" i="30"/>
  <c r="Z69" i="30" s="1"/>
  <c r="T15" i="29"/>
  <c r="P15" i="29"/>
  <c r="Z15" i="29" s="1"/>
  <c r="P16" i="29"/>
  <c r="Z16" i="29" s="1"/>
  <c r="T31" i="29"/>
  <c r="P31" i="29"/>
  <c r="Z31" i="29" s="1"/>
  <c r="P32" i="29"/>
  <c r="Z32" i="29" s="1"/>
  <c r="P44" i="29"/>
  <c r="Z44" i="29" s="1"/>
  <c r="P52" i="29"/>
  <c r="Z52" i="29" s="1"/>
  <c r="T55" i="29"/>
  <c r="P55" i="29"/>
  <c r="Z55" i="29" s="1"/>
  <c r="P56" i="29"/>
  <c r="Z56" i="29" s="1"/>
  <c r="T59" i="29"/>
  <c r="P59" i="29"/>
  <c r="Z59" i="29" s="1"/>
  <c r="P60" i="29"/>
  <c r="Z60" i="29" s="1"/>
  <c r="T63" i="29"/>
  <c r="P63" i="29"/>
  <c r="Z63" i="29" s="1"/>
  <c r="P64" i="29"/>
  <c r="Z64" i="29" s="1"/>
  <c r="T85" i="29"/>
  <c r="P92" i="29"/>
  <c r="Z92" i="29" s="1"/>
  <c r="T92" i="29"/>
  <c r="AA14" i="28"/>
  <c r="AA26" i="28"/>
  <c r="T29" i="28"/>
  <c r="P29" i="28"/>
  <c r="Z29" i="28" s="1"/>
  <c r="P46" i="28"/>
  <c r="Z46" i="28" s="1"/>
  <c r="T46" i="28"/>
  <c r="P48" i="28"/>
  <c r="Z48" i="28" s="1"/>
  <c r="T48" i="28"/>
  <c r="AA70" i="28"/>
  <c r="P171" i="28"/>
  <c r="Z171" i="28" s="1"/>
  <c r="T171" i="28"/>
  <c r="U39" i="30"/>
  <c r="T40" i="30"/>
  <c r="U48" i="30"/>
  <c r="Q60" i="30"/>
  <c r="T21" i="29"/>
  <c r="P21" i="29"/>
  <c r="Z21" i="29" s="1"/>
  <c r="P22" i="29"/>
  <c r="Z22" i="29" s="1"/>
  <c r="T37" i="29"/>
  <c r="P37" i="29"/>
  <c r="Z37" i="29" s="1"/>
  <c r="P38" i="29"/>
  <c r="Z38" i="29" s="1"/>
  <c r="T43" i="29"/>
  <c r="P43" i="29"/>
  <c r="Z43" i="29" s="1"/>
  <c r="T51" i="29"/>
  <c r="P51" i="29"/>
  <c r="Z51" i="29" s="1"/>
  <c r="P73" i="29"/>
  <c r="Z73" i="29" s="1"/>
  <c r="P88" i="29"/>
  <c r="Z88" i="29" s="1"/>
  <c r="T88" i="29"/>
  <c r="L94" i="29"/>
  <c r="V94" i="29" s="1"/>
  <c r="X94" i="29"/>
  <c r="P16" i="28"/>
  <c r="Z16" i="28" s="1"/>
  <c r="T16" i="28"/>
  <c r="AA19" i="28"/>
  <c r="P28" i="28"/>
  <c r="Z28" i="28" s="1"/>
  <c r="T28" i="28"/>
  <c r="T137" i="28"/>
  <c r="P137" i="28"/>
  <c r="Z137" i="28" s="1"/>
  <c r="P49" i="27"/>
  <c r="Z49" i="27" s="1"/>
  <c r="T49" i="27"/>
  <c r="U37" i="30"/>
  <c r="T38" i="30"/>
  <c r="U40" i="30"/>
  <c r="M57" i="30"/>
  <c r="U57" i="30"/>
  <c r="T60" i="30"/>
  <c r="U67" i="30"/>
  <c r="T68" i="30"/>
  <c r="P68" i="30"/>
  <c r="Z68" i="30" s="1"/>
  <c r="T27" i="29"/>
  <c r="P27" i="29"/>
  <c r="Z27" i="29" s="1"/>
  <c r="P28" i="29"/>
  <c r="Z28" i="29" s="1"/>
  <c r="P46" i="29"/>
  <c r="Z46" i="29" s="1"/>
  <c r="T69" i="29"/>
  <c r="T71" i="29"/>
  <c r="P71" i="29"/>
  <c r="Z71" i="29" s="1"/>
  <c r="T80" i="29"/>
  <c r="P82" i="29"/>
  <c r="Z82" i="29" s="1"/>
  <c r="T82" i="29"/>
  <c r="P98" i="29"/>
  <c r="Z98" i="29" s="1"/>
  <c r="T98" i="29"/>
  <c r="AA18" i="28"/>
  <c r="T21" i="28"/>
  <c r="P21" i="28"/>
  <c r="Z21" i="28" s="1"/>
  <c r="X24" i="28"/>
  <c r="L24" i="28"/>
  <c r="V24" i="28" s="1"/>
  <c r="P34" i="28"/>
  <c r="Z34" i="28" s="1"/>
  <c r="T34" i="28"/>
  <c r="U35" i="30"/>
  <c r="M47" i="30"/>
  <c r="U47" i="30"/>
  <c r="Q56" i="30"/>
  <c r="T17" i="29"/>
  <c r="P17" i="29"/>
  <c r="Z17" i="29" s="1"/>
  <c r="T33" i="29"/>
  <c r="P33" i="29"/>
  <c r="Z33" i="29" s="1"/>
  <c r="T45" i="29"/>
  <c r="P45" i="29"/>
  <c r="Z45" i="29" s="1"/>
  <c r="P81" i="29"/>
  <c r="Z81" i="29" s="1"/>
  <c r="T81" i="29"/>
  <c r="Q91" i="29"/>
  <c r="P97" i="29"/>
  <c r="Z97" i="29" s="1"/>
  <c r="T97" i="29"/>
  <c r="P20" i="28"/>
  <c r="Z20" i="28" s="1"/>
  <c r="T20" i="28"/>
  <c r="AA24" i="28"/>
  <c r="AA36" i="28"/>
  <c r="U13" i="30"/>
  <c r="U15" i="30"/>
  <c r="Q20" i="30"/>
  <c r="U21" i="30"/>
  <c r="Q22" i="30"/>
  <c r="U23" i="30"/>
  <c r="Q24" i="30"/>
  <c r="Q26" i="30"/>
  <c r="U27" i="30"/>
  <c r="Q28" i="30"/>
  <c r="U29" i="30"/>
  <c r="Q30" i="30"/>
  <c r="U31" i="30"/>
  <c r="M35" i="30"/>
  <c r="Q46" i="30"/>
  <c r="M53" i="30"/>
  <c r="U53" i="30"/>
  <c r="Q62" i="30"/>
  <c r="T39" i="29"/>
  <c r="P39" i="29"/>
  <c r="Z39" i="29" s="1"/>
  <c r="T53" i="29"/>
  <c r="P53" i="29"/>
  <c r="Z53" i="29" s="1"/>
  <c r="T57" i="29"/>
  <c r="P57" i="29"/>
  <c r="Z57" i="29" s="1"/>
  <c r="T61" i="29"/>
  <c r="P61" i="29"/>
  <c r="Z61" i="29" s="1"/>
  <c r="T65" i="29"/>
  <c r="P65" i="29"/>
  <c r="Z65" i="29" s="1"/>
  <c r="P84" i="29"/>
  <c r="Z84" i="29" s="1"/>
  <c r="T84" i="29"/>
  <c r="T13" i="28"/>
  <c r="P13" i="28"/>
  <c r="Z13" i="28" s="1"/>
  <c r="X16" i="28"/>
  <c r="L16" i="28"/>
  <c r="V16" i="28" s="1"/>
  <c r="AA30" i="28"/>
  <c r="L45" i="28"/>
  <c r="V45" i="28" s="1"/>
  <c r="X45" i="28"/>
  <c r="P52" i="28"/>
  <c r="Z52" i="28" s="1"/>
  <c r="T52" i="28"/>
  <c r="P54" i="28"/>
  <c r="Z54" i="28" s="1"/>
  <c r="T54" i="28"/>
  <c r="P56" i="28"/>
  <c r="Z56" i="28" s="1"/>
  <c r="T56" i="28"/>
  <c r="L144" i="28"/>
  <c r="V144" i="28" s="1"/>
  <c r="X144" i="28"/>
  <c r="M13" i="30"/>
  <c r="M15" i="30"/>
  <c r="T16" i="30"/>
  <c r="M17" i="30"/>
  <c r="T18" i="30"/>
  <c r="T20" i="30"/>
  <c r="M21" i="30"/>
  <c r="M23" i="30"/>
  <c r="T24" i="30"/>
  <c r="T26" i="30"/>
  <c r="M27" i="30"/>
  <c r="T28" i="30"/>
  <c r="M29" i="30"/>
  <c r="T30" i="30"/>
  <c r="M31" i="30"/>
  <c r="T32" i="30"/>
  <c r="Q52" i="30"/>
  <c r="M69" i="30"/>
  <c r="U69" i="30"/>
  <c r="T70" i="30"/>
  <c r="P70" i="30"/>
  <c r="Z70" i="30" s="1"/>
  <c r="T13" i="29"/>
  <c r="P13" i="29"/>
  <c r="Z13" i="29" s="1"/>
  <c r="T29" i="29"/>
  <c r="P29" i="29"/>
  <c r="Z29" i="29" s="1"/>
  <c r="T47" i="29"/>
  <c r="P47" i="29"/>
  <c r="Z47" i="29" s="1"/>
  <c r="P66" i="29"/>
  <c r="Z66" i="29" s="1"/>
  <c r="T66" i="29"/>
  <c r="P67" i="29"/>
  <c r="Z67" i="29" s="1"/>
  <c r="T67" i="29"/>
  <c r="P76" i="29"/>
  <c r="Z76" i="29" s="1"/>
  <c r="T76" i="29"/>
  <c r="T79" i="29"/>
  <c r="P79" i="29"/>
  <c r="Z79" i="29" s="1"/>
  <c r="M81" i="29"/>
  <c r="L86" i="29"/>
  <c r="V86" i="29" s="1"/>
  <c r="X86" i="29"/>
  <c r="P96" i="29"/>
  <c r="Z96" i="29" s="1"/>
  <c r="T96" i="29"/>
  <c r="AA16" i="28"/>
  <c r="AA23" i="28"/>
  <c r="T25" i="28"/>
  <c r="P25" i="28"/>
  <c r="Z25" i="28" s="1"/>
  <c r="P26" i="28"/>
  <c r="Z26" i="28" s="1"/>
  <c r="T26" i="28"/>
  <c r="U45" i="30"/>
  <c r="Q58" i="30"/>
  <c r="T19" i="29"/>
  <c r="P19" i="29"/>
  <c r="Z19" i="29" s="1"/>
  <c r="T35" i="29"/>
  <c r="P35" i="29"/>
  <c r="Z35" i="29" s="1"/>
  <c r="T75" i="29"/>
  <c r="P75" i="29"/>
  <c r="Z75" i="29" s="1"/>
  <c r="P78" i="29"/>
  <c r="Z78" i="29" s="1"/>
  <c r="T78" i="29"/>
  <c r="P90" i="29"/>
  <c r="Z90" i="29" s="1"/>
  <c r="T90" i="29"/>
  <c r="AA22" i="28"/>
  <c r="P38" i="28"/>
  <c r="Z38" i="28" s="1"/>
  <c r="T38" i="28"/>
  <c r="P40" i="28"/>
  <c r="Z40" i="28" s="1"/>
  <c r="T40" i="28"/>
  <c r="L17" i="28"/>
  <c r="V17" i="28" s="1"/>
  <c r="X17" i="28"/>
  <c r="T19" i="28"/>
  <c r="P19" i="28"/>
  <c r="Z19" i="28" s="1"/>
  <c r="L25" i="28"/>
  <c r="V25" i="28" s="1"/>
  <c r="X25" i="28"/>
  <c r="T27" i="28"/>
  <c r="P27" i="28"/>
  <c r="Z27" i="28" s="1"/>
  <c r="T35" i="28"/>
  <c r="P35" i="28"/>
  <c r="Z35" i="28" s="1"/>
  <c r="P42" i="28"/>
  <c r="Z42" i="28" s="1"/>
  <c r="T42" i="28"/>
  <c r="L51" i="28"/>
  <c r="V51" i="28" s="1"/>
  <c r="X51" i="28"/>
  <c r="L65" i="28"/>
  <c r="V65" i="28" s="1"/>
  <c r="X65" i="28"/>
  <c r="P66" i="28"/>
  <c r="Z66" i="28" s="1"/>
  <c r="T66" i="28"/>
  <c r="L69" i="28"/>
  <c r="V69" i="28" s="1"/>
  <c r="X69" i="28"/>
  <c r="P70" i="28"/>
  <c r="Z70" i="28" s="1"/>
  <c r="T70" i="28"/>
  <c r="L72" i="28"/>
  <c r="V72" i="28" s="1"/>
  <c r="X72" i="28"/>
  <c r="P73" i="28"/>
  <c r="Z73" i="28" s="1"/>
  <c r="T73" i="28"/>
  <c r="L76" i="28"/>
  <c r="V76" i="28" s="1"/>
  <c r="X76" i="28"/>
  <c r="P77" i="28"/>
  <c r="Z77" i="28" s="1"/>
  <c r="T77" i="28"/>
  <c r="L84" i="28"/>
  <c r="V84" i="28" s="1"/>
  <c r="X84" i="28"/>
  <c r="P85" i="28"/>
  <c r="Z85" i="28" s="1"/>
  <c r="T85" i="28"/>
  <c r="L92" i="28"/>
  <c r="V92" i="28" s="1"/>
  <c r="X92" i="28"/>
  <c r="P93" i="28"/>
  <c r="Z93" i="28" s="1"/>
  <c r="T93" i="28"/>
  <c r="L100" i="28"/>
  <c r="V100" i="28" s="1"/>
  <c r="X100" i="28"/>
  <c r="L108" i="28"/>
  <c r="V108" i="28" s="1"/>
  <c r="X108" i="28"/>
  <c r="P109" i="28"/>
  <c r="Z109" i="28" s="1"/>
  <c r="T109" i="28"/>
  <c r="L116" i="28"/>
  <c r="V116" i="28" s="1"/>
  <c r="X116" i="28"/>
  <c r="AA127" i="28"/>
  <c r="T135" i="28"/>
  <c r="P135" i="28"/>
  <c r="Z135" i="28" s="1"/>
  <c r="T136" i="28"/>
  <c r="P136" i="28"/>
  <c r="Z136" i="28" s="1"/>
  <c r="P147" i="28"/>
  <c r="Z147" i="28" s="1"/>
  <c r="P148" i="28"/>
  <c r="Z148" i="28" s="1"/>
  <c r="T153" i="28"/>
  <c r="P153" i="28"/>
  <c r="Z153" i="28" s="1"/>
  <c r="U21" i="27"/>
  <c r="M21" i="27"/>
  <c r="T35" i="27"/>
  <c r="P35" i="27"/>
  <c r="Z35" i="27" s="1"/>
  <c r="T45" i="26"/>
  <c r="P45" i="26"/>
  <c r="Z45" i="26" s="1"/>
  <c r="Q81" i="29"/>
  <c r="T83" i="29"/>
  <c r="X85" i="29"/>
  <c r="T91" i="29"/>
  <c r="X93" i="29"/>
  <c r="T99" i="29"/>
  <c r="X18" i="28"/>
  <c r="L18" i="28"/>
  <c r="V18" i="28" s="1"/>
  <c r="X26" i="28"/>
  <c r="L26" i="28"/>
  <c r="V26" i="28" s="1"/>
  <c r="T33" i="28"/>
  <c r="P33" i="28"/>
  <c r="Z33" i="28" s="1"/>
  <c r="L41" i="28"/>
  <c r="V41" i="28" s="1"/>
  <c r="X41" i="28"/>
  <c r="L57" i="28"/>
  <c r="V57" i="28" s="1"/>
  <c r="X57" i="28"/>
  <c r="P58" i="28"/>
  <c r="Z58" i="28" s="1"/>
  <c r="T58" i="28"/>
  <c r="L61" i="28"/>
  <c r="V61" i="28" s="1"/>
  <c r="X61" i="28"/>
  <c r="P62" i="28"/>
  <c r="Z62" i="28" s="1"/>
  <c r="T62" i="28"/>
  <c r="T133" i="28"/>
  <c r="P133" i="28"/>
  <c r="Z133" i="28" s="1"/>
  <c r="P134" i="28"/>
  <c r="Z134" i="28" s="1"/>
  <c r="T134" i="28"/>
  <c r="P161" i="28"/>
  <c r="Z161" i="28" s="1"/>
  <c r="T164" i="28"/>
  <c r="P164" i="28"/>
  <c r="Z164" i="28" s="1"/>
  <c r="P173" i="28"/>
  <c r="Z173" i="28" s="1"/>
  <c r="P32" i="27"/>
  <c r="Z32" i="27" s="1"/>
  <c r="T32" i="27"/>
  <c r="X80" i="29"/>
  <c r="T86" i="29"/>
  <c r="X88" i="29"/>
  <c r="M90" i="29"/>
  <c r="T94" i="29"/>
  <c r="X96" i="29"/>
  <c r="L19" i="28"/>
  <c r="V19" i="28" s="1"/>
  <c r="X19" i="28"/>
  <c r="L27" i="28"/>
  <c r="V27" i="28" s="1"/>
  <c r="X27" i="28"/>
  <c r="T31" i="28"/>
  <c r="P31" i="28"/>
  <c r="Z31" i="28" s="1"/>
  <c r="L47" i="28"/>
  <c r="V47" i="28" s="1"/>
  <c r="X47" i="28"/>
  <c r="L82" i="28"/>
  <c r="V82" i="28" s="1"/>
  <c r="X82" i="28"/>
  <c r="P83" i="28"/>
  <c r="Z83" i="28" s="1"/>
  <c r="T83" i="28"/>
  <c r="L90" i="28"/>
  <c r="V90" i="28" s="1"/>
  <c r="X90" i="28"/>
  <c r="P91" i="28"/>
  <c r="Z91" i="28" s="1"/>
  <c r="T91" i="28"/>
  <c r="L98" i="28"/>
  <c r="V98" i="28" s="1"/>
  <c r="X98" i="28"/>
  <c r="P99" i="28"/>
  <c r="Z99" i="28" s="1"/>
  <c r="T99" i="28"/>
  <c r="L106" i="28"/>
  <c r="V106" i="28" s="1"/>
  <c r="X106" i="28"/>
  <c r="P107" i="28"/>
  <c r="Z107" i="28" s="1"/>
  <c r="T107" i="28"/>
  <c r="L114" i="28"/>
  <c r="V114" i="28" s="1"/>
  <c r="X114" i="28"/>
  <c r="L122" i="28"/>
  <c r="V122" i="28" s="1"/>
  <c r="X122" i="28"/>
  <c r="P123" i="28"/>
  <c r="Z123" i="28" s="1"/>
  <c r="T123" i="28"/>
  <c r="T131" i="28"/>
  <c r="P131" i="28"/>
  <c r="Z131" i="28" s="1"/>
  <c r="AA20" i="27"/>
  <c r="P92" i="27"/>
  <c r="Z92" i="27" s="1"/>
  <c r="T92" i="27"/>
  <c r="L14" i="29"/>
  <c r="V14" i="29" s="1"/>
  <c r="L16" i="29"/>
  <c r="V16" i="29" s="1"/>
  <c r="L18" i="29"/>
  <c r="V18" i="29" s="1"/>
  <c r="L20" i="29"/>
  <c r="V20" i="29" s="1"/>
  <c r="L22" i="29"/>
  <c r="V22" i="29" s="1"/>
  <c r="L24" i="29"/>
  <c r="V24" i="29" s="1"/>
  <c r="L26" i="29"/>
  <c r="V26" i="29" s="1"/>
  <c r="L28" i="29"/>
  <c r="V28" i="29" s="1"/>
  <c r="L30" i="29"/>
  <c r="V30" i="29" s="1"/>
  <c r="L32" i="29"/>
  <c r="V32" i="29" s="1"/>
  <c r="L34" i="29"/>
  <c r="V34" i="29" s="1"/>
  <c r="L36" i="29"/>
  <c r="V36" i="29" s="1"/>
  <c r="L38" i="29"/>
  <c r="V38" i="29" s="1"/>
  <c r="L40" i="29"/>
  <c r="V40" i="29" s="1"/>
  <c r="L42" i="29"/>
  <c r="V42" i="29" s="1"/>
  <c r="L44" i="29"/>
  <c r="V44" i="29" s="1"/>
  <c r="L46" i="29"/>
  <c r="V46" i="29" s="1"/>
  <c r="L48" i="29"/>
  <c r="V48" i="29" s="1"/>
  <c r="L50" i="29"/>
  <c r="V50" i="29" s="1"/>
  <c r="L52" i="29"/>
  <c r="V52" i="29" s="1"/>
  <c r="L54" i="29"/>
  <c r="V54" i="29" s="1"/>
  <c r="L56" i="29"/>
  <c r="V56" i="29" s="1"/>
  <c r="L58" i="29"/>
  <c r="V58" i="29" s="1"/>
  <c r="L60" i="29"/>
  <c r="V60" i="29" s="1"/>
  <c r="L62" i="29"/>
  <c r="V62" i="29" s="1"/>
  <c r="L64" i="29"/>
  <c r="V64" i="29" s="1"/>
  <c r="X67" i="29"/>
  <c r="T72" i="29"/>
  <c r="X73" i="29"/>
  <c r="P14" i="28"/>
  <c r="Z14" i="28" s="1"/>
  <c r="T14" i="28"/>
  <c r="X20" i="28"/>
  <c r="L20" i="28"/>
  <c r="V20" i="28" s="1"/>
  <c r="P22" i="28"/>
  <c r="Z22" i="28" s="1"/>
  <c r="T22" i="28"/>
  <c r="X28" i="28"/>
  <c r="L28" i="28"/>
  <c r="V28" i="28" s="1"/>
  <c r="P30" i="28"/>
  <c r="Z30" i="28" s="1"/>
  <c r="T30" i="28"/>
  <c r="P32" i="28"/>
  <c r="Z32" i="28" s="1"/>
  <c r="T32" i="28"/>
  <c r="L35" i="28"/>
  <c r="V35" i="28" s="1"/>
  <c r="X35" i="28"/>
  <c r="P44" i="28"/>
  <c r="Z44" i="28" s="1"/>
  <c r="T44" i="28"/>
  <c r="L53" i="28"/>
  <c r="V53" i="28" s="1"/>
  <c r="X53" i="28"/>
  <c r="T129" i="28"/>
  <c r="P129" i="28"/>
  <c r="Z129" i="28" s="1"/>
  <c r="T145" i="28"/>
  <c r="P145" i="28"/>
  <c r="Z145" i="28" s="1"/>
  <c r="AA156" i="28"/>
  <c r="T19" i="27"/>
  <c r="P19" i="27"/>
  <c r="Z19" i="27" s="1"/>
  <c r="P38" i="27"/>
  <c r="Z38" i="27" s="1"/>
  <c r="T38" i="27"/>
  <c r="T56" i="26"/>
  <c r="P56" i="26"/>
  <c r="Z56" i="26" s="1"/>
  <c r="Q82" i="29"/>
  <c r="Q90" i="29"/>
  <c r="L13" i="28"/>
  <c r="V13" i="28" s="1"/>
  <c r="X13" i="28"/>
  <c r="T15" i="28"/>
  <c r="P15" i="28"/>
  <c r="Z15" i="28" s="1"/>
  <c r="L21" i="28"/>
  <c r="V21" i="28" s="1"/>
  <c r="X21" i="28"/>
  <c r="T23" i="28"/>
  <c r="P23" i="28"/>
  <c r="Z23" i="28" s="1"/>
  <c r="L29" i="28"/>
  <c r="V29" i="28" s="1"/>
  <c r="X29" i="28"/>
  <c r="L33" i="28"/>
  <c r="V33" i="28" s="1"/>
  <c r="X33" i="28"/>
  <c r="AA35" i="28"/>
  <c r="L37" i="28"/>
  <c r="V37" i="28" s="1"/>
  <c r="X37" i="28"/>
  <c r="L43" i="28"/>
  <c r="V43" i="28" s="1"/>
  <c r="X43" i="28"/>
  <c r="P50" i="28"/>
  <c r="Z50" i="28" s="1"/>
  <c r="T50" i="28"/>
  <c r="P64" i="28"/>
  <c r="Z64" i="28" s="1"/>
  <c r="T64" i="28"/>
  <c r="L67" i="28"/>
  <c r="V67" i="28" s="1"/>
  <c r="X67" i="28"/>
  <c r="P68" i="28"/>
  <c r="Z68" i="28" s="1"/>
  <c r="T68" i="28"/>
  <c r="L71" i="28"/>
  <c r="V71" i="28" s="1"/>
  <c r="X71" i="28"/>
  <c r="L74" i="28"/>
  <c r="V74" i="28" s="1"/>
  <c r="X74" i="28"/>
  <c r="P75" i="28"/>
  <c r="Z75" i="28" s="1"/>
  <c r="T75" i="28"/>
  <c r="L80" i="28"/>
  <c r="V80" i="28" s="1"/>
  <c r="X80" i="28"/>
  <c r="P81" i="28"/>
  <c r="Z81" i="28" s="1"/>
  <c r="T81" i="28"/>
  <c r="L88" i="28"/>
  <c r="V88" i="28" s="1"/>
  <c r="X88" i="28"/>
  <c r="P89" i="28"/>
  <c r="Z89" i="28" s="1"/>
  <c r="T89" i="28"/>
  <c r="L96" i="28"/>
  <c r="V96" i="28" s="1"/>
  <c r="X96" i="28"/>
  <c r="P97" i="28"/>
  <c r="Z97" i="28" s="1"/>
  <c r="T97" i="28"/>
  <c r="P105" i="28"/>
  <c r="Z105" i="28" s="1"/>
  <c r="T105" i="28"/>
  <c r="L112" i="28"/>
  <c r="V112" i="28" s="1"/>
  <c r="X112" i="28"/>
  <c r="P121" i="28"/>
  <c r="Z121" i="28" s="1"/>
  <c r="T121" i="28"/>
  <c r="T127" i="28"/>
  <c r="P127" i="28"/>
  <c r="Z127" i="28" s="1"/>
  <c r="T128" i="28"/>
  <c r="P128" i="28"/>
  <c r="Z128" i="28" s="1"/>
  <c r="T143" i="28"/>
  <c r="P143" i="28"/>
  <c r="Z143" i="28" s="1"/>
  <c r="Q13" i="27"/>
  <c r="AA13" i="27" s="1"/>
  <c r="Y13" i="27"/>
  <c r="P16" i="27"/>
  <c r="Z16" i="27" s="1"/>
  <c r="T16" i="27"/>
  <c r="P25" i="27"/>
  <c r="Z25" i="27" s="1"/>
  <c r="T25" i="27"/>
  <c r="P46" i="27"/>
  <c r="Z46" i="27" s="1"/>
  <c r="T46" i="27"/>
  <c r="Q80" i="29"/>
  <c r="M91" i="29"/>
  <c r="X14" i="28"/>
  <c r="L14" i="28"/>
  <c r="V14" i="28" s="1"/>
  <c r="X22" i="28"/>
  <c r="L22" i="28"/>
  <c r="V22" i="28" s="1"/>
  <c r="X30" i="28"/>
  <c r="L30" i="28"/>
  <c r="V30" i="28" s="1"/>
  <c r="L31" i="28"/>
  <c r="V31" i="28" s="1"/>
  <c r="X31" i="28"/>
  <c r="AA33" i="28"/>
  <c r="AA37" i="28"/>
  <c r="L49" i="28"/>
  <c r="V49" i="28" s="1"/>
  <c r="X49" i="28"/>
  <c r="L59" i="28"/>
  <c r="V59" i="28" s="1"/>
  <c r="X59" i="28"/>
  <c r="P60" i="28"/>
  <c r="Z60" i="28" s="1"/>
  <c r="T60" i="28"/>
  <c r="L63" i="28"/>
  <c r="V63" i="28" s="1"/>
  <c r="X63" i="28"/>
  <c r="T125" i="28"/>
  <c r="P125" i="28"/>
  <c r="Z125" i="28" s="1"/>
  <c r="P126" i="28"/>
  <c r="Z126" i="28" s="1"/>
  <c r="T126" i="28"/>
  <c r="T141" i="28"/>
  <c r="P141" i="28"/>
  <c r="Z141" i="28" s="1"/>
  <c r="P156" i="28"/>
  <c r="Z156" i="28" s="1"/>
  <c r="T156" i="28"/>
  <c r="Y22" i="27"/>
  <c r="Q22" i="27"/>
  <c r="AA22" i="27" s="1"/>
  <c r="T41" i="27"/>
  <c r="P54" i="27"/>
  <c r="Z54" i="27" s="1"/>
  <c r="T54" i="27"/>
  <c r="T74" i="29"/>
  <c r="X75" i="29"/>
  <c r="X84" i="29"/>
  <c r="X92" i="29"/>
  <c r="L15" i="28"/>
  <c r="V15" i="28" s="1"/>
  <c r="X15" i="28"/>
  <c r="L23" i="28"/>
  <c r="V23" i="28" s="1"/>
  <c r="X23" i="28"/>
  <c r="AA31" i="28"/>
  <c r="L39" i="28"/>
  <c r="V39" i="28" s="1"/>
  <c r="X39" i="28"/>
  <c r="L55" i="28"/>
  <c r="V55" i="28" s="1"/>
  <c r="X55" i="28"/>
  <c r="L78" i="28"/>
  <c r="V78" i="28" s="1"/>
  <c r="X78" i="28"/>
  <c r="P79" i="28"/>
  <c r="Z79" i="28" s="1"/>
  <c r="T79" i="28"/>
  <c r="L86" i="28"/>
  <c r="V86" i="28" s="1"/>
  <c r="X86" i="28"/>
  <c r="P87" i="28"/>
  <c r="Z87" i="28" s="1"/>
  <c r="T87" i="28"/>
  <c r="L94" i="28"/>
  <c r="V94" i="28" s="1"/>
  <c r="X94" i="28"/>
  <c r="P95" i="28"/>
  <c r="Z95" i="28" s="1"/>
  <c r="T95" i="28"/>
  <c r="L102" i="28"/>
  <c r="V102" i="28" s="1"/>
  <c r="X102" i="28"/>
  <c r="P103" i="28"/>
  <c r="Z103" i="28" s="1"/>
  <c r="T103" i="28"/>
  <c r="L110" i="28"/>
  <c r="V110" i="28" s="1"/>
  <c r="X110" i="28"/>
  <c r="L118" i="28"/>
  <c r="V118" i="28" s="1"/>
  <c r="P119" i="28"/>
  <c r="Z119" i="28" s="1"/>
  <c r="T119" i="28"/>
  <c r="X136" i="28"/>
  <c r="T139" i="28"/>
  <c r="P139" i="28"/>
  <c r="Z139" i="28" s="1"/>
  <c r="P151" i="28"/>
  <c r="Z151" i="28" s="1"/>
  <c r="T151" i="28"/>
  <c r="Y38" i="26"/>
  <c r="L125" i="28"/>
  <c r="V125" i="28" s="1"/>
  <c r="L129" i="28"/>
  <c r="V129" i="28" s="1"/>
  <c r="L133" i="28"/>
  <c r="V133" i="28" s="1"/>
  <c r="L137" i="28"/>
  <c r="V137" i="28" s="1"/>
  <c r="L141" i="28"/>
  <c r="V141" i="28" s="1"/>
  <c r="L145" i="28"/>
  <c r="V145" i="28" s="1"/>
  <c r="P160" i="28"/>
  <c r="Z160" i="28" s="1"/>
  <c r="T166" i="28"/>
  <c r="AA15" i="27"/>
  <c r="U18" i="27"/>
  <c r="Y19" i="27"/>
  <c r="T20" i="27"/>
  <c r="U23" i="27"/>
  <c r="Y24" i="27"/>
  <c r="T104" i="27"/>
  <c r="P104" i="27"/>
  <c r="Z104" i="27" s="1"/>
  <c r="T120" i="27"/>
  <c r="P120" i="27"/>
  <c r="Z120" i="27" s="1"/>
  <c r="T128" i="27"/>
  <c r="P128" i="27"/>
  <c r="Z128" i="27" s="1"/>
  <c r="T132" i="27"/>
  <c r="P132" i="27"/>
  <c r="Z132" i="27" s="1"/>
  <c r="T15" i="26"/>
  <c r="P15" i="26"/>
  <c r="Z15" i="26" s="1"/>
  <c r="T22" i="26"/>
  <c r="P22" i="26"/>
  <c r="Z22" i="26" s="1"/>
  <c r="T26" i="26"/>
  <c r="P26" i="26"/>
  <c r="Z26" i="26" s="1"/>
  <c r="T30" i="26"/>
  <c r="P30" i="26"/>
  <c r="Z30" i="26" s="1"/>
  <c r="T34" i="26"/>
  <c r="P34" i="26"/>
  <c r="Z34" i="26" s="1"/>
  <c r="AA38" i="26"/>
  <c r="T40" i="26"/>
  <c r="P40" i="26"/>
  <c r="Z40" i="26" s="1"/>
  <c r="AA41" i="26"/>
  <c r="AA50" i="26"/>
  <c r="T54" i="26"/>
  <c r="P54" i="26"/>
  <c r="Z54" i="26" s="1"/>
  <c r="Y13" i="28"/>
  <c r="Y15" i="28"/>
  <c r="Y17" i="28"/>
  <c r="Y19" i="28"/>
  <c r="Y21" i="28"/>
  <c r="Y23" i="28"/>
  <c r="Y25" i="28"/>
  <c r="Y27" i="28"/>
  <c r="Y29" i="28"/>
  <c r="Y31" i="28"/>
  <c r="L32" i="28"/>
  <c r="V32" i="28" s="1"/>
  <c r="U32" i="28"/>
  <c r="Y33" i="28"/>
  <c r="L34" i="28"/>
  <c r="V34" i="28" s="1"/>
  <c r="Y35" i="28"/>
  <c r="L36" i="28"/>
  <c r="V36" i="28" s="1"/>
  <c r="P37" i="28"/>
  <c r="Z37" i="28" s="1"/>
  <c r="L38" i="28"/>
  <c r="V38" i="28" s="1"/>
  <c r="P39" i="28"/>
  <c r="Z39" i="28" s="1"/>
  <c r="L40" i="28"/>
  <c r="V40" i="28" s="1"/>
  <c r="P41" i="28"/>
  <c r="Z41" i="28" s="1"/>
  <c r="L42" i="28"/>
  <c r="V42" i="28" s="1"/>
  <c r="P43" i="28"/>
  <c r="Z43" i="28" s="1"/>
  <c r="L44" i="28"/>
  <c r="V44" i="28" s="1"/>
  <c r="P45" i="28"/>
  <c r="Z45" i="28" s="1"/>
  <c r="L46" i="28"/>
  <c r="V46" i="28" s="1"/>
  <c r="P47" i="28"/>
  <c r="Z47" i="28" s="1"/>
  <c r="L48" i="28"/>
  <c r="V48" i="28" s="1"/>
  <c r="P49" i="28"/>
  <c r="Z49" i="28" s="1"/>
  <c r="L50" i="28"/>
  <c r="V50" i="28" s="1"/>
  <c r="P51" i="28"/>
  <c r="Z51" i="28" s="1"/>
  <c r="L52" i="28"/>
  <c r="V52" i="28" s="1"/>
  <c r="P53" i="28"/>
  <c r="Z53" i="28" s="1"/>
  <c r="L54" i="28"/>
  <c r="V54" i="28" s="1"/>
  <c r="P55" i="28"/>
  <c r="Z55" i="28" s="1"/>
  <c r="L56" i="28"/>
  <c r="V56" i="28" s="1"/>
  <c r="P57" i="28"/>
  <c r="Z57" i="28" s="1"/>
  <c r="L58" i="28"/>
  <c r="V58" i="28" s="1"/>
  <c r="P59" i="28"/>
  <c r="Z59" i="28" s="1"/>
  <c r="L60" i="28"/>
  <c r="V60" i="28" s="1"/>
  <c r="P61" i="28"/>
  <c r="Z61" i="28" s="1"/>
  <c r="L62" i="28"/>
  <c r="V62" i="28" s="1"/>
  <c r="P63" i="28"/>
  <c r="Z63" i="28" s="1"/>
  <c r="L64" i="28"/>
  <c r="V64" i="28" s="1"/>
  <c r="P65" i="28"/>
  <c r="Z65" i="28" s="1"/>
  <c r="L66" i="28"/>
  <c r="V66" i="28" s="1"/>
  <c r="P67" i="28"/>
  <c r="Z67" i="28" s="1"/>
  <c r="L68" i="28"/>
  <c r="V68" i="28" s="1"/>
  <c r="P69" i="28"/>
  <c r="Z69" i="28" s="1"/>
  <c r="L70" i="28"/>
  <c r="V70" i="28" s="1"/>
  <c r="P71" i="28"/>
  <c r="Z71" i="28" s="1"/>
  <c r="P72" i="28"/>
  <c r="Z72" i="28" s="1"/>
  <c r="L73" i="28"/>
  <c r="V73" i="28" s="1"/>
  <c r="P74" i="28"/>
  <c r="Z74" i="28" s="1"/>
  <c r="L75" i="28"/>
  <c r="V75" i="28" s="1"/>
  <c r="P76" i="28"/>
  <c r="Z76" i="28" s="1"/>
  <c r="L77" i="28"/>
  <c r="V77" i="28" s="1"/>
  <c r="P78" i="28"/>
  <c r="Z78" i="28" s="1"/>
  <c r="L79" i="28"/>
  <c r="V79" i="28" s="1"/>
  <c r="L81" i="28"/>
  <c r="V81" i="28" s="1"/>
  <c r="P82" i="28"/>
  <c r="Z82" i="28" s="1"/>
  <c r="L83" i="28"/>
  <c r="V83" i="28" s="1"/>
  <c r="P84" i="28"/>
  <c r="Z84" i="28" s="1"/>
  <c r="L85" i="28"/>
  <c r="V85" i="28" s="1"/>
  <c r="P86" i="28"/>
  <c r="Z86" i="28" s="1"/>
  <c r="L87" i="28"/>
  <c r="V87" i="28" s="1"/>
  <c r="P88" i="28"/>
  <c r="Z88" i="28" s="1"/>
  <c r="L89" i="28"/>
  <c r="V89" i="28" s="1"/>
  <c r="P90" i="28"/>
  <c r="Z90" i="28" s="1"/>
  <c r="L91" i="28"/>
  <c r="V91" i="28" s="1"/>
  <c r="P92" i="28"/>
  <c r="Z92" i="28" s="1"/>
  <c r="L93" i="28"/>
  <c r="V93" i="28" s="1"/>
  <c r="P94" i="28"/>
  <c r="Z94" i="28" s="1"/>
  <c r="L95" i="28"/>
  <c r="V95" i="28" s="1"/>
  <c r="P96" i="28"/>
  <c r="Z96" i="28" s="1"/>
  <c r="L97" i="28"/>
  <c r="V97" i="28" s="1"/>
  <c r="P98" i="28"/>
  <c r="Z98" i="28" s="1"/>
  <c r="L99" i="28"/>
  <c r="V99" i="28" s="1"/>
  <c r="P100" i="28"/>
  <c r="Z100" i="28" s="1"/>
  <c r="L101" i="28"/>
  <c r="V101" i="28" s="1"/>
  <c r="P102" i="28"/>
  <c r="Z102" i="28" s="1"/>
  <c r="L103" i="28"/>
  <c r="V103" i="28" s="1"/>
  <c r="P104" i="28"/>
  <c r="Z104" i="28" s="1"/>
  <c r="L105" i="28"/>
  <c r="V105" i="28" s="1"/>
  <c r="P106" i="28"/>
  <c r="Z106" i="28" s="1"/>
  <c r="L107" i="28"/>
  <c r="V107" i="28" s="1"/>
  <c r="P108" i="28"/>
  <c r="Z108" i="28" s="1"/>
  <c r="L109" i="28"/>
  <c r="V109" i="28" s="1"/>
  <c r="P110" i="28"/>
  <c r="Z110" i="28" s="1"/>
  <c r="L111" i="28"/>
  <c r="V111" i="28" s="1"/>
  <c r="P112" i="28"/>
  <c r="Z112" i="28" s="1"/>
  <c r="L113" i="28"/>
  <c r="V113" i="28" s="1"/>
  <c r="P114" i="28"/>
  <c r="Z114" i="28" s="1"/>
  <c r="L115" i="28"/>
  <c r="V115" i="28" s="1"/>
  <c r="P116" i="28"/>
  <c r="Z116" i="28" s="1"/>
  <c r="L117" i="28"/>
  <c r="V117" i="28" s="1"/>
  <c r="P118" i="28"/>
  <c r="Z118" i="28" s="1"/>
  <c r="L119" i="28"/>
  <c r="V119" i="28" s="1"/>
  <c r="P120" i="28"/>
  <c r="Z120" i="28" s="1"/>
  <c r="L121" i="28"/>
  <c r="V121" i="28" s="1"/>
  <c r="P122" i="28"/>
  <c r="Z122" i="28" s="1"/>
  <c r="L123" i="28"/>
  <c r="V123" i="28" s="1"/>
  <c r="P124" i="28"/>
  <c r="Z124" i="28" s="1"/>
  <c r="P154" i="28"/>
  <c r="Z154" i="28" s="1"/>
  <c r="T168" i="28"/>
  <c r="Y172" i="28"/>
  <c r="AA17" i="27"/>
  <c r="U20" i="27"/>
  <c r="Y21" i="27"/>
  <c r="AA24" i="27"/>
  <c r="U25" i="27"/>
  <c r="Y26" i="27"/>
  <c r="P37" i="27"/>
  <c r="Z37" i="27" s="1"/>
  <c r="T42" i="27"/>
  <c r="P45" i="27"/>
  <c r="Z45" i="27" s="1"/>
  <c r="T50" i="27"/>
  <c r="P53" i="27"/>
  <c r="Z53" i="27" s="1"/>
  <c r="T58" i="27"/>
  <c r="AA13" i="26"/>
  <c r="AA17" i="26"/>
  <c r="AA20" i="26"/>
  <c r="AA24" i="26"/>
  <c r="AA32" i="26"/>
  <c r="Y36" i="26"/>
  <c r="P41" i="26"/>
  <c r="Z41" i="26" s="1"/>
  <c r="AA48" i="26"/>
  <c r="T52" i="26"/>
  <c r="P52" i="26"/>
  <c r="Z52" i="26" s="1"/>
  <c r="P55" i="26"/>
  <c r="Z55" i="26" s="1"/>
  <c r="L126" i="28"/>
  <c r="V126" i="28" s="1"/>
  <c r="L130" i="28"/>
  <c r="V130" i="28" s="1"/>
  <c r="L134" i="28"/>
  <c r="V134" i="28" s="1"/>
  <c r="L138" i="28"/>
  <c r="V138" i="28" s="1"/>
  <c r="L142" i="28"/>
  <c r="V142" i="28" s="1"/>
  <c r="P159" i="28"/>
  <c r="Z159" i="28" s="1"/>
  <c r="T170" i="28"/>
  <c r="AA172" i="28"/>
  <c r="P17" i="27"/>
  <c r="Z17" i="27" s="1"/>
  <c r="AA19" i="27"/>
  <c r="T24" i="27"/>
  <c r="AA26" i="27"/>
  <c r="U27" i="27"/>
  <c r="P33" i="27"/>
  <c r="Z33" i="27" s="1"/>
  <c r="AA14" i="26"/>
  <c r="AA25" i="26"/>
  <c r="AA29" i="26"/>
  <c r="AA36" i="26"/>
  <c r="T38" i="26"/>
  <c r="P38" i="26"/>
  <c r="Z38" i="26" s="1"/>
  <c r="AA39" i="26"/>
  <c r="T50" i="26"/>
  <c r="P50" i="26"/>
  <c r="Z50" i="26" s="1"/>
  <c r="P53" i="26"/>
  <c r="Z53" i="26" s="1"/>
  <c r="U13" i="27"/>
  <c r="Y14" i="27"/>
  <c r="AA21" i="27"/>
  <c r="AA28" i="27"/>
  <c r="T48" i="26"/>
  <c r="P48" i="26"/>
  <c r="Z48" i="26" s="1"/>
  <c r="AA49" i="26"/>
  <c r="L127" i="28"/>
  <c r="V127" i="28" s="1"/>
  <c r="L135" i="28"/>
  <c r="V135" i="28" s="1"/>
  <c r="L139" i="28"/>
  <c r="V139" i="28" s="1"/>
  <c r="L143" i="28"/>
  <c r="V143" i="28" s="1"/>
  <c r="L149" i="28"/>
  <c r="V149" i="28" s="1"/>
  <c r="P152" i="28"/>
  <c r="Z152" i="28" s="1"/>
  <c r="AA157" i="28"/>
  <c r="M173" i="28"/>
  <c r="Y173" i="28"/>
  <c r="T174" i="28"/>
  <c r="Q14" i="27"/>
  <c r="AA14" i="27" s="1"/>
  <c r="U15" i="27"/>
  <c r="Y16" i="27"/>
  <c r="AA23" i="27"/>
  <c r="U26" i="27"/>
  <c r="M27" i="27"/>
  <c r="Y27" i="27"/>
  <c r="T28" i="27"/>
  <c r="T13" i="26"/>
  <c r="P13" i="26"/>
  <c r="Z13" i="26" s="1"/>
  <c r="T17" i="26"/>
  <c r="P17" i="26"/>
  <c r="Z17" i="26" s="1"/>
  <c r="T20" i="26"/>
  <c r="P20" i="26"/>
  <c r="Z20" i="26" s="1"/>
  <c r="T24" i="26"/>
  <c r="P24" i="26"/>
  <c r="Z24" i="26" s="1"/>
  <c r="T28" i="26"/>
  <c r="P28" i="26"/>
  <c r="Z28" i="26" s="1"/>
  <c r="T32" i="26"/>
  <c r="P32" i="26"/>
  <c r="Z32" i="26" s="1"/>
  <c r="T36" i="26"/>
  <c r="P36" i="26"/>
  <c r="Z36" i="26" s="1"/>
  <c r="AA37" i="26"/>
  <c r="U41" i="26"/>
  <c r="T46" i="26"/>
  <c r="P46" i="26"/>
  <c r="Z46" i="26" s="1"/>
  <c r="AA47" i="26"/>
  <c r="U13" i="28"/>
  <c r="Y14" i="28"/>
  <c r="Y16" i="28"/>
  <c r="Y18" i="28"/>
  <c r="Y20" i="28"/>
  <c r="U21" i="28"/>
  <c r="Y22" i="28"/>
  <c r="Y24" i="28"/>
  <c r="Y26" i="28"/>
  <c r="Y28" i="28"/>
  <c r="U29" i="28"/>
  <c r="Y30" i="28"/>
  <c r="Y32" i="28"/>
  <c r="Y34" i="28"/>
  <c r="Y36" i="28"/>
  <c r="U37" i="28"/>
  <c r="Y38" i="28"/>
  <c r="Y40" i="28"/>
  <c r="U128" i="28"/>
  <c r="M13" i="27"/>
  <c r="T14" i="27"/>
  <c r="AA16" i="27"/>
  <c r="U17" i="27"/>
  <c r="Y18" i="27"/>
  <c r="AA25" i="27"/>
  <c r="T30" i="27"/>
  <c r="AA30" i="26"/>
  <c r="P37" i="26"/>
  <c r="Z37" i="26" s="1"/>
  <c r="Y40" i="26"/>
  <c r="T44" i="26"/>
  <c r="P44" i="26"/>
  <c r="Z44" i="26" s="1"/>
  <c r="P47" i="26"/>
  <c r="Z47" i="26" s="1"/>
  <c r="AA56" i="26"/>
  <c r="T19" i="24"/>
  <c r="P19" i="24"/>
  <c r="Z19" i="24" s="1"/>
  <c r="T21" i="24"/>
  <c r="P21" i="24"/>
  <c r="Z21" i="24" s="1"/>
  <c r="T23" i="24"/>
  <c r="P23" i="24"/>
  <c r="Z23" i="24" s="1"/>
  <c r="AA173" i="28"/>
  <c r="AA18" i="27"/>
  <c r="U19" i="27"/>
  <c r="Y20" i="27"/>
  <c r="AA27" i="27"/>
  <c r="AA16" i="26"/>
  <c r="AA19" i="26"/>
  <c r="AA23" i="26"/>
  <c r="AA31" i="26"/>
  <c r="AA40" i="26"/>
  <c r="T42" i="26"/>
  <c r="P42" i="26"/>
  <c r="Z42" i="26" s="1"/>
  <c r="T25" i="24"/>
  <c r="P25" i="24"/>
  <c r="Z25" i="24" s="1"/>
  <c r="P46" i="24"/>
  <c r="Z46" i="24" s="1"/>
  <c r="T46" i="24"/>
  <c r="T91" i="25"/>
  <c r="P91" i="25"/>
  <c r="Z91" i="25" s="1"/>
  <c r="Q58" i="23"/>
  <c r="T51" i="25"/>
  <c r="Q57" i="24"/>
  <c r="AA57" i="24" s="1"/>
  <c r="Y13" i="26"/>
  <c r="Y15" i="26"/>
  <c r="U16" i="26"/>
  <c r="Y17" i="26"/>
  <c r="Y20" i="26"/>
  <c r="Y24" i="26"/>
  <c r="Y30" i="26"/>
  <c r="Y32" i="26"/>
  <c r="X20" i="24"/>
  <c r="L20" i="24"/>
  <c r="V20" i="24" s="1"/>
  <c r="T49" i="24"/>
  <c r="P49" i="24"/>
  <c r="Z49" i="24" s="1"/>
  <c r="T38" i="23"/>
  <c r="P38" i="23"/>
  <c r="Z38" i="23" s="1"/>
  <c r="T31" i="25"/>
  <c r="P31" i="25"/>
  <c r="Z31" i="25" s="1"/>
  <c r="T33" i="24"/>
  <c r="P33" i="24"/>
  <c r="Z33" i="24" s="1"/>
  <c r="T30" i="23"/>
  <c r="P30" i="23"/>
  <c r="Z30" i="23" s="1"/>
  <c r="W34" i="23"/>
  <c r="T13" i="25"/>
  <c r="T21" i="25"/>
  <c r="P21" i="25"/>
  <c r="Z21" i="25" s="1"/>
  <c r="P39" i="24"/>
  <c r="Z39" i="24" s="1"/>
  <c r="T39" i="24"/>
  <c r="T47" i="24"/>
  <c r="P47" i="24"/>
  <c r="Z47" i="24" s="1"/>
  <c r="P53" i="24"/>
  <c r="Z53" i="24" s="1"/>
  <c r="T53" i="24"/>
  <c r="T18" i="24"/>
  <c r="P18" i="24"/>
  <c r="Z18" i="24" s="1"/>
  <c r="AA20" i="24"/>
  <c r="X26" i="24"/>
  <c r="L26" i="24"/>
  <c r="V26" i="24" s="1"/>
  <c r="T61" i="24"/>
  <c r="P61" i="24"/>
  <c r="Z61" i="24" s="1"/>
  <c r="T86" i="23"/>
  <c r="P86" i="23"/>
  <c r="Z86" i="23" s="1"/>
  <c r="W100" i="23"/>
  <c r="X17" i="24"/>
  <c r="L17" i="24"/>
  <c r="V17" i="24" s="1"/>
  <c r="Q21" i="24"/>
  <c r="AA21" i="24" s="1"/>
  <c r="X32" i="24"/>
  <c r="L32" i="24"/>
  <c r="V32" i="24" s="1"/>
  <c r="T62" i="23"/>
  <c r="P62" i="23"/>
  <c r="Z62" i="23" s="1"/>
  <c r="T157" i="23"/>
  <c r="P157" i="23"/>
  <c r="Z157" i="23" s="1"/>
  <c r="M13" i="24"/>
  <c r="U13" i="24"/>
  <c r="T14" i="24"/>
  <c r="P14" i="24"/>
  <c r="Z14" i="24" s="1"/>
  <c r="X22" i="24"/>
  <c r="L22" i="24"/>
  <c r="V22" i="24" s="1"/>
  <c r="T29" i="24"/>
  <c r="P29" i="24"/>
  <c r="Z29" i="24" s="1"/>
  <c r="P35" i="24"/>
  <c r="Z35" i="24" s="1"/>
  <c r="T35" i="24"/>
  <c r="T36" i="24"/>
  <c r="X40" i="24"/>
  <c r="L40" i="24"/>
  <c r="V40" i="24" s="1"/>
  <c r="T63" i="24"/>
  <c r="P63" i="24"/>
  <c r="Z63" i="24" s="1"/>
  <c r="T68" i="24"/>
  <c r="P68" i="24"/>
  <c r="Z68" i="24" s="1"/>
  <c r="T16" i="23"/>
  <c r="P16" i="23"/>
  <c r="Z16" i="23" s="1"/>
  <c r="T40" i="23"/>
  <c r="P40" i="23"/>
  <c r="Z40" i="23" s="1"/>
  <c r="T46" i="23"/>
  <c r="P46" i="23"/>
  <c r="Z46" i="23" s="1"/>
  <c r="X13" i="24"/>
  <c r="L13" i="24"/>
  <c r="V13" i="24" s="1"/>
  <c r="X28" i="24"/>
  <c r="L28" i="24"/>
  <c r="V28" i="24" s="1"/>
  <c r="U41" i="24"/>
  <c r="M41" i="24"/>
  <c r="X46" i="24"/>
  <c r="L46" i="24"/>
  <c r="V46" i="24" s="1"/>
  <c r="U56" i="24"/>
  <c r="M56" i="24"/>
  <c r="T70" i="23"/>
  <c r="P70" i="23"/>
  <c r="Z70" i="23" s="1"/>
  <c r="M81" i="23"/>
  <c r="W81" i="23" s="1"/>
  <c r="L97" i="23"/>
  <c r="V97" i="23" s="1"/>
  <c r="X97" i="23"/>
  <c r="AA13" i="24"/>
  <c r="X34" i="24"/>
  <c r="L34" i="24"/>
  <c r="V34" i="24" s="1"/>
  <c r="P51" i="24"/>
  <c r="Z51" i="24" s="1"/>
  <c r="T51" i="24"/>
  <c r="T52" i="24"/>
  <c r="X56" i="24"/>
  <c r="L56" i="24"/>
  <c r="V56" i="24" s="1"/>
  <c r="T36" i="23"/>
  <c r="P36" i="23"/>
  <c r="Z36" i="23" s="1"/>
  <c r="W41" i="23"/>
  <c r="T64" i="23"/>
  <c r="P64" i="23"/>
  <c r="Z64" i="23" s="1"/>
  <c r="T16" i="24"/>
  <c r="P16" i="24"/>
  <c r="Z16" i="24" s="1"/>
  <c r="X24" i="24"/>
  <c r="L24" i="24"/>
  <c r="V24" i="24" s="1"/>
  <c r="T31" i="24"/>
  <c r="P31" i="24"/>
  <c r="Z31" i="24" s="1"/>
  <c r="P37" i="24"/>
  <c r="Z37" i="24" s="1"/>
  <c r="T37" i="24"/>
  <c r="Q41" i="24"/>
  <c r="AA41" i="24" s="1"/>
  <c r="U57" i="24"/>
  <c r="M57" i="24"/>
  <c r="T78" i="23"/>
  <c r="P78" i="23"/>
  <c r="Z78" i="23" s="1"/>
  <c r="T92" i="23"/>
  <c r="P92" i="23"/>
  <c r="Z92" i="23" s="1"/>
  <c r="T100" i="23"/>
  <c r="P100" i="23"/>
  <c r="Z100" i="23" s="1"/>
  <c r="T101" i="23"/>
  <c r="P101" i="23"/>
  <c r="Z101" i="23" s="1"/>
  <c r="T13" i="24"/>
  <c r="X15" i="24"/>
  <c r="L15" i="24"/>
  <c r="V15" i="24" s="1"/>
  <c r="M20" i="24"/>
  <c r="U20" i="24"/>
  <c r="X30" i="24"/>
  <c r="L30" i="24"/>
  <c r="V30" i="24" s="1"/>
  <c r="Q42" i="24"/>
  <c r="AA42" i="24" s="1"/>
  <c r="T45" i="24"/>
  <c r="P45" i="24"/>
  <c r="Z45" i="24" s="1"/>
  <c r="T55" i="24"/>
  <c r="P67" i="24"/>
  <c r="Z67" i="24" s="1"/>
  <c r="T75" i="23"/>
  <c r="L141" i="23"/>
  <c r="V141" i="23" s="1"/>
  <c r="X141" i="23"/>
  <c r="T50" i="24"/>
  <c r="T28" i="23"/>
  <c r="P28" i="23"/>
  <c r="Z28" i="23" s="1"/>
  <c r="Q42" i="23"/>
  <c r="W58" i="23"/>
  <c r="T83" i="23"/>
  <c r="T116" i="23"/>
  <c r="P116" i="23"/>
  <c r="Z116" i="23" s="1"/>
  <c r="L142" i="23"/>
  <c r="V142" i="23" s="1"/>
  <c r="X142" i="23"/>
  <c r="T166" i="23"/>
  <c r="P166" i="23"/>
  <c r="Z166" i="23" s="1"/>
  <c r="T48" i="24"/>
  <c r="T62" i="24"/>
  <c r="L64" i="24"/>
  <c r="V64" i="24" s="1"/>
  <c r="T20" i="23"/>
  <c r="P20" i="23"/>
  <c r="Z20" i="23" s="1"/>
  <c r="Q34" i="23"/>
  <c r="P72" i="23"/>
  <c r="Z72" i="23" s="1"/>
  <c r="P41" i="24"/>
  <c r="Z41" i="24" s="1"/>
  <c r="T44" i="24"/>
  <c r="P57" i="24"/>
  <c r="Z57" i="24" s="1"/>
  <c r="T60" i="24"/>
  <c r="P65" i="24"/>
  <c r="Z65" i="24" s="1"/>
  <c r="T66" i="24"/>
  <c r="P66" i="24"/>
  <c r="Z66" i="24" s="1"/>
  <c r="P69" i="24"/>
  <c r="Z69" i="24" s="1"/>
  <c r="T70" i="24"/>
  <c r="P70" i="24"/>
  <c r="Z70" i="24" s="1"/>
  <c r="W23" i="23"/>
  <c r="T43" i="23"/>
  <c r="L93" i="23"/>
  <c r="V93" i="23" s="1"/>
  <c r="X93" i="23"/>
  <c r="P96" i="23"/>
  <c r="Z96" i="23" s="1"/>
  <c r="W102" i="23"/>
  <c r="U14" i="24"/>
  <c r="T42" i="24"/>
  <c r="L48" i="24"/>
  <c r="V48" i="24" s="1"/>
  <c r="AA56" i="24"/>
  <c r="T58" i="24"/>
  <c r="L62" i="24"/>
  <c r="V62" i="24" s="1"/>
  <c r="W25" i="23"/>
  <c r="W29" i="23"/>
  <c r="T35" i="23"/>
  <c r="T51" i="23"/>
  <c r="W57" i="23"/>
  <c r="T95" i="23"/>
  <c r="L19" i="22"/>
  <c r="V19" i="22" s="1"/>
  <c r="X19" i="22"/>
  <c r="T40" i="24"/>
  <c r="T56" i="24"/>
  <c r="T13" i="23"/>
  <c r="T27" i="23"/>
  <c r="T59" i="23"/>
  <c r="W170" i="23"/>
  <c r="L171" i="23"/>
  <c r="V171" i="23" s="1"/>
  <c r="X171" i="23"/>
  <c r="T38" i="24"/>
  <c r="U43" i="24"/>
  <c r="T54" i="24"/>
  <c r="T64" i="24"/>
  <c r="T19" i="23"/>
  <c r="T22" i="23"/>
  <c r="P22" i="23"/>
  <c r="Z22" i="23" s="1"/>
  <c r="T54" i="23"/>
  <c r="P54" i="23"/>
  <c r="Z54" i="23" s="1"/>
  <c r="T67" i="23"/>
  <c r="L106" i="23"/>
  <c r="V106" i="23" s="1"/>
  <c r="X106" i="23"/>
  <c r="T128" i="23"/>
  <c r="P128" i="23"/>
  <c r="Z128" i="23" s="1"/>
  <c r="T158" i="23"/>
  <c r="P158" i="23"/>
  <c r="Z158" i="23" s="1"/>
  <c r="T146" i="23"/>
  <c r="P146" i="23"/>
  <c r="Z146" i="23" s="1"/>
  <c r="P167" i="23"/>
  <c r="Z167" i="23" s="1"/>
  <c r="T167" i="23"/>
  <c r="P24" i="22"/>
  <c r="Z24" i="22" s="1"/>
  <c r="T24" i="22"/>
  <c r="T25" i="22"/>
  <c r="P25" i="22"/>
  <c r="Z25" i="22" s="1"/>
  <c r="M36" i="22"/>
  <c r="W36" i="22" s="1"/>
  <c r="T53" i="22"/>
  <c r="P53" i="22"/>
  <c r="Z53" i="22" s="1"/>
  <c r="P33" i="21"/>
  <c r="Z33" i="21" s="1"/>
  <c r="T33" i="21"/>
  <c r="T105" i="23"/>
  <c r="P105" i="23"/>
  <c r="Z105" i="23" s="1"/>
  <c r="T108" i="23"/>
  <c r="T110" i="23"/>
  <c r="P110" i="23"/>
  <c r="Z110" i="23" s="1"/>
  <c r="T112" i="23"/>
  <c r="P112" i="23"/>
  <c r="Z112" i="23" s="1"/>
  <c r="L149" i="23"/>
  <c r="V149" i="23" s="1"/>
  <c r="X149" i="23"/>
  <c r="T160" i="23"/>
  <c r="P160" i="23"/>
  <c r="Z160" i="23" s="1"/>
  <c r="P165" i="23"/>
  <c r="Z165" i="23" s="1"/>
  <c r="T165" i="23"/>
  <c r="L35" i="22"/>
  <c r="V35" i="22" s="1"/>
  <c r="X35" i="22"/>
  <c r="P67" i="22"/>
  <c r="Z67" i="22" s="1"/>
  <c r="T67" i="22"/>
  <c r="T73" i="22"/>
  <c r="P73" i="22"/>
  <c r="Z73" i="22" s="1"/>
  <c r="AA136" i="22"/>
  <c r="P18" i="23"/>
  <c r="Z18" i="23" s="1"/>
  <c r="T21" i="23"/>
  <c r="P26" i="23"/>
  <c r="Z26" i="23" s="1"/>
  <c r="T29" i="23"/>
  <c r="P34" i="23"/>
  <c r="Z34" i="23" s="1"/>
  <c r="T37" i="23"/>
  <c r="P42" i="23"/>
  <c r="Z42" i="23" s="1"/>
  <c r="T45" i="23"/>
  <c r="P50" i="23"/>
  <c r="Z50" i="23" s="1"/>
  <c r="T53" i="23"/>
  <c r="P58" i="23"/>
  <c r="Z58" i="23" s="1"/>
  <c r="T61" i="23"/>
  <c r="P66" i="23"/>
  <c r="Z66" i="23" s="1"/>
  <c r="T69" i="23"/>
  <c r="P74" i="23"/>
  <c r="Z74" i="23" s="1"/>
  <c r="T77" i="23"/>
  <c r="P82" i="23"/>
  <c r="Z82" i="23" s="1"/>
  <c r="T85" i="23"/>
  <c r="P90" i="23"/>
  <c r="Z90" i="23" s="1"/>
  <c r="T99" i="23"/>
  <c r="P99" i="23"/>
  <c r="Z99" i="23" s="1"/>
  <c r="P103" i="23"/>
  <c r="Z103" i="23" s="1"/>
  <c r="P136" i="23"/>
  <c r="Z136" i="23" s="1"/>
  <c r="P140" i="23"/>
  <c r="Z140" i="23" s="1"/>
  <c r="T140" i="23"/>
  <c r="T141" i="23"/>
  <c r="T153" i="23"/>
  <c r="P153" i="23"/>
  <c r="Z153" i="23" s="1"/>
  <c r="T173" i="23"/>
  <c r="P20" i="22"/>
  <c r="Z20" i="22" s="1"/>
  <c r="T20" i="22"/>
  <c r="L63" i="22"/>
  <c r="V63" i="22" s="1"/>
  <c r="X63" i="22"/>
  <c r="P68" i="22"/>
  <c r="Z68" i="22" s="1"/>
  <c r="T68" i="22"/>
  <c r="P84" i="22"/>
  <c r="Z84" i="22" s="1"/>
  <c r="T84" i="22"/>
  <c r="T131" i="22"/>
  <c r="P131" i="22"/>
  <c r="Z131" i="22" s="1"/>
  <c r="P132" i="22"/>
  <c r="Z132" i="22" s="1"/>
  <c r="T132" i="22"/>
  <c r="W22" i="23"/>
  <c r="W30" i="23"/>
  <c r="W95" i="23"/>
  <c r="P118" i="23"/>
  <c r="Z118" i="23" s="1"/>
  <c r="T124" i="23"/>
  <c r="P124" i="23"/>
  <c r="Z124" i="23" s="1"/>
  <c r="Q130" i="23"/>
  <c r="T132" i="23"/>
  <c r="P132" i="23"/>
  <c r="Z132" i="23" s="1"/>
  <c r="M135" i="23"/>
  <c r="W135" i="23" s="1"/>
  <c r="X138" i="23"/>
  <c r="L138" i="23"/>
  <c r="V138" i="23" s="1"/>
  <c r="T142" i="23"/>
  <c r="P142" i="23"/>
  <c r="Z142" i="23" s="1"/>
  <c r="L156" i="23"/>
  <c r="V156" i="23" s="1"/>
  <c r="X156" i="23"/>
  <c r="T15" i="23"/>
  <c r="T23" i="23"/>
  <c r="T31" i="23"/>
  <c r="W35" i="23"/>
  <c r="T39" i="23"/>
  <c r="T47" i="23"/>
  <c r="T55" i="23"/>
  <c r="T63" i="23"/>
  <c r="T71" i="23"/>
  <c r="T79" i="23"/>
  <c r="T87" i="23"/>
  <c r="T93" i="23"/>
  <c r="P93" i="23"/>
  <c r="Z93" i="23" s="1"/>
  <c r="W96" i="23"/>
  <c r="T97" i="23"/>
  <c r="P97" i="23"/>
  <c r="Z97" i="23" s="1"/>
  <c r="L145" i="23"/>
  <c r="V145" i="23" s="1"/>
  <c r="X145" i="23"/>
  <c r="T170" i="23"/>
  <c r="P170" i="23"/>
  <c r="Z170" i="23" s="1"/>
  <c r="P23" i="21"/>
  <c r="Z23" i="21" s="1"/>
  <c r="T23" i="21"/>
  <c r="W13" i="23"/>
  <c r="W24" i="23"/>
  <c r="W80" i="23"/>
  <c r="T91" i="23"/>
  <c r="X100" i="23"/>
  <c r="T120" i="23"/>
  <c r="P120" i="23"/>
  <c r="Z120" i="23" s="1"/>
  <c r="T130" i="23"/>
  <c r="P130" i="23"/>
  <c r="Z130" i="23" s="1"/>
  <c r="L139" i="23"/>
  <c r="V139" i="23" s="1"/>
  <c r="X139" i="23"/>
  <c r="P169" i="23"/>
  <c r="Z169" i="23" s="1"/>
  <c r="T169" i="23"/>
  <c r="P32" i="22"/>
  <c r="Z32" i="22" s="1"/>
  <c r="T32" i="22"/>
  <c r="P82" i="22"/>
  <c r="Z82" i="22" s="1"/>
  <c r="T121" i="22"/>
  <c r="P121" i="22"/>
  <c r="Z121" i="22" s="1"/>
  <c r="T17" i="23"/>
  <c r="T25" i="23"/>
  <c r="T33" i="23"/>
  <c r="T41" i="23"/>
  <c r="T49" i="23"/>
  <c r="T57" i="23"/>
  <c r="T65" i="23"/>
  <c r="T73" i="23"/>
  <c r="T81" i="23"/>
  <c r="T89" i="23"/>
  <c r="P94" i="23"/>
  <c r="Z94" i="23" s="1"/>
  <c r="T94" i="23"/>
  <c r="P98" i="23"/>
  <c r="Z98" i="23" s="1"/>
  <c r="T98" i="23"/>
  <c r="T104" i="23"/>
  <c r="P104" i="23"/>
  <c r="Z104" i="23" s="1"/>
  <c r="T107" i="23"/>
  <c r="M113" i="23"/>
  <c r="W113" i="23" s="1"/>
  <c r="W122" i="23"/>
  <c r="T134" i="23"/>
  <c r="P134" i="23"/>
  <c r="Z134" i="23" s="1"/>
  <c r="W147" i="23"/>
  <c r="L152" i="23"/>
  <c r="V152" i="23" s="1"/>
  <c r="X152" i="23"/>
  <c r="T156" i="23"/>
  <c r="T161" i="23"/>
  <c r="L172" i="23"/>
  <c r="V172" i="23" s="1"/>
  <c r="X172" i="23"/>
  <c r="L29" i="22"/>
  <c r="V29" i="22" s="1"/>
  <c r="X29" i="22"/>
  <c r="X102" i="23"/>
  <c r="T109" i="23"/>
  <c r="T111" i="23"/>
  <c r="T137" i="23"/>
  <c r="P144" i="23"/>
  <c r="Z144" i="23" s="1"/>
  <c r="T144" i="23"/>
  <c r="P148" i="23"/>
  <c r="Z148" i="23" s="1"/>
  <c r="T148" i="23"/>
  <c r="P151" i="23"/>
  <c r="Z151" i="23" s="1"/>
  <c r="T151" i="23"/>
  <c r="P155" i="23"/>
  <c r="Z155" i="23" s="1"/>
  <c r="T155" i="23"/>
  <c r="W35" i="22"/>
  <c r="T37" i="22"/>
  <c r="P37" i="22"/>
  <c r="Z37" i="22" s="1"/>
  <c r="P72" i="22"/>
  <c r="Z72" i="22" s="1"/>
  <c r="T72" i="22"/>
  <c r="L79" i="22"/>
  <c r="V79" i="22" s="1"/>
  <c r="X79" i="22"/>
  <c r="W112" i="23"/>
  <c r="W120" i="23"/>
  <c r="W123" i="23"/>
  <c r="W124" i="23"/>
  <c r="W134" i="23"/>
  <c r="W169" i="23"/>
  <c r="T13" i="22"/>
  <c r="P13" i="22"/>
  <c r="Z13" i="22" s="1"/>
  <c r="P26" i="22"/>
  <c r="Z26" i="22" s="1"/>
  <c r="T26" i="22"/>
  <c r="T39" i="22"/>
  <c r="P39" i="22"/>
  <c r="Z39" i="22" s="1"/>
  <c r="T43" i="22"/>
  <c r="P43" i="22"/>
  <c r="Z43" i="22" s="1"/>
  <c r="L51" i="22"/>
  <c r="V51" i="22" s="1"/>
  <c r="X51" i="22"/>
  <c r="AA58" i="22"/>
  <c r="Q147" i="22"/>
  <c r="AA147" i="22" s="1"/>
  <c r="Y147" i="22"/>
  <c r="L95" i="23"/>
  <c r="V95" i="23" s="1"/>
  <c r="P106" i="23"/>
  <c r="Z106" i="23" s="1"/>
  <c r="P159" i="23"/>
  <c r="Z159" i="23" s="1"/>
  <c r="T159" i="23"/>
  <c r="X161" i="23"/>
  <c r="L161" i="23"/>
  <c r="V161" i="23" s="1"/>
  <c r="X170" i="23"/>
  <c r="P14" i="22"/>
  <c r="Z14" i="22" s="1"/>
  <c r="T14" i="22"/>
  <c r="L23" i="22"/>
  <c r="V23" i="22" s="1"/>
  <c r="X23" i="22"/>
  <c r="L31" i="22"/>
  <c r="V31" i="22" s="1"/>
  <c r="X31" i="22"/>
  <c r="P34" i="22"/>
  <c r="Z34" i="22" s="1"/>
  <c r="T34" i="22"/>
  <c r="P38" i="22"/>
  <c r="Z38" i="22" s="1"/>
  <c r="T38" i="22"/>
  <c r="P69" i="22"/>
  <c r="Z69" i="22" s="1"/>
  <c r="T69" i="22"/>
  <c r="W101" i="23"/>
  <c r="W130" i="23"/>
  <c r="T15" i="22"/>
  <c r="P15" i="22"/>
  <c r="Z15" i="22" s="1"/>
  <c r="P28" i="22"/>
  <c r="Z28" i="22" s="1"/>
  <c r="T28" i="22"/>
  <c r="T55" i="22"/>
  <c r="P55" i="22"/>
  <c r="Z55" i="22" s="1"/>
  <c r="T59" i="22"/>
  <c r="P59" i="22"/>
  <c r="Z59" i="22" s="1"/>
  <c r="P76" i="22"/>
  <c r="Z76" i="22" s="1"/>
  <c r="T76" i="22"/>
  <c r="P94" i="22"/>
  <c r="Z94" i="22" s="1"/>
  <c r="T94" i="22"/>
  <c r="W137" i="22"/>
  <c r="L24" i="20"/>
  <c r="V24" i="20" s="1"/>
  <c r="X24" i="20"/>
  <c r="W129" i="23"/>
  <c r="X143" i="23"/>
  <c r="X147" i="23"/>
  <c r="X150" i="23"/>
  <c r="X154" i="23"/>
  <c r="L162" i="23"/>
  <c r="V162" i="23" s="1"/>
  <c r="X162" i="23"/>
  <c r="P171" i="23"/>
  <c r="Z171" i="23" s="1"/>
  <c r="T171" i="23"/>
  <c r="W13" i="22"/>
  <c r="X45" i="22"/>
  <c r="L47" i="22"/>
  <c r="V47" i="22" s="1"/>
  <c r="X47" i="22"/>
  <c r="P50" i="22"/>
  <c r="Z50" i="22" s="1"/>
  <c r="T50" i="22"/>
  <c r="P54" i="22"/>
  <c r="Z54" i="22" s="1"/>
  <c r="T54" i="22"/>
  <c r="W80" i="22"/>
  <c r="P92" i="22"/>
  <c r="Z92" i="22" s="1"/>
  <c r="T92" i="22"/>
  <c r="L95" i="22"/>
  <c r="V95" i="22" s="1"/>
  <c r="X95" i="22"/>
  <c r="Y126" i="22"/>
  <c r="P142" i="18"/>
  <c r="Z142" i="18" s="1"/>
  <c r="T142" i="18"/>
  <c r="M24" i="22"/>
  <c r="W24" i="22" s="1"/>
  <c r="T27" i="22"/>
  <c r="P27" i="22"/>
  <c r="Z27" i="22" s="1"/>
  <c r="Q35" i="22"/>
  <c r="AA35" i="22" s="1"/>
  <c r="Y35" i="22"/>
  <c r="T41" i="22"/>
  <c r="P41" i="22"/>
  <c r="Z41" i="22" s="1"/>
  <c r="T57" i="22"/>
  <c r="P57" i="22"/>
  <c r="Z57" i="22" s="1"/>
  <c r="X78" i="22"/>
  <c r="L78" i="22"/>
  <c r="V78" i="22" s="1"/>
  <c r="P80" i="22"/>
  <c r="Z80" i="22" s="1"/>
  <c r="T80" i="22"/>
  <c r="T93" i="22"/>
  <c r="P93" i="22"/>
  <c r="Z93" i="22" s="1"/>
  <c r="P121" i="18"/>
  <c r="Z121" i="18" s="1"/>
  <c r="T121" i="18"/>
  <c r="P123" i="18"/>
  <c r="Z123" i="18" s="1"/>
  <c r="T123" i="18"/>
  <c r="L165" i="23"/>
  <c r="V165" i="23" s="1"/>
  <c r="X166" i="23"/>
  <c r="T23" i="22"/>
  <c r="P23" i="22"/>
  <c r="Z23" i="22" s="1"/>
  <c r="Y24" i="22"/>
  <c r="X25" i="22"/>
  <c r="T35" i="22"/>
  <c r="P35" i="22"/>
  <c r="Z35" i="22" s="1"/>
  <c r="X37" i="22"/>
  <c r="T44" i="22"/>
  <c r="T51" i="22"/>
  <c r="P51" i="22"/>
  <c r="Z51" i="22" s="1"/>
  <c r="X53" i="22"/>
  <c r="T60" i="22"/>
  <c r="T77" i="22"/>
  <c r="P77" i="22"/>
  <c r="Z77" i="22" s="1"/>
  <c r="P98" i="22"/>
  <c r="Z98" i="22" s="1"/>
  <c r="T98" i="22"/>
  <c r="P100" i="22"/>
  <c r="Z100" i="22" s="1"/>
  <c r="T100" i="22"/>
  <c r="P102" i="22"/>
  <c r="Z102" i="22" s="1"/>
  <c r="T102" i="22"/>
  <c r="P106" i="22"/>
  <c r="Z106" i="22" s="1"/>
  <c r="T106" i="22"/>
  <c r="P112" i="22"/>
  <c r="Z112" i="22" s="1"/>
  <c r="T112" i="22"/>
  <c r="P114" i="22"/>
  <c r="Z114" i="22" s="1"/>
  <c r="T114" i="22"/>
  <c r="P116" i="22"/>
  <c r="Z116" i="22" s="1"/>
  <c r="T116" i="22"/>
  <c r="T133" i="22"/>
  <c r="P133" i="22"/>
  <c r="Z133" i="22" s="1"/>
  <c r="Q137" i="22"/>
  <c r="AA137" i="22" s="1"/>
  <c r="Y137" i="22"/>
  <c r="T52" i="21"/>
  <c r="P52" i="21"/>
  <c r="Z52" i="21" s="1"/>
  <c r="L32" i="20"/>
  <c r="V32" i="20" s="1"/>
  <c r="X32" i="20"/>
  <c r="Q13" i="22"/>
  <c r="AA13" i="22" s="1"/>
  <c r="Y13" i="22"/>
  <c r="T21" i="22"/>
  <c r="P21" i="22"/>
  <c r="Z21" i="22" s="1"/>
  <c r="T33" i="22"/>
  <c r="P33" i="22"/>
  <c r="Z33" i="22" s="1"/>
  <c r="T49" i="22"/>
  <c r="P49" i="22"/>
  <c r="Z49" i="22" s="1"/>
  <c r="T66" i="22"/>
  <c r="Y80" i="22"/>
  <c r="T88" i="22"/>
  <c r="P96" i="22"/>
  <c r="Z96" i="22" s="1"/>
  <c r="T96" i="22"/>
  <c r="T101" i="22"/>
  <c r="P101" i="22"/>
  <c r="Z101" i="22" s="1"/>
  <c r="T103" i="22"/>
  <c r="P103" i="22"/>
  <c r="Z103" i="22" s="1"/>
  <c r="T105" i="22"/>
  <c r="P105" i="22"/>
  <c r="Z105" i="22" s="1"/>
  <c r="T107" i="22"/>
  <c r="P107" i="22"/>
  <c r="Z107" i="22" s="1"/>
  <c r="T111" i="22"/>
  <c r="P111" i="22"/>
  <c r="Z111" i="22" s="1"/>
  <c r="P113" i="22"/>
  <c r="Z113" i="22" s="1"/>
  <c r="T115" i="22"/>
  <c r="P115" i="22"/>
  <c r="Z115" i="22" s="1"/>
  <c r="T123" i="22"/>
  <c r="P123" i="22"/>
  <c r="Z123" i="22" s="1"/>
  <c r="T135" i="22"/>
  <c r="P135" i="22"/>
  <c r="Z135" i="22" s="1"/>
  <c r="P136" i="22"/>
  <c r="Z136" i="22" s="1"/>
  <c r="T136" i="22"/>
  <c r="T143" i="22"/>
  <c r="P143" i="22"/>
  <c r="Z143" i="22" s="1"/>
  <c r="T161" i="22"/>
  <c r="P161" i="22"/>
  <c r="Z161" i="22" s="1"/>
  <c r="T19" i="22"/>
  <c r="P19" i="22"/>
  <c r="Z19" i="22" s="1"/>
  <c r="X21" i="22"/>
  <c r="T31" i="22"/>
  <c r="P31" i="22"/>
  <c r="Z31" i="22" s="1"/>
  <c r="X33" i="22"/>
  <c r="T40" i="22"/>
  <c r="T47" i="22"/>
  <c r="P47" i="22"/>
  <c r="Z47" i="22" s="1"/>
  <c r="X49" i="22"/>
  <c r="T56" i="22"/>
  <c r="Q57" i="22"/>
  <c r="AA57" i="22" s="1"/>
  <c r="Y57" i="22"/>
  <c r="T63" i="22"/>
  <c r="P63" i="22"/>
  <c r="Z63" i="22" s="1"/>
  <c r="T70" i="22"/>
  <c r="Q80" i="22"/>
  <c r="AA80" i="22" s="1"/>
  <c r="Q81" i="22"/>
  <c r="AA81" i="22" s="1"/>
  <c r="Y81" i="22"/>
  <c r="X94" i="22"/>
  <c r="L94" i="22"/>
  <c r="V94" i="22" s="1"/>
  <c r="T17" i="22"/>
  <c r="P17" i="22"/>
  <c r="Z17" i="22" s="1"/>
  <c r="T29" i="22"/>
  <c r="P29" i="22"/>
  <c r="Z29" i="22" s="1"/>
  <c r="T45" i="22"/>
  <c r="P45" i="22"/>
  <c r="Z45" i="22" s="1"/>
  <c r="T61" i="22"/>
  <c r="P61" i="22"/>
  <c r="Z61" i="22" s="1"/>
  <c r="M103" i="22"/>
  <c r="W103" i="22" s="1"/>
  <c r="P139" i="22"/>
  <c r="Z139" i="22" s="1"/>
  <c r="T157" i="22"/>
  <c r="P157" i="22"/>
  <c r="Z157" i="22" s="1"/>
  <c r="T173" i="22"/>
  <c r="P173" i="22"/>
  <c r="Z173" i="22" s="1"/>
  <c r="P27" i="21"/>
  <c r="Z27" i="21" s="1"/>
  <c r="T48" i="21"/>
  <c r="P48" i="21"/>
  <c r="Z48" i="21" s="1"/>
  <c r="W138" i="22"/>
  <c r="X20" i="21"/>
  <c r="L20" i="21"/>
  <c r="V20" i="21" s="1"/>
  <c r="T29" i="21"/>
  <c r="P29" i="21"/>
  <c r="Z29" i="21" s="1"/>
  <c r="T139" i="19"/>
  <c r="P139" i="19"/>
  <c r="Z139" i="19" s="1"/>
  <c r="T144" i="19"/>
  <c r="P144" i="19"/>
  <c r="Z144" i="19" s="1"/>
  <c r="T149" i="19"/>
  <c r="P149" i="19"/>
  <c r="Z149" i="19" s="1"/>
  <c r="L118" i="18"/>
  <c r="V118" i="18" s="1"/>
  <c r="X118" i="18"/>
  <c r="P143" i="18"/>
  <c r="Z143" i="18" s="1"/>
  <c r="T143" i="18"/>
  <c r="AA103" i="22"/>
  <c r="AA126" i="22"/>
  <c r="W146" i="22"/>
  <c r="W150" i="22"/>
  <c r="L68" i="22"/>
  <c r="V68" i="22" s="1"/>
  <c r="X69" i="22"/>
  <c r="P75" i="22"/>
  <c r="Z75" i="22" s="1"/>
  <c r="L84" i="22"/>
  <c r="V84" i="22" s="1"/>
  <c r="X85" i="22"/>
  <c r="P91" i="22"/>
  <c r="Z91" i="22" s="1"/>
  <c r="W104" i="22"/>
  <c r="T126" i="22"/>
  <c r="W127" i="22"/>
  <c r="T134" i="22"/>
  <c r="W136" i="22"/>
  <c r="Y138" i="22"/>
  <c r="T144" i="22"/>
  <c r="T148" i="22"/>
  <c r="T153" i="22"/>
  <c r="P153" i="22"/>
  <c r="Z153" i="22" s="1"/>
  <c r="T158" i="22"/>
  <c r="P159" i="22"/>
  <c r="Z159" i="22" s="1"/>
  <c r="W166" i="22"/>
  <c r="T169" i="22"/>
  <c r="P169" i="22"/>
  <c r="Z169" i="22" s="1"/>
  <c r="T174" i="22"/>
  <c r="P175" i="22"/>
  <c r="Z175" i="22" s="1"/>
  <c r="T15" i="21"/>
  <c r="P16" i="21"/>
  <c r="Z16" i="21" s="1"/>
  <c r="T19" i="21"/>
  <c r="P19" i="21"/>
  <c r="Z19" i="21" s="1"/>
  <c r="P37" i="21"/>
  <c r="Z37" i="21" s="1"/>
  <c r="T37" i="21"/>
  <c r="Y15" i="20"/>
  <c r="AA138" i="22"/>
  <c r="W139" i="22"/>
  <c r="P141" i="22"/>
  <c r="Z141" i="22" s="1"/>
  <c r="P145" i="22"/>
  <c r="Z145" i="22" s="1"/>
  <c r="P149" i="22"/>
  <c r="Z149" i="22" s="1"/>
  <c r="W151" i="22"/>
  <c r="P160" i="22"/>
  <c r="Z160" i="22" s="1"/>
  <c r="W167" i="22"/>
  <c r="P13" i="21"/>
  <c r="Z13" i="21" s="1"/>
  <c r="P17" i="21"/>
  <c r="Z17" i="21" s="1"/>
  <c r="T14" i="20"/>
  <c r="P14" i="20"/>
  <c r="Z14" i="20" s="1"/>
  <c r="AA15" i="20"/>
  <c r="L28" i="20"/>
  <c r="V28" i="20" s="1"/>
  <c r="X28" i="20"/>
  <c r="X65" i="22"/>
  <c r="L80" i="22"/>
  <c r="V80" i="22" s="1"/>
  <c r="M81" i="22"/>
  <c r="W81" i="22" s="1"/>
  <c r="T90" i="22"/>
  <c r="L96" i="22"/>
  <c r="V96" i="22" s="1"/>
  <c r="AA127" i="22"/>
  <c r="T138" i="22"/>
  <c r="Y146" i="22"/>
  <c r="W147" i="22"/>
  <c r="T154" i="22"/>
  <c r="P155" i="22"/>
  <c r="Z155" i="22" s="1"/>
  <c r="T165" i="22"/>
  <c r="P165" i="22"/>
  <c r="Z165" i="22" s="1"/>
  <c r="Y166" i="22"/>
  <c r="T170" i="22"/>
  <c r="P171" i="22"/>
  <c r="Z171" i="22" s="1"/>
  <c r="T22" i="21"/>
  <c r="M24" i="21"/>
  <c r="W24" i="21" s="1"/>
  <c r="U24" i="21"/>
  <c r="W126" i="22"/>
  <c r="Y136" i="22"/>
  <c r="AA146" i="22"/>
  <c r="P156" i="22"/>
  <c r="Z156" i="22" s="1"/>
  <c r="AA166" i="22"/>
  <c r="P172" i="22"/>
  <c r="Z172" i="22" s="1"/>
  <c r="Q26" i="21"/>
  <c r="AA26" i="21" s="1"/>
  <c r="Y26" i="21"/>
  <c r="L154" i="22"/>
  <c r="V154" i="22" s="1"/>
  <c r="L158" i="22"/>
  <c r="V158" i="22" s="1"/>
  <c r="L162" i="22"/>
  <c r="V162" i="22" s="1"/>
  <c r="L166" i="22"/>
  <c r="V166" i="22" s="1"/>
  <c r="L170" i="22"/>
  <c r="V170" i="22" s="1"/>
  <c r="L174" i="22"/>
  <c r="V174" i="22" s="1"/>
  <c r="L15" i="21"/>
  <c r="V15" i="21" s="1"/>
  <c r="P20" i="21"/>
  <c r="Z20" i="21" s="1"/>
  <c r="Y24" i="21"/>
  <c r="U13" i="20"/>
  <c r="T18" i="20"/>
  <c r="P18" i="20"/>
  <c r="Z18" i="20" s="1"/>
  <c r="Y23" i="20"/>
  <c r="Y31" i="20"/>
  <c r="AA24" i="21"/>
  <c r="P25" i="21"/>
  <c r="Z25" i="21" s="1"/>
  <c r="P34" i="21"/>
  <c r="Z34" i="21" s="1"/>
  <c r="T39" i="21"/>
  <c r="W13" i="20"/>
  <c r="P17" i="20"/>
  <c r="Z17" i="20" s="1"/>
  <c r="T17" i="20"/>
  <c r="T22" i="20"/>
  <c r="P22" i="20"/>
  <c r="Z22" i="20" s="1"/>
  <c r="AA23" i="20"/>
  <c r="AA31" i="20"/>
  <c r="L151" i="22"/>
  <c r="V151" i="22" s="1"/>
  <c r="L155" i="22"/>
  <c r="V155" i="22" s="1"/>
  <c r="L159" i="22"/>
  <c r="V159" i="22" s="1"/>
  <c r="L163" i="22"/>
  <c r="V163" i="22" s="1"/>
  <c r="L167" i="22"/>
  <c r="V167" i="22" s="1"/>
  <c r="L171" i="22"/>
  <c r="V171" i="22" s="1"/>
  <c r="L175" i="22"/>
  <c r="V175" i="22" s="1"/>
  <c r="P14" i="21"/>
  <c r="Z14" i="21" s="1"/>
  <c r="L16" i="21"/>
  <c r="V16" i="21" s="1"/>
  <c r="P18" i="21"/>
  <c r="Z18" i="21" s="1"/>
  <c r="P24" i="21"/>
  <c r="Z24" i="21" s="1"/>
  <c r="P21" i="20"/>
  <c r="Z21" i="20" s="1"/>
  <c r="T21" i="20"/>
  <c r="T26" i="20"/>
  <c r="P26" i="20"/>
  <c r="Z26" i="20" s="1"/>
  <c r="T30" i="20"/>
  <c r="P30" i="20"/>
  <c r="Z30" i="20" s="1"/>
  <c r="Y22" i="21"/>
  <c r="W16" i="20"/>
  <c r="U21" i="20"/>
  <c r="P25" i="20"/>
  <c r="Z25" i="20" s="1"/>
  <c r="T25" i="20"/>
  <c r="P27" i="20"/>
  <c r="Z27" i="20" s="1"/>
  <c r="T27" i="20"/>
  <c r="P29" i="20"/>
  <c r="Z29" i="20" s="1"/>
  <c r="T29" i="20"/>
  <c r="P31" i="20"/>
  <c r="Z31" i="20" s="1"/>
  <c r="T31" i="20"/>
  <c r="AA22" i="21"/>
  <c r="L16" i="20"/>
  <c r="V16" i="20" s="1"/>
  <c r="X16" i="20"/>
  <c r="W20" i="20"/>
  <c r="U25" i="20"/>
  <c r="U29" i="20"/>
  <c r="Y167" i="22"/>
  <c r="P174" i="21"/>
  <c r="Z174" i="21" s="1"/>
  <c r="T174" i="21"/>
  <c r="L20" i="20"/>
  <c r="V20" i="20" s="1"/>
  <c r="X20" i="20"/>
  <c r="W24" i="20"/>
  <c r="W28" i="20"/>
  <c r="W32" i="20"/>
  <c r="Y16" i="20"/>
  <c r="Y20" i="20"/>
  <c r="W21" i="20"/>
  <c r="Y24" i="20"/>
  <c r="W25" i="20"/>
  <c r="Y28" i="20"/>
  <c r="W29" i="20"/>
  <c r="Y32" i="20"/>
  <c r="T165" i="21"/>
  <c r="P165" i="21"/>
  <c r="Z165" i="21" s="1"/>
  <c r="Y13" i="20"/>
  <c r="U14" i="20"/>
  <c r="AA16" i="20"/>
  <c r="U18" i="20"/>
  <c r="AA20" i="20"/>
  <c r="U22" i="20"/>
  <c r="AA24" i="20"/>
  <c r="AA28" i="20"/>
  <c r="U30" i="20"/>
  <c r="AA32" i="20"/>
  <c r="P15" i="20"/>
  <c r="Z15" i="20" s="1"/>
  <c r="T15" i="20"/>
  <c r="Y17" i="20"/>
  <c r="P19" i="20"/>
  <c r="Z19" i="20" s="1"/>
  <c r="T19" i="20"/>
  <c r="Y21" i="20"/>
  <c r="P23" i="20"/>
  <c r="Z23" i="20" s="1"/>
  <c r="T23" i="20"/>
  <c r="Y25" i="20"/>
  <c r="Y29" i="20"/>
  <c r="L14" i="20"/>
  <c r="V14" i="20" s="1"/>
  <c r="X14" i="20"/>
  <c r="U15" i="20"/>
  <c r="T16" i="20"/>
  <c r="P16" i="20"/>
  <c r="Z16" i="20" s="1"/>
  <c r="L18" i="20"/>
  <c r="V18" i="20" s="1"/>
  <c r="X18" i="20"/>
  <c r="U19" i="20"/>
  <c r="T20" i="20"/>
  <c r="P20" i="20"/>
  <c r="Z20" i="20" s="1"/>
  <c r="L22" i="20"/>
  <c r="V22" i="20" s="1"/>
  <c r="X22" i="20"/>
  <c r="U23" i="20"/>
  <c r="T24" i="20"/>
  <c r="P24" i="20"/>
  <c r="Z24" i="20" s="1"/>
  <c r="L26" i="20"/>
  <c r="V26" i="20" s="1"/>
  <c r="X26" i="20"/>
  <c r="T28" i="20"/>
  <c r="P28" i="20"/>
  <c r="Z28" i="20" s="1"/>
  <c r="L30" i="20"/>
  <c r="V30" i="20" s="1"/>
  <c r="X30" i="20"/>
  <c r="U31" i="20"/>
  <c r="T32" i="20"/>
  <c r="P32" i="20"/>
  <c r="Z32" i="20" s="1"/>
  <c r="Y14" i="20"/>
  <c r="W15" i="20"/>
  <c r="W19" i="20"/>
  <c r="Y22" i="20"/>
  <c r="W23" i="20"/>
  <c r="Y30" i="20"/>
  <c r="W31" i="20"/>
  <c r="P13" i="20"/>
  <c r="Z13" i="20" s="1"/>
  <c r="T13" i="20"/>
  <c r="AA14" i="20"/>
  <c r="U16" i="20"/>
  <c r="U20" i="20"/>
  <c r="AA22" i="20"/>
  <c r="U24" i="20"/>
  <c r="U28" i="20"/>
  <c r="AA30" i="20"/>
  <c r="U32" i="20"/>
  <c r="Y41" i="19"/>
  <c r="L96" i="19"/>
  <c r="V96" i="19" s="1"/>
  <c r="X96" i="19"/>
  <c r="L15" i="20"/>
  <c r="V15" i="20" s="1"/>
  <c r="L17" i="20"/>
  <c r="V17" i="20" s="1"/>
  <c r="L19" i="20"/>
  <c r="V19" i="20" s="1"/>
  <c r="L21" i="20"/>
  <c r="V21" i="20" s="1"/>
  <c r="L23" i="20"/>
  <c r="V23" i="20" s="1"/>
  <c r="L25" i="20"/>
  <c r="V25" i="20" s="1"/>
  <c r="L27" i="20"/>
  <c r="V27" i="20" s="1"/>
  <c r="L29" i="20"/>
  <c r="V29" i="20" s="1"/>
  <c r="L31" i="20"/>
  <c r="V31" i="20" s="1"/>
  <c r="L32" i="19"/>
  <c r="V32" i="19" s="1"/>
  <c r="X32" i="19"/>
  <c r="T40" i="19"/>
  <c r="P40" i="19"/>
  <c r="Z40" i="19" s="1"/>
  <c r="P58" i="19"/>
  <c r="Z58" i="19" s="1"/>
  <c r="T58" i="19"/>
  <c r="P91" i="19"/>
  <c r="Z91" i="19" s="1"/>
  <c r="T91" i="19"/>
  <c r="T100" i="19"/>
  <c r="P100" i="19"/>
  <c r="Z100" i="19" s="1"/>
  <c r="P47" i="19"/>
  <c r="Z47" i="19" s="1"/>
  <c r="T47" i="19"/>
  <c r="M58" i="19"/>
  <c r="W58" i="19" s="1"/>
  <c r="T30" i="19"/>
  <c r="P30" i="19"/>
  <c r="Z30" i="19" s="1"/>
  <c r="T31" i="19"/>
  <c r="W13" i="19"/>
  <c r="X38" i="19"/>
  <c r="P43" i="19"/>
  <c r="Z43" i="19" s="1"/>
  <c r="T43" i="19"/>
  <c r="P52" i="19"/>
  <c r="Z52" i="19" s="1"/>
  <c r="T52" i="19"/>
  <c r="P81" i="19"/>
  <c r="Z81" i="19" s="1"/>
  <c r="T81" i="19"/>
  <c r="P51" i="19"/>
  <c r="Z51" i="19" s="1"/>
  <c r="T51" i="19"/>
  <c r="P68" i="19"/>
  <c r="Z68" i="19" s="1"/>
  <c r="T68" i="19"/>
  <c r="P19" i="19"/>
  <c r="Z19" i="19" s="1"/>
  <c r="T19" i="19"/>
  <c r="W42" i="19"/>
  <c r="T150" i="19"/>
  <c r="P150" i="19"/>
  <c r="Z150" i="19" s="1"/>
  <c r="T18" i="19"/>
  <c r="P18" i="19"/>
  <c r="Z18" i="19" s="1"/>
  <c r="X26" i="19"/>
  <c r="T34" i="19"/>
  <c r="P34" i="19"/>
  <c r="Z34" i="19" s="1"/>
  <c r="L42" i="19"/>
  <c r="V42" i="19" s="1"/>
  <c r="X42" i="19"/>
  <c r="M55" i="19"/>
  <c r="W55" i="19" s="1"/>
  <c r="P79" i="19"/>
  <c r="Z79" i="19" s="1"/>
  <c r="T79" i="19"/>
  <c r="T90" i="19"/>
  <c r="P90" i="19"/>
  <c r="Z90" i="19" s="1"/>
  <c r="L102" i="19"/>
  <c r="V102" i="19" s="1"/>
  <c r="X102" i="19"/>
  <c r="X123" i="19"/>
  <c r="L123" i="19"/>
  <c r="V123" i="19" s="1"/>
  <c r="T143" i="19"/>
  <c r="P143" i="19"/>
  <c r="Z143" i="19" s="1"/>
  <c r="T13" i="19"/>
  <c r="L20" i="19"/>
  <c r="V20" i="19" s="1"/>
  <c r="X20" i="19"/>
  <c r="W27" i="19"/>
  <c r="L36" i="19"/>
  <c r="V36" i="19" s="1"/>
  <c r="X36" i="19"/>
  <c r="T44" i="19"/>
  <c r="P44" i="19"/>
  <c r="Z44" i="19" s="1"/>
  <c r="L46" i="19"/>
  <c r="V46" i="19" s="1"/>
  <c r="X46" i="19"/>
  <c r="T48" i="19"/>
  <c r="P48" i="19"/>
  <c r="Z48" i="19" s="1"/>
  <c r="Q57" i="19"/>
  <c r="Y57" i="19"/>
  <c r="P63" i="19"/>
  <c r="Z63" i="19" s="1"/>
  <c r="T63" i="19"/>
  <c r="P65" i="19"/>
  <c r="Z65" i="19" s="1"/>
  <c r="T65" i="19"/>
  <c r="P67" i="19"/>
  <c r="Z67" i="19" s="1"/>
  <c r="T67" i="19"/>
  <c r="P105" i="19"/>
  <c r="Z105" i="19" s="1"/>
  <c r="T105" i="19"/>
  <c r="T106" i="19"/>
  <c r="P106" i="19"/>
  <c r="Z106" i="19" s="1"/>
  <c r="T110" i="19"/>
  <c r="P110" i="19"/>
  <c r="Z110" i="19" s="1"/>
  <c r="T142" i="19"/>
  <c r="P142" i="19"/>
  <c r="Z142" i="19" s="1"/>
  <c r="L15" i="19"/>
  <c r="V15" i="19" s="1"/>
  <c r="X15" i="19"/>
  <c r="P25" i="19"/>
  <c r="Z25" i="19" s="1"/>
  <c r="T25" i="19"/>
  <c r="P41" i="19"/>
  <c r="Z41" i="19" s="1"/>
  <c r="T41" i="19"/>
  <c r="L52" i="19"/>
  <c r="V52" i="19" s="1"/>
  <c r="X52" i="19"/>
  <c r="T59" i="19"/>
  <c r="L80" i="19"/>
  <c r="V80" i="19" s="1"/>
  <c r="X80" i="19"/>
  <c r="P89" i="19"/>
  <c r="Z89" i="19" s="1"/>
  <c r="T89" i="19"/>
  <c r="T121" i="19"/>
  <c r="L137" i="19"/>
  <c r="V137" i="19" s="1"/>
  <c r="X137" i="19"/>
  <c r="T141" i="19"/>
  <c r="P141" i="19"/>
  <c r="Z141" i="19" s="1"/>
  <c r="T146" i="19"/>
  <c r="P146" i="19"/>
  <c r="Z146" i="19" s="1"/>
  <c r="T17" i="19"/>
  <c r="P17" i="19"/>
  <c r="Z17" i="19" s="1"/>
  <c r="T32" i="19"/>
  <c r="P32" i="19"/>
  <c r="Z32" i="19" s="1"/>
  <c r="L40" i="19"/>
  <c r="V40" i="19" s="1"/>
  <c r="X40" i="19"/>
  <c r="X50" i="19"/>
  <c r="L50" i="19"/>
  <c r="V50" i="19" s="1"/>
  <c r="P61" i="19"/>
  <c r="Z61" i="19" s="1"/>
  <c r="T61" i="19"/>
  <c r="L66" i="19"/>
  <c r="V66" i="19" s="1"/>
  <c r="X66" i="19"/>
  <c r="P83" i="19"/>
  <c r="Z83" i="19" s="1"/>
  <c r="T83" i="19"/>
  <c r="P87" i="19"/>
  <c r="Z87" i="19" s="1"/>
  <c r="T87" i="19"/>
  <c r="L112" i="19"/>
  <c r="V112" i="19" s="1"/>
  <c r="X112" i="19"/>
  <c r="T120" i="19"/>
  <c r="P120" i="19"/>
  <c r="Z120" i="19" s="1"/>
  <c r="L18" i="19"/>
  <c r="V18" i="19" s="1"/>
  <c r="X18" i="19"/>
  <c r="W25" i="19"/>
  <c r="L34" i="19"/>
  <c r="V34" i="19" s="1"/>
  <c r="X34" i="19"/>
  <c r="Y40" i="19"/>
  <c r="W41" i="19"/>
  <c r="T42" i="19"/>
  <c r="P42" i="19"/>
  <c r="Z42" i="19" s="1"/>
  <c r="P45" i="19"/>
  <c r="Z45" i="19" s="1"/>
  <c r="T45" i="19"/>
  <c r="P49" i="19"/>
  <c r="Z49" i="19" s="1"/>
  <c r="T49" i="19"/>
  <c r="P98" i="19"/>
  <c r="Z98" i="19" s="1"/>
  <c r="T98" i="19"/>
  <c r="P99" i="19"/>
  <c r="Z99" i="19" s="1"/>
  <c r="T99" i="19"/>
  <c r="P104" i="19"/>
  <c r="Z104" i="19" s="1"/>
  <c r="T104" i="19"/>
  <c r="T145" i="19"/>
  <c r="P145" i="19"/>
  <c r="Z145" i="19" s="1"/>
  <c r="T151" i="19"/>
  <c r="P151" i="19"/>
  <c r="Z151" i="19" s="1"/>
  <c r="P23" i="19"/>
  <c r="Z23" i="19" s="1"/>
  <c r="T23" i="19"/>
  <c r="L44" i="19"/>
  <c r="V44" i="19" s="1"/>
  <c r="X44" i="19"/>
  <c r="T46" i="19"/>
  <c r="P46" i="19"/>
  <c r="Z46" i="19" s="1"/>
  <c r="L48" i="19"/>
  <c r="V48" i="19" s="1"/>
  <c r="X48" i="19"/>
  <c r="Q78" i="19"/>
  <c r="T82" i="19"/>
  <c r="P82" i="19"/>
  <c r="Z82" i="19" s="1"/>
  <c r="L88" i="19"/>
  <c r="V88" i="19" s="1"/>
  <c r="X88" i="19"/>
  <c r="T114" i="19"/>
  <c r="P114" i="19"/>
  <c r="Z114" i="19" s="1"/>
  <c r="X51" i="19"/>
  <c r="Q55" i="19"/>
  <c r="T57" i="19"/>
  <c r="X59" i="19"/>
  <c r="T60" i="19"/>
  <c r="X64" i="19"/>
  <c r="T76" i="19"/>
  <c r="P76" i="19"/>
  <c r="Z76" i="19" s="1"/>
  <c r="T84" i="19"/>
  <c r="P84" i="19"/>
  <c r="Z84" i="19" s="1"/>
  <c r="T92" i="19"/>
  <c r="P92" i="19"/>
  <c r="Z92" i="19" s="1"/>
  <c r="P107" i="19"/>
  <c r="Z107" i="19" s="1"/>
  <c r="T107" i="19"/>
  <c r="T109" i="19"/>
  <c r="X115" i="19"/>
  <c r="L115" i="19"/>
  <c r="V115" i="19" s="1"/>
  <c r="P128" i="19"/>
  <c r="Z128" i="19" s="1"/>
  <c r="T128" i="19"/>
  <c r="L45" i="19"/>
  <c r="V45" i="19" s="1"/>
  <c r="L47" i="19"/>
  <c r="V47" i="19" s="1"/>
  <c r="L49" i="19"/>
  <c r="V49" i="19" s="1"/>
  <c r="M56" i="19"/>
  <c r="W56" i="19" s="1"/>
  <c r="Q58" i="19"/>
  <c r="X70" i="19"/>
  <c r="M91" i="19"/>
  <c r="W91" i="19" s="1"/>
  <c r="P94" i="19"/>
  <c r="Z94" i="19" s="1"/>
  <c r="T94" i="19"/>
  <c r="W99" i="19"/>
  <c r="P108" i="19"/>
  <c r="Z108" i="19" s="1"/>
  <c r="T108" i="19"/>
  <c r="P111" i="19"/>
  <c r="Z111" i="19" s="1"/>
  <c r="T111" i="19"/>
  <c r="T113" i="19"/>
  <c r="P130" i="19"/>
  <c r="Z130" i="19" s="1"/>
  <c r="T130" i="19"/>
  <c r="P136" i="19"/>
  <c r="Z136" i="19" s="1"/>
  <c r="T136" i="19"/>
  <c r="T140" i="19"/>
  <c r="P140" i="19"/>
  <c r="Z140" i="19" s="1"/>
  <c r="T148" i="19"/>
  <c r="P148" i="19"/>
  <c r="Z148" i="19" s="1"/>
  <c r="T37" i="18"/>
  <c r="P37" i="18"/>
  <c r="Z37" i="18" s="1"/>
  <c r="P59" i="18"/>
  <c r="Z59" i="18" s="1"/>
  <c r="T59" i="18"/>
  <c r="P61" i="18"/>
  <c r="Z61" i="18" s="1"/>
  <c r="T61" i="18"/>
  <c r="M59" i="19"/>
  <c r="W59" i="19" s="1"/>
  <c r="T78" i="19"/>
  <c r="P78" i="19"/>
  <c r="Z78" i="19" s="1"/>
  <c r="T86" i="19"/>
  <c r="P86" i="19"/>
  <c r="Z86" i="19" s="1"/>
  <c r="Q90" i="19"/>
  <c r="P95" i="19"/>
  <c r="Z95" i="19" s="1"/>
  <c r="T95" i="19"/>
  <c r="P97" i="19"/>
  <c r="Z97" i="19" s="1"/>
  <c r="T97" i="19"/>
  <c r="W100" i="19"/>
  <c r="T122" i="19"/>
  <c r="P122" i="19"/>
  <c r="Z122" i="19" s="1"/>
  <c r="T124" i="19"/>
  <c r="P124" i="19"/>
  <c r="Z124" i="19" s="1"/>
  <c r="P132" i="19"/>
  <c r="Z132" i="19" s="1"/>
  <c r="T132" i="19"/>
  <c r="L135" i="19"/>
  <c r="V135" i="19" s="1"/>
  <c r="X135" i="19"/>
  <c r="T147" i="19"/>
  <c r="P147" i="19"/>
  <c r="Z147" i="19" s="1"/>
  <c r="P36" i="18"/>
  <c r="Z36" i="18" s="1"/>
  <c r="T36" i="18"/>
  <c r="M54" i="19"/>
  <c r="W54" i="19" s="1"/>
  <c r="M77" i="19"/>
  <c r="W77" i="19" s="1"/>
  <c r="T96" i="19"/>
  <c r="P96" i="19"/>
  <c r="Z96" i="19" s="1"/>
  <c r="T112" i="19"/>
  <c r="P112" i="19"/>
  <c r="Z112" i="19" s="1"/>
  <c r="T21" i="18"/>
  <c r="P21" i="18"/>
  <c r="Z21" i="18" s="1"/>
  <c r="P25" i="18"/>
  <c r="Z25" i="18" s="1"/>
  <c r="T25" i="18"/>
  <c r="M57" i="19"/>
  <c r="W57" i="19" s="1"/>
  <c r="Q76" i="19"/>
  <c r="T80" i="19"/>
  <c r="P80" i="19"/>
  <c r="Z80" i="19" s="1"/>
  <c r="T88" i="19"/>
  <c r="P88" i="19"/>
  <c r="Z88" i="19" s="1"/>
  <c r="Q92" i="19"/>
  <c r="P103" i="19"/>
  <c r="Z103" i="19" s="1"/>
  <c r="T103" i="19"/>
  <c r="T116" i="19"/>
  <c r="P116" i="19"/>
  <c r="Z116" i="19" s="1"/>
  <c r="L131" i="19"/>
  <c r="V131" i="19" s="1"/>
  <c r="X131" i="19"/>
  <c r="P134" i="19"/>
  <c r="Z134" i="19" s="1"/>
  <c r="T134" i="19"/>
  <c r="P138" i="19"/>
  <c r="Z138" i="19" s="1"/>
  <c r="T138" i="19"/>
  <c r="T153" i="19"/>
  <c r="P153" i="19"/>
  <c r="Z153" i="19" s="1"/>
  <c r="Q54" i="19"/>
  <c r="X58" i="19"/>
  <c r="X62" i="19"/>
  <c r="Q70" i="19"/>
  <c r="X82" i="19"/>
  <c r="X90" i="19"/>
  <c r="W123" i="19"/>
  <c r="L129" i="19"/>
  <c r="V129" i="19" s="1"/>
  <c r="X129" i="19"/>
  <c r="T152" i="19"/>
  <c r="P152" i="19"/>
  <c r="Z152" i="19" s="1"/>
  <c r="L93" i="19"/>
  <c r="V93" i="19" s="1"/>
  <c r="L119" i="19"/>
  <c r="V119" i="19" s="1"/>
  <c r="L127" i="19"/>
  <c r="V127" i="19" s="1"/>
  <c r="X127" i="19"/>
  <c r="T157" i="19"/>
  <c r="P157" i="19"/>
  <c r="Z157" i="19" s="1"/>
  <c r="T161" i="19"/>
  <c r="P161" i="19"/>
  <c r="Z161" i="19" s="1"/>
  <c r="X98" i="19"/>
  <c r="L99" i="19"/>
  <c r="V99" i="19" s="1"/>
  <c r="P102" i="19"/>
  <c r="Z102" i="19" s="1"/>
  <c r="T115" i="19"/>
  <c r="T123" i="19"/>
  <c r="T133" i="19"/>
  <c r="W147" i="19"/>
  <c r="W148" i="19"/>
  <c r="W149" i="19"/>
  <c r="T101" i="19"/>
  <c r="X104" i="19"/>
  <c r="L105" i="19"/>
  <c r="V105" i="19" s="1"/>
  <c r="X108" i="19"/>
  <c r="P126" i="19"/>
  <c r="Z126" i="19" s="1"/>
  <c r="T126" i="19"/>
  <c r="T131" i="19"/>
  <c r="X94" i="19"/>
  <c r="T117" i="19"/>
  <c r="T129" i="19"/>
  <c r="M156" i="19"/>
  <c r="W156" i="19" s="1"/>
  <c r="T45" i="18"/>
  <c r="P45" i="18"/>
  <c r="Z45" i="18" s="1"/>
  <c r="T53" i="18"/>
  <c r="P53" i="18"/>
  <c r="Z53" i="18" s="1"/>
  <c r="Y77" i="19"/>
  <c r="X100" i="19"/>
  <c r="T127" i="19"/>
  <c r="P64" i="18"/>
  <c r="Z64" i="18" s="1"/>
  <c r="T64" i="18"/>
  <c r="Q99" i="19"/>
  <c r="T119" i="19"/>
  <c r="T125" i="19"/>
  <c r="L133" i="19"/>
  <c r="V133" i="19" s="1"/>
  <c r="X133" i="19"/>
  <c r="W157" i="19"/>
  <c r="T162" i="19"/>
  <c r="P162" i="19"/>
  <c r="Z162" i="19" s="1"/>
  <c r="P24" i="18"/>
  <c r="Z24" i="18" s="1"/>
  <c r="T24" i="18"/>
  <c r="T47" i="18"/>
  <c r="P47" i="18"/>
  <c r="Z47" i="18" s="1"/>
  <c r="T74" i="18"/>
  <c r="P74" i="18"/>
  <c r="Z74" i="18" s="1"/>
  <c r="P75" i="18"/>
  <c r="Z75" i="18" s="1"/>
  <c r="T75" i="18"/>
  <c r="T85" i="18"/>
  <c r="P85" i="18"/>
  <c r="Z85" i="18" s="1"/>
  <c r="P86" i="18"/>
  <c r="Z86" i="18" s="1"/>
  <c r="T86" i="18"/>
  <c r="L138" i="19"/>
  <c r="V138" i="19" s="1"/>
  <c r="X153" i="19"/>
  <c r="T163" i="19"/>
  <c r="P163" i="19"/>
  <c r="Z163" i="19" s="1"/>
  <c r="W39" i="18"/>
  <c r="L54" i="18"/>
  <c r="V54" i="18" s="1"/>
  <c r="X54" i="18"/>
  <c r="P57" i="18"/>
  <c r="Z57" i="18" s="1"/>
  <c r="T57" i="18"/>
  <c r="P67" i="18"/>
  <c r="Z67" i="18" s="1"/>
  <c r="T67" i="18"/>
  <c r="P76" i="18"/>
  <c r="Z76" i="18" s="1"/>
  <c r="T76" i="18"/>
  <c r="T83" i="18"/>
  <c r="P83" i="18"/>
  <c r="Z83" i="18" s="1"/>
  <c r="T84" i="18"/>
  <c r="P84" i="18"/>
  <c r="Z84" i="18" s="1"/>
  <c r="P156" i="19"/>
  <c r="Z156" i="19" s="1"/>
  <c r="P160" i="19"/>
  <c r="Z160" i="19" s="1"/>
  <c r="T15" i="18"/>
  <c r="P28" i="18"/>
  <c r="Z28" i="18" s="1"/>
  <c r="T28" i="18"/>
  <c r="P33" i="18"/>
  <c r="Z33" i="18" s="1"/>
  <c r="T41" i="18"/>
  <c r="P41" i="18"/>
  <c r="Z41" i="18" s="1"/>
  <c r="P43" i="18"/>
  <c r="Z43" i="18" s="1"/>
  <c r="T66" i="18"/>
  <c r="P66" i="18"/>
  <c r="Z66" i="18" s="1"/>
  <c r="P73" i="18"/>
  <c r="Z73" i="18" s="1"/>
  <c r="T73" i="18"/>
  <c r="T82" i="18"/>
  <c r="P82" i="18"/>
  <c r="Z82" i="18" s="1"/>
  <c r="L139" i="19"/>
  <c r="V139" i="19" s="1"/>
  <c r="L140" i="19"/>
  <c r="V140" i="19" s="1"/>
  <c r="L141" i="19"/>
  <c r="V141" i="19" s="1"/>
  <c r="L142" i="19"/>
  <c r="V142" i="19" s="1"/>
  <c r="L143" i="19"/>
  <c r="V143" i="19" s="1"/>
  <c r="L144" i="19"/>
  <c r="V144" i="19" s="1"/>
  <c r="L145" i="19"/>
  <c r="V145" i="19" s="1"/>
  <c r="L146" i="19"/>
  <c r="V146" i="19" s="1"/>
  <c r="L147" i="19"/>
  <c r="V147" i="19" s="1"/>
  <c r="L148" i="19"/>
  <c r="V148" i="19" s="1"/>
  <c r="L149" i="19"/>
  <c r="V149" i="19" s="1"/>
  <c r="L150" i="19"/>
  <c r="V150" i="19" s="1"/>
  <c r="L151" i="19"/>
  <c r="V151" i="19" s="1"/>
  <c r="L152" i="19"/>
  <c r="V152" i="19" s="1"/>
  <c r="W155" i="19"/>
  <c r="P168" i="19"/>
  <c r="Z168" i="19" s="1"/>
  <c r="P19" i="18"/>
  <c r="Z19" i="18" s="1"/>
  <c r="W27" i="18"/>
  <c r="Q37" i="18"/>
  <c r="AA37" i="18" s="1"/>
  <c r="Y37" i="18"/>
  <c r="T72" i="18"/>
  <c r="P72" i="18"/>
  <c r="Z72" i="18" s="1"/>
  <c r="P99" i="18"/>
  <c r="Z99" i="18" s="1"/>
  <c r="T99" i="18"/>
  <c r="T17" i="18"/>
  <c r="P17" i="18"/>
  <c r="Z17" i="18" s="1"/>
  <c r="P32" i="18"/>
  <c r="Z32" i="18" s="1"/>
  <c r="T32" i="18"/>
  <c r="T49" i="18"/>
  <c r="P49" i="18"/>
  <c r="Z49" i="18" s="1"/>
  <c r="P51" i="18"/>
  <c r="Z51" i="18" s="1"/>
  <c r="P80" i="18"/>
  <c r="Z80" i="18" s="1"/>
  <c r="T80" i="18"/>
  <c r="T154" i="19"/>
  <c r="P154" i="19"/>
  <c r="Z154" i="19" s="1"/>
  <c r="P18" i="18"/>
  <c r="Z18" i="18" s="1"/>
  <c r="T18" i="18"/>
  <c r="T92" i="18"/>
  <c r="P92" i="18"/>
  <c r="Z92" i="18" s="1"/>
  <c r="Y14" i="18"/>
  <c r="T16" i="18"/>
  <c r="W24" i="18"/>
  <c r="AA26" i="18"/>
  <c r="AA38" i="18"/>
  <c r="L70" i="18"/>
  <c r="V70" i="18" s="1"/>
  <c r="X70" i="18"/>
  <c r="T91" i="18"/>
  <c r="P91" i="18"/>
  <c r="Z91" i="18" s="1"/>
  <c r="X112" i="18"/>
  <c r="L112" i="18"/>
  <c r="V112" i="18" s="1"/>
  <c r="T165" i="19"/>
  <c r="U13" i="18"/>
  <c r="AA14" i="18"/>
  <c r="M15" i="18"/>
  <c r="W15" i="18" s="1"/>
  <c r="U15" i="18"/>
  <c r="P23" i="18"/>
  <c r="Z23" i="18" s="1"/>
  <c r="T26" i="18"/>
  <c r="T30" i="18"/>
  <c r="T34" i="18"/>
  <c r="T38" i="18"/>
  <c r="X57" i="18"/>
  <c r="L57" i="18"/>
  <c r="V57" i="18" s="1"/>
  <c r="T68" i="18"/>
  <c r="P68" i="18"/>
  <c r="Z68" i="18" s="1"/>
  <c r="T77" i="18"/>
  <c r="P77" i="18"/>
  <c r="Z77" i="18" s="1"/>
  <c r="AA110" i="18"/>
  <c r="P164" i="19"/>
  <c r="Z164" i="19" s="1"/>
  <c r="T167" i="19"/>
  <c r="T169" i="19"/>
  <c r="T171" i="19"/>
  <c r="Y13" i="18"/>
  <c r="T14" i="18"/>
  <c r="M25" i="18"/>
  <c r="W25" i="18" s="1"/>
  <c r="U25" i="18"/>
  <c r="Y25" i="18"/>
  <c r="U26" i="18"/>
  <c r="AA27" i="18"/>
  <c r="U38" i="18"/>
  <c r="AA39" i="18"/>
  <c r="T44" i="18"/>
  <c r="P58" i="18"/>
  <c r="Z58" i="18" s="1"/>
  <c r="W61" i="18"/>
  <c r="X73" i="18"/>
  <c r="L73" i="18"/>
  <c r="V73" i="18" s="1"/>
  <c r="W13" i="18"/>
  <c r="U14" i="18"/>
  <c r="Q24" i="18"/>
  <c r="AA24" i="18" s="1"/>
  <c r="Y24" i="18"/>
  <c r="P27" i="18"/>
  <c r="Z27" i="18" s="1"/>
  <c r="P31" i="18"/>
  <c r="Z31" i="18" s="1"/>
  <c r="P35" i="18"/>
  <c r="Z35" i="18" s="1"/>
  <c r="W37" i="18"/>
  <c r="P39" i="18"/>
  <c r="Z39" i="18" s="1"/>
  <c r="X55" i="18"/>
  <c r="P78" i="18"/>
  <c r="Z78" i="18" s="1"/>
  <c r="T78" i="18"/>
  <c r="T94" i="18"/>
  <c r="P94" i="18"/>
  <c r="Z94" i="18" s="1"/>
  <c r="T107" i="18"/>
  <c r="P107" i="18"/>
  <c r="Z107" i="18" s="1"/>
  <c r="T109" i="18"/>
  <c r="P109" i="18"/>
  <c r="Z109" i="18" s="1"/>
  <c r="T42" i="18"/>
  <c r="T50" i="18"/>
  <c r="AA62" i="18"/>
  <c r="P65" i="18"/>
  <c r="Z65" i="18" s="1"/>
  <c r="T65" i="18"/>
  <c r="X71" i="18"/>
  <c r="L87" i="18"/>
  <c r="V87" i="18" s="1"/>
  <c r="X87" i="18"/>
  <c r="AA13" i="18"/>
  <c r="W14" i="18"/>
  <c r="AA25" i="18"/>
  <c r="W26" i="18"/>
  <c r="W38" i="18"/>
  <c r="AA68" i="18"/>
  <c r="T81" i="18"/>
  <c r="P81" i="18"/>
  <c r="Z81" i="18" s="1"/>
  <c r="P89" i="18"/>
  <c r="Z89" i="18" s="1"/>
  <c r="X93" i="18"/>
  <c r="L93" i="18"/>
  <c r="V93" i="18" s="1"/>
  <c r="T104" i="18"/>
  <c r="P104" i="18"/>
  <c r="Z104" i="18" s="1"/>
  <c r="P54" i="18"/>
  <c r="Z54" i="18" s="1"/>
  <c r="P70" i="18"/>
  <c r="Z70" i="18" s="1"/>
  <c r="M62" i="18"/>
  <c r="W62" i="18" s="1"/>
  <c r="U62" i="18"/>
  <c r="X62" i="18"/>
  <c r="L63" i="18"/>
  <c r="V63" i="18" s="1"/>
  <c r="Q69" i="18"/>
  <c r="AA69" i="18" s="1"/>
  <c r="Y69" i="18"/>
  <c r="X76" i="18"/>
  <c r="L77" i="18"/>
  <c r="V77" i="18" s="1"/>
  <c r="T87" i="18"/>
  <c r="X91" i="18"/>
  <c r="L91" i="18"/>
  <c r="V91" i="18" s="1"/>
  <c r="T101" i="18"/>
  <c r="T55" i="18"/>
  <c r="X60" i="18"/>
  <c r="L61" i="18"/>
  <c r="V61" i="18" s="1"/>
  <c r="Y62" i="18"/>
  <c r="T71" i="18"/>
  <c r="T96" i="18"/>
  <c r="P96" i="18"/>
  <c r="Z96" i="18" s="1"/>
  <c r="Y26" i="18"/>
  <c r="U27" i="18"/>
  <c r="U37" i="18"/>
  <c r="Y38" i="18"/>
  <c r="U39" i="18"/>
  <c r="X58" i="18"/>
  <c r="T69" i="18"/>
  <c r="X74" i="18"/>
  <c r="P126" i="18"/>
  <c r="Z126" i="18" s="1"/>
  <c r="T126" i="18"/>
  <c r="P131" i="18"/>
  <c r="Z131" i="18" s="1"/>
  <c r="T131" i="18"/>
  <c r="P133" i="18"/>
  <c r="Z133" i="18" s="1"/>
  <c r="T133" i="18"/>
  <c r="P135" i="18"/>
  <c r="Z135" i="18" s="1"/>
  <c r="T135" i="18"/>
  <c r="Q86" i="18"/>
  <c r="AA86" i="18" s="1"/>
  <c r="Y86" i="18"/>
  <c r="T90" i="18"/>
  <c r="P90" i="18"/>
  <c r="Z90" i="18" s="1"/>
  <c r="T102" i="18"/>
  <c r="P102" i="18"/>
  <c r="Z102" i="18" s="1"/>
  <c r="P128" i="18"/>
  <c r="Z128" i="18" s="1"/>
  <c r="T128" i="18"/>
  <c r="Q61" i="18"/>
  <c r="AA61" i="18" s="1"/>
  <c r="Y61" i="18"/>
  <c r="Y85" i="18"/>
  <c r="AA109" i="18"/>
  <c r="X110" i="18"/>
  <c r="L110" i="18"/>
  <c r="V110" i="18" s="1"/>
  <c r="X86" i="18"/>
  <c r="T88" i="18"/>
  <c r="T100" i="18"/>
  <c r="P100" i="18"/>
  <c r="Z100" i="18" s="1"/>
  <c r="P106" i="18"/>
  <c r="Z106" i="18" s="1"/>
  <c r="T111" i="18"/>
  <c r="P111" i="18"/>
  <c r="Z111" i="18" s="1"/>
  <c r="X114" i="18"/>
  <c r="L114" i="18"/>
  <c r="V114" i="18" s="1"/>
  <c r="T117" i="18"/>
  <c r="P117" i="18"/>
  <c r="Z117" i="18" s="1"/>
  <c r="L80" i="18"/>
  <c r="V80" i="18" s="1"/>
  <c r="X89" i="18"/>
  <c r="L89" i="18"/>
  <c r="V89" i="18" s="1"/>
  <c r="T98" i="18"/>
  <c r="P98" i="18"/>
  <c r="Z98" i="18" s="1"/>
  <c r="X108" i="18"/>
  <c r="L108" i="18"/>
  <c r="V108" i="18" s="1"/>
  <c r="T113" i="18"/>
  <c r="P113" i="18"/>
  <c r="Z113" i="18" s="1"/>
  <c r="T119" i="18"/>
  <c r="T138" i="18"/>
  <c r="P138" i="18"/>
  <c r="Z138" i="18" s="1"/>
  <c r="W110" i="18"/>
  <c r="X116" i="18"/>
  <c r="L116" i="18"/>
  <c r="V116" i="18" s="1"/>
  <c r="L132" i="18"/>
  <c r="V132" i="18" s="1"/>
  <c r="X132" i="18"/>
  <c r="L134" i="18"/>
  <c r="V134" i="18" s="1"/>
  <c r="X134" i="18"/>
  <c r="T141" i="18"/>
  <c r="P127" i="18"/>
  <c r="Z127" i="18" s="1"/>
  <c r="T127" i="18"/>
  <c r="Y134" i="18"/>
  <c r="Q134" i="18"/>
  <c r="AA134" i="18" s="1"/>
  <c r="T115" i="18"/>
  <c r="P115" i="18"/>
  <c r="Z115" i="18" s="1"/>
  <c r="L95" i="18"/>
  <c r="V95" i="18" s="1"/>
  <c r="L97" i="18"/>
  <c r="V97" i="18" s="1"/>
  <c r="L99" i="18"/>
  <c r="V99" i="18" s="1"/>
  <c r="L101" i="18"/>
  <c r="V101" i="18" s="1"/>
  <c r="L103" i="18"/>
  <c r="V103" i="18" s="1"/>
  <c r="L105" i="18"/>
  <c r="V105" i="18" s="1"/>
  <c r="P108" i="18"/>
  <c r="Z108" i="18" s="1"/>
  <c r="P110" i="18"/>
  <c r="Z110" i="18" s="1"/>
  <c r="P112" i="18"/>
  <c r="Z112" i="18" s="1"/>
  <c r="P114" i="18"/>
  <c r="Z114" i="18" s="1"/>
  <c r="P116" i="18"/>
  <c r="Z116" i="18" s="1"/>
  <c r="T120" i="18"/>
  <c r="X136" i="18"/>
  <c r="P169" i="18"/>
  <c r="Z169" i="18" s="1"/>
  <c r="T169" i="18"/>
  <c r="T118" i="18"/>
  <c r="X122" i="18"/>
  <c r="T129" i="18"/>
  <c r="T136" i="18"/>
  <c r="P136" i="18"/>
  <c r="Z136" i="18" s="1"/>
  <c r="T139" i="18"/>
  <c r="T168" i="18"/>
  <c r="P168" i="18"/>
  <c r="Z168" i="18" s="1"/>
  <c r="T132" i="18"/>
  <c r="T145" i="18"/>
  <c r="T146" i="18"/>
  <c r="T147" i="18"/>
  <c r="T148" i="18"/>
  <c r="T149" i="18"/>
  <c r="T150" i="18"/>
  <c r="T151" i="18"/>
  <c r="P167" i="18"/>
  <c r="Z167" i="18" s="1"/>
  <c r="T167" i="18"/>
  <c r="U110" i="18"/>
  <c r="T125" i="18"/>
  <c r="T130" i="18"/>
  <c r="T134" i="18"/>
  <c r="P134" i="18"/>
  <c r="Z134" i="18" s="1"/>
  <c r="T137" i="18"/>
  <c r="P144" i="18"/>
  <c r="Z144" i="18" s="1"/>
  <c r="T144" i="18"/>
  <c r="X130" i="18"/>
  <c r="T140" i="18"/>
  <c r="P140" i="18"/>
  <c r="Z140" i="18" s="1"/>
  <c r="T166" i="18"/>
  <c r="P166" i="18"/>
  <c r="Z166" i="18" s="1"/>
  <c r="T164" i="18"/>
  <c r="P164" i="18"/>
  <c r="Z164" i="18" s="1"/>
  <c r="T174" i="18"/>
  <c r="P174" i="18"/>
  <c r="Z174" i="18" s="1"/>
  <c r="AA167" i="18"/>
  <c r="T172" i="18"/>
  <c r="P172" i="18"/>
  <c r="Z172" i="18" s="1"/>
  <c r="Y133" i="18"/>
  <c r="AA165" i="18"/>
  <c r="Q166" i="18"/>
  <c r="AA166" i="18" s="1"/>
  <c r="Y166" i="18"/>
  <c r="X143" i="18"/>
  <c r="Q156" i="18"/>
  <c r="AA156" i="18" s="1"/>
  <c r="Y156" i="18"/>
  <c r="Q157" i="18"/>
  <c r="AA157" i="18" s="1"/>
  <c r="Y157" i="18"/>
  <c r="Q158" i="18"/>
  <c r="AA158" i="18" s="1"/>
  <c r="Y158" i="18"/>
  <c r="T170" i="18"/>
  <c r="P170" i="18"/>
  <c r="Z170" i="18" s="1"/>
  <c r="Y165" i="18"/>
  <c r="Y167" i="18"/>
  <c r="D4" i="34"/>
  <c r="D3" i="34"/>
  <c r="D3" i="35"/>
  <c r="P12" i="33"/>
  <c r="Z12" i="33" s="1"/>
  <c r="T12" i="33"/>
  <c r="D3" i="27"/>
  <c r="D4" i="27"/>
  <c r="J27" i="27" s="1"/>
  <c r="T27" i="27" s="1"/>
  <c r="D3" i="22"/>
  <c r="M11" i="34"/>
  <c r="W11" i="34" s="1"/>
  <c r="U11" i="34"/>
  <c r="T11" i="33"/>
  <c r="M12" i="33"/>
  <c r="W12" i="33" s="1"/>
  <c r="U12" i="33"/>
  <c r="Y12" i="33"/>
  <c r="U11" i="33"/>
  <c r="Q11" i="33"/>
  <c r="AA11" i="33" s="1"/>
  <c r="Y11" i="33"/>
  <c r="D3" i="33"/>
  <c r="L11" i="34"/>
  <c r="V11" i="34" s="1"/>
  <c r="Y11" i="34"/>
  <c r="Y12" i="34"/>
  <c r="U12" i="34"/>
  <c r="T11" i="34"/>
  <c r="W12" i="34"/>
  <c r="W6" i="35"/>
  <c r="AA6" i="35"/>
  <c r="Y6" i="35"/>
  <c r="Y12" i="35" s="1"/>
  <c r="U12" i="35"/>
  <c r="M12" i="35"/>
  <c r="W12" i="35" s="1"/>
  <c r="T11" i="35"/>
  <c r="L12" i="35"/>
  <c r="V12" i="35" s="1"/>
  <c r="X12" i="35"/>
  <c r="Q12" i="35"/>
  <c r="U11" i="35"/>
  <c r="D4" i="36"/>
  <c r="D3" i="36"/>
  <c r="T12" i="36"/>
  <c r="P12" i="36"/>
  <c r="Z12" i="36" s="1"/>
  <c r="Q11" i="36"/>
  <c r="Y11" i="36"/>
  <c r="P11" i="36"/>
  <c r="Z11" i="36" s="1"/>
  <c r="W12" i="36"/>
  <c r="Y12" i="36"/>
  <c r="AA12" i="36"/>
  <c r="W11" i="36"/>
  <c r="D3" i="21"/>
  <c r="D4" i="21"/>
  <c r="D4" i="25"/>
  <c r="AA6" i="25"/>
  <c r="Y6" i="25"/>
  <c r="W6" i="25"/>
  <c r="U6" i="25"/>
  <c r="P223" i="27"/>
  <c r="Z223" i="27" s="1"/>
  <c r="T223" i="27"/>
  <c r="M11" i="26"/>
  <c r="T214" i="27"/>
  <c r="P214" i="27"/>
  <c r="Z214" i="27" s="1"/>
  <c r="M219" i="27"/>
  <c r="U219" i="27"/>
  <c r="D4" i="26"/>
  <c r="D3" i="26"/>
  <c r="T210" i="27"/>
  <c r="P210" i="27"/>
  <c r="Z210" i="27" s="1"/>
  <c r="T212" i="27"/>
  <c r="P212" i="27"/>
  <c r="Z212" i="27" s="1"/>
  <c r="L221" i="27"/>
  <c r="V221" i="27" s="1"/>
  <c r="X221" i="27"/>
  <c r="U233" i="27"/>
  <c r="M233" i="27"/>
  <c r="Y12" i="28"/>
  <c r="Q12" i="28"/>
  <c r="AA12" i="28" s="1"/>
  <c r="Y11" i="26"/>
  <c r="Q12" i="26"/>
  <c r="AA12" i="26" s="1"/>
  <c r="Y12" i="26"/>
  <c r="T249" i="27"/>
  <c r="P249" i="27"/>
  <c r="Z249" i="27" s="1"/>
  <c r="T12" i="26"/>
  <c r="P11" i="27"/>
  <c r="Z11" i="27" s="1"/>
  <c r="T11" i="27"/>
  <c r="P211" i="27"/>
  <c r="Z211" i="27" s="1"/>
  <c r="T211" i="27"/>
  <c r="T213" i="27"/>
  <c r="P213" i="27"/>
  <c r="Z213" i="27" s="1"/>
  <c r="T227" i="27"/>
  <c r="P227" i="27"/>
  <c r="Z227" i="27" s="1"/>
  <c r="T229" i="27"/>
  <c r="P229" i="27"/>
  <c r="Z229" i="27" s="1"/>
  <c r="P231" i="27"/>
  <c r="Z231" i="27" s="1"/>
  <c r="T231" i="27"/>
  <c r="T243" i="27"/>
  <c r="P243" i="27"/>
  <c r="Z243" i="27" s="1"/>
  <c r="P11" i="26"/>
  <c r="Z11" i="26" s="1"/>
  <c r="U11" i="27"/>
  <c r="M11" i="27"/>
  <c r="P226" i="27"/>
  <c r="Z226" i="27" s="1"/>
  <c r="T226" i="27"/>
  <c r="T228" i="27"/>
  <c r="P228" i="27"/>
  <c r="Z228" i="27" s="1"/>
  <c r="P233" i="27"/>
  <c r="Z233" i="27" s="1"/>
  <c r="T233" i="27"/>
  <c r="T235" i="27"/>
  <c r="P235" i="27"/>
  <c r="Z235" i="27" s="1"/>
  <c r="L240" i="27"/>
  <c r="V240" i="27" s="1"/>
  <c r="X240" i="27"/>
  <c r="Q204" i="27"/>
  <c r="AA204" i="27" s="1"/>
  <c r="P208" i="27"/>
  <c r="Z208" i="27" s="1"/>
  <c r="T208" i="27"/>
  <c r="T225" i="27"/>
  <c r="P225" i="27"/>
  <c r="Z225" i="27" s="1"/>
  <c r="P236" i="27"/>
  <c r="Z236" i="27" s="1"/>
  <c r="T236" i="27"/>
  <c r="T237" i="27"/>
  <c r="P237" i="27"/>
  <c r="Z237" i="27" s="1"/>
  <c r="Y11" i="28"/>
  <c r="T205" i="27"/>
  <c r="T216" i="27"/>
  <c r="P216" i="27"/>
  <c r="Z216" i="27" s="1"/>
  <c r="AA220" i="27"/>
  <c r="P221" i="27"/>
  <c r="Z221" i="27" s="1"/>
  <c r="Q247" i="27"/>
  <c r="AA247" i="27" s="1"/>
  <c r="Y247" i="27"/>
  <c r="U249" i="27"/>
  <c r="AA249" i="27"/>
  <c r="T253" i="27"/>
  <c r="P253" i="27"/>
  <c r="Z253" i="27" s="1"/>
  <c r="T206" i="27"/>
  <c r="P215" i="27"/>
  <c r="Z215" i="27" s="1"/>
  <c r="T215" i="27"/>
  <c r="T218" i="27"/>
  <c r="P218" i="27"/>
  <c r="Z218" i="27" s="1"/>
  <c r="AA225" i="27"/>
  <c r="P230" i="27"/>
  <c r="Z230" i="27" s="1"/>
  <c r="T230" i="27"/>
  <c r="T178" i="28"/>
  <c r="P178" i="28"/>
  <c r="Z178" i="28" s="1"/>
  <c r="W6" i="26"/>
  <c r="W41" i="26" s="1"/>
  <c r="AA245" i="27"/>
  <c r="AA233" i="27"/>
  <c r="Y11" i="27"/>
  <c r="U203" i="27"/>
  <c r="T207" i="27"/>
  <c r="T220" i="27"/>
  <c r="P220" i="27"/>
  <c r="Z220" i="27" s="1"/>
  <c r="Y220" i="27"/>
  <c r="AA224" i="27"/>
  <c r="Y234" i="27"/>
  <c r="Q234" i="27"/>
  <c r="AA234" i="27" s="1"/>
  <c r="T250" i="27"/>
  <c r="P250" i="27"/>
  <c r="Z250" i="27" s="1"/>
  <c r="U234" i="27"/>
  <c r="U248" i="27"/>
  <c r="Q11" i="27"/>
  <c r="AA11" i="27" s="1"/>
  <c r="M12" i="27"/>
  <c r="M203" i="27"/>
  <c r="M204" i="27"/>
  <c r="U204" i="27"/>
  <c r="P219" i="27"/>
  <c r="Z219" i="27" s="1"/>
  <c r="T219" i="27"/>
  <c r="T222" i="27"/>
  <c r="P222" i="27"/>
  <c r="Z222" i="27" s="1"/>
  <c r="X225" i="27"/>
  <c r="Q235" i="27"/>
  <c r="AA235" i="27" s="1"/>
  <c r="Y235" i="27"/>
  <c r="P239" i="27"/>
  <c r="Z239" i="27" s="1"/>
  <c r="T239" i="27"/>
  <c r="L244" i="27"/>
  <c r="V244" i="27" s="1"/>
  <c r="X244" i="27"/>
  <c r="Y245" i="27"/>
  <c r="T209" i="27"/>
  <c r="P209" i="27"/>
  <c r="Z209" i="27" s="1"/>
  <c r="U220" i="27"/>
  <c r="T224" i="27"/>
  <c r="P224" i="27"/>
  <c r="Z224" i="27" s="1"/>
  <c r="Y224" i="27"/>
  <c r="T255" i="27"/>
  <c r="P255" i="27"/>
  <c r="Z255" i="27" s="1"/>
  <c r="Y225" i="27"/>
  <c r="Y249" i="27"/>
  <c r="AA11" i="28"/>
  <c r="W6" i="27"/>
  <c r="L208" i="27"/>
  <c r="V208" i="27" s="1"/>
  <c r="L211" i="27"/>
  <c r="V211" i="27" s="1"/>
  <c r="L215" i="27"/>
  <c r="V215" i="27" s="1"/>
  <c r="L219" i="27"/>
  <c r="V219" i="27" s="1"/>
  <c r="L223" i="27"/>
  <c r="V223" i="27" s="1"/>
  <c r="L226" i="27"/>
  <c r="V226" i="27" s="1"/>
  <c r="L230" i="27"/>
  <c r="V230" i="27" s="1"/>
  <c r="L232" i="27"/>
  <c r="V232" i="27" s="1"/>
  <c r="Y233" i="27"/>
  <c r="T244" i="27"/>
  <c r="P247" i="27"/>
  <c r="Z247" i="27" s="1"/>
  <c r="T176" i="28"/>
  <c r="P176" i="28"/>
  <c r="Z176" i="28" s="1"/>
  <c r="U245" i="27"/>
  <c r="Y246" i="27"/>
  <c r="Y219" i="27"/>
  <c r="U235" i="27"/>
  <c r="Y236" i="27"/>
  <c r="T240" i="27"/>
  <c r="M245" i="27"/>
  <c r="Q246" i="27"/>
  <c r="AA246" i="27" s="1"/>
  <c r="D4" i="28"/>
  <c r="D3" i="28"/>
  <c r="T182" i="28"/>
  <c r="P182" i="28"/>
  <c r="Z182" i="28" s="1"/>
  <c r="U225" i="27"/>
  <c r="AA236" i="27"/>
  <c r="Y248" i="27"/>
  <c r="T12" i="28"/>
  <c r="P12" i="28"/>
  <c r="Z12" i="28" s="1"/>
  <c r="T180" i="28"/>
  <c r="P180" i="28"/>
  <c r="Z180" i="28" s="1"/>
  <c r="U246" i="27"/>
  <c r="U247" i="27"/>
  <c r="AA248" i="27"/>
  <c r="U12" i="28"/>
  <c r="M11" i="28"/>
  <c r="W6" i="28"/>
  <c r="X12" i="29"/>
  <c r="L12" i="29"/>
  <c r="V12" i="29" s="1"/>
  <c r="T11" i="29"/>
  <c r="P11" i="29"/>
  <c r="Z11" i="29" s="1"/>
  <c r="D4" i="29"/>
  <c r="D3" i="29"/>
  <c r="AA6" i="29"/>
  <c r="AA16" i="29" s="1"/>
  <c r="Y6" i="29"/>
  <c r="W6" i="29"/>
  <c r="W14" i="29" s="1"/>
  <c r="U6" i="29"/>
  <c r="T12" i="29"/>
  <c r="P12" i="29"/>
  <c r="Z12" i="29" s="1"/>
  <c r="U11" i="29"/>
  <c r="T11" i="30"/>
  <c r="X11" i="30"/>
  <c r="D3" i="30"/>
  <c r="M11" i="30"/>
  <c r="U11" i="30"/>
  <c r="Y6" i="30"/>
  <c r="W6" i="30"/>
  <c r="Q11" i="30"/>
  <c r="M12" i="30"/>
  <c r="U12" i="30"/>
  <c r="AA6" i="30"/>
  <c r="D4" i="31"/>
  <c r="D3" i="31"/>
  <c r="AA6" i="31"/>
  <c r="AA72" i="31" s="1"/>
  <c r="Y6" i="31"/>
  <c r="Y72" i="31" s="1"/>
  <c r="W6" i="31"/>
  <c r="W72" i="31" s="1"/>
  <c r="U6" i="31"/>
  <c r="U72" i="31" s="1"/>
  <c r="P11" i="31"/>
  <c r="Z11" i="31" s="1"/>
  <c r="T11" i="31"/>
  <c r="T12" i="32"/>
  <c r="P12" i="32"/>
  <c r="Z12" i="32" s="1"/>
  <c r="P11" i="32"/>
  <c r="Z11" i="32" s="1"/>
  <c r="T11" i="32"/>
  <c r="D3" i="32"/>
  <c r="D4" i="32"/>
  <c r="W11" i="32"/>
  <c r="AA6" i="32"/>
  <c r="Y6" i="32"/>
  <c r="Y11" i="32"/>
  <c r="U12" i="32"/>
  <c r="Q11" i="21"/>
  <c r="AA11" i="21" s="1"/>
  <c r="T11" i="21"/>
  <c r="Q12" i="21"/>
  <c r="AA12" i="21" s="1"/>
  <c r="Y12" i="21"/>
  <c r="T179" i="22"/>
  <c r="P179" i="22"/>
  <c r="Z179" i="22" s="1"/>
  <c r="P199" i="22"/>
  <c r="Z199" i="22" s="1"/>
  <c r="T199" i="22"/>
  <c r="T12" i="21"/>
  <c r="T180" i="22"/>
  <c r="P180" i="22"/>
  <c r="Z180" i="22" s="1"/>
  <c r="M11" i="21"/>
  <c r="W11" i="21" s="1"/>
  <c r="U11" i="21"/>
  <c r="P211" i="22"/>
  <c r="Z211" i="22" s="1"/>
  <c r="T211" i="22"/>
  <c r="U12" i="21"/>
  <c r="P207" i="22"/>
  <c r="Z207" i="22" s="1"/>
  <c r="T207" i="22"/>
  <c r="AA11" i="22"/>
  <c r="P12" i="22"/>
  <c r="Z12" i="22" s="1"/>
  <c r="T12" i="22"/>
  <c r="AA12" i="22"/>
  <c r="P178" i="22"/>
  <c r="Z178" i="22" s="1"/>
  <c r="T178" i="22"/>
  <c r="AA176" i="22"/>
  <c r="P184" i="22"/>
  <c r="Z184" i="22" s="1"/>
  <c r="T184" i="22"/>
  <c r="P188" i="22"/>
  <c r="Z188" i="22" s="1"/>
  <c r="T188" i="22"/>
  <c r="T217" i="22"/>
  <c r="P221" i="22"/>
  <c r="Z221" i="22" s="1"/>
  <c r="T221" i="22"/>
  <c r="P185" i="22"/>
  <c r="Z185" i="22" s="1"/>
  <c r="T185" i="22"/>
  <c r="AA274" i="22"/>
  <c r="X176" i="22"/>
  <c r="W202" i="22"/>
  <c r="T177" i="22"/>
  <c r="P177" i="22"/>
  <c r="Z177" i="22" s="1"/>
  <c r="Y178" i="22"/>
  <c r="P183" i="22"/>
  <c r="Z183" i="22" s="1"/>
  <c r="P186" i="22"/>
  <c r="Z186" i="22" s="1"/>
  <c r="T186" i="22"/>
  <c r="T197" i="22"/>
  <c r="T201" i="22"/>
  <c r="T205" i="22"/>
  <c r="W176" i="22"/>
  <c r="AA178" i="22"/>
  <c r="W238" i="22"/>
  <c r="Y299" i="22"/>
  <c r="Y12" i="22"/>
  <c r="Y11" i="22"/>
  <c r="L11" i="22"/>
  <c r="V11" i="22" s="1"/>
  <c r="X11" i="22"/>
  <c r="P181" i="22"/>
  <c r="Z181" i="22" s="1"/>
  <c r="P187" i="22"/>
  <c r="Z187" i="22" s="1"/>
  <c r="T187" i="22"/>
  <c r="T193" i="22"/>
  <c r="Y226" i="22"/>
  <c r="W262" i="22"/>
  <c r="AA286" i="22"/>
  <c r="P11" i="22"/>
  <c r="Z11" i="22" s="1"/>
  <c r="L12" i="22"/>
  <c r="V12" i="22" s="1"/>
  <c r="P176" i="22"/>
  <c r="Z176" i="22" s="1"/>
  <c r="Y190" i="22"/>
  <c r="Y204" i="22"/>
  <c r="Y206" i="22"/>
  <c r="Y212" i="22"/>
  <c r="AA226" i="22"/>
  <c r="T176" i="23"/>
  <c r="P176" i="23"/>
  <c r="Z176" i="23" s="1"/>
  <c r="Y177" i="22"/>
  <c r="W178" i="22"/>
  <c r="Q190" i="22"/>
  <c r="AA190" i="22" s="1"/>
  <c r="AA204" i="22"/>
  <c r="AA206" i="22"/>
  <c r="AA212" i="22"/>
  <c r="AA214" i="22"/>
  <c r="W227" i="22"/>
  <c r="T298" i="22"/>
  <c r="P298" i="22"/>
  <c r="Z298" i="22" s="1"/>
  <c r="T180" i="23"/>
  <c r="P180" i="23"/>
  <c r="Z180" i="23" s="1"/>
  <c r="T190" i="22"/>
  <c r="T192" i="22"/>
  <c r="T194" i="22"/>
  <c r="T196" i="22"/>
  <c r="T200" i="22"/>
  <c r="T202" i="22"/>
  <c r="W203" i="22"/>
  <c r="T204" i="22"/>
  <c r="T208" i="22"/>
  <c r="M215" i="22"/>
  <c r="W215" i="22" s="1"/>
  <c r="Q238" i="22"/>
  <c r="AA238" i="22" s="1"/>
  <c r="Y250" i="22"/>
  <c r="Q250" i="22"/>
  <c r="AA250" i="22" s="1"/>
  <c r="Q302" i="22"/>
  <c r="AA302" i="22" s="1"/>
  <c r="Y302" i="22"/>
  <c r="U6" i="22"/>
  <c r="Q227" i="22"/>
  <c r="AA227" i="22" s="1"/>
  <c r="Y227" i="22"/>
  <c r="W12" i="23"/>
  <c r="U202" i="22"/>
  <c r="Y207" i="22"/>
  <c r="Y211" i="22"/>
  <c r="Y213" i="22"/>
  <c r="Y215" i="22"/>
  <c r="M226" i="22"/>
  <c r="W226" i="22" s="1"/>
  <c r="Q207" i="22"/>
  <c r="AA207" i="22" s="1"/>
  <c r="Q211" i="22"/>
  <c r="AA211" i="22" s="1"/>
  <c r="Q213" i="22"/>
  <c r="AA213" i="22" s="1"/>
  <c r="Q215" i="22"/>
  <c r="AA215" i="22" s="1"/>
  <c r="Y240" i="22"/>
  <c r="U262" i="22"/>
  <c r="W275" i="22"/>
  <c r="W300" i="22"/>
  <c r="P301" i="22"/>
  <c r="Z301" i="22" s="1"/>
  <c r="T301" i="22"/>
  <c r="T191" i="23"/>
  <c r="P191" i="23"/>
  <c r="Z191" i="23" s="1"/>
  <c r="Q262" i="22"/>
  <c r="AA262" i="22" s="1"/>
  <c r="Y262" i="22"/>
  <c r="AA275" i="22"/>
  <c r="AA287" i="22"/>
  <c r="AA299" i="22"/>
  <c r="L189" i="23"/>
  <c r="V189" i="23" s="1"/>
  <c r="X189" i="23"/>
  <c r="U238" i="22"/>
  <c r="U264" i="22"/>
  <c r="Y288" i="22"/>
  <c r="Y300" i="22"/>
  <c r="T304" i="22"/>
  <c r="P184" i="23"/>
  <c r="Z184" i="23" s="1"/>
  <c r="T184" i="23"/>
  <c r="Y251" i="22"/>
  <c r="W274" i="22"/>
  <c r="W286" i="22"/>
  <c r="W298" i="22"/>
  <c r="Q300" i="22"/>
  <c r="AA300" i="22" s="1"/>
  <c r="T174" i="23"/>
  <c r="P174" i="23"/>
  <c r="Z174" i="23" s="1"/>
  <c r="Q251" i="22"/>
  <c r="AA251" i="22" s="1"/>
  <c r="M265" i="22"/>
  <c r="W265" i="22" s="1"/>
  <c r="U265" i="22"/>
  <c r="T300" i="22"/>
  <c r="P300" i="22"/>
  <c r="Z300" i="22" s="1"/>
  <c r="T307" i="22"/>
  <c r="T187" i="23"/>
  <c r="P187" i="23"/>
  <c r="Z187" i="23" s="1"/>
  <c r="U275" i="22"/>
  <c r="U287" i="22"/>
  <c r="Y298" i="22"/>
  <c r="U299" i="22"/>
  <c r="W302" i="22"/>
  <c r="T306" i="22"/>
  <c r="P306" i="22"/>
  <c r="Z306" i="22" s="1"/>
  <c r="D4" i="23"/>
  <c r="D3" i="23"/>
  <c r="Y286" i="22"/>
  <c r="Q298" i="22"/>
  <c r="AA298" i="22" s="1"/>
  <c r="M299" i="22"/>
  <c r="W299" i="22" s="1"/>
  <c r="X179" i="23"/>
  <c r="L179" i="23"/>
  <c r="V179" i="23" s="1"/>
  <c r="L299" i="22"/>
  <c r="V299" i="22" s="1"/>
  <c r="AA6" i="23"/>
  <c r="Y6" i="23"/>
  <c r="U6" i="23"/>
  <c r="P177" i="23"/>
  <c r="Z177" i="23" s="1"/>
  <c r="L183" i="23"/>
  <c r="V183" i="23" s="1"/>
  <c r="X183" i="23"/>
  <c r="P190" i="23"/>
  <c r="Z190" i="23" s="1"/>
  <c r="T190" i="23"/>
  <c r="P302" i="22"/>
  <c r="Z302" i="22" s="1"/>
  <c r="P11" i="23"/>
  <c r="Z11" i="23" s="1"/>
  <c r="P183" i="23"/>
  <c r="Z183" i="23" s="1"/>
  <c r="L187" i="23"/>
  <c r="V187" i="23" s="1"/>
  <c r="X187" i="23"/>
  <c r="Y301" i="22"/>
  <c r="P188" i="23"/>
  <c r="Z188" i="23" s="1"/>
  <c r="T188" i="23"/>
  <c r="U274" i="22"/>
  <c r="Y275" i="22"/>
  <c r="U286" i="22"/>
  <c r="Y287" i="22"/>
  <c r="AA301" i="22"/>
  <c r="T305" i="22"/>
  <c r="L175" i="23"/>
  <c r="V175" i="23" s="1"/>
  <c r="L191" i="23"/>
  <c r="V191" i="23" s="1"/>
  <c r="X191" i="23"/>
  <c r="AA12" i="23"/>
  <c r="L185" i="23"/>
  <c r="V185" i="23" s="1"/>
  <c r="X185" i="23"/>
  <c r="U302" i="22"/>
  <c r="W11" i="23"/>
  <c r="P12" i="23"/>
  <c r="Z12" i="23" s="1"/>
  <c r="P186" i="23"/>
  <c r="Z186" i="23" s="1"/>
  <c r="T186" i="23"/>
  <c r="D4" i="24"/>
  <c r="J27" i="24" s="1"/>
  <c r="P27" i="24" s="1"/>
  <c r="Z27" i="24" s="1"/>
  <c r="D3" i="24"/>
  <c r="J26" i="24" s="1"/>
  <c r="P26" i="24" s="1"/>
  <c r="Z26" i="24" s="1"/>
  <c r="Q12" i="24"/>
  <c r="AA12" i="24" s="1"/>
  <c r="T12" i="24"/>
  <c r="P12" i="24"/>
  <c r="Z12" i="24" s="1"/>
  <c r="M11" i="24"/>
  <c r="U11" i="24"/>
  <c r="W6" i="24"/>
  <c r="Y6" i="24"/>
  <c r="D4" i="19"/>
  <c r="D3" i="19"/>
  <c r="W12" i="19"/>
  <c r="T11" i="19"/>
  <c r="P11" i="19"/>
  <c r="Z11" i="19" s="1"/>
  <c r="W11" i="19"/>
  <c r="AA6" i="19"/>
  <c r="X11" i="19"/>
  <c r="T12" i="19"/>
  <c r="L12" i="19"/>
  <c r="V12" i="19" s="1"/>
  <c r="U6" i="19"/>
  <c r="T11" i="20"/>
  <c r="Q12" i="20"/>
  <c r="AA12" i="20" s="1"/>
  <c r="Y12" i="20"/>
  <c r="T12" i="20"/>
  <c r="P12" i="20"/>
  <c r="Z12" i="20" s="1"/>
  <c r="D4" i="20"/>
  <c r="D3" i="20"/>
  <c r="M11" i="20"/>
  <c r="W11" i="20" s="1"/>
  <c r="U11" i="20"/>
  <c r="Y11" i="20"/>
  <c r="U12" i="20"/>
  <c r="P11" i="18"/>
  <c r="Z11" i="18" s="1"/>
  <c r="T11" i="18"/>
  <c r="T12" i="18"/>
  <c r="P12" i="18"/>
  <c r="Z12" i="18" s="1"/>
  <c r="Y12" i="18"/>
  <c r="D3" i="18"/>
  <c r="O12" i="2"/>
  <c r="Q12" i="2" s="1"/>
  <c r="AA12" i="2" s="1"/>
  <c r="N13" i="2"/>
  <c r="X13" i="2" s="1"/>
  <c r="K15" i="2"/>
  <c r="M15" i="2" s="1"/>
  <c r="M16" i="2"/>
  <c r="N22" i="2"/>
  <c r="O13" i="2"/>
  <c r="Q13" i="2" s="1"/>
  <c r="AA13" i="2" s="1"/>
  <c r="AA14" i="2"/>
  <c r="N15" i="2"/>
  <c r="X15" i="2" s="1"/>
  <c r="N16" i="2"/>
  <c r="O22" i="2"/>
  <c r="Q22" i="2" s="1"/>
  <c r="AA22" i="2" s="1"/>
  <c r="O15" i="2"/>
  <c r="Q15" i="2" s="1"/>
  <c r="AA15" i="2" s="1"/>
  <c r="O16" i="2"/>
  <c r="Q16" i="2" s="1"/>
  <c r="AA16" i="2" s="1"/>
  <c r="X12" i="2"/>
  <c r="K22" i="2"/>
  <c r="P11" i="2"/>
  <c r="Z11" i="2" s="1"/>
  <c r="T11" i="2"/>
  <c r="P13" i="2"/>
  <c r="Z13" i="2" s="1"/>
  <c r="T13" i="2"/>
  <c r="T16" i="2"/>
  <c r="P16" i="2"/>
  <c r="Z16" i="2" s="1"/>
  <c r="T14" i="2"/>
  <c r="P14" i="2"/>
  <c r="Z14" i="2" s="1"/>
  <c r="P15" i="2"/>
  <c r="Z15" i="2" s="1"/>
  <c r="T15" i="2"/>
  <c r="T22" i="2"/>
  <c r="P22" i="2"/>
  <c r="Z22" i="2" s="1"/>
  <c r="Y21" i="2"/>
  <c r="Y15" i="2"/>
  <c r="Y13" i="2"/>
  <c r="Y11" i="2"/>
  <c r="T12" i="2"/>
  <c r="P12" i="2"/>
  <c r="Z12" i="2" s="1"/>
  <c r="P21" i="2"/>
  <c r="Z21" i="2" s="1"/>
  <c r="T21" i="2"/>
  <c r="W6" i="2"/>
  <c r="W11" i="2" s="1"/>
  <c r="L11" i="2"/>
  <c r="V11" i="2" s="1"/>
  <c r="U11" i="2"/>
  <c r="Y12" i="2"/>
  <c r="L13" i="2"/>
  <c r="V13" i="2" s="1"/>
  <c r="U13" i="2"/>
  <c r="Y14" i="2"/>
  <c r="U15" i="2"/>
  <c r="Y16" i="2"/>
  <c r="L21" i="2"/>
  <c r="V21" i="2" s="1"/>
  <c r="U21" i="2"/>
  <c r="D3" i="2"/>
  <c r="G6" i="1"/>
  <c r="AA6" i="1" s="1"/>
  <c r="X212" i="1"/>
  <c r="X211" i="1"/>
  <c r="X209" i="1"/>
  <c r="X208" i="1"/>
  <c r="V208" i="1"/>
  <c r="X206" i="1"/>
  <c r="X205" i="1"/>
  <c r="X204" i="1"/>
  <c r="X203" i="1"/>
  <c r="X201" i="1"/>
  <c r="X200" i="1"/>
  <c r="X198" i="1"/>
  <c r="X181" i="1"/>
  <c r="X12" i="1"/>
  <c r="V12" i="1"/>
  <c r="J208" i="1"/>
  <c r="P208" i="1" s="1"/>
  <c r="J207" i="1"/>
  <c r="P207" i="1" s="1"/>
  <c r="J200" i="1"/>
  <c r="P200" i="1" s="1"/>
  <c r="I173" i="1"/>
  <c r="S173" i="1" s="1"/>
  <c r="I172" i="1"/>
  <c r="S172" i="1" s="1"/>
  <c r="I12" i="1"/>
  <c r="S12" i="1" s="1"/>
  <c r="I11" i="1"/>
  <c r="S11" i="1" s="1"/>
  <c r="I212" i="1"/>
  <c r="S212" i="1" s="1"/>
  <c r="I211" i="1"/>
  <c r="S211" i="1" s="1"/>
  <c r="I210" i="1"/>
  <c r="S210" i="1" s="1"/>
  <c r="I209" i="1"/>
  <c r="S209" i="1" s="1"/>
  <c r="I208" i="1"/>
  <c r="S208" i="1" s="1"/>
  <c r="I207" i="1"/>
  <c r="S207" i="1" s="1"/>
  <c r="I206" i="1"/>
  <c r="S206" i="1" s="1"/>
  <c r="I205" i="1"/>
  <c r="S205" i="1" s="1"/>
  <c r="I204" i="1"/>
  <c r="S204" i="1" s="1"/>
  <c r="I203" i="1"/>
  <c r="S203" i="1" s="1"/>
  <c r="I202" i="1"/>
  <c r="S202" i="1" s="1"/>
  <c r="I201" i="1"/>
  <c r="S201" i="1" s="1"/>
  <c r="I200" i="1"/>
  <c r="S200" i="1" s="1"/>
  <c r="I199" i="1"/>
  <c r="S199" i="1" s="1"/>
  <c r="I198" i="1"/>
  <c r="S198" i="1" s="1"/>
  <c r="I197" i="1"/>
  <c r="S197" i="1" s="1"/>
  <c r="I196" i="1"/>
  <c r="S196" i="1" s="1"/>
  <c r="I195" i="1"/>
  <c r="S195" i="1" s="1"/>
  <c r="I194" i="1"/>
  <c r="S194" i="1" s="1"/>
  <c r="I193" i="1"/>
  <c r="S193" i="1" s="1"/>
  <c r="I192" i="1"/>
  <c r="S192" i="1" s="1"/>
  <c r="I191" i="1"/>
  <c r="S191" i="1" s="1"/>
  <c r="I190" i="1"/>
  <c r="S190" i="1" s="1"/>
  <c r="I189" i="1"/>
  <c r="S189" i="1" s="1"/>
  <c r="I188" i="1"/>
  <c r="S188" i="1" s="1"/>
  <c r="I187" i="1"/>
  <c r="S187" i="1" s="1"/>
  <c r="I186" i="1"/>
  <c r="S186" i="1" s="1"/>
  <c r="I185" i="1"/>
  <c r="S185" i="1" s="1"/>
  <c r="I184" i="1"/>
  <c r="S184" i="1" s="1"/>
  <c r="I183" i="1"/>
  <c r="S183" i="1" s="1"/>
  <c r="I182" i="1"/>
  <c r="S182" i="1" s="1"/>
  <c r="I181" i="1"/>
  <c r="S181" i="1" s="1"/>
  <c r="I180" i="1"/>
  <c r="S180" i="1" s="1"/>
  <c r="I179" i="1"/>
  <c r="S179" i="1" s="1"/>
  <c r="I178" i="1"/>
  <c r="S178" i="1" s="1"/>
  <c r="I177" i="1"/>
  <c r="S177" i="1" s="1"/>
  <c r="I176" i="1"/>
  <c r="S176" i="1" s="1"/>
  <c r="I175" i="1"/>
  <c r="S175" i="1" s="1"/>
  <c r="I174" i="1"/>
  <c r="S174" i="1" s="1"/>
  <c r="D4" i="1"/>
  <c r="D3" i="1"/>
  <c r="U39" i="39" l="1"/>
  <c r="O41" i="39"/>
  <c r="O40" i="39"/>
  <c r="K41" i="39"/>
  <c r="K40" i="39"/>
  <c r="O28" i="39"/>
  <c r="G29" i="39"/>
  <c r="K29" i="39"/>
  <c r="E30" i="39"/>
  <c r="Y13" i="39"/>
  <c r="G15" i="39"/>
  <c r="O14" i="39"/>
  <c r="E16" i="39"/>
  <c r="K15" i="39"/>
  <c r="W13" i="39"/>
  <c r="W26" i="39"/>
  <c r="W12" i="39"/>
  <c r="U13" i="39"/>
  <c r="X32" i="39"/>
  <c r="L32" i="39"/>
  <c r="V32" i="39" s="1"/>
  <c r="X28" i="39"/>
  <c r="L28" i="39"/>
  <c r="V28" i="39" s="1"/>
  <c r="X41" i="39"/>
  <c r="L41" i="39"/>
  <c r="V41" i="39" s="1"/>
  <c r="X12" i="39"/>
  <c r="L12" i="39"/>
  <c r="V12" i="39" s="1"/>
  <c r="X37" i="39"/>
  <c r="L37" i="39"/>
  <c r="V37" i="39" s="1"/>
  <c r="X13" i="39"/>
  <c r="L13" i="39"/>
  <c r="V13" i="39" s="1"/>
  <c r="T18" i="39"/>
  <c r="P18" i="39"/>
  <c r="Z18" i="39" s="1"/>
  <c r="L25" i="39"/>
  <c r="V25" i="39" s="1"/>
  <c r="X25" i="39"/>
  <c r="P34" i="39"/>
  <c r="Z34" i="39" s="1"/>
  <c r="T34" i="39"/>
  <c r="T49" i="39"/>
  <c r="P49" i="39"/>
  <c r="Z49" i="39" s="1"/>
  <c r="X21" i="39"/>
  <c r="L21" i="39"/>
  <c r="V21" i="39" s="1"/>
  <c r="P42" i="39"/>
  <c r="Z42" i="39" s="1"/>
  <c r="T42" i="39"/>
  <c r="T30" i="39"/>
  <c r="P30" i="39"/>
  <c r="Z30" i="39" s="1"/>
  <c r="T24" i="39"/>
  <c r="P24" i="39"/>
  <c r="Z24" i="39" s="1"/>
  <c r="X42" i="39"/>
  <c r="L42" i="39"/>
  <c r="V42" i="39" s="1"/>
  <c r="X47" i="39"/>
  <c r="L47" i="39"/>
  <c r="V47" i="39" s="1"/>
  <c r="T47" i="39"/>
  <c r="P47" i="39"/>
  <c r="Z47" i="39" s="1"/>
  <c r="K43" i="39"/>
  <c r="L31" i="39"/>
  <c r="V31" i="39" s="1"/>
  <c r="X31" i="39"/>
  <c r="L44" i="39"/>
  <c r="V44" i="39" s="1"/>
  <c r="X44" i="39"/>
  <c r="T44" i="39"/>
  <c r="P44" i="39"/>
  <c r="Z44" i="39" s="1"/>
  <c r="T39" i="39"/>
  <c r="P39" i="39"/>
  <c r="Z39" i="39" s="1"/>
  <c r="Q41" i="39"/>
  <c r="AA41" i="39" s="1"/>
  <c r="Y41" i="39"/>
  <c r="T19" i="39"/>
  <c r="P19" i="39"/>
  <c r="Z19" i="39" s="1"/>
  <c r="T35" i="39"/>
  <c r="P35" i="39"/>
  <c r="Z35" i="39" s="1"/>
  <c r="X35" i="39"/>
  <c r="L35" i="39"/>
  <c r="V35" i="39" s="1"/>
  <c r="X49" i="39"/>
  <c r="L49" i="39"/>
  <c r="V49" i="39" s="1"/>
  <c r="O42" i="39"/>
  <c r="N46" i="39"/>
  <c r="L48" i="39"/>
  <c r="V48" i="39" s="1"/>
  <c r="X48" i="39"/>
  <c r="T43" i="39"/>
  <c r="P43" i="39"/>
  <c r="Z43" i="39" s="1"/>
  <c r="P38" i="39"/>
  <c r="Z38" i="39" s="1"/>
  <c r="T38" i="39"/>
  <c r="X43" i="39"/>
  <c r="L43" i="39"/>
  <c r="V43" i="39" s="1"/>
  <c r="T15" i="39"/>
  <c r="P15" i="39"/>
  <c r="Z15" i="39" s="1"/>
  <c r="P46" i="39"/>
  <c r="Z46" i="39" s="1"/>
  <c r="T46" i="39"/>
  <c r="T14" i="39"/>
  <c r="P14" i="39"/>
  <c r="Z14" i="39" s="1"/>
  <c r="X22" i="39"/>
  <c r="L22" i="39"/>
  <c r="V22" i="39" s="1"/>
  <c r="T45" i="39"/>
  <c r="P45" i="39"/>
  <c r="Z45" i="39" s="1"/>
  <c r="X20" i="39"/>
  <c r="L20" i="39"/>
  <c r="V20" i="39" s="1"/>
  <c r="P40" i="39"/>
  <c r="Z40" i="39" s="1"/>
  <c r="T40" i="39"/>
  <c r="L27" i="39"/>
  <c r="V27" i="39" s="1"/>
  <c r="X27" i="39"/>
  <c r="N45" i="39"/>
  <c r="L113" i="38"/>
  <c r="V113" i="38" s="1"/>
  <c r="T147" i="38"/>
  <c r="X147" i="38"/>
  <c r="T96" i="38"/>
  <c r="P113" i="38"/>
  <c r="Z113" i="38" s="1"/>
  <c r="X130" i="38"/>
  <c r="J38" i="38"/>
  <c r="J45" i="38"/>
  <c r="T62" i="38"/>
  <c r="Y19" i="38"/>
  <c r="Y17" i="38"/>
  <c r="E27" i="38"/>
  <c r="E28" i="38" s="1"/>
  <c r="E29" i="38" s="1"/>
  <c r="E30" i="38" s="1"/>
  <c r="E32" i="38" s="1"/>
  <c r="E33" i="38" s="1"/>
  <c r="E34" i="38" s="1"/>
  <c r="E35" i="38" s="1"/>
  <c r="Y15" i="38"/>
  <c r="Y13" i="38"/>
  <c r="Y20" i="38"/>
  <c r="Y22" i="38"/>
  <c r="Y11" i="38"/>
  <c r="Y14" i="38"/>
  <c r="Y16" i="38"/>
  <c r="G24" i="38"/>
  <c r="O23" i="38"/>
  <c r="K25" i="38"/>
  <c r="M25" i="38" s="1"/>
  <c r="W25" i="38" s="1"/>
  <c r="Y21" i="38"/>
  <c r="AA16" i="38"/>
  <c r="AA19" i="38"/>
  <c r="AA11" i="38"/>
  <c r="AA18" i="38"/>
  <c r="AA21" i="38"/>
  <c r="AA13" i="38"/>
  <c r="AA22" i="38"/>
  <c r="AA14" i="38"/>
  <c r="AA20" i="38"/>
  <c r="AA12" i="38"/>
  <c r="AA15" i="38"/>
  <c r="P35" i="38"/>
  <c r="Z35" i="38" s="1"/>
  <c r="T35" i="38"/>
  <c r="T19" i="38"/>
  <c r="P19" i="38"/>
  <c r="Z19" i="38" s="1"/>
  <c r="N37" i="38"/>
  <c r="J47" i="38"/>
  <c r="X39" i="38"/>
  <c r="L39" i="38"/>
  <c r="V39" i="38" s="1"/>
  <c r="J44" i="38"/>
  <c r="J43" i="38"/>
  <c r="P15" i="38"/>
  <c r="Z15" i="38" s="1"/>
  <c r="T15" i="38"/>
  <c r="M45" i="38"/>
  <c r="W45" i="38" s="1"/>
  <c r="U45" i="38"/>
  <c r="N40" i="38"/>
  <c r="L16" i="38"/>
  <c r="V16" i="38" s="1"/>
  <c r="X16" i="38"/>
  <c r="L27" i="38"/>
  <c r="V27" i="38" s="1"/>
  <c r="X27" i="38"/>
  <c r="T16" i="38"/>
  <c r="P16" i="38"/>
  <c r="Z16" i="38" s="1"/>
  <c r="N36" i="38"/>
  <c r="J50" i="38"/>
  <c r="J89" i="38"/>
  <c r="N41" i="38"/>
  <c r="T26" i="38"/>
  <c r="P26" i="38"/>
  <c r="Z26" i="38" s="1"/>
  <c r="K46" i="38"/>
  <c r="L23" i="38"/>
  <c r="V23" i="38" s="1"/>
  <c r="X23" i="38"/>
  <c r="N47" i="38"/>
  <c r="T33" i="38"/>
  <c r="P33" i="38"/>
  <c r="Z33" i="38" s="1"/>
  <c r="N77" i="38"/>
  <c r="L20" i="38"/>
  <c r="V20" i="38" s="1"/>
  <c r="X20" i="38"/>
  <c r="P55" i="38"/>
  <c r="Z55" i="38" s="1"/>
  <c r="T55" i="38"/>
  <c r="J40" i="38"/>
  <c r="K62" i="38"/>
  <c r="O46" i="38"/>
  <c r="L30" i="38"/>
  <c r="V30" i="38" s="1"/>
  <c r="X30" i="38"/>
  <c r="T52" i="38"/>
  <c r="P52" i="38"/>
  <c r="Z52" i="38" s="1"/>
  <c r="X43" i="38"/>
  <c r="L43" i="38"/>
  <c r="V43" i="38" s="1"/>
  <c r="N44" i="38"/>
  <c r="T42" i="38"/>
  <c r="P42" i="38"/>
  <c r="Z42" i="38" s="1"/>
  <c r="J39" i="38"/>
  <c r="P24" i="38"/>
  <c r="Z24" i="38" s="1"/>
  <c r="T24" i="38"/>
  <c r="Q45" i="38"/>
  <c r="AA45" i="38" s="1"/>
  <c r="Y45" i="38"/>
  <c r="J69" i="38"/>
  <c r="N48" i="38"/>
  <c r="L32" i="38"/>
  <c r="V32" i="38" s="1"/>
  <c r="X32" i="38"/>
  <c r="T29" i="38"/>
  <c r="P29" i="38"/>
  <c r="Z29" i="38" s="1"/>
  <c r="L56" i="38"/>
  <c r="V56" i="38" s="1"/>
  <c r="X56" i="38"/>
  <c r="J32" i="38"/>
  <c r="J37" i="38"/>
  <c r="N52" i="38"/>
  <c r="N51" i="38"/>
  <c r="P59" i="38"/>
  <c r="Z59" i="38" s="1"/>
  <c r="T59" i="38"/>
  <c r="P22" i="38"/>
  <c r="Z22" i="38" s="1"/>
  <c r="T22" i="38"/>
  <c r="J58" i="38"/>
  <c r="O62" i="38"/>
  <c r="N29" i="38"/>
  <c r="N42" i="38"/>
  <c r="N49" i="38"/>
  <c r="N33" i="38"/>
  <c r="J31" i="38"/>
  <c r="N73" i="38"/>
  <c r="J51" i="38"/>
  <c r="L34" i="38"/>
  <c r="V34" i="38" s="1"/>
  <c r="X34" i="38"/>
  <c r="J76" i="38"/>
  <c r="X25" i="38"/>
  <c r="L25" i="38"/>
  <c r="V25" i="38" s="1"/>
  <c r="J46" i="38"/>
  <c r="N38" i="38"/>
  <c r="J36" i="38"/>
  <c r="X60" i="38"/>
  <c r="L60" i="38"/>
  <c r="V60" i="38" s="1"/>
  <c r="L12" i="38"/>
  <c r="V12" i="38" s="1"/>
  <c r="X12" i="38"/>
  <c r="X52" i="37"/>
  <c r="Q55" i="37"/>
  <c r="AA55" i="37" s="1"/>
  <c r="U46" i="37"/>
  <c r="U45" i="37"/>
  <c r="J51" i="37"/>
  <c r="J54" i="37"/>
  <c r="Y48" i="37"/>
  <c r="Y54" i="37"/>
  <c r="X50" i="37"/>
  <c r="U36" i="37"/>
  <c r="Y37" i="37"/>
  <c r="Y33" i="37"/>
  <c r="Y27" i="37"/>
  <c r="U27" i="37"/>
  <c r="L21" i="37"/>
  <c r="V21" i="37" s="1"/>
  <c r="X21" i="37"/>
  <c r="L24" i="37"/>
  <c r="V24" i="37" s="1"/>
  <c r="J21" i="37"/>
  <c r="D24" i="37"/>
  <c r="J24" i="37" s="1"/>
  <c r="U24" i="37"/>
  <c r="U14" i="37"/>
  <c r="Y24" i="37"/>
  <c r="Y21" i="37"/>
  <c r="Y19" i="37"/>
  <c r="Y60" i="36"/>
  <c r="G62" i="36"/>
  <c r="O61" i="36"/>
  <c r="K60" i="36"/>
  <c r="M60" i="36" s="1"/>
  <c r="W60" i="36" s="1"/>
  <c r="E61" i="36"/>
  <c r="E50" i="36"/>
  <c r="K49" i="36"/>
  <c r="M49" i="36" s="1"/>
  <c r="G50" i="36"/>
  <c r="O49" i="36"/>
  <c r="E38" i="36"/>
  <c r="K37" i="36"/>
  <c r="G38" i="36"/>
  <c r="O37" i="36"/>
  <c r="E30" i="36"/>
  <c r="K29" i="36"/>
  <c r="M29" i="36" s="1"/>
  <c r="O28" i="36"/>
  <c r="Q28" i="36" s="1"/>
  <c r="G29" i="36"/>
  <c r="G18" i="36"/>
  <c r="O17" i="36"/>
  <c r="K18" i="36"/>
  <c r="U15" i="35"/>
  <c r="M40" i="35"/>
  <c r="U19" i="35"/>
  <c r="U46" i="35"/>
  <c r="M25" i="35"/>
  <c r="U39" i="35"/>
  <c r="M42" i="35"/>
  <c r="U45" i="35"/>
  <c r="M16" i="35"/>
  <c r="O40" i="35"/>
  <c r="Q40" i="35" s="1"/>
  <c r="O39" i="35"/>
  <c r="Q39" i="35" s="1"/>
  <c r="M24" i="35"/>
  <c r="N25" i="35"/>
  <c r="J26" i="35"/>
  <c r="J24" i="35"/>
  <c r="U30" i="35"/>
  <c r="J28" i="35"/>
  <c r="N23" i="35"/>
  <c r="N24" i="35"/>
  <c r="U25" i="33"/>
  <c r="U22" i="33"/>
  <c r="U18" i="33"/>
  <c r="G19" i="33"/>
  <c r="O19" i="33" s="1"/>
  <c r="O18" i="33"/>
  <c r="E46" i="32"/>
  <c r="K46" i="32" s="1"/>
  <c r="K45" i="32"/>
  <c r="G46" i="32"/>
  <c r="O46" i="32" s="1"/>
  <c r="Q46" i="32" s="1"/>
  <c r="O45" i="32"/>
  <c r="Q45" i="32" s="1"/>
  <c r="E42" i="32"/>
  <c r="K42" i="32" s="1"/>
  <c r="K41" i="32"/>
  <c r="G42" i="32"/>
  <c r="O42" i="32" s="1"/>
  <c r="Q42" i="32" s="1"/>
  <c r="O41" i="32"/>
  <c r="Q41" i="32" s="1"/>
  <c r="K37" i="32"/>
  <c r="E38" i="32"/>
  <c r="K38" i="32" s="1"/>
  <c r="G38" i="32"/>
  <c r="O38" i="32" s="1"/>
  <c r="Q38" i="32" s="1"/>
  <c r="O37" i="32"/>
  <c r="Q37" i="32" s="1"/>
  <c r="AA37" i="32" s="1"/>
  <c r="T34" i="32"/>
  <c r="P32" i="32"/>
  <c r="Z32" i="32" s="1"/>
  <c r="U24" i="32"/>
  <c r="L32" i="32"/>
  <c r="V32" i="32" s="1"/>
  <c r="D33" i="32"/>
  <c r="J33" i="32" s="1"/>
  <c r="J29" i="32"/>
  <c r="X29" i="32"/>
  <c r="U20" i="32"/>
  <c r="L27" i="32"/>
  <c r="V27" i="32" s="1"/>
  <c r="J31" i="32"/>
  <c r="J27" i="32"/>
  <c r="K34" i="32"/>
  <c r="K33" i="32"/>
  <c r="O34" i="32"/>
  <c r="Q34" i="32" s="1"/>
  <c r="AA34" i="32" s="1"/>
  <c r="O33" i="32"/>
  <c r="Q33" i="32" s="1"/>
  <c r="K29" i="32"/>
  <c r="K30" i="32"/>
  <c r="O30" i="32"/>
  <c r="Q30" i="32" s="1"/>
  <c r="O29" i="32"/>
  <c r="Q29" i="32" s="1"/>
  <c r="AA29" i="32" s="1"/>
  <c r="K26" i="32"/>
  <c r="K25" i="32"/>
  <c r="O26" i="32"/>
  <c r="Q26" i="32" s="1"/>
  <c r="O25" i="32"/>
  <c r="Q25" i="32" s="1"/>
  <c r="G22" i="32"/>
  <c r="O22" i="32" s="1"/>
  <c r="Q22" i="32" s="1"/>
  <c r="AA22" i="32" s="1"/>
  <c r="O21" i="32"/>
  <c r="Q21" i="32" s="1"/>
  <c r="E22" i="32"/>
  <c r="K22" i="32" s="1"/>
  <c r="K21" i="32"/>
  <c r="P38" i="31"/>
  <c r="Z38" i="31" s="1"/>
  <c r="J28" i="31"/>
  <c r="J37" i="31"/>
  <c r="N36" i="31"/>
  <c r="J43" i="31"/>
  <c r="J29" i="31"/>
  <c r="N24" i="31"/>
  <c r="N55" i="31"/>
  <c r="N44" i="31"/>
  <c r="J31" i="31"/>
  <c r="J30" i="31"/>
  <c r="N32" i="31"/>
  <c r="N30" i="31"/>
  <c r="J25" i="31"/>
  <c r="N42" i="31"/>
  <c r="J60" i="31"/>
  <c r="J49" i="31"/>
  <c r="N37" i="31"/>
  <c r="N39" i="31"/>
  <c r="X33" i="31"/>
  <c r="N29" i="31"/>
  <c r="N38" i="31"/>
  <c r="J34" i="31"/>
  <c r="J33" i="31"/>
  <c r="J24" i="31"/>
  <c r="N34" i="31"/>
  <c r="K68" i="31"/>
  <c r="M68" i="31" s="1"/>
  <c r="O68" i="31"/>
  <c r="Q68" i="31" s="1"/>
  <c r="AA68" i="31" s="1"/>
  <c r="K57" i="31"/>
  <c r="M57" i="31" s="1"/>
  <c r="O57" i="31"/>
  <c r="Q57" i="31" s="1"/>
  <c r="AA57" i="31" s="1"/>
  <c r="O46" i="31"/>
  <c r="Q46" i="31" s="1"/>
  <c r="AA46" i="31" s="1"/>
  <c r="K46" i="31"/>
  <c r="M46" i="31" s="1"/>
  <c r="W46" i="31" s="1"/>
  <c r="O35" i="31"/>
  <c r="Q35" i="31" s="1"/>
  <c r="AA35" i="31" s="1"/>
  <c r="K35" i="31"/>
  <c r="M35" i="31" s="1"/>
  <c r="W35" i="31" s="1"/>
  <c r="K24" i="31"/>
  <c r="M24" i="31" s="1"/>
  <c r="W24" i="31" s="1"/>
  <c r="E25" i="31"/>
  <c r="G25" i="31"/>
  <c r="O24" i="31"/>
  <c r="Q24" i="31" s="1"/>
  <c r="P65" i="30"/>
  <c r="Z65" i="30" s="1"/>
  <c r="U41" i="30"/>
  <c r="U63" i="30"/>
  <c r="U55" i="30"/>
  <c r="T56" i="30"/>
  <c r="U64" i="30"/>
  <c r="P51" i="30"/>
  <c r="Z51" i="30" s="1"/>
  <c r="U49" i="30"/>
  <c r="T54" i="30"/>
  <c r="Y38" i="30"/>
  <c r="U66" i="30"/>
  <c r="U65" i="30"/>
  <c r="X56" i="30"/>
  <c r="U51" i="30"/>
  <c r="X53" i="30"/>
  <c r="U54" i="30"/>
  <c r="X54" i="30"/>
  <c r="T46" i="30"/>
  <c r="P53" i="30"/>
  <c r="Z53" i="30" s="1"/>
  <c r="U43" i="30"/>
  <c r="U42" i="30"/>
  <c r="T44" i="30"/>
  <c r="T22" i="30"/>
  <c r="U25" i="30"/>
  <c r="M19" i="30"/>
  <c r="T12" i="30"/>
  <c r="X17" i="30"/>
  <c r="U16" i="30"/>
  <c r="U18" i="30"/>
  <c r="E175" i="28"/>
  <c r="K174" i="28"/>
  <c r="M174" i="28" s="1"/>
  <c r="G175" i="28"/>
  <c r="O174" i="28"/>
  <c r="E159" i="28"/>
  <c r="K158" i="28"/>
  <c r="M158" i="28" s="1"/>
  <c r="G159" i="28"/>
  <c r="O158" i="28"/>
  <c r="J115" i="28"/>
  <c r="D144" i="28"/>
  <c r="J144" i="28" s="1"/>
  <c r="X120" i="28"/>
  <c r="X104" i="28"/>
  <c r="Y128" i="28"/>
  <c r="D142" i="28"/>
  <c r="J142" i="28" s="1"/>
  <c r="J113" i="28"/>
  <c r="L131" i="28"/>
  <c r="V131" i="28" s="1"/>
  <c r="J111" i="28"/>
  <c r="D140" i="28"/>
  <c r="J140" i="28" s="1"/>
  <c r="X152" i="28"/>
  <c r="L152" i="28"/>
  <c r="V152" i="28" s="1"/>
  <c r="J101" i="28"/>
  <c r="D130" i="28"/>
  <c r="J130" i="28" s="1"/>
  <c r="L146" i="28"/>
  <c r="V146" i="28" s="1"/>
  <c r="P80" i="28"/>
  <c r="Z80" i="28" s="1"/>
  <c r="P132" i="28"/>
  <c r="Z132" i="28" s="1"/>
  <c r="T138" i="28"/>
  <c r="X140" i="28"/>
  <c r="D146" i="28"/>
  <c r="J146" i="28" s="1"/>
  <c r="J117" i="28"/>
  <c r="O42" i="28"/>
  <c r="G43" i="28"/>
  <c r="K42" i="28"/>
  <c r="M42" i="28" s="1"/>
  <c r="E43" i="28"/>
  <c r="O129" i="28"/>
  <c r="K129" i="28"/>
  <c r="M129" i="28" s="1"/>
  <c r="O100" i="28"/>
  <c r="Q100" i="28" s="1"/>
  <c r="K100" i="28"/>
  <c r="M100" i="28" s="1"/>
  <c r="O71" i="28"/>
  <c r="Q71" i="28" s="1"/>
  <c r="K71" i="28"/>
  <c r="M71" i="28" s="1"/>
  <c r="O250" i="27"/>
  <c r="G251" i="27"/>
  <c r="K250" i="27"/>
  <c r="E251" i="27"/>
  <c r="G238" i="27"/>
  <c r="O237" i="27"/>
  <c r="E238" i="27"/>
  <c r="K237" i="27"/>
  <c r="G227" i="27"/>
  <c r="O226" i="27"/>
  <c r="K226" i="27"/>
  <c r="M226" i="27" s="1"/>
  <c r="E227" i="27"/>
  <c r="O221" i="27"/>
  <c r="G222" i="27"/>
  <c r="K221" i="27"/>
  <c r="E222" i="27"/>
  <c r="Y203" i="27"/>
  <c r="E206" i="27"/>
  <c r="K205" i="27"/>
  <c r="G206" i="27"/>
  <c r="O205" i="27"/>
  <c r="X187" i="27"/>
  <c r="L75" i="27"/>
  <c r="V75" i="27" s="1"/>
  <c r="P70" i="27"/>
  <c r="Z70" i="27" s="1"/>
  <c r="L132" i="27"/>
  <c r="V132" i="27" s="1"/>
  <c r="T88" i="27"/>
  <c r="T62" i="27"/>
  <c r="L48" i="27"/>
  <c r="V48" i="27" s="1"/>
  <c r="P76" i="27"/>
  <c r="Z76" i="27" s="1"/>
  <c r="P112" i="27"/>
  <c r="Z112" i="27" s="1"/>
  <c r="L148" i="27"/>
  <c r="V148" i="27" s="1"/>
  <c r="P140" i="27"/>
  <c r="Z140" i="27" s="1"/>
  <c r="L80" i="27"/>
  <c r="V80" i="27" s="1"/>
  <c r="L155" i="27"/>
  <c r="V155" i="27" s="1"/>
  <c r="X44" i="27"/>
  <c r="L96" i="27"/>
  <c r="V96" i="27" s="1"/>
  <c r="U43" i="27"/>
  <c r="X171" i="27"/>
  <c r="P144" i="27"/>
  <c r="Z144" i="27" s="1"/>
  <c r="T66" i="27"/>
  <c r="P108" i="27"/>
  <c r="Z108" i="27" s="1"/>
  <c r="L46" i="27"/>
  <c r="V46" i="27" s="1"/>
  <c r="X84" i="27"/>
  <c r="L100" i="27"/>
  <c r="V100" i="27" s="1"/>
  <c r="L104" i="27"/>
  <c r="V104" i="27" s="1"/>
  <c r="L156" i="27"/>
  <c r="V156" i="27" s="1"/>
  <c r="P55" i="27"/>
  <c r="Z55" i="27" s="1"/>
  <c r="L60" i="27"/>
  <c r="V60" i="27" s="1"/>
  <c r="N72" i="27"/>
  <c r="L116" i="27"/>
  <c r="V116" i="27" s="1"/>
  <c r="N136" i="27"/>
  <c r="X136" i="27" s="1"/>
  <c r="N152" i="27"/>
  <c r="N88" i="27"/>
  <c r="N168" i="27"/>
  <c r="X168" i="27" s="1"/>
  <c r="N120" i="27"/>
  <c r="X120" i="27" s="1"/>
  <c r="K28" i="27"/>
  <c r="M28" i="27" s="1"/>
  <c r="P74" i="27"/>
  <c r="Z74" i="27" s="1"/>
  <c r="X52" i="27"/>
  <c r="L123" i="27"/>
  <c r="V123" i="27" s="1"/>
  <c r="L73" i="27"/>
  <c r="V73" i="27" s="1"/>
  <c r="L81" i="27"/>
  <c r="V81" i="27" s="1"/>
  <c r="X74" i="27"/>
  <c r="T82" i="27"/>
  <c r="X70" i="27"/>
  <c r="L59" i="27"/>
  <c r="V59" i="27" s="1"/>
  <c r="N63" i="27"/>
  <c r="X164" i="27"/>
  <c r="L108" i="27"/>
  <c r="V108" i="27" s="1"/>
  <c r="L64" i="27"/>
  <c r="V64" i="27" s="1"/>
  <c r="P116" i="27"/>
  <c r="Z116" i="27" s="1"/>
  <c r="P148" i="27"/>
  <c r="Z148" i="27" s="1"/>
  <c r="N87" i="27"/>
  <c r="N79" i="27"/>
  <c r="P136" i="27"/>
  <c r="Z136" i="27" s="1"/>
  <c r="N71" i="27"/>
  <c r="Y28" i="27"/>
  <c r="G29" i="27"/>
  <c r="O29" i="27" s="1"/>
  <c r="N90" i="27"/>
  <c r="P96" i="27"/>
  <c r="Z96" i="27" s="1"/>
  <c r="P160" i="27"/>
  <c r="Z160" i="27" s="1"/>
  <c r="X67" i="27"/>
  <c r="L107" i="27"/>
  <c r="V107" i="27" s="1"/>
  <c r="J90" i="27"/>
  <c r="L89" i="27"/>
  <c r="V89" i="27" s="1"/>
  <c r="N83" i="27"/>
  <c r="T84" i="27"/>
  <c r="P47" i="27"/>
  <c r="Z47" i="27" s="1"/>
  <c r="X86" i="27"/>
  <c r="L128" i="27"/>
  <c r="V128" i="27" s="1"/>
  <c r="X91" i="27"/>
  <c r="P71" i="27"/>
  <c r="Z71" i="27" s="1"/>
  <c r="X85" i="27"/>
  <c r="J59" i="27"/>
  <c r="T72" i="27"/>
  <c r="Y43" i="27"/>
  <c r="T60" i="27"/>
  <c r="X140" i="27"/>
  <c r="N94" i="27"/>
  <c r="J94" i="27"/>
  <c r="N93" i="27"/>
  <c r="N106" i="27"/>
  <c r="J106" i="27"/>
  <c r="N105" i="27"/>
  <c r="N144" i="27"/>
  <c r="N103" i="27"/>
  <c r="N102" i="27"/>
  <c r="J102" i="27"/>
  <c r="N101" i="27"/>
  <c r="N99" i="27"/>
  <c r="T80" i="27"/>
  <c r="L92" i="27"/>
  <c r="V92" i="27" s="1"/>
  <c r="N98" i="27"/>
  <c r="J98" i="27"/>
  <c r="N97" i="27"/>
  <c r="T78" i="27"/>
  <c r="N95" i="27"/>
  <c r="X139" i="27"/>
  <c r="L168" i="27"/>
  <c r="V168" i="27" s="1"/>
  <c r="P124" i="27"/>
  <c r="Z124" i="27" s="1"/>
  <c r="J73" i="27"/>
  <c r="P100" i="27"/>
  <c r="Z100" i="27" s="1"/>
  <c r="J156" i="27"/>
  <c r="J152" i="27"/>
  <c r="J192" i="27"/>
  <c r="J176" i="27"/>
  <c r="J69" i="27"/>
  <c r="J65" i="27"/>
  <c r="N188" i="27"/>
  <c r="N172" i="27"/>
  <c r="N200" i="27"/>
  <c r="N184" i="27"/>
  <c r="J67" i="27"/>
  <c r="N196" i="27"/>
  <c r="N180" i="27"/>
  <c r="J61" i="27"/>
  <c r="J196" i="27"/>
  <c r="J180" i="27"/>
  <c r="J63" i="27"/>
  <c r="J75" i="27"/>
  <c r="J87" i="27"/>
  <c r="J83" i="27"/>
  <c r="J89" i="27"/>
  <c r="Y44" i="27"/>
  <c r="U44" i="27"/>
  <c r="K59" i="27"/>
  <c r="O59" i="27"/>
  <c r="K45" i="27"/>
  <c r="O45" i="27"/>
  <c r="Q45" i="27" s="1"/>
  <c r="AA45" i="27" s="1"/>
  <c r="G30" i="27"/>
  <c r="E30" i="27"/>
  <c r="K29" i="27"/>
  <c r="P27" i="27"/>
  <c r="Z27" i="27" s="1"/>
  <c r="T22" i="27"/>
  <c r="P18" i="27"/>
  <c r="Z18" i="27" s="1"/>
  <c r="T18" i="27"/>
  <c r="O51" i="26"/>
  <c r="Q51" i="26" s="1"/>
  <c r="AA51" i="26" s="1"/>
  <c r="K51" i="26"/>
  <c r="M51" i="26" s="1"/>
  <c r="O42" i="26"/>
  <c r="K42" i="26"/>
  <c r="M42" i="26" s="1"/>
  <c r="O33" i="26"/>
  <c r="Q33" i="26" s="1"/>
  <c r="AA33" i="26" s="1"/>
  <c r="K33" i="26"/>
  <c r="M33" i="26" s="1"/>
  <c r="O26" i="26"/>
  <c r="K26" i="26"/>
  <c r="M26" i="26" s="1"/>
  <c r="O21" i="26"/>
  <c r="Q21" i="26" s="1"/>
  <c r="AA21" i="26" s="1"/>
  <c r="O22" i="26"/>
  <c r="K22" i="26"/>
  <c r="M22" i="26" s="1"/>
  <c r="K21" i="26"/>
  <c r="M21" i="26" s="1"/>
  <c r="W21" i="26" s="1"/>
  <c r="L13" i="26"/>
  <c r="V13" i="26" s="1"/>
  <c r="O58" i="24"/>
  <c r="Q58" i="24" s="1"/>
  <c r="AA58" i="24" s="1"/>
  <c r="G59" i="24"/>
  <c r="K58" i="24"/>
  <c r="E59" i="24"/>
  <c r="G44" i="24"/>
  <c r="O43" i="24"/>
  <c r="Q43" i="24" s="1"/>
  <c r="AA43" i="24" s="1"/>
  <c r="M42" i="24"/>
  <c r="K44" i="24"/>
  <c r="E45" i="24"/>
  <c r="T27" i="24"/>
  <c r="T26" i="24"/>
  <c r="E29" i="24"/>
  <c r="K28" i="24"/>
  <c r="G30" i="24"/>
  <c r="O29" i="24"/>
  <c r="Q29" i="24" s="1"/>
  <c r="AA29" i="24" s="1"/>
  <c r="O22" i="24"/>
  <c r="Q22" i="24" s="1"/>
  <c r="AA22" i="24" s="1"/>
  <c r="K22" i="24"/>
  <c r="O14" i="24"/>
  <c r="Q14" i="24" s="1"/>
  <c r="AA14" i="24" s="1"/>
  <c r="O15" i="24"/>
  <c r="Q15" i="24" s="1"/>
  <c r="AA15" i="24" s="1"/>
  <c r="K15" i="24"/>
  <c r="G172" i="23"/>
  <c r="O171" i="23"/>
  <c r="Q171" i="23" s="1"/>
  <c r="K171" i="23"/>
  <c r="M171" i="23" s="1"/>
  <c r="W171" i="23" s="1"/>
  <c r="E172" i="23"/>
  <c r="O148" i="23"/>
  <c r="Q148" i="23" s="1"/>
  <c r="G149" i="23"/>
  <c r="K148" i="23"/>
  <c r="M148" i="23" s="1"/>
  <c r="W148" i="23" s="1"/>
  <c r="E149" i="23"/>
  <c r="K136" i="23"/>
  <c r="M136" i="23" s="1"/>
  <c r="W136" i="23" s="1"/>
  <c r="E137" i="23"/>
  <c r="G137" i="23"/>
  <c r="O136" i="23"/>
  <c r="Q136" i="23" s="1"/>
  <c r="O131" i="23"/>
  <c r="Q131" i="23" s="1"/>
  <c r="G132" i="23"/>
  <c r="K131" i="23"/>
  <c r="M131" i="23" s="1"/>
  <c r="W131" i="23" s="1"/>
  <c r="E132" i="23"/>
  <c r="G126" i="23"/>
  <c r="O125" i="23"/>
  <c r="Q125" i="23" s="1"/>
  <c r="E126" i="23"/>
  <c r="K125" i="23"/>
  <c r="M125" i="23" s="1"/>
  <c r="W125" i="23" s="1"/>
  <c r="K114" i="23"/>
  <c r="M114" i="23" s="1"/>
  <c r="W114" i="23" s="1"/>
  <c r="O114" i="23"/>
  <c r="Q114" i="23" s="1"/>
  <c r="O103" i="23"/>
  <c r="Q103" i="23" s="1"/>
  <c r="K103" i="23"/>
  <c r="M103" i="23" s="1"/>
  <c r="W103" i="23" s="1"/>
  <c r="G98" i="23"/>
  <c r="O97" i="23"/>
  <c r="Q97" i="23" s="1"/>
  <c r="K97" i="23"/>
  <c r="M97" i="23" s="1"/>
  <c r="W97" i="23" s="1"/>
  <c r="E98" i="23"/>
  <c r="G83" i="23"/>
  <c r="O82" i="23"/>
  <c r="Q82" i="23" s="1"/>
  <c r="K82" i="23"/>
  <c r="M82" i="23" s="1"/>
  <c r="W82" i="23" s="1"/>
  <c r="E83" i="23"/>
  <c r="K59" i="23"/>
  <c r="M59" i="23" s="1"/>
  <c r="W59" i="23" s="1"/>
  <c r="E60" i="23"/>
  <c r="O59" i="23"/>
  <c r="Q59" i="23" s="1"/>
  <c r="G60" i="23"/>
  <c r="E43" i="23"/>
  <c r="K42" i="23"/>
  <c r="M42" i="23" s="1"/>
  <c r="W42" i="23" s="1"/>
  <c r="G44" i="23"/>
  <c r="O43" i="23"/>
  <c r="Q43" i="23" s="1"/>
  <c r="O36" i="23"/>
  <c r="Q36" i="23" s="1"/>
  <c r="G37" i="23"/>
  <c r="K36" i="23"/>
  <c r="M36" i="23" s="1"/>
  <c r="W36" i="23" s="1"/>
  <c r="E37" i="23"/>
  <c r="K31" i="23"/>
  <c r="M31" i="23" s="1"/>
  <c r="W31" i="23" s="1"/>
  <c r="E32" i="23"/>
  <c r="O32" i="23"/>
  <c r="Q32" i="23" s="1"/>
  <c r="G33" i="23"/>
  <c r="O33" i="23" s="1"/>
  <c r="Q33" i="23" s="1"/>
  <c r="O26" i="23"/>
  <c r="Q26" i="23" s="1"/>
  <c r="K26" i="23"/>
  <c r="M26" i="23" s="1"/>
  <c r="W26" i="23" s="1"/>
  <c r="O13" i="23"/>
  <c r="Q13" i="23" s="1"/>
  <c r="O14" i="23"/>
  <c r="Q14" i="23" s="1"/>
  <c r="AA14" i="23" s="1"/>
  <c r="K14" i="23"/>
  <c r="M14" i="23" s="1"/>
  <c r="W14" i="23" s="1"/>
  <c r="O303" i="22"/>
  <c r="G304" i="22"/>
  <c r="K303" i="22"/>
  <c r="M303" i="22" s="1"/>
  <c r="W303" i="22" s="1"/>
  <c r="E304" i="22"/>
  <c r="Y274" i="22"/>
  <c r="Q209" i="22"/>
  <c r="AA209" i="22" s="1"/>
  <c r="L203" i="22"/>
  <c r="V203" i="22" s="1"/>
  <c r="K239" i="22"/>
  <c r="M239" i="22" s="1"/>
  <c r="W239" i="22" s="1"/>
  <c r="Q205" i="22"/>
  <c r="AA205" i="22" s="1"/>
  <c r="T198" i="22"/>
  <c r="Y216" i="22"/>
  <c r="X214" i="22"/>
  <c r="Q191" i="22"/>
  <c r="AA191" i="22" s="1"/>
  <c r="Y214" i="22"/>
  <c r="T210" i="22"/>
  <c r="X204" i="22"/>
  <c r="N225" i="22"/>
  <c r="N206" i="22"/>
  <c r="U218" i="22"/>
  <c r="P203" i="22"/>
  <c r="Z203" i="22" s="1"/>
  <c r="N208" i="22"/>
  <c r="O217" i="22"/>
  <c r="Y239" i="22"/>
  <c r="K216" i="22"/>
  <c r="M216" i="22" s="1"/>
  <c r="W216" i="22" s="1"/>
  <c r="N219" i="22"/>
  <c r="T213" i="22"/>
  <c r="N210" i="22"/>
  <c r="J225" i="22"/>
  <c r="J223" i="22"/>
  <c r="L207" i="22"/>
  <c r="V207" i="22" s="1"/>
  <c r="O228" i="22"/>
  <c r="O252" i="22"/>
  <c r="J215" i="22"/>
  <c r="N224" i="22"/>
  <c r="T229" i="22"/>
  <c r="N226" i="22"/>
  <c r="K204" i="22"/>
  <c r="K288" i="22"/>
  <c r="T206" i="22"/>
  <c r="N217" i="22"/>
  <c r="J231" i="22"/>
  <c r="O276" i="22"/>
  <c r="N228" i="22"/>
  <c r="K219" i="22"/>
  <c r="M219" i="22" s="1"/>
  <c r="W219" i="22" s="1"/>
  <c r="L223" i="22"/>
  <c r="V223" i="22" s="1"/>
  <c r="N235" i="22"/>
  <c r="Y210" i="22"/>
  <c r="N238" i="22"/>
  <c r="K217" i="22"/>
  <c r="M217" i="22" s="1"/>
  <c r="W217" i="22" s="1"/>
  <c r="K192" i="22"/>
  <c r="M192" i="22" s="1"/>
  <c r="W192" i="22" s="1"/>
  <c r="O192" i="22"/>
  <c r="K240" i="22"/>
  <c r="N215" i="22"/>
  <c r="G181" i="22"/>
  <c r="O180" i="22"/>
  <c r="E181" i="22"/>
  <c r="K180" i="22"/>
  <c r="M180" i="22" s="1"/>
  <c r="W180" i="22" s="1"/>
  <c r="U250" i="22"/>
  <c r="Y202" i="22"/>
  <c r="Y264" i="22"/>
  <c r="Q203" i="22"/>
  <c r="AA203" i="22" s="1"/>
  <c r="Y263" i="22"/>
  <c r="Y208" i="22"/>
  <c r="K267" i="22"/>
  <c r="J224" i="22"/>
  <c r="O265" i="22"/>
  <c r="T214" i="22"/>
  <c r="J233" i="22"/>
  <c r="N250" i="22"/>
  <c r="J220" i="22"/>
  <c r="J222" i="22"/>
  <c r="J216" i="22"/>
  <c r="T212" i="22"/>
  <c r="N233" i="22"/>
  <c r="J241" i="22"/>
  <c r="O289" i="22"/>
  <c r="O241" i="22"/>
  <c r="K276" i="22"/>
  <c r="K228" i="22"/>
  <c r="M228" i="22" s="1"/>
  <c r="W228" i="22" s="1"/>
  <c r="J218" i="22"/>
  <c r="K252" i="22"/>
  <c r="L202" i="22"/>
  <c r="V202" i="22" s="1"/>
  <c r="J238" i="22"/>
  <c r="O169" i="22"/>
  <c r="K169" i="22"/>
  <c r="M169" i="22" s="1"/>
  <c r="W169" i="22" s="1"/>
  <c r="E153" i="22"/>
  <c r="K152" i="22"/>
  <c r="M152" i="22" s="1"/>
  <c r="W152" i="22" s="1"/>
  <c r="P78" i="22"/>
  <c r="Z78" i="22" s="1"/>
  <c r="P89" i="22"/>
  <c r="Z89" i="22" s="1"/>
  <c r="J119" i="22"/>
  <c r="D140" i="22"/>
  <c r="J140" i="22" s="1"/>
  <c r="P129" i="22"/>
  <c r="Z129" i="22" s="1"/>
  <c r="X127" i="22"/>
  <c r="L128" i="22"/>
  <c r="V128" i="22" s="1"/>
  <c r="J117" i="22"/>
  <c r="P117" i="22" s="1"/>
  <c r="Z117" i="22" s="1"/>
  <c r="J127" i="22"/>
  <c r="D147" i="22"/>
  <c r="J147" i="22" s="1"/>
  <c r="L117" i="22"/>
  <c r="V117" i="22" s="1"/>
  <c r="E149" i="22"/>
  <c r="K149" i="22" s="1"/>
  <c r="M149" i="22" s="1"/>
  <c r="W149" i="22" s="1"/>
  <c r="K148" i="22"/>
  <c r="M148" i="22" s="1"/>
  <c r="W148" i="22" s="1"/>
  <c r="G149" i="22"/>
  <c r="O148" i="22"/>
  <c r="G140" i="22"/>
  <c r="O139" i="22"/>
  <c r="Q139" i="22" s="1"/>
  <c r="AA139" i="22" s="1"/>
  <c r="E141" i="22"/>
  <c r="K140" i="22"/>
  <c r="M140" i="22" s="1"/>
  <c r="W140" i="22" s="1"/>
  <c r="G129" i="22"/>
  <c r="O128" i="22"/>
  <c r="K128" i="22"/>
  <c r="M128" i="22" s="1"/>
  <c r="W128" i="22" s="1"/>
  <c r="E129" i="22"/>
  <c r="X108" i="22"/>
  <c r="X123" i="22"/>
  <c r="P95" i="22"/>
  <c r="Z95" i="22" s="1"/>
  <c r="X70" i="22"/>
  <c r="X107" i="22"/>
  <c r="L106" i="22"/>
  <c r="V106" i="22" s="1"/>
  <c r="L124" i="22"/>
  <c r="V124" i="22" s="1"/>
  <c r="T109" i="22"/>
  <c r="P109" i="22"/>
  <c r="Z109" i="22" s="1"/>
  <c r="X113" i="22"/>
  <c r="T74" i="22"/>
  <c r="X82" i="22"/>
  <c r="L82" i="22"/>
  <c r="V82" i="22" s="1"/>
  <c r="J99" i="22"/>
  <c r="J122" i="22"/>
  <c r="J87" i="22"/>
  <c r="J110" i="22"/>
  <c r="P110" i="22" s="1"/>
  <c r="Z110" i="22" s="1"/>
  <c r="P83" i="22"/>
  <c r="Z83" i="22" s="1"/>
  <c r="T124" i="22"/>
  <c r="L116" i="22"/>
  <c r="V116" i="22" s="1"/>
  <c r="X122" i="22"/>
  <c r="X97" i="22"/>
  <c r="P125" i="22"/>
  <c r="Z125" i="22" s="1"/>
  <c r="T118" i="22"/>
  <c r="X81" i="22"/>
  <c r="T108" i="22"/>
  <c r="X120" i="22"/>
  <c r="N91" i="22"/>
  <c r="N114" i="22"/>
  <c r="N110" i="22"/>
  <c r="N87" i="22"/>
  <c r="X93" i="22"/>
  <c r="J97" i="22"/>
  <c r="J120" i="22"/>
  <c r="J104" i="22"/>
  <c r="J81" i="22"/>
  <c r="O105" i="22"/>
  <c r="Q105" i="22" s="1"/>
  <c r="AA105" i="22" s="1"/>
  <c r="K105" i="22"/>
  <c r="M105" i="22" s="1"/>
  <c r="W105" i="22" s="1"/>
  <c r="Y104" i="22"/>
  <c r="O82" i="22"/>
  <c r="K82" i="22"/>
  <c r="M82" i="22" s="1"/>
  <c r="W82" i="22" s="1"/>
  <c r="O59" i="22"/>
  <c r="K59" i="22"/>
  <c r="M59" i="22" s="1"/>
  <c r="W59" i="22" s="1"/>
  <c r="G37" i="22"/>
  <c r="O36" i="22"/>
  <c r="Q36" i="22" s="1"/>
  <c r="AA36" i="22" s="1"/>
  <c r="K37" i="22"/>
  <c r="M37" i="22" s="1"/>
  <c r="W37" i="22" s="1"/>
  <c r="K38" i="22"/>
  <c r="M38" i="22" s="1"/>
  <c r="W38" i="22" s="1"/>
  <c r="E39" i="22"/>
  <c r="O25" i="22"/>
  <c r="K29" i="22"/>
  <c r="M29" i="22" s="1"/>
  <c r="W29" i="22" s="1"/>
  <c r="O26" i="22"/>
  <c r="K26" i="22"/>
  <c r="M26" i="22" s="1"/>
  <c r="W26" i="22" s="1"/>
  <c r="O14" i="22"/>
  <c r="K14" i="22"/>
  <c r="M14" i="22" s="1"/>
  <c r="W14" i="22" s="1"/>
  <c r="D45" i="21"/>
  <c r="J31" i="21"/>
  <c r="T35" i="21"/>
  <c r="E80" i="21"/>
  <c r="E81" i="21" s="1"/>
  <c r="E82" i="21" s="1"/>
  <c r="E83" i="21" s="1"/>
  <c r="E84" i="21" s="1"/>
  <c r="E85" i="21" s="1"/>
  <c r="E86" i="21" s="1"/>
  <c r="E87" i="21" s="1"/>
  <c r="E88" i="21" s="1"/>
  <c r="E89" i="21" s="1"/>
  <c r="E90" i="21" s="1"/>
  <c r="E91" i="21" s="1"/>
  <c r="E92" i="21" s="1"/>
  <c r="E93" i="21" s="1"/>
  <c r="E38" i="21"/>
  <c r="E164" i="21"/>
  <c r="E165" i="21" s="1"/>
  <c r="E166" i="21" s="1"/>
  <c r="E167" i="21" s="1"/>
  <c r="E168" i="21" s="1"/>
  <c r="E169" i="21" s="1"/>
  <c r="E170" i="21" s="1"/>
  <c r="E171" i="21" s="1"/>
  <c r="E172" i="21" s="1"/>
  <c r="E173" i="21" s="1"/>
  <c r="E174" i="21" s="1"/>
  <c r="E175" i="21" s="1"/>
  <c r="E176" i="21" s="1"/>
  <c r="E122" i="21"/>
  <c r="E123" i="21" s="1"/>
  <c r="E124" i="21" s="1"/>
  <c r="E125" i="21" s="1"/>
  <c r="E126" i="21" s="1"/>
  <c r="E127" i="21" s="1"/>
  <c r="E128" i="21" s="1"/>
  <c r="E129" i="21" s="1"/>
  <c r="E130" i="21" s="1"/>
  <c r="E131" i="21" s="1"/>
  <c r="E132" i="21" s="1"/>
  <c r="E133" i="21" s="1"/>
  <c r="E134" i="21" s="1"/>
  <c r="E135" i="21" s="1"/>
  <c r="E66" i="21"/>
  <c r="E67" i="21" s="1"/>
  <c r="E68" i="21" s="1"/>
  <c r="E69" i="21" s="1"/>
  <c r="E70" i="21" s="1"/>
  <c r="E71" i="21" s="1"/>
  <c r="E72" i="21" s="1"/>
  <c r="E73" i="21" s="1"/>
  <c r="E74" i="21" s="1"/>
  <c r="E75" i="21" s="1"/>
  <c r="E76" i="21" s="1"/>
  <c r="E77" i="21" s="1"/>
  <c r="E78" i="21" s="1"/>
  <c r="E79" i="21" s="1"/>
  <c r="K25" i="21"/>
  <c r="E150" i="21"/>
  <c r="E151" i="21" s="1"/>
  <c r="E152" i="21" s="1"/>
  <c r="E153" i="21" s="1"/>
  <c r="E154" i="21" s="1"/>
  <c r="E155" i="21" s="1"/>
  <c r="E156" i="21" s="1"/>
  <c r="E157" i="21" s="1"/>
  <c r="E158" i="21" s="1"/>
  <c r="E159" i="21" s="1"/>
  <c r="E160" i="21" s="1"/>
  <c r="E161" i="21" s="1"/>
  <c r="E162" i="21" s="1"/>
  <c r="E163" i="21" s="1"/>
  <c r="E108" i="21"/>
  <c r="E109" i="21" s="1"/>
  <c r="E110" i="21" s="1"/>
  <c r="E111" i="21" s="1"/>
  <c r="E112" i="21" s="1"/>
  <c r="E113" i="21" s="1"/>
  <c r="E114" i="21" s="1"/>
  <c r="E115" i="21" s="1"/>
  <c r="E116" i="21" s="1"/>
  <c r="E117" i="21" s="1"/>
  <c r="E118" i="21" s="1"/>
  <c r="E119" i="21" s="1"/>
  <c r="E120" i="21" s="1"/>
  <c r="E121" i="21" s="1"/>
  <c r="E136" i="21"/>
  <c r="E137" i="21" s="1"/>
  <c r="E138" i="21" s="1"/>
  <c r="E139" i="21" s="1"/>
  <c r="E140" i="21" s="1"/>
  <c r="E141" i="21" s="1"/>
  <c r="E142" i="21" s="1"/>
  <c r="E143" i="21" s="1"/>
  <c r="E144" i="21" s="1"/>
  <c r="E145" i="21" s="1"/>
  <c r="E146" i="21" s="1"/>
  <c r="E147" i="21" s="1"/>
  <c r="E148" i="21" s="1"/>
  <c r="E149" i="21" s="1"/>
  <c r="E52" i="21"/>
  <c r="E53" i="21" s="1"/>
  <c r="E54" i="21" s="1"/>
  <c r="E55" i="21" s="1"/>
  <c r="E56" i="21" s="1"/>
  <c r="E57" i="21" s="1"/>
  <c r="E58" i="21" s="1"/>
  <c r="E59" i="21" s="1"/>
  <c r="E60" i="21" s="1"/>
  <c r="E61" i="21" s="1"/>
  <c r="E62" i="21" s="1"/>
  <c r="E63" i="21" s="1"/>
  <c r="E64" i="21" s="1"/>
  <c r="E65" i="21" s="1"/>
  <c r="E26" i="21"/>
  <c r="E94" i="21"/>
  <c r="E95" i="21" s="1"/>
  <c r="E96" i="21" s="1"/>
  <c r="E97" i="21" s="1"/>
  <c r="E98" i="21" s="1"/>
  <c r="E99" i="21" s="1"/>
  <c r="E100" i="21" s="1"/>
  <c r="E101" i="21" s="1"/>
  <c r="E102" i="21" s="1"/>
  <c r="E103" i="21" s="1"/>
  <c r="E104" i="21" s="1"/>
  <c r="E105" i="21" s="1"/>
  <c r="E106" i="21" s="1"/>
  <c r="E107" i="21" s="1"/>
  <c r="J51" i="21"/>
  <c r="D65" i="21"/>
  <c r="D50" i="21"/>
  <c r="J36" i="21"/>
  <c r="J47" i="21"/>
  <c r="D61" i="21"/>
  <c r="D42" i="21"/>
  <c r="J28" i="21"/>
  <c r="N51" i="21"/>
  <c r="F65" i="21"/>
  <c r="D63" i="21"/>
  <c r="J49" i="21"/>
  <c r="X19" i="21"/>
  <c r="J26" i="21"/>
  <c r="D40" i="21"/>
  <c r="N34" i="21"/>
  <c r="F48" i="21"/>
  <c r="G39" i="21"/>
  <c r="O38" i="21"/>
  <c r="N47" i="21"/>
  <c r="F61" i="21"/>
  <c r="N26" i="21"/>
  <c r="F40" i="21"/>
  <c r="F43" i="21"/>
  <c r="N29" i="21"/>
  <c r="F44" i="21"/>
  <c r="N30" i="21"/>
  <c r="F50" i="21"/>
  <c r="N36" i="21"/>
  <c r="J43" i="21"/>
  <c r="D57" i="21"/>
  <c r="N45" i="21"/>
  <c r="F59" i="21"/>
  <c r="X37" i="21"/>
  <c r="F46" i="21"/>
  <c r="N32" i="21"/>
  <c r="F67" i="21"/>
  <c r="N53" i="21"/>
  <c r="N41" i="21"/>
  <c r="F55" i="21"/>
  <c r="J32" i="21"/>
  <c r="D46" i="21"/>
  <c r="K13" i="21"/>
  <c r="M13" i="21" s="1"/>
  <c r="W13" i="21" s="1"/>
  <c r="N35" i="21"/>
  <c r="F49" i="21"/>
  <c r="J30" i="21"/>
  <c r="D44" i="21"/>
  <c r="N28" i="21"/>
  <c r="F42" i="21"/>
  <c r="D55" i="21"/>
  <c r="J41" i="21"/>
  <c r="K52" i="21"/>
  <c r="M52" i="21" s="1"/>
  <c r="W52" i="21" s="1"/>
  <c r="K53" i="21"/>
  <c r="M53" i="21" s="1"/>
  <c r="W53" i="21" s="1"/>
  <c r="O52" i="21"/>
  <c r="J62" i="21"/>
  <c r="J67" i="21"/>
  <c r="J66" i="21"/>
  <c r="X66" i="21"/>
  <c r="N80" i="21"/>
  <c r="K54" i="21"/>
  <c r="O27" i="21"/>
  <c r="Y13" i="21"/>
  <c r="M23" i="21"/>
  <c r="W23" i="21" s="1"/>
  <c r="U23" i="21"/>
  <c r="K22" i="21"/>
  <c r="U13" i="21"/>
  <c r="Y23" i="21"/>
  <c r="O14" i="21"/>
  <c r="K14" i="21"/>
  <c r="X37" i="30"/>
  <c r="X59" i="30"/>
  <c r="X45" i="30"/>
  <c r="T58" i="30"/>
  <c r="X44" i="30"/>
  <c r="X33" i="30"/>
  <c r="X46" i="30"/>
  <c r="X25" i="30"/>
  <c r="K27" i="20"/>
  <c r="K26" i="20"/>
  <c r="O27" i="20"/>
  <c r="O26" i="20"/>
  <c r="O18" i="20"/>
  <c r="G19" i="20"/>
  <c r="O19" i="20" s="1"/>
  <c r="U17" i="20"/>
  <c r="K133" i="18"/>
  <c r="E154" i="18"/>
  <c r="M85" i="18"/>
  <c r="W85" i="18" s="1"/>
  <c r="K86" i="18"/>
  <c r="M86" i="18" s="1"/>
  <c r="W86" i="18"/>
  <c r="O168" i="18"/>
  <c r="G169" i="18"/>
  <c r="G160" i="18"/>
  <c r="O159" i="18"/>
  <c r="Q155" i="18"/>
  <c r="AA155" i="18" s="1"/>
  <c r="Y155" i="18"/>
  <c r="Y154" i="18"/>
  <c r="G136" i="18"/>
  <c r="O135" i="18"/>
  <c r="E135" i="18"/>
  <c r="K134" i="18"/>
  <c r="K111" i="18"/>
  <c r="U109" i="18"/>
  <c r="O111" i="18"/>
  <c r="K87" i="18"/>
  <c r="O87" i="18"/>
  <c r="O70" i="18"/>
  <c r="G71" i="18"/>
  <c r="O63" i="18"/>
  <c r="G64" i="18"/>
  <c r="K63" i="18"/>
  <c r="M63" i="18" s="1"/>
  <c r="W63" i="18" s="1"/>
  <c r="E64" i="18"/>
  <c r="X25" i="18"/>
  <c r="X30" i="18"/>
  <c r="X53" i="18"/>
  <c r="P60" i="18"/>
  <c r="Z60" i="18" s="1"/>
  <c r="T52" i="18"/>
  <c r="P56" i="18"/>
  <c r="Z56" i="18" s="1"/>
  <c r="G41" i="18"/>
  <c r="O40" i="18"/>
  <c r="K40" i="18"/>
  <c r="M40" i="18" s="1"/>
  <c r="W40" i="18" s="1"/>
  <c r="E41" i="18"/>
  <c r="O28" i="18"/>
  <c r="G29" i="18"/>
  <c r="K28" i="18"/>
  <c r="M28" i="18" s="1"/>
  <c r="W28" i="18" s="1"/>
  <c r="E29" i="18"/>
  <c r="O15" i="18"/>
  <c r="K16" i="18"/>
  <c r="M16" i="18" s="1"/>
  <c r="W16" i="18" s="1"/>
  <c r="E17" i="18"/>
  <c r="X72" i="1"/>
  <c r="E80" i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/>
  <c r="G63" i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/>
  <c r="P65" i="1"/>
  <c r="Z65" i="1" s="1"/>
  <c r="K30" i="1"/>
  <c r="M30" i="1" s="1"/>
  <c r="E32" i="1"/>
  <c r="K29" i="1"/>
  <c r="M29" i="1" s="1"/>
  <c r="N88" i="1"/>
  <c r="X54" i="1"/>
  <c r="T77" i="1"/>
  <c r="X69" i="1"/>
  <c r="T71" i="1"/>
  <c r="T84" i="1"/>
  <c r="L71" i="1"/>
  <c r="V71" i="1" s="1"/>
  <c r="P68" i="1"/>
  <c r="Z68" i="1" s="1"/>
  <c r="L70" i="1"/>
  <c r="V70" i="1" s="1"/>
  <c r="J63" i="1"/>
  <c r="G30" i="1"/>
  <c r="K62" i="1"/>
  <c r="M62" i="1" s="1"/>
  <c r="O46" i="1"/>
  <c r="Q46" i="1" s="1"/>
  <c r="AA46" i="1" s="1"/>
  <c r="K46" i="1"/>
  <c r="M46" i="1" s="1"/>
  <c r="J87" i="1"/>
  <c r="J88" i="1"/>
  <c r="N98" i="1"/>
  <c r="N95" i="1"/>
  <c r="N108" i="1"/>
  <c r="N90" i="1"/>
  <c r="N121" i="1"/>
  <c r="T93" i="1"/>
  <c r="P69" i="1"/>
  <c r="Z69" i="1" s="1"/>
  <c r="N80" i="1"/>
  <c r="L48" i="1"/>
  <c r="V48" i="1" s="1"/>
  <c r="J91" i="1"/>
  <c r="N92" i="1"/>
  <c r="N93" i="1"/>
  <c r="N86" i="1"/>
  <c r="P64" i="1"/>
  <c r="Z64" i="1" s="1"/>
  <c r="N84" i="1"/>
  <c r="T76" i="1"/>
  <c r="J75" i="1"/>
  <c r="N89" i="1"/>
  <c r="N82" i="1"/>
  <c r="O79" i="1"/>
  <c r="Q79" i="1" s="1"/>
  <c r="AA79" i="1" s="1"/>
  <c r="O62" i="1"/>
  <c r="Q62" i="1" s="1"/>
  <c r="AA62" i="1" s="1"/>
  <c r="J134" i="1"/>
  <c r="N94" i="1"/>
  <c r="N85" i="1"/>
  <c r="P48" i="1"/>
  <c r="Z48" i="1" s="1"/>
  <c r="T117" i="1"/>
  <c r="J105" i="1"/>
  <c r="J112" i="1"/>
  <c r="J137" i="1"/>
  <c r="L83" i="1"/>
  <c r="V83" i="1" s="1"/>
  <c r="J111" i="1"/>
  <c r="T95" i="1"/>
  <c r="J107" i="1"/>
  <c r="J101" i="1"/>
  <c r="J108" i="1"/>
  <c r="J110" i="1"/>
  <c r="X66" i="1"/>
  <c r="K79" i="1"/>
  <c r="M79" i="1" s="1"/>
  <c r="N138" i="1"/>
  <c r="J151" i="1"/>
  <c r="K63" i="1"/>
  <c r="M63" i="1" s="1"/>
  <c r="J99" i="1"/>
  <c r="J89" i="1"/>
  <c r="N134" i="1"/>
  <c r="J102" i="1"/>
  <c r="L104" i="1"/>
  <c r="V104" i="1" s="1"/>
  <c r="N107" i="1"/>
  <c r="J98" i="1"/>
  <c r="K201" i="1"/>
  <c r="M201" i="1" s="1"/>
  <c r="O201" i="1"/>
  <c r="Q201" i="1" s="1"/>
  <c r="K32" i="1"/>
  <c r="M32" i="1" s="1"/>
  <c r="E33" i="1"/>
  <c r="O92" i="29"/>
  <c r="Q92" i="29" s="1"/>
  <c r="K92" i="29"/>
  <c r="M92" i="29" s="1"/>
  <c r="K83" i="29"/>
  <c r="M83" i="29" s="1"/>
  <c r="E84" i="29"/>
  <c r="G85" i="29"/>
  <c r="O84" i="29"/>
  <c r="Q84" i="29" s="1"/>
  <c r="G61" i="29"/>
  <c r="O60" i="29"/>
  <c r="Q60" i="29" s="1"/>
  <c r="K60" i="29"/>
  <c r="M60" i="29" s="1"/>
  <c r="E61" i="29"/>
  <c r="G40" i="29"/>
  <c r="O39" i="29"/>
  <c r="Q39" i="29" s="1"/>
  <c r="K39" i="29"/>
  <c r="M39" i="29" s="1"/>
  <c r="W39" i="29" s="1"/>
  <c r="E40" i="29"/>
  <c r="T23" i="29"/>
  <c r="O24" i="29"/>
  <c r="Q24" i="29" s="1"/>
  <c r="O23" i="29"/>
  <c r="Q23" i="29" s="1"/>
  <c r="K24" i="29"/>
  <c r="M24" i="29" s="1"/>
  <c r="K23" i="29"/>
  <c r="M23" i="29" s="1"/>
  <c r="W23" i="29" s="1"/>
  <c r="G158" i="19"/>
  <c r="O157" i="19"/>
  <c r="Q157" i="19" s="1"/>
  <c r="K158" i="19"/>
  <c r="M158" i="19" s="1"/>
  <c r="W158" i="19" s="1"/>
  <c r="E159" i="19"/>
  <c r="Y124" i="19"/>
  <c r="E151" i="19"/>
  <c r="K150" i="19"/>
  <c r="M150" i="19" s="1"/>
  <c r="W150" i="19" s="1"/>
  <c r="O150" i="19"/>
  <c r="Q150" i="19" s="1"/>
  <c r="G151" i="19"/>
  <c r="G126" i="19"/>
  <c r="O125" i="19"/>
  <c r="Q125" i="19" s="1"/>
  <c r="E126" i="19"/>
  <c r="K125" i="19"/>
  <c r="M125" i="19" s="1"/>
  <c r="W125" i="19" s="1"/>
  <c r="G102" i="19"/>
  <c r="O101" i="19"/>
  <c r="Q101" i="19" s="1"/>
  <c r="E102" i="19"/>
  <c r="K101" i="19"/>
  <c r="M101" i="19" s="1"/>
  <c r="W101" i="19" s="1"/>
  <c r="E94" i="19"/>
  <c r="K93" i="19"/>
  <c r="M93" i="19" s="1"/>
  <c r="W93" i="19" s="1"/>
  <c r="G94" i="19"/>
  <c r="O93" i="19"/>
  <c r="Q93" i="19" s="1"/>
  <c r="O79" i="19"/>
  <c r="Q79" i="19" s="1"/>
  <c r="AA79" i="19" s="1"/>
  <c r="K78" i="19"/>
  <c r="M78" i="19" s="1"/>
  <c r="W78" i="19" s="1"/>
  <c r="G15" i="19"/>
  <c r="O14" i="19"/>
  <c r="Q14" i="19" s="1"/>
  <c r="E15" i="19"/>
  <c r="K14" i="19"/>
  <c r="M14" i="19" s="1"/>
  <c r="W14" i="19" s="1"/>
  <c r="P56" i="19"/>
  <c r="Z56" i="19" s="1"/>
  <c r="T55" i="19"/>
  <c r="X54" i="19"/>
  <c r="J71" i="19"/>
  <c r="K71" i="19"/>
  <c r="M71" i="19" s="1"/>
  <c r="W71" i="19" s="1"/>
  <c r="O72" i="19"/>
  <c r="Q72" i="19" s="1"/>
  <c r="AA72" i="19" s="1"/>
  <c r="Y71" i="19"/>
  <c r="N71" i="19"/>
  <c r="X56" i="19"/>
  <c r="X55" i="19"/>
  <c r="G60" i="19"/>
  <c r="O59" i="19"/>
  <c r="Q59" i="19" s="1"/>
  <c r="AA59" i="19" s="1"/>
  <c r="K60" i="19"/>
  <c r="M60" i="19" s="1"/>
  <c r="W60" i="19" s="1"/>
  <c r="E61" i="19"/>
  <c r="E44" i="19"/>
  <c r="K43" i="19"/>
  <c r="M43" i="19" s="1"/>
  <c r="W43" i="19" s="1"/>
  <c r="G44" i="19"/>
  <c r="O43" i="19"/>
  <c r="Q43" i="19" s="1"/>
  <c r="AA43" i="19" s="1"/>
  <c r="T21" i="19"/>
  <c r="T16" i="19"/>
  <c r="P24" i="19"/>
  <c r="Z24" i="19" s="1"/>
  <c r="X13" i="19"/>
  <c r="X33" i="19"/>
  <c r="T14" i="19"/>
  <c r="P20" i="19"/>
  <c r="Z20" i="19" s="1"/>
  <c r="T33" i="19"/>
  <c r="L22" i="19"/>
  <c r="V22" i="19" s="1"/>
  <c r="X23" i="19"/>
  <c r="T35" i="19"/>
  <c r="X16" i="19"/>
  <c r="X35" i="19"/>
  <c r="L30" i="19"/>
  <c r="V30" i="19" s="1"/>
  <c r="N28" i="19"/>
  <c r="P15" i="19"/>
  <c r="Z15" i="19" s="1"/>
  <c r="X17" i="19"/>
  <c r="X25" i="19"/>
  <c r="J29" i="19"/>
  <c r="P28" i="19"/>
  <c r="Z28" i="19" s="1"/>
  <c r="K28" i="19"/>
  <c r="M28" i="19" s="1"/>
  <c r="W28" i="19" s="1"/>
  <c r="X37" i="19"/>
  <c r="X27" i="19"/>
  <c r="P22" i="19"/>
  <c r="Z22" i="19" s="1"/>
  <c r="J38" i="19"/>
  <c r="T38" i="19" s="1"/>
  <c r="X24" i="19"/>
  <c r="N39" i="19"/>
  <c r="N29" i="19"/>
  <c r="J36" i="19"/>
  <c r="J26" i="19"/>
  <c r="O26" i="19"/>
  <c r="Q26" i="19" s="1"/>
  <c r="AA26" i="19" s="1"/>
  <c r="G27" i="19"/>
  <c r="J37" i="19"/>
  <c r="J27" i="19"/>
  <c r="K29" i="19"/>
  <c r="M29" i="19" s="1"/>
  <c r="W29" i="19" s="1"/>
  <c r="E30" i="19"/>
  <c r="U60" i="36"/>
  <c r="U26" i="36"/>
  <c r="U13" i="36"/>
  <c r="U11" i="36"/>
  <c r="U17" i="36"/>
  <c r="U48" i="36"/>
  <c r="U24" i="36"/>
  <c r="U59" i="36"/>
  <c r="U29" i="36"/>
  <c r="U16" i="36"/>
  <c r="U35" i="36"/>
  <c r="U15" i="36"/>
  <c r="U25" i="36"/>
  <c r="Y24" i="36"/>
  <c r="Y26" i="36"/>
  <c r="Y28" i="36"/>
  <c r="Y16" i="36"/>
  <c r="U49" i="36"/>
  <c r="Y48" i="36"/>
  <c r="Y14" i="36"/>
  <c r="W23" i="31"/>
  <c r="U31" i="26"/>
  <c r="U23" i="26"/>
  <c r="U39" i="26"/>
  <c r="U14" i="26"/>
  <c r="U29" i="26"/>
  <c r="U37" i="26"/>
  <c r="U19" i="26"/>
  <c r="U11" i="26"/>
  <c r="U18" i="26"/>
  <c r="U12" i="26"/>
  <c r="U33" i="26"/>
  <c r="Y91" i="19"/>
  <c r="Y92" i="19"/>
  <c r="Y76" i="19"/>
  <c r="Y56" i="19"/>
  <c r="Y58" i="19"/>
  <c r="Y11" i="19"/>
  <c r="Y93" i="19"/>
  <c r="Y14" i="19"/>
  <c r="Y101" i="19"/>
  <c r="Y155" i="19"/>
  <c r="Y54" i="19"/>
  <c r="Y59" i="19"/>
  <c r="Y55" i="19"/>
  <c r="Y78" i="19"/>
  <c r="Y42" i="19"/>
  <c r="Y156" i="19"/>
  <c r="Y123" i="19"/>
  <c r="Y90" i="19"/>
  <c r="Y147" i="19"/>
  <c r="Y157" i="19"/>
  <c r="Y12" i="19"/>
  <c r="Y25" i="19"/>
  <c r="Y148" i="19"/>
  <c r="Y70" i="19"/>
  <c r="Y100" i="19"/>
  <c r="Y149" i="19"/>
  <c r="Y99" i="19"/>
  <c r="Y79" i="19"/>
  <c r="Y13" i="19"/>
  <c r="Y150" i="19"/>
  <c r="J93" i="25"/>
  <c r="T81" i="25"/>
  <c r="P61" i="25"/>
  <c r="Z61" i="25" s="1"/>
  <c r="K24" i="25"/>
  <c r="M24" i="25" s="1"/>
  <c r="L91" i="25"/>
  <c r="V91" i="25" s="1"/>
  <c r="G27" i="25"/>
  <c r="E26" i="25"/>
  <c r="L62" i="25"/>
  <c r="V62" i="25" s="1"/>
  <c r="N53" i="25"/>
  <c r="X53" i="25" s="1"/>
  <c r="N83" i="25"/>
  <c r="N73" i="25"/>
  <c r="X73" i="25" s="1"/>
  <c r="L82" i="25"/>
  <c r="V82" i="25" s="1"/>
  <c r="L92" i="25"/>
  <c r="V92" i="25" s="1"/>
  <c r="L42" i="25"/>
  <c r="V42" i="25" s="1"/>
  <c r="J14" i="25"/>
  <c r="P14" i="25" s="1"/>
  <c r="Z14" i="25" s="1"/>
  <c r="J73" i="25"/>
  <c r="P73" i="25" s="1"/>
  <c r="Z73" i="25" s="1"/>
  <c r="J23" i="25"/>
  <c r="T23" i="25" s="1"/>
  <c r="L93" i="25"/>
  <c r="V93" i="25" s="1"/>
  <c r="J63" i="25"/>
  <c r="T63" i="25" s="1"/>
  <c r="J33" i="25"/>
  <c r="P33" i="25" s="1"/>
  <c r="Z33" i="25" s="1"/>
  <c r="J53" i="25"/>
  <c r="P53" i="25" s="1"/>
  <c r="Z53" i="25" s="1"/>
  <c r="J43" i="25"/>
  <c r="T43" i="25" s="1"/>
  <c r="J83" i="25"/>
  <c r="F24" i="25"/>
  <c r="D24" i="25"/>
  <c r="J32" i="25"/>
  <c r="P32" i="25" s="1"/>
  <c r="Z32" i="25" s="1"/>
  <c r="J22" i="25"/>
  <c r="P22" i="25" s="1"/>
  <c r="Z22" i="25" s="1"/>
  <c r="T12" i="25"/>
  <c r="P71" i="25"/>
  <c r="Z71" i="25" s="1"/>
  <c r="T14" i="30"/>
  <c r="U70" i="30"/>
  <c r="X24" i="30"/>
  <c r="L24" i="30"/>
  <c r="V24" i="30" s="1"/>
  <c r="L13" i="30"/>
  <c r="V13" i="30" s="1"/>
  <c r="X13" i="30"/>
  <c r="X36" i="30"/>
  <c r="L36" i="30"/>
  <c r="V36" i="30" s="1"/>
  <c r="X58" i="30"/>
  <c r="L58" i="30"/>
  <c r="V58" i="30" s="1"/>
  <c r="X18" i="30"/>
  <c r="L18" i="30"/>
  <c r="V18" i="30" s="1"/>
  <c r="L48" i="30"/>
  <c r="V48" i="30" s="1"/>
  <c r="X48" i="30"/>
  <c r="U33" i="30"/>
  <c r="X20" i="30"/>
  <c r="L20" i="30"/>
  <c r="V20" i="30" s="1"/>
  <c r="L43" i="30"/>
  <c r="V43" i="30" s="1"/>
  <c r="X43" i="30"/>
  <c r="U58" i="30"/>
  <c r="U28" i="30"/>
  <c r="X39" i="30"/>
  <c r="L67" i="30"/>
  <c r="V67" i="30" s="1"/>
  <c r="X67" i="30"/>
  <c r="X26" i="30"/>
  <c r="L26" i="30"/>
  <c r="V26" i="30" s="1"/>
  <c r="U59" i="30"/>
  <c r="P49" i="30"/>
  <c r="Z49" i="30" s="1"/>
  <c r="X47" i="30"/>
  <c r="X32" i="30"/>
  <c r="L32" i="30"/>
  <c r="V32" i="30" s="1"/>
  <c r="X60" i="30"/>
  <c r="P63" i="30"/>
  <c r="Z63" i="30" s="1"/>
  <c r="X31" i="30"/>
  <c r="X38" i="30"/>
  <c r="L38" i="30"/>
  <c r="V38" i="30" s="1"/>
  <c r="L35" i="30"/>
  <c r="V35" i="30" s="1"/>
  <c r="X35" i="30"/>
  <c r="X22" i="30"/>
  <c r="L22" i="30"/>
  <c r="V22" i="30" s="1"/>
  <c r="L23" i="30"/>
  <c r="V23" i="30" s="1"/>
  <c r="X23" i="30"/>
  <c r="U38" i="30"/>
  <c r="U46" i="30"/>
  <c r="X28" i="30"/>
  <c r="L28" i="30"/>
  <c r="V28" i="30" s="1"/>
  <c r="P21" i="30"/>
  <c r="Z21" i="30" s="1"/>
  <c r="X27" i="30"/>
  <c r="L14" i="30"/>
  <c r="V14" i="30" s="1"/>
  <c r="X14" i="30"/>
  <c r="L42" i="30"/>
  <c r="V42" i="30" s="1"/>
  <c r="X42" i="30"/>
  <c r="L19" i="30"/>
  <c r="V19" i="30" s="1"/>
  <c r="X19" i="30"/>
  <c r="L21" i="30"/>
  <c r="V21" i="30" s="1"/>
  <c r="X21" i="30"/>
  <c r="L63" i="25"/>
  <c r="V63" i="25" s="1"/>
  <c r="P41" i="25"/>
  <c r="Z41" i="25" s="1"/>
  <c r="X71" i="25"/>
  <c r="L51" i="25"/>
  <c r="V51" i="25" s="1"/>
  <c r="L12" i="25"/>
  <c r="V12" i="25" s="1"/>
  <c r="L72" i="25"/>
  <c r="V72" i="25" s="1"/>
  <c r="P11" i="25"/>
  <c r="Z11" i="25" s="1"/>
  <c r="L13" i="25"/>
  <c r="V13" i="25" s="1"/>
  <c r="X41" i="25"/>
  <c r="X43" i="25"/>
  <c r="X14" i="25"/>
  <c r="X31" i="25"/>
  <c r="X32" i="25"/>
  <c r="X22" i="25"/>
  <c r="X81" i="25"/>
  <c r="L81" i="25"/>
  <c r="V81" i="25" s="1"/>
  <c r="X33" i="25"/>
  <c r="L33" i="25"/>
  <c r="V33" i="25" s="1"/>
  <c r="X61" i="25"/>
  <c r="X83" i="25"/>
  <c r="L83" i="25"/>
  <c r="V83" i="25" s="1"/>
  <c r="X52" i="25"/>
  <c r="L52" i="25"/>
  <c r="V52" i="25" s="1"/>
  <c r="T14" i="25"/>
  <c r="X23" i="25"/>
  <c r="X21" i="25"/>
  <c r="Y12" i="25"/>
  <c r="X11" i="25"/>
  <c r="Y22" i="2"/>
  <c r="X20" i="2"/>
  <c r="L20" i="2"/>
  <c r="V20" i="2" s="1"/>
  <c r="W14" i="2"/>
  <c r="U12" i="2"/>
  <c r="M12" i="2"/>
  <c r="W18" i="2"/>
  <c r="Q20" i="2"/>
  <c r="AA20" i="2" s="1"/>
  <c r="Y20" i="2"/>
  <c r="U20" i="2"/>
  <c r="AA17" i="2"/>
  <c r="Q18" i="2"/>
  <c r="AA18" i="2" s="1"/>
  <c r="Y18" i="2"/>
  <c r="W17" i="2"/>
  <c r="W19" i="2"/>
  <c r="X18" i="2"/>
  <c r="L18" i="2"/>
  <c r="V18" i="2" s="1"/>
  <c r="Y24" i="25"/>
  <c r="W11" i="25"/>
  <c r="Y21" i="25"/>
  <c r="W249" i="27"/>
  <c r="U22" i="25"/>
  <c r="U11" i="25"/>
  <c r="U25" i="25"/>
  <c r="AA27" i="36"/>
  <c r="AA28" i="36"/>
  <c r="AA35" i="36"/>
  <c r="AA14" i="36"/>
  <c r="AA59" i="36"/>
  <c r="AA24" i="36"/>
  <c r="AA23" i="36"/>
  <c r="AA48" i="36"/>
  <c r="AA47" i="36"/>
  <c r="AA60" i="36"/>
  <c r="U190" i="22"/>
  <c r="AA100" i="19"/>
  <c r="AA13" i="19"/>
  <c r="U82" i="23"/>
  <c r="U147" i="19"/>
  <c r="Y80" i="23"/>
  <c r="Y82" i="23"/>
  <c r="AA36" i="23"/>
  <c r="U214" i="22"/>
  <c r="AA65" i="30"/>
  <c r="Y29" i="29"/>
  <c r="Y12" i="29"/>
  <c r="W36" i="28"/>
  <c r="W12" i="28"/>
  <c r="U147" i="22"/>
  <c r="AA71" i="19"/>
  <c r="AA57" i="19"/>
  <c r="U55" i="19"/>
  <c r="Y16" i="32"/>
  <c r="Y23" i="32"/>
  <c r="AA148" i="19"/>
  <c r="U56" i="19"/>
  <c r="Y15" i="25"/>
  <c r="W39" i="26"/>
  <c r="AA13" i="34"/>
  <c r="W20" i="34"/>
  <c r="W21" i="34"/>
  <c r="W22" i="34"/>
  <c r="W27" i="36"/>
  <c r="AA32" i="33"/>
  <c r="W24" i="34"/>
  <c r="W14" i="34"/>
  <c r="W16" i="36"/>
  <c r="AA16" i="34"/>
  <c r="W59" i="36"/>
  <c r="W48" i="36"/>
  <c r="W24" i="27"/>
  <c r="W47" i="30"/>
  <c r="AA26" i="33"/>
  <c r="AA17" i="34"/>
  <c r="W25" i="34"/>
  <c r="W26" i="36"/>
  <c r="W35" i="36"/>
  <c r="W24" i="36"/>
  <c r="Y204" i="27"/>
  <c r="W204" i="27"/>
  <c r="W12" i="27"/>
  <c r="AA18" i="34"/>
  <c r="AA14" i="34"/>
  <c r="AA15" i="34"/>
  <c r="AA15" i="36"/>
  <c r="W25" i="36"/>
  <c r="W13" i="36"/>
  <c r="W28" i="36"/>
  <c r="AA26" i="36"/>
  <c r="AA16" i="36"/>
  <c r="AA11" i="36"/>
  <c r="AA31" i="33"/>
  <c r="AA25" i="34"/>
  <c r="W17" i="34"/>
  <c r="W19" i="34"/>
  <c r="AA22" i="34"/>
  <c r="AA23" i="34"/>
  <c r="W47" i="36"/>
  <c r="W17" i="36"/>
  <c r="Y179" i="22"/>
  <c r="AA12" i="33"/>
  <c r="W29" i="36"/>
  <c r="W23" i="36"/>
  <c r="W12" i="18"/>
  <c r="AA40" i="35"/>
  <c r="AA24" i="35"/>
  <c r="AA30" i="35"/>
  <c r="AA35" i="35"/>
  <c r="AA21" i="35"/>
  <c r="AA38" i="35"/>
  <c r="AA52" i="35"/>
  <c r="AA41" i="35"/>
  <c r="AA46" i="35"/>
  <c r="AA26" i="35"/>
  <c r="AA13" i="35"/>
  <c r="AA53" i="35"/>
  <c r="AA19" i="35"/>
  <c r="AA36" i="35"/>
  <c r="AA51" i="35"/>
  <c r="AA28" i="35"/>
  <c r="AA42" i="35"/>
  <c r="AA45" i="35"/>
  <c r="AA22" i="35"/>
  <c r="AA20" i="35"/>
  <c r="AA54" i="35"/>
  <c r="AA44" i="35"/>
  <c r="AA25" i="35"/>
  <c r="AA29" i="35"/>
  <c r="AA37" i="35"/>
  <c r="AA14" i="35"/>
  <c r="U103" i="23"/>
  <c r="AA136" i="23"/>
  <c r="Y35" i="23"/>
  <c r="U147" i="23"/>
  <c r="Y25" i="23"/>
  <c r="Y41" i="24"/>
  <c r="U13" i="23"/>
  <c r="W15" i="27"/>
  <c r="AA59" i="30"/>
  <c r="AA13" i="31"/>
  <c r="AA33" i="31"/>
  <c r="AA23" i="31"/>
  <c r="AA55" i="31"/>
  <c r="AA66" i="31"/>
  <c r="AA44" i="31"/>
  <c r="AA18" i="31"/>
  <c r="AA16" i="31"/>
  <c r="AA24" i="31"/>
  <c r="AA15" i="31"/>
  <c r="AA17" i="31"/>
  <c r="AA67" i="31"/>
  <c r="AA45" i="31"/>
  <c r="AA12" i="31"/>
  <c r="AA22" i="31"/>
  <c r="AA14" i="31"/>
  <c r="AA56" i="31"/>
  <c r="AA20" i="31"/>
  <c r="AA21" i="31"/>
  <c r="AA19" i="31"/>
  <c r="AA60" i="29"/>
  <c r="AA58" i="29"/>
  <c r="AA22" i="29"/>
  <c r="AA37" i="29"/>
  <c r="AA38" i="29"/>
  <c r="AA18" i="29"/>
  <c r="AA59" i="29"/>
  <c r="AA27" i="29"/>
  <c r="AA28" i="29"/>
  <c r="AA34" i="29"/>
  <c r="AA20" i="29"/>
  <c r="AA36" i="29"/>
  <c r="AA17" i="29"/>
  <c r="AA23" i="29"/>
  <c r="AA32" i="29"/>
  <c r="AA33" i="29"/>
  <c r="AA39" i="29"/>
  <c r="AA14" i="29"/>
  <c r="AA30" i="29"/>
  <c r="AA25" i="29"/>
  <c r="AA24" i="29"/>
  <c r="AA26" i="29"/>
  <c r="AA19" i="29"/>
  <c r="AA35" i="29"/>
  <c r="Y11" i="24"/>
  <c r="Y129" i="23"/>
  <c r="Y170" i="23"/>
  <c r="Y123" i="23"/>
  <c r="Y134" i="23"/>
  <c r="Y124" i="23"/>
  <c r="Y120" i="23"/>
  <c r="Y112" i="23"/>
  <c r="Y125" i="23"/>
  <c r="Y121" i="23"/>
  <c r="Y113" i="23"/>
  <c r="Y135" i="23"/>
  <c r="Y131" i="23"/>
  <c r="Y114" i="23"/>
  <c r="Y95" i="23"/>
  <c r="Y101" i="23"/>
  <c r="Y36" i="23"/>
  <c r="Y26" i="23"/>
  <c r="Y22" i="23"/>
  <c r="Y122" i="23"/>
  <c r="Y146" i="23"/>
  <c r="Y34" i="23"/>
  <c r="Y14" i="23"/>
  <c r="Y130" i="23"/>
  <c r="Y43" i="23"/>
  <c r="Y29" i="23"/>
  <c r="Y32" i="23"/>
  <c r="Y24" i="23"/>
  <c r="Y171" i="23"/>
  <c r="Y103" i="23"/>
  <c r="Y31" i="23"/>
  <c r="Y136" i="23"/>
  <c r="Y102" i="23"/>
  <c r="Y33" i="23"/>
  <c r="Y81" i="23"/>
  <c r="Y100" i="23"/>
  <c r="Y148" i="23"/>
  <c r="Y147" i="23"/>
  <c r="Y30" i="23"/>
  <c r="Y13" i="23"/>
  <c r="AA47" i="32"/>
  <c r="AA38" i="32"/>
  <c r="AA30" i="32"/>
  <c r="AA27" i="32"/>
  <c r="AA23" i="32"/>
  <c r="AA19" i="32"/>
  <c r="AA53" i="32"/>
  <c r="AA26" i="32"/>
  <c r="AA33" i="32"/>
  <c r="AA51" i="32"/>
  <c r="AA31" i="32"/>
  <c r="AA54" i="32"/>
  <c r="AA28" i="32"/>
  <c r="AA42" i="32"/>
  <c r="AA14" i="32"/>
  <c r="AA32" i="32"/>
  <c r="AA39" i="32"/>
  <c r="AA50" i="32"/>
  <c r="AA15" i="32"/>
  <c r="AA43" i="32"/>
  <c r="AA13" i="32"/>
  <c r="AA40" i="32"/>
  <c r="AA20" i="32"/>
  <c r="AA18" i="32"/>
  <c r="AA24" i="32"/>
  <c r="AA41" i="32"/>
  <c r="AA44" i="32"/>
  <c r="AA16" i="32"/>
  <c r="AA25" i="32"/>
  <c r="AA45" i="32"/>
  <c r="AA46" i="32"/>
  <c r="AA52" i="32"/>
  <c r="AA35" i="32"/>
  <c r="AA17" i="32"/>
  <c r="AA48" i="32"/>
  <c r="U11" i="31"/>
  <c r="W12" i="30"/>
  <c r="Y11" i="35"/>
  <c r="AA12" i="35"/>
  <c r="W49" i="35"/>
  <c r="W33" i="35"/>
  <c r="W17" i="35"/>
  <c r="W23" i="35"/>
  <c r="W54" i="35"/>
  <c r="W34" i="35"/>
  <c r="W28" i="35"/>
  <c r="W19" i="35"/>
  <c r="W46" i="35"/>
  <c r="W47" i="35"/>
  <c r="W21" i="35"/>
  <c r="W35" i="35"/>
  <c r="W38" i="35"/>
  <c r="W39" i="35"/>
  <c r="W45" i="35"/>
  <c r="W37" i="35"/>
  <c r="W18" i="35"/>
  <c r="W22" i="35"/>
  <c r="W30" i="35"/>
  <c r="W51" i="35"/>
  <c r="W50" i="35"/>
  <c r="W53" i="35"/>
  <c r="W13" i="35"/>
  <c r="W55" i="35"/>
  <c r="W15" i="35"/>
  <c r="W29" i="35"/>
  <c r="W44" i="35"/>
  <c r="W31" i="35"/>
  <c r="U92" i="19"/>
  <c r="U28" i="19"/>
  <c r="U42" i="19"/>
  <c r="U24" i="23"/>
  <c r="Y23" i="23"/>
  <c r="W20" i="24"/>
  <c r="W43" i="24"/>
  <c r="U17" i="25"/>
  <c r="W22" i="25"/>
  <c r="W17" i="25"/>
  <c r="W28" i="28"/>
  <c r="Y28" i="30"/>
  <c r="W67" i="30"/>
  <c r="W19" i="29"/>
  <c r="W26" i="30"/>
  <c r="AA21" i="29"/>
  <c r="Y48" i="32"/>
  <c r="Y29" i="30"/>
  <c r="AA83" i="29"/>
  <c r="W22" i="31"/>
  <c r="W14" i="35"/>
  <c r="W36" i="35"/>
  <c r="AA125" i="19"/>
  <c r="AA77" i="19"/>
  <c r="AA91" i="19"/>
  <c r="AA14" i="19"/>
  <c r="AA150" i="19"/>
  <c r="AA40" i="19"/>
  <c r="AA155" i="19"/>
  <c r="AA124" i="19"/>
  <c r="AA41" i="19"/>
  <c r="AA42" i="19"/>
  <c r="AA25" i="19"/>
  <c r="AA147" i="19"/>
  <c r="AA156" i="19"/>
  <c r="AA157" i="19"/>
  <c r="Y28" i="24"/>
  <c r="Y22" i="24"/>
  <c r="Y20" i="24"/>
  <c r="Y15" i="24"/>
  <c r="Y43" i="24"/>
  <c r="Y27" i="24"/>
  <c r="Y56" i="24"/>
  <c r="Y57" i="24"/>
  <c r="Y14" i="24"/>
  <c r="Y58" i="24"/>
  <c r="Y42" i="24"/>
  <c r="AA147" i="23"/>
  <c r="AA148" i="23"/>
  <c r="AA101" i="23"/>
  <c r="AA146" i="23"/>
  <c r="AA24" i="23"/>
  <c r="AA96" i="23"/>
  <c r="AA97" i="23"/>
  <c r="AA134" i="23"/>
  <c r="AA131" i="23"/>
  <c r="AA22" i="23"/>
  <c r="AA33" i="23"/>
  <c r="AA95" i="23"/>
  <c r="AA100" i="23"/>
  <c r="AA135" i="23"/>
  <c r="AA30" i="23"/>
  <c r="AA114" i="23"/>
  <c r="AA41" i="23"/>
  <c r="AA123" i="23"/>
  <c r="AA112" i="23"/>
  <c r="AA23" i="23"/>
  <c r="AA113" i="23"/>
  <c r="AA32" i="23"/>
  <c r="AA29" i="23"/>
  <c r="AA35" i="23"/>
  <c r="AA80" i="23"/>
  <c r="AA13" i="23"/>
  <c r="AA59" i="23"/>
  <c r="AA169" i="23"/>
  <c r="AA81" i="23"/>
  <c r="AA129" i="23"/>
  <c r="AA120" i="23"/>
  <c r="U266" i="22"/>
  <c r="AA67" i="30"/>
  <c r="AA42" i="30"/>
  <c r="AA51" i="30"/>
  <c r="AA55" i="30"/>
  <c r="AA34" i="30"/>
  <c r="AA53" i="30"/>
  <c r="AA45" i="30"/>
  <c r="AA70" i="30"/>
  <c r="AA37" i="30"/>
  <c r="AA35" i="30"/>
  <c r="AA43" i="30"/>
  <c r="AA57" i="30"/>
  <c r="AA63" i="30"/>
  <c r="AA49" i="30"/>
  <c r="AA38" i="30"/>
  <c r="AA41" i="30"/>
  <c r="AA39" i="30"/>
  <c r="AA36" i="30"/>
  <c r="AA61" i="30"/>
  <c r="AA47" i="30"/>
  <c r="AA44" i="30"/>
  <c r="U41" i="25"/>
  <c r="U33" i="25"/>
  <c r="U31" i="25"/>
  <c r="U20" i="25"/>
  <c r="U19" i="25"/>
  <c r="U24" i="25"/>
  <c r="U14" i="25"/>
  <c r="U18" i="25"/>
  <c r="U13" i="25"/>
  <c r="U21" i="25"/>
  <c r="U16" i="25"/>
  <c r="U32" i="25"/>
  <c r="U15" i="25"/>
  <c r="U23" i="25"/>
  <c r="AA11" i="35"/>
  <c r="U41" i="19"/>
  <c r="Y169" i="23"/>
  <c r="Y41" i="23"/>
  <c r="Y13" i="24"/>
  <c r="Y16" i="25"/>
  <c r="AA33" i="25"/>
  <c r="W26" i="26"/>
  <c r="W157" i="28"/>
  <c r="AA46" i="30"/>
  <c r="AA29" i="29"/>
  <c r="AA66" i="30"/>
  <c r="W41" i="28"/>
  <c r="Y39" i="30"/>
  <c r="Y13" i="35"/>
  <c r="Y52" i="35"/>
  <c r="Y36" i="35"/>
  <c r="Y20" i="35"/>
  <c r="Y40" i="35"/>
  <c r="Y24" i="35"/>
  <c r="Y44" i="35"/>
  <c r="Y28" i="35"/>
  <c r="Y46" i="35"/>
  <c r="Y30" i="35"/>
  <c r="Y14" i="35"/>
  <c r="Y33" i="35"/>
  <c r="Y49" i="35"/>
  <c r="Y32" i="35"/>
  <c r="Y31" i="35"/>
  <c r="Y29" i="35"/>
  <c r="Y38" i="35"/>
  <c r="Y19" i="35"/>
  <c r="Y22" i="35"/>
  <c r="Y41" i="35"/>
  <c r="Y39" i="35"/>
  <c r="Y21" i="35"/>
  <c r="Y50" i="35"/>
  <c r="Y42" i="35"/>
  <c r="Y15" i="35"/>
  <c r="Y25" i="35"/>
  <c r="Y51" i="35"/>
  <c r="Y48" i="35"/>
  <c r="Y43" i="35"/>
  <c r="Y53" i="35"/>
  <c r="Y17" i="35"/>
  <c r="Y23" i="35"/>
  <c r="Y27" i="35"/>
  <c r="Y35" i="35"/>
  <c r="Y26" i="35"/>
  <c r="Y18" i="35"/>
  <c r="Y47" i="35"/>
  <c r="Y45" i="35"/>
  <c r="Y55" i="35"/>
  <c r="Y37" i="35"/>
  <c r="Y34" i="35"/>
  <c r="Y16" i="35"/>
  <c r="Y53" i="32"/>
  <c r="Y14" i="32"/>
  <c r="Y51" i="32"/>
  <c r="Y13" i="32"/>
  <c r="Y43" i="32"/>
  <c r="Y54" i="32"/>
  <c r="Y32" i="32"/>
  <c r="Y17" i="32"/>
  <c r="Y25" i="32"/>
  <c r="Y41" i="32"/>
  <c r="Y40" i="32"/>
  <c r="Y27" i="32"/>
  <c r="Y20" i="32"/>
  <c r="Y33" i="32"/>
  <c r="Y30" i="32"/>
  <c r="Y24" i="32"/>
  <c r="Y21" i="32"/>
  <c r="Y42" i="32"/>
  <c r="Y28" i="32"/>
  <c r="Y38" i="32"/>
  <c r="Y31" i="32"/>
  <c r="Y50" i="32"/>
  <c r="Y15" i="32"/>
  <c r="Y35" i="32"/>
  <c r="Y36" i="32"/>
  <c r="Y18" i="32"/>
  <c r="Y44" i="32"/>
  <c r="Y39" i="32"/>
  <c r="Y47" i="32"/>
  <c r="Y19" i="32"/>
  <c r="Y46" i="32"/>
  <c r="Y52" i="32"/>
  <c r="W20" i="27"/>
  <c r="W19" i="27"/>
  <c r="W14" i="27"/>
  <c r="W16" i="27"/>
  <c r="W18" i="27"/>
  <c r="W44" i="27"/>
  <c r="W22" i="27"/>
  <c r="W25" i="27"/>
  <c r="W23" i="27"/>
  <c r="W26" i="27"/>
  <c r="W17" i="27"/>
  <c r="W14" i="24"/>
  <c r="W27" i="24"/>
  <c r="AA11" i="32"/>
  <c r="W19" i="25"/>
  <c r="W25" i="25"/>
  <c r="W23" i="25"/>
  <c r="W21" i="25"/>
  <c r="W13" i="25"/>
  <c r="W31" i="25"/>
  <c r="W33" i="25"/>
  <c r="W41" i="25"/>
  <c r="U76" i="19"/>
  <c r="U101" i="19"/>
  <c r="AA101" i="19"/>
  <c r="U149" i="22"/>
  <c r="AA124" i="23"/>
  <c r="Y96" i="23"/>
  <c r="Y59" i="23"/>
  <c r="AA25" i="23"/>
  <c r="AA122" i="23"/>
  <c r="Y21" i="24"/>
  <c r="AA58" i="23"/>
  <c r="W21" i="24"/>
  <c r="AA31" i="25"/>
  <c r="AA32" i="25"/>
  <c r="W38" i="26"/>
  <c r="Y31" i="29"/>
  <c r="Y13" i="30"/>
  <c r="Y54" i="35"/>
  <c r="AA15" i="29"/>
  <c r="AA45" i="1"/>
  <c r="AA29" i="1"/>
  <c r="AA27" i="1"/>
  <c r="AA25" i="1"/>
  <c r="AA23" i="1"/>
  <c r="AA21" i="1"/>
  <c r="AA19" i="1"/>
  <c r="AA17" i="1"/>
  <c r="AA15" i="1"/>
  <c r="AA13" i="1"/>
  <c r="AA14" i="1"/>
  <c r="AA28" i="1"/>
  <c r="AA16" i="1"/>
  <c r="AA22" i="1"/>
  <c r="AA24" i="1"/>
  <c r="AA18" i="1"/>
  <c r="AA26" i="1"/>
  <c r="AA20" i="1"/>
  <c r="U59" i="22"/>
  <c r="U57" i="22"/>
  <c r="U35" i="22"/>
  <c r="U82" i="22"/>
  <c r="U166" i="22"/>
  <c r="U150" i="22"/>
  <c r="U146" i="22"/>
  <c r="U136" i="22"/>
  <c r="U104" i="22"/>
  <c r="U128" i="22"/>
  <c r="U148" i="22"/>
  <c r="U168" i="22"/>
  <c r="U13" i="22"/>
  <c r="U26" i="22"/>
  <c r="U58" i="22"/>
  <c r="U126" i="22"/>
  <c r="U169" i="22"/>
  <c r="U137" i="22"/>
  <c r="U24" i="22"/>
  <c r="U25" i="22"/>
  <c r="U103" i="22"/>
  <c r="U81" i="22"/>
  <c r="U138" i="22"/>
  <c r="U151" i="22"/>
  <c r="U167" i="22"/>
  <c r="U36" i="22"/>
  <c r="U139" i="22"/>
  <c r="U140" i="22"/>
  <c r="U152" i="22"/>
  <c r="U67" i="31"/>
  <c r="U56" i="31"/>
  <c r="U44" i="31"/>
  <c r="U34" i="31"/>
  <c r="U55" i="31"/>
  <c r="U13" i="31"/>
  <c r="U22" i="31"/>
  <c r="U57" i="31"/>
  <c r="U17" i="31"/>
  <c r="U66" i="31"/>
  <c r="U20" i="31"/>
  <c r="U15" i="31"/>
  <c r="U45" i="31"/>
  <c r="U14" i="31"/>
  <c r="U21" i="31"/>
  <c r="U16" i="31"/>
  <c r="U23" i="31"/>
  <c r="U18" i="31"/>
  <c r="U33" i="31"/>
  <c r="W56" i="30"/>
  <c r="W66" i="30"/>
  <c r="W52" i="30"/>
  <c r="W70" i="30"/>
  <c r="W20" i="30"/>
  <c r="W28" i="30"/>
  <c r="W41" i="30"/>
  <c r="W48" i="30"/>
  <c r="W68" i="30"/>
  <c r="W54" i="30"/>
  <c r="W45" i="30"/>
  <c r="W39" i="30"/>
  <c r="W14" i="30"/>
  <c r="W22" i="30"/>
  <c r="W30" i="30"/>
  <c r="W46" i="30"/>
  <c r="W37" i="30"/>
  <c r="W58" i="30"/>
  <c r="W38" i="30"/>
  <c r="W36" i="30"/>
  <c r="W16" i="30"/>
  <c r="W24" i="30"/>
  <c r="W32" i="30"/>
  <c r="W62" i="30"/>
  <c r="W44" i="30"/>
  <c r="W60" i="30"/>
  <c r="W42" i="30"/>
  <c r="W40" i="30"/>
  <c r="U80" i="29"/>
  <c r="U25" i="29"/>
  <c r="U35" i="29"/>
  <c r="U19" i="29"/>
  <c r="U57" i="29"/>
  <c r="U29" i="29"/>
  <c r="U13" i="29"/>
  <c r="U39" i="29"/>
  <c r="U33" i="29"/>
  <c r="U17" i="29"/>
  <c r="U27" i="29"/>
  <c r="U59" i="29"/>
  <c r="U37" i="29"/>
  <c r="U21" i="29"/>
  <c r="U15" i="29"/>
  <c r="U31" i="29"/>
  <c r="U18" i="29"/>
  <c r="U90" i="29"/>
  <c r="U34" i="29"/>
  <c r="U24" i="29"/>
  <c r="U81" i="29"/>
  <c r="U91" i="29"/>
  <c r="U14" i="29"/>
  <c r="U20" i="29"/>
  <c r="U60" i="29"/>
  <c r="U82" i="29"/>
  <c r="U58" i="29"/>
  <c r="U30" i="29"/>
  <c r="U36" i="29"/>
  <c r="U22" i="29"/>
  <c r="U38" i="29"/>
  <c r="U16" i="29"/>
  <c r="U32" i="29"/>
  <c r="U92" i="29"/>
  <c r="U83" i="29"/>
  <c r="U26" i="29"/>
  <c r="U28" i="29"/>
  <c r="W235" i="27"/>
  <c r="W225" i="27"/>
  <c r="AA12" i="25"/>
  <c r="Y34" i="25"/>
  <c r="Y32" i="25"/>
  <c r="Y33" i="25"/>
  <c r="Y31" i="25"/>
  <c r="Y19" i="25"/>
  <c r="Y18" i="25"/>
  <c r="Y26" i="25"/>
  <c r="Y13" i="25"/>
  <c r="Y25" i="25"/>
  <c r="Y20" i="25"/>
  <c r="Y23" i="25"/>
  <c r="Y35" i="25"/>
  <c r="Y14" i="25"/>
  <c r="Y22" i="25"/>
  <c r="Y41" i="25"/>
  <c r="Y17" i="25"/>
  <c r="U124" i="19"/>
  <c r="U57" i="19"/>
  <c r="U91" i="19"/>
  <c r="U29" i="22"/>
  <c r="U171" i="23"/>
  <c r="U58" i="23"/>
  <c r="Y57" i="23"/>
  <c r="AA170" i="23"/>
  <c r="W15" i="25"/>
  <c r="AA19" i="25"/>
  <c r="Y58" i="23"/>
  <c r="W29" i="26"/>
  <c r="W90" i="29"/>
  <c r="AA31" i="29"/>
  <c r="AA52" i="30"/>
  <c r="AA57" i="29"/>
  <c r="W15" i="31"/>
  <c r="AA49" i="32"/>
  <c r="AA69" i="30"/>
  <c r="U129" i="23"/>
  <c r="U122" i="23"/>
  <c r="U114" i="23"/>
  <c r="U136" i="23"/>
  <c r="U169" i="23"/>
  <c r="U134" i="23"/>
  <c r="U124" i="23"/>
  <c r="U120" i="23"/>
  <c r="U112" i="23"/>
  <c r="U130" i="23"/>
  <c r="U31" i="23"/>
  <c r="U23" i="23"/>
  <c r="U123" i="23"/>
  <c r="U59" i="23"/>
  <c r="U35" i="23"/>
  <c r="U41" i="23"/>
  <c r="U97" i="23"/>
  <c r="U25" i="23"/>
  <c r="U125" i="23"/>
  <c r="U135" i="23"/>
  <c r="U42" i="23"/>
  <c r="U113" i="23"/>
  <c r="U95" i="23"/>
  <c r="U30" i="23"/>
  <c r="U102" i="23"/>
  <c r="U101" i="23"/>
  <c r="U80" i="23"/>
  <c r="U26" i="23"/>
  <c r="U36" i="23"/>
  <c r="U57" i="23"/>
  <c r="U131" i="23"/>
  <c r="U146" i="23"/>
  <c r="U14" i="23"/>
  <c r="U81" i="23"/>
  <c r="U100" i="23"/>
  <c r="U170" i="23"/>
  <c r="U22" i="23"/>
  <c r="U29" i="23"/>
  <c r="U34" i="23"/>
  <c r="W14" i="31"/>
  <c r="W13" i="31"/>
  <c r="W33" i="31"/>
  <c r="W44" i="31"/>
  <c r="W56" i="31"/>
  <c r="W17" i="31"/>
  <c r="W67" i="31"/>
  <c r="W45" i="31"/>
  <c r="W19" i="31"/>
  <c r="W20" i="31"/>
  <c r="W66" i="31"/>
  <c r="W18" i="31"/>
  <c r="W55" i="31"/>
  <c r="W34" i="31"/>
  <c r="W68" i="31"/>
  <c r="W12" i="31"/>
  <c r="W16" i="31"/>
  <c r="W57" i="31"/>
  <c r="Y61" i="30"/>
  <c r="Y45" i="30"/>
  <c r="Y65" i="30"/>
  <c r="Y55" i="30"/>
  <c r="Y69" i="30"/>
  <c r="Y49" i="30"/>
  <c r="Y35" i="30"/>
  <c r="Y43" i="30"/>
  <c r="Y51" i="30"/>
  <c r="Y59" i="30"/>
  <c r="Y67" i="30"/>
  <c r="Y37" i="30"/>
  <c r="Y14" i="30"/>
  <c r="Y30" i="30"/>
  <c r="Y66" i="30"/>
  <c r="Y46" i="30"/>
  <c r="Y52" i="30"/>
  <c r="Y15" i="30"/>
  <c r="Y23" i="30"/>
  <c r="Y31" i="30"/>
  <c r="Y64" i="30"/>
  <c r="Y41" i="30"/>
  <c r="Y57" i="30"/>
  <c r="Y53" i="30"/>
  <c r="Y16" i="30"/>
  <c r="Y32" i="30"/>
  <c r="Y40" i="30"/>
  <c r="Y18" i="30"/>
  <c r="Y17" i="30"/>
  <c r="Y25" i="30"/>
  <c r="Y33" i="30"/>
  <c r="Y20" i="30"/>
  <c r="Y56" i="30"/>
  <c r="Y70" i="30"/>
  <c r="Y36" i="30"/>
  <c r="Y60" i="30"/>
  <c r="Y22" i="30"/>
  <c r="Y58" i="30"/>
  <c r="Y19" i="30"/>
  <c r="Y27" i="30"/>
  <c r="Y48" i="30"/>
  <c r="Y47" i="30"/>
  <c r="Y34" i="30"/>
  <c r="Y24" i="30"/>
  <c r="Y44" i="30"/>
  <c r="Y42" i="30"/>
  <c r="Y68" i="30"/>
  <c r="Y63" i="30"/>
  <c r="Y26" i="30"/>
  <c r="Y62" i="30"/>
  <c r="W80" i="29"/>
  <c r="W59" i="29"/>
  <c r="W57" i="29"/>
  <c r="W29" i="29"/>
  <c r="W28" i="29"/>
  <c r="W35" i="29"/>
  <c r="W24" i="29"/>
  <c r="W15" i="29"/>
  <c r="W30" i="29"/>
  <c r="W16" i="29"/>
  <c r="W32" i="29"/>
  <c r="W25" i="29"/>
  <c r="W31" i="29"/>
  <c r="W17" i="29"/>
  <c r="W33" i="29"/>
  <c r="W26" i="29"/>
  <c r="W20" i="29"/>
  <c r="W36" i="29"/>
  <c r="W27" i="29"/>
  <c r="W22" i="29"/>
  <c r="W38" i="29"/>
  <c r="W58" i="29"/>
  <c r="W21" i="29"/>
  <c r="W37" i="29"/>
  <c r="W13" i="29"/>
  <c r="W18" i="29"/>
  <c r="W60" i="29"/>
  <c r="AA24" i="25"/>
  <c r="AA22" i="25"/>
  <c r="AA34" i="25"/>
  <c r="AA26" i="25"/>
  <c r="AA16" i="25"/>
  <c r="AA14" i="25"/>
  <c r="AA20" i="25"/>
  <c r="U96" i="23"/>
  <c r="AA125" i="23"/>
  <c r="U121" i="23"/>
  <c r="AA43" i="23"/>
  <c r="AA18" i="25"/>
  <c r="W24" i="26"/>
  <c r="AA13" i="29"/>
  <c r="U19" i="31"/>
  <c r="W34" i="29"/>
  <c r="AA34" i="31"/>
  <c r="Y49" i="32"/>
  <c r="AA39" i="35"/>
  <c r="U157" i="19"/>
  <c r="U123" i="19"/>
  <c r="U158" i="19"/>
  <c r="U93" i="19"/>
  <c r="U99" i="19"/>
  <c r="U148" i="19"/>
  <c r="U58" i="19"/>
  <c r="U27" i="19"/>
  <c r="U70" i="19"/>
  <c r="U149" i="19"/>
  <c r="U40" i="19"/>
  <c r="U59" i="19"/>
  <c r="U100" i="19"/>
  <c r="U54" i="19"/>
  <c r="U77" i="19"/>
  <c r="U60" i="19"/>
  <c r="U13" i="19"/>
  <c r="U25" i="19"/>
  <c r="U14" i="19"/>
  <c r="U156" i="19"/>
  <c r="U155" i="19"/>
  <c r="U71" i="19"/>
  <c r="U90" i="19"/>
  <c r="AA12" i="32"/>
  <c r="Y66" i="31"/>
  <c r="Y55" i="31"/>
  <c r="Y45" i="31"/>
  <c r="Y44" i="31"/>
  <c r="Y21" i="31"/>
  <c r="Y12" i="31"/>
  <c r="Y46" i="31"/>
  <c r="Y16" i="31"/>
  <c r="Y56" i="31"/>
  <c r="Y19" i="31"/>
  <c r="Y14" i="31"/>
  <c r="Y67" i="31"/>
  <c r="Y23" i="31"/>
  <c r="Y18" i="31"/>
  <c r="Y33" i="31"/>
  <c r="Y13" i="31"/>
  <c r="Y20" i="31"/>
  <c r="Y15" i="31"/>
  <c r="Y22" i="31"/>
  <c r="Y17" i="31"/>
  <c r="Y34" i="31"/>
  <c r="Y24" i="29"/>
  <c r="Y34" i="29"/>
  <c r="Y18" i="29"/>
  <c r="Y28" i="29"/>
  <c r="Y60" i="29"/>
  <c r="Y38" i="29"/>
  <c r="Y22" i="29"/>
  <c r="Y32" i="29"/>
  <c r="Y16" i="29"/>
  <c r="Y26" i="29"/>
  <c r="Y36" i="29"/>
  <c r="Y20" i="29"/>
  <c r="Y14" i="29"/>
  <c r="Y58" i="29"/>
  <c r="Y30" i="29"/>
  <c r="Y83" i="29"/>
  <c r="Y27" i="29"/>
  <c r="Y39" i="29"/>
  <c r="Y81" i="29"/>
  <c r="Y25" i="29"/>
  <c r="Y59" i="29"/>
  <c r="Y90" i="29"/>
  <c r="Y57" i="29"/>
  <c r="Y19" i="29"/>
  <c r="Y35" i="29"/>
  <c r="Y21" i="29"/>
  <c r="Y37" i="29"/>
  <c r="Y92" i="29"/>
  <c r="Y80" i="29"/>
  <c r="Y84" i="29"/>
  <c r="Y17" i="29"/>
  <c r="Y91" i="29"/>
  <c r="Y82" i="29"/>
  <c r="Y33" i="29"/>
  <c r="Y13" i="29"/>
  <c r="W128" i="28"/>
  <c r="W99" i="28"/>
  <c r="W70" i="28"/>
  <c r="W42" i="28"/>
  <c r="W40" i="28"/>
  <c r="W38" i="28"/>
  <c r="W98" i="28"/>
  <c r="W27" i="28"/>
  <c r="W19" i="28"/>
  <c r="W100" i="28"/>
  <c r="W26" i="28"/>
  <c r="W18" i="28"/>
  <c r="W39" i="28"/>
  <c r="W24" i="28"/>
  <c r="W16" i="28"/>
  <c r="W71" i="28"/>
  <c r="W29" i="28"/>
  <c r="W37" i="28"/>
  <c r="W13" i="28"/>
  <c r="W33" i="28"/>
  <c r="W21" i="28"/>
  <c r="W31" i="28"/>
  <c r="W35" i="28"/>
  <c r="W20" i="28"/>
  <c r="W69" i="28"/>
  <c r="W34" i="28"/>
  <c r="W129" i="28"/>
  <c r="W17" i="28"/>
  <c r="W22" i="28"/>
  <c r="W14" i="28"/>
  <c r="W25" i="28"/>
  <c r="W30" i="28"/>
  <c r="W23" i="28"/>
  <c r="W15" i="28"/>
  <c r="W32" i="28"/>
  <c r="W127" i="28"/>
  <c r="W156" i="28"/>
  <c r="W172" i="28"/>
  <c r="W245" i="27"/>
  <c r="W14" i="26"/>
  <c r="W15" i="26"/>
  <c r="W30" i="26"/>
  <c r="W40" i="26"/>
  <c r="W13" i="26"/>
  <c r="W56" i="26"/>
  <c r="W16" i="26"/>
  <c r="W42" i="26"/>
  <c r="W19" i="26"/>
  <c r="W17" i="26"/>
  <c r="W32" i="26"/>
  <c r="W25" i="26"/>
  <c r="W47" i="26"/>
  <c r="W23" i="26"/>
  <c r="W33" i="26"/>
  <c r="W51" i="26"/>
  <c r="W49" i="26"/>
  <c r="W22" i="26"/>
  <c r="W37" i="26"/>
  <c r="W48" i="26"/>
  <c r="W20" i="26"/>
  <c r="W36" i="26"/>
  <c r="W18" i="26"/>
  <c r="W31" i="26"/>
  <c r="W50" i="26"/>
  <c r="AA149" i="19"/>
  <c r="AA123" i="19"/>
  <c r="U26" i="19"/>
  <c r="U80" i="22"/>
  <c r="U127" i="22"/>
  <c r="AA121" i="23"/>
  <c r="AA57" i="23"/>
  <c r="AA31" i="23"/>
  <c r="AA82" i="23"/>
  <c r="Y42" i="23"/>
  <c r="U34" i="25"/>
  <c r="W20" i="25"/>
  <c r="AA81" i="29"/>
  <c r="Y15" i="29"/>
  <c r="W64" i="30"/>
  <c r="U12" i="31"/>
  <c r="Y50" i="30"/>
  <c r="Y23" i="29"/>
  <c r="W51" i="30"/>
  <c r="Y54" i="30"/>
  <c r="W18" i="30"/>
  <c r="W21" i="31"/>
  <c r="Y21" i="30"/>
  <c r="W24" i="35"/>
  <c r="AA50" i="35"/>
  <c r="W27" i="35"/>
  <c r="W41" i="35"/>
  <c r="W25" i="35"/>
  <c r="U100" i="28"/>
  <c r="U98" i="28"/>
  <c r="U71" i="28"/>
  <c r="U69" i="28"/>
  <c r="U99" i="28"/>
  <c r="U70" i="28"/>
  <c r="U42" i="28"/>
  <c r="U40" i="28"/>
  <c r="U38" i="28"/>
  <c r="AA133" i="18"/>
  <c r="AA85" i="18"/>
  <c r="W34" i="25"/>
  <c r="AA21" i="25"/>
  <c r="AA15" i="25"/>
  <c r="U35" i="28"/>
  <c r="U27" i="28"/>
  <c r="U19" i="28"/>
  <c r="U173" i="28"/>
  <c r="U24" i="28"/>
  <c r="U16" i="28"/>
  <c r="U158" i="28"/>
  <c r="U129" i="28"/>
  <c r="W65" i="30"/>
  <c r="W29" i="30"/>
  <c r="W21" i="30"/>
  <c r="W13" i="30"/>
  <c r="AA28" i="30"/>
  <c r="AA20" i="30"/>
  <c r="AA50" i="30"/>
  <c r="AA54" i="30"/>
  <c r="AA29" i="30"/>
  <c r="AA21" i="30"/>
  <c r="AA13" i="30"/>
  <c r="W52" i="35"/>
  <c r="W26" i="35"/>
  <c r="Y99" i="28"/>
  <c r="Y70" i="28"/>
  <c r="Y157" i="28"/>
  <c r="Y156" i="28"/>
  <c r="Y100" i="28"/>
  <c r="Y98" i="28"/>
  <c r="Y71" i="28"/>
  <c r="Y69" i="28"/>
  <c r="Y41" i="28"/>
  <c r="Y39" i="28"/>
  <c r="Y37" i="28"/>
  <c r="Y127" i="28"/>
  <c r="Y13" i="36"/>
  <c r="AA54" i="19"/>
  <c r="AA92" i="19"/>
  <c r="AA76" i="19"/>
  <c r="AA56" i="19"/>
  <c r="W42" i="24"/>
  <c r="W32" i="25"/>
  <c r="AA17" i="25"/>
  <c r="W16" i="25"/>
  <c r="AA41" i="25"/>
  <c r="U36" i="28"/>
  <c r="W158" i="28"/>
  <c r="U157" i="28"/>
  <c r="W69" i="30"/>
  <c r="AA62" i="30"/>
  <c r="W63" i="30"/>
  <c r="W43" i="30"/>
  <c r="W55" i="30"/>
  <c r="AA68" i="30"/>
  <c r="W32" i="35"/>
  <c r="W40" i="35"/>
  <c r="W43" i="35"/>
  <c r="AA17" i="35"/>
  <c r="Y15" i="27"/>
  <c r="Y25" i="27"/>
  <c r="Y23" i="27"/>
  <c r="Y17" i="27"/>
  <c r="U14" i="27"/>
  <c r="U24" i="27"/>
  <c r="U22" i="27"/>
  <c r="U16" i="27"/>
  <c r="AA100" i="28"/>
  <c r="AA98" i="28"/>
  <c r="AA71" i="28"/>
  <c r="AA69" i="28"/>
  <c r="AA41" i="28"/>
  <c r="AA39" i="28"/>
  <c r="AA25" i="28"/>
  <c r="AA17" i="28"/>
  <c r="AA40" i="28"/>
  <c r="AA99" i="28"/>
  <c r="AA38" i="28"/>
  <c r="AA32" i="28"/>
  <c r="AA29" i="28"/>
  <c r="AA21" i="28"/>
  <c r="AA13" i="28"/>
  <c r="AA20" i="28"/>
  <c r="AA34" i="28"/>
  <c r="AA28" i="28"/>
  <c r="AA13" i="36"/>
  <c r="AA171" i="23"/>
  <c r="W57" i="24"/>
  <c r="W56" i="24"/>
  <c r="AA35" i="25"/>
  <c r="U41" i="28"/>
  <c r="U33" i="28"/>
  <c r="U25" i="28"/>
  <c r="U17" i="28"/>
  <c r="W27" i="27"/>
  <c r="U30" i="28"/>
  <c r="U22" i="28"/>
  <c r="U14" i="28"/>
  <c r="W83" i="29"/>
  <c r="AA82" i="29"/>
  <c r="W92" i="29"/>
  <c r="W27" i="30"/>
  <c r="W19" i="30"/>
  <c r="W35" i="30"/>
  <c r="AA26" i="30"/>
  <c r="AA18" i="30"/>
  <c r="AA91" i="29"/>
  <c r="W61" i="30"/>
  <c r="W34" i="30"/>
  <c r="AA48" i="30"/>
  <c r="AA27" i="30"/>
  <c r="AA19" i="30"/>
  <c r="AA55" i="35"/>
  <c r="AA36" i="32"/>
  <c r="AA15" i="35"/>
  <c r="U236" i="27"/>
  <c r="AA48" i="35"/>
  <c r="U226" i="27"/>
  <c r="W49" i="36"/>
  <c r="U12" i="18"/>
  <c r="AA36" i="36"/>
  <c r="AA12" i="18"/>
  <c r="U51" i="26"/>
  <c r="U49" i="26"/>
  <c r="U47" i="26"/>
  <c r="U56" i="26"/>
  <c r="U30" i="26"/>
  <c r="U26" i="26"/>
  <c r="U22" i="26"/>
  <c r="U15" i="26"/>
  <c r="U42" i="26"/>
  <c r="U36" i="26"/>
  <c r="U48" i="26"/>
  <c r="U32" i="26"/>
  <c r="U24" i="26"/>
  <c r="U20" i="26"/>
  <c r="U17" i="26"/>
  <c r="U13" i="26"/>
  <c r="U50" i="26"/>
  <c r="U38" i="26"/>
  <c r="U40" i="26"/>
  <c r="AA70" i="19"/>
  <c r="AA55" i="19"/>
  <c r="AA78" i="19"/>
  <c r="AA102" i="23"/>
  <c r="AA34" i="23"/>
  <c r="W18" i="25"/>
  <c r="AA23" i="25"/>
  <c r="W173" i="28"/>
  <c r="AA84" i="29"/>
  <c r="AA58" i="30"/>
  <c r="W57" i="30"/>
  <c r="AA60" i="30"/>
  <c r="AA40" i="30"/>
  <c r="W50" i="30"/>
  <c r="AA27" i="35"/>
  <c r="AA18" i="35"/>
  <c r="AA167" i="22"/>
  <c r="AA24" i="22"/>
  <c r="U224" i="27"/>
  <c r="Y36" i="36"/>
  <c r="AA240" i="22"/>
  <c r="AA11" i="18"/>
  <c r="AA90" i="19"/>
  <c r="AA103" i="23"/>
  <c r="AA26" i="23"/>
  <c r="W13" i="24"/>
  <c r="AA25" i="25"/>
  <c r="W14" i="25"/>
  <c r="W24" i="25"/>
  <c r="W13" i="27"/>
  <c r="U39" i="28"/>
  <c r="U31" i="28"/>
  <c r="U23" i="28"/>
  <c r="U15" i="28"/>
  <c r="U172" i="28"/>
  <c r="U34" i="28"/>
  <c r="U28" i="28"/>
  <c r="U20" i="28"/>
  <c r="AA80" i="29"/>
  <c r="W28" i="27"/>
  <c r="W59" i="30"/>
  <c r="W33" i="30"/>
  <c r="W25" i="30"/>
  <c r="W17" i="30"/>
  <c r="W53" i="30"/>
  <c r="AA32" i="30"/>
  <c r="AA24" i="30"/>
  <c r="AA16" i="30"/>
  <c r="AA56" i="30"/>
  <c r="U174" i="28"/>
  <c r="AA33" i="30"/>
  <c r="AA25" i="30"/>
  <c r="AA17" i="30"/>
  <c r="W48" i="35"/>
  <c r="AA23" i="35"/>
  <c r="AA43" i="35"/>
  <c r="AA31" i="35"/>
  <c r="AA11" i="34"/>
  <c r="Y56" i="26"/>
  <c r="Y50" i="26"/>
  <c r="Y48" i="26"/>
  <c r="Y41" i="26"/>
  <c r="Y31" i="26"/>
  <c r="Y23" i="26"/>
  <c r="Y19" i="26"/>
  <c r="Y16" i="26"/>
  <c r="Y47" i="26"/>
  <c r="Y37" i="26"/>
  <c r="Y49" i="26"/>
  <c r="Y29" i="26"/>
  <c r="Y39" i="26"/>
  <c r="Y21" i="26"/>
  <c r="Y33" i="26"/>
  <c r="Y14" i="26"/>
  <c r="Y25" i="26"/>
  <c r="Y51" i="26"/>
  <c r="Y18" i="26"/>
  <c r="AA99" i="19"/>
  <c r="AA93" i="19"/>
  <c r="AA58" i="19"/>
  <c r="AA130" i="23"/>
  <c r="AA42" i="23"/>
  <c r="W41" i="24"/>
  <c r="AA13" i="25"/>
  <c r="W43" i="27"/>
  <c r="AA92" i="29"/>
  <c r="W82" i="29"/>
  <c r="W21" i="27"/>
  <c r="W174" i="28"/>
  <c r="AA21" i="32"/>
  <c r="AA34" i="35"/>
  <c r="AA32" i="35"/>
  <c r="W42" i="35"/>
  <c r="AA49" i="35"/>
  <c r="Y58" i="22"/>
  <c r="Y139" i="22"/>
  <c r="Y127" i="22"/>
  <c r="Y103" i="22"/>
  <c r="Y168" i="22"/>
  <c r="AA33" i="35"/>
  <c r="U14" i="36"/>
  <c r="AA25" i="36"/>
  <c r="AA177" i="22"/>
  <c r="U127" i="28"/>
  <c r="U156" i="28"/>
  <c r="U26" i="28"/>
  <c r="U18" i="28"/>
  <c r="W91" i="29"/>
  <c r="AA90" i="29"/>
  <c r="W49" i="30"/>
  <c r="W81" i="29"/>
  <c r="W31" i="30"/>
  <c r="W23" i="30"/>
  <c r="W15" i="30"/>
  <c r="AA30" i="30"/>
  <c r="AA22" i="30"/>
  <c r="AA14" i="30"/>
  <c r="AA64" i="30"/>
  <c r="AA31" i="30"/>
  <c r="AA23" i="30"/>
  <c r="AA15" i="30"/>
  <c r="W16" i="35"/>
  <c r="W20" i="35"/>
  <c r="AA47" i="35"/>
  <c r="AA16" i="35"/>
  <c r="AA179" i="22"/>
  <c r="U61" i="18"/>
  <c r="U24" i="18"/>
  <c r="U16" i="18"/>
  <c r="U63" i="18"/>
  <c r="U40" i="18"/>
  <c r="U28" i="18"/>
  <c r="U86" i="18"/>
  <c r="W14" i="36"/>
  <c r="U11" i="18"/>
  <c r="W11" i="35"/>
  <c r="AA11" i="31"/>
  <c r="W203" i="27"/>
  <c r="W226" i="27"/>
  <c r="W220" i="27"/>
  <c r="W219" i="27"/>
  <c r="AA11" i="25"/>
  <c r="W247" i="27"/>
  <c r="U12" i="29"/>
  <c r="W12" i="26"/>
  <c r="W11" i="31"/>
  <c r="Y12" i="30"/>
  <c r="W12" i="29"/>
  <c r="W11" i="29"/>
  <c r="W11" i="28"/>
  <c r="W234" i="27"/>
  <c r="W248" i="27"/>
  <c r="W246" i="27"/>
  <c r="W233" i="27"/>
  <c r="W11" i="30"/>
  <c r="AA12" i="30"/>
  <c r="Y11" i="29"/>
  <c r="W236" i="27"/>
  <c r="W224" i="27"/>
  <c r="W11" i="27"/>
  <c r="Y12" i="32"/>
  <c r="Y11" i="30"/>
  <c r="AA11" i="29"/>
  <c r="W11" i="26"/>
  <c r="AA11" i="30"/>
  <c r="U12" i="25"/>
  <c r="Y11" i="25"/>
  <c r="Y11" i="31"/>
  <c r="AA12" i="29"/>
  <c r="W12" i="25"/>
  <c r="U217" i="22"/>
  <c r="U251" i="22"/>
  <c r="U226" i="22"/>
  <c r="U239" i="22"/>
  <c r="U216" i="22"/>
  <c r="U192" i="22"/>
  <c r="U215" i="22"/>
  <c r="U191" i="22"/>
  <c r="U227" i="22"/>
  <c r="W12" i="24"/>
  <c r="U180" i="22"/>
  <c r="U11" i="23"/>
  <c r="U12" i="23"/>
  <c r="Y11" i="23"/>
  <c r="Y12" i="23"/>
  <c r="W11" i="24"/>
  <c r="Y12" i="24"/>
  <c r="AA11" i="23"/>
  <c r="U300" i="22"/>
  <c r="U298" i="22"/>
  <c r="U303" i="22"/>
  <c r="U176" i="22"/>
  <c r="U11" i="22"/>
  <c r="U301" i="22"/>
  <c r="U178" i="22"/>
  <c r="U12" i="22"/>
  <c r="U177" i="22"/>
  <c r="U219" i="22"/>
  <c r="U203" i="22"/>
  <c r="U228" i="22"/>
  <c r="U263" i="22"/>
  <c r="U179" i="22"/>
  <c r="U11" i="19"/>
  <c r="AA11" i="19"/>
  <c r="AA12" i="19"/>
  <c r="U12" i="19"/>
  <c r="AA12" i="1"/>
  <c r="J12" i="1"/>
  <c r="P12" i="1" s="1"/>
  <c r="Z12" i="1" s="1"/>
  <c r="W21" i="2"/>
  <c r="L15" i="2"/>
  <c r="V15" i="2" s="1"/>
  <c r="L22" i="2"/>
  <c r="V22" i="2" s="1"/>
  <c r="X22" i="2"/>
  <c r="U22" i="2"/>
  <c r="M22" i="2"/>
  <c r="W22" i="2" s="1"/>
  <c r="X16" i="2"/>
  <c r="L16" i="2"/>
  <c r="V16" i="2" s="1"/>
  <c r="W16" i="2"/>
  <c r="W12" i="2"/>
  <c r="W15" i="2"/>
  <c r="W13" i="2"/>
  <c r="U6" i="1"/>
  <c r="W6" i="1"/>
  <c r="Y6" i="1"/>
  <c r="V181" i="1"/>
  <c r="V206" i="1"/>
  <c r="V200" i="1"/>
  <c r="V198" i="1"/>
  <c r="V201" i="1"/>
  <c r="V205" i="1"/>
  <c r="V209" i="1"/>
  <c r="Q11" i="1"/>
  <c r="AA11" i="1" s="1"/>
  <c r="X199" i="1"/>
  <c r="V199" i="1"/>
  <c r="T207" i="1"/>
  <c r="Z207" i="1"/>
  <c r="T200" i="1"/>
  <c r="Z200" i="1"/>
  <c r="AA200" i="1"/>
  <c r="X210" i="1"/>
  <c r="V210" i="1"/>
  <c r="T208" i="1"/>
  <c r="Z208" i="1"/>
  <c r="X202" i="1"/>
  <c r="V202" i="1"/>
  <c r="AA201" i="1"/>
  <c r="X207" i="1"/>
  <c r="V207" i="1"/>
  <c r="AA199" i="1"/>
  <c r="V204" i="1"/>
  <c r="V212" i="1"/>
  <c r="AA198" i="1"/>
  <c r="V203" i="1"/>
  <c r="V211" i="1"/>
  <c r="J202" i="1"/>
  <c r="P202" i="1" s="1"/>
  <c r="J210" i="1"/>
  <c r="P210" i="1" s="1"/>
  <c r="J181" i="1"/>
  <c r="P181" i="1" s="1"/>
  <c r="J205" i="1"/>
  <c r="P205" i="1" s="1"/>
  <c r="J201" i="1"/>
  <c r="P201" i="1" s="1"/>
  <c r="J209" i="1"/>
  <c r="P209" i="1" s="1"/>
  <c r="J203" i="1"/>
  <c r="P203" i="1" s="1"/>
  <c r="J211" i="1"/>
  <c r="P211" i="1" s="1"/>
  <c r="J204" i="1"/>
  <c r="P204" i="1" s="1"/>
  <c r="J212" i="1"/>
  <c r="P212" i="1" s="1"/>
  <c r="J198" i="1"/>
  <c r="P198" i="1" s="1"/>
  <c r="J206" i="1"/>
  <c r="P206" i="1" s="1"/>
  <c r="J199" i="1"/>
  <c r="P199" i="1" s="1"/>
  <c r="Y40" i="39" l="1"/>
  <c r="Q40" i="39"/>
  <c r="AA40" i="39" s="1"/>
  <c r="U40" i="39"/>
  <c r="M40" i="39"/>
  <c r="W40" i="39" s="1"/>
  <c r="M41" i="39"/>
  <c r="W41" i="39" s="1"/>
  <c r="U41" i="39"/>
  <c r="O29" i="39"/>
  <c r="G30" i="39"/>
  <c r="Y28" i="39"/>
  <c r="Q28" i="39"/>
  <c r="AA28" i="39" s="1"/>
  <c r="K30" i="39"/>
  <c r="E31" i="39"/>
  <c r="M29" i="39"/>
  <c r="W29" i="39" s="1"/>
  <c r="U29" i="39"/>
  <c r="Q14" i="39"/>
  <c r="AA14" i="39" s="1"/>
  <c r="Y14" i="39"/>
  <c r="G16" i="39"/>
  <c r="O15" i="39"/>
  <c r="M15" i="39"/>
  <c r="W15" i="39" s="1"/>
  <c r="U15" i="39"/>
  <c r="K16" i="39"/>
  <c r="E17" i="39"/>
  <c r="X46" i="39"/>
  <c r="L46" i="39"/>
  <c r="V46" i="39" s="1"/>
  <c r="Y42" i="39"/>
  <c r="Q42" i="39"/>
  <c r="AA42" i="39" s="1"/>
  <c r="O43" i="39"/>
  <c r="M43" i="39"/>
  <c r="W43" i="39" s="1"/>
  <c r="U43" i="39"/>
  <c r="X45" i="39"/>
  <c r="L45" i="39"/>
  <c r="V45" i="39" s="1"/>
  <c r="K44" i="39"/>
  <c r="T45" i="38"/>
  <c r="P45" i="38"/>
  <c r="Z45" i="38" s="1"/>
  <c r="T38" i="38"/>
  <c r="P38" i="38"/>
  <c r="Z38" i="38" s="1"/>
  <c r="Q23" i="38"/>
  <c r="AA23" i="38" s="1"/>
  <c r="Y23" i="38"/>
  <c r="G25" i="38"/>
  <c r="O24" i="38"/>
  <c r="U25" i="38"/>
  <c r="K26" i="38"/>
  <c r="N90" i="38"/>
  <c r="X42" i="38"/>
  <c r="L42" i="38"/>
  <c r="V42" i="38" s="1"/>
  <c r="P58" i="38"/>
  <c r="Z58" i="38" s="1"/>
  <c r="T58" i="38"/>
  <c r="N69" i="38"/>
  <c r="P69" i="38"/>
  <c r="Z69" i="38" s="1"/>
  <c r="T69" i="38"/>
  <c r="J57" i="38"/>
  <c r="L36" i="38"/>
  <c r="V36" i="38" s="1"/>
  <c r="X36" i="38"/>
  <c r="P43" i="38"/>
  <c r="Z43" i="38" s="1"/>
  <c r="T43" i="38"/>
  <c r="L37" i="38"/>
  <c r="V37" i="38" s="1"/>
  <c r="X37" i="38"/>
  <c r="X73" i="38"/>
  <c r="L73" i="38"/>
  <c r="V73" i="38" s="1"/>
  <c r="N59" i="38"/>
  <c r="J54" i="38"/>
  <c r="X44" i="38"/>
  <c r="L44" i="38"/>
  <c r="V44" i="38" s="1"/>
  <c r="T40" i="38"/>
  <c r="P40" i="38"/>
  <c r="Z40" i="38" s="1"/>
  <c r="N53" i="38"/>
  <c r="J60" i="38"/>
  <c r="N54" i="38"/>
  <c r="M46" i="38"/>
  <c r="W46" i="38" s="1"/>
  <c r="U46" i="38"/>
  <c r="J67" i="38"/>
  <c r="J53" i="38"/>
  <c r="J93" i="38"/>
  <c r="P31" i="38"/>
  <c r="Z31" i="38" s="1"/>
  <c r="T31" i="38"/>
  <c r="L29" i="38"/>
  <c r="V29" i="38" s="1"/>
  <c r="X29" i="38"/>
  <c r="T37" i="38"/>
  <c r="P37" i="38"/>
  <c r="Z37" i="38" s="1"/>
  <c r="N61" i="38"/>
  <c r="X47" i="38"/>
  <c r="L47" i="38"/>
  <c r="V47" i="38" s="1"/>
  <c r="L41" i="38"/>
  <c r="V41" i="38" s="1"/>
  <c r="X41" i="38"/>
  <c r="X40" i="38"/>
  <c r="L40" i="38"/>
  <c r="V40" i="38" s="1"/>
  <c r="J61" i="38"/>
  <c r="P50" i="38"/>
  <c r="Z50" i="38" s="1"/>
  <c r="T50" i="38"/>
  <c r="P36" i="38"/>
  <c r="Z36" i="38" s="1"/>
  <c r="T36" i="38"/>
  <c r="T76" i="38"/>
  <c r="P76" i="38"/>
  <c r="Z76" i="38" s="1"/>
  <c r="J48" i="38"/>
  <c r="N46" i="38"/>
  <c r="J49" i="38"/>
  <c r="L48" i="38"/>
  <c r="V48" i="38" s="1"/>
  <c r="X48" i="38"/>
  <c r="O47" i="38"/>
  <c r="N64" i="38"/>
  <c r="N58" i="38"/>
  <c r="N57" i="38"/>
  <c r="T44" i="38"/>
  <c r="P44" i="38"/>
  <c r="Z44" i="38" s="1"/>
  <c r="J68" i="38"/>
  <c r="O63" i="38"/>
  <c r="N68" i="38"/>
  <c r="J56" i="38"/>
  <c r="N94" i="38"/>
  <c r="J64" i="38"/>
  <c r="J63" i="38"/>
  <c r="N66" i="38"/>
  <c r="X52" i="38"/>
  <c r="L52" i="38"/>
  <c r="V52" i="38" s="1"/>
  <c r="J86" i="38"/>
  <c r="X77" i="38"/>
  <c r="L77" i="38"/>
  <c r="V77" i="38" s="1"/>
  <c r="N55" i="38"/>
  <c r="L33" i="38"/>
  <c r="V33" i="38" s="1"/>
  <c r="X33" i="38"/>
  <c r="Y62" i="38"/>
  <c r="Q62" i="38"/>
  <c r="AA62" i="38" s="1"/>
  <c r="P32" i="38"/>
  <c r="Z32" i="38" s="1"/>
  <c r="T32" i="38"/>
  <c r="N65" i="38"/>
  <c r="Q46" i="38"/>
  <c r="AA46" i="38" s="1"/>
  <c r="Y46" i="38"/>
  <c r="P89" i="38"/>
  <c r="Z89" i="38" s="1"/>
  <c r="T89" i="38"/>
  <c r="P46" i="38"/>
  <c r="Z46" i="38" s="1"/>
  <c r="T46" i="38"/>
  <c r="X49" i="38"/>
  <c r="L49" i="38"/>
  <c r="V49" i="38" s="1"/>
  <c r="K79" i="38"/>
  <c r="T51" i="38"/>
  <c r="P51" i="38"/>
  <c r="Z51" i="38" s="1"/>
  <c r="J75" i="38"/>
  <c r="K63" i="38"/>
  <c r="K47" i="38"/>
  <c r="T47" i="38"/>
  <c r="P47" i="38"/>
  <c r="Z47" i="38" s="1"/>
  <c r="X38" i="38"/>
  <c r="L38" i="38"/>
  <c r="V38" i="38" s="1"/>
  <c r="N50" i="38"/>
  <c r="O79" i="38"/>
  <c r="X51" i="38"/>
  <c r="L51" i="38"/>
  <c r="V51" i="38" s="1"/>
  <c r="P39" i="38"/>
  <c r="Z39" i="38" s="1"/>
  <c r="T39" i="38"/>
  <c r="U62" i="38"/>
  <c r="M62" i="38"/>
  <c r="W62" i="38" s="1"/>
  <c r="J106" i="38"/>
  <c r="P54" i="37"/>
  <c r="Z54" i="37" s="1"/>
  <c r="T54" i="37"/>
  <c r="P51" i="37"/>
  <c r="Z51" i="37" s="1"/>
  <c r="T51" i="37"/>
  <c r="T24" i="37"/>
  <c r="P24" i="37"/>
  <c r="Z24" i="37" s="1"/>
  <c r="T21" i="37"/>
  <c r="P21" i="37"/>
  <c r="Z21" i="37" s="1"/>
  <c r="K61" i="36"/>
  <c r="E62" i="36"/>
  <c r="Q61" i="36"/>
  <c r="AA61" i="36" s="1"/>
  <c r="Y61" i="36"/>
  <c r="O62" i="36"/>
  <c r="G63" i="36"/>
  <c r="Q49" i="36"/>
  <c r="AA49" i="36" s="1"/>
  <c r="Y49" i="36"/>
  <c r="G51" i="36"/>
  <c r="O50" i="36"/>
  <c r="E51" i="36"/>
  <c r="K50" i="36"/>
  <c r="Q37" i="36"/>
  <c r="AA37" i="36" s="1"/>
  <c r="Y37" i="36"/>
  <c r="G39" i="36"/>
  <c r="O38" i="36"/>
  <c r="M37" i="36"/>
  <c r="W37" i="36" s="1"/>
  <c r="U37" i="36"/>
  <c r="K38" i="36"/>
  <c r="E39" i="36"/>
  <c r="G30" i="36"/>
  <c r="O29" i="36"/>
  <c r="K30" i="36"/>
  <c r="E31" i="36"/>
  <c r="Q17" i="36"/>
  <c r="AA17" i="36" s="1"/>
  <c r="Y17" i="36"/>
  <c r="G19" i="36"/>
  <c r="O18" i="36"/>
  <c r="K19" i="36"/>
  <c r="M18" i="36"/>
  <c r="W18" i="36" s="1"/>
  <c r="U18" i="36"/>
  <c r="J31" i="35"/>
  <c r="J27" i="35"/>
  <c r="L24" i="35"/>
  <c r="V24" i="35" s="1"/>
  <c r="X24" i="35"/>
  <c r="P24" i="35"/>
  <c r="Z24" i="35" s="1"/>
  <c r="T24" i="35"/>
  <c r="N27" i="35"/>
  <c r="T26" i="35"/>
  <c r="P26" i="35"/>
  <c r="Z26" i="35" s="1"/>
  <c r="N26" i="35"/>
  <c r="J29" i="35"/>
  <c r="L23" i="35"/>
  <c r="V23" i="35" s="1"/>
  <c r="X23" i="35"/>
  <c r="N28" i="35"/>
  <c r="T28" i="35"/>
  <c r="P28" i="35"/>
  <c r="Z28" i="35" s="1"/>
  <c r="X25" i="35"/>
  <c r="L25" i="35"/>
  <c r="V25" i="35" s="1"/>
  <c r="Q18" i="33"/>
  <c r="AA18" i="33" s="1"/>
  <c r="Y18" i="33"/>
  <c r="Q19" i="33"/>
  <c r="AA19" i="33" s="1"/>
  <c r="Y19" i="33"/>
  <c r="Y45" i="32"/>
  <c r="M45" i="32"/>
  <c r="W45" i="32" s="1"/>
  <c r="U45" i="32"/>
  <c r="M46" i="32"/>
  <c r="W46" i="32" s="1"/>
  <c r="U46" i="32"/>
  <c r="M41" i="32"/>
  <c r="W41" i="32" s="1"/>
  <c r="U41" i="32"/>
  <c r="M42" i="32"/>
  <c r="W42" i="32" s="1"/>
  <c r="U42" i="32"/>
  <c r="Y37" i="32"/>
  <c r="M38" i="32"/>
  <c r="W38" i="32" s="1"/>
  <c r="U38" i="32"/>
  <c r="M37" i="32"/>
  <c r="W37" i="32" s="1"/>
  <c r="U37" i="32"/>
  <c r="T29" i="32"/>
  <c r="P29" i="32"/>
  <c r="Z29" i="32" s="1"/>
  <c r="T33" i="32"/>
  <c r="P33" i="32"/>
  <c r="Z33" i="32" s="1"/>
  <c r="Y34" i="32"/>
  <c r="Y26" i="32"/>
  <c r="T27" i="32"/>
  <c r="P27" i="32"/>
  <c r="Z27" i="32" s="1"/>
  <c r="P31" i="32"/>
  <c r="Z31" i="32" s="1"/>
  <c r="T31" i="32"/>
  <c r="Y22" i="32"/>
  <c r="Y29" i="32"/>
  <c r="M33" i="32"/>
  <c r="W33" i="32" s="1"/>
  <c r="U33" i="32"/>
  <c r="M34" i="32"/>
  <c r="W34" i="32" s="1"/>
  <c r="U34" i="32"/>
  <c r="M30" i="32"/>
  <c r="W30" i="32" s="1"/>
  <c r="U30" i="32"/>
  <c r="M29" i="32"/>
  <c r="W29" i="32" s="1"/>
  <c r="U29" i="32"/>
  <c r="M25" i="32"/>
  <c r="W25" i="32" s="1"/>
  <c r="U25" i="32"/>
  <c r="M26" i="32"/>
  <c r="W26" i="32" s="1"/>
  <c r="U26" i="32"/>
  <c r="M21" i="32"/>
  <c r="W21" i="32" s="1"/>
  <c r="U21" i="32"/>
  <c r="M22" i="32"/>
  <c r="W22" i="32" s="1"/>
  <c r="U22" i="32"/>
  <c r="U46" i="31"/>
  <c r="Y35" i="31"/>
  <c r="U68" i="31"/>
  <c r="J45" i="31"/>
  <c r="J56" i="31"/>
  <c r="J54" i="31"/>
  <c r="J65" i="31"/>
  <c r="T34" i="31"/>
  <c r="P34" i="31"/>
  <c r="Z34" i="31" s="1"/>
  <c r="X39" i="31"/>
  <c r="L39" i="31"/>
  <c r="V39" i="31" s="1"/>
  <c r="J36" i="31"/>
  <c r="T31" i="31"/>
  <c r="P31" i="31"/>
  <c r="Z31" i="31" s="1"/>
  <c r="T43" i="31"/>
  <c r="P43" i="31"/>
  <c r="Z43" i="31" s="1"/>
  <c r="N50" i="31"/>
  <c r="N61" i="31"/>
  <c r="Y68" i="31"/>
  <c r="N45" i="31"/>
  <c r="N56" i="31"/>
  <c r="N49" i="31"/>
  <c r="N60" i="31"/>
  <c r="N59" i="31"/>
  <c r="N48" i="31"/>
  <c r="N41" i="31"/>
  <c r="L44" i="31"/>
  <c r="V44" i="31" s="1"/>
  <c r="X44" i="31"/>
  <c r="N47" i="31"/>
  <c r="N58" i="31"/>
  <c r="T25" i="31"/>
  <c r="P25" i="31"/>
  <c r="Z25" i="31" s="1"/>
  <c r="X34" i="31"/>
  <c r="L34" i="31"/>
  <c r="V34" i="31" s="1"/>
  <c r="X38" i="31"/>
  <c r="L38" i="31"/>
  <c r="V38" i="31" s="1"/>
  <c r="X37" i="31"/>
  <c r="L37" i="31"/>
  <c r="V37" i="31" s="1"/>
  <c r="L30" i="31"/>
  <c r="V30" i="31" s="1"/>
  <c r="X30" i="31"/>
  <c r="L55" i="31"/>
  <c r="V55" i="31" s="1"/>
  <c r="X55" i="31"/>
  <c r="X36" i="31"/>
  <c r="L36" i="31"/>
  <c r="V36" i="31" s="1"/>
  <c r="J42" i="31"/>
  <c r="J35" i="31"/>
  <c r="N40" i="31"/>
  <c r="T49" i="31"/>
  <c r="P49" i="31"/>
  <c r="Z49" i="31" s="1"/>
  <c r="N43" i="31"/>
  <c r="N35" i="31"/>
  <c r="P37" i="31"/>
  <c r="Z37" i="31" s="1"/>
  <c r="T37" i="31"/>
  <c r="O25" i="31"/>
  <c r="G26" i="31"/>
  <c r="T24" i="31"/>
  <c r="P24" i="31"/>
  <c r="Z24" i="31" s="1"/>
  <c r="L29" i="31"/>
  <c r="V29" i="31" s="1"/>
  <c r="X29" i="31"/>
  <c r="T60" i="31"/>
  <c r="P60" i="31"/>
  <c r="Z60" i="31" s="1"/>
  <c r="X32" i="31"/>
  <c r="L32" i="31"/>
  <c r="V32" i="31" s="1"/>
  <c r="X24" i="31"/>
  <c r="L24" i="31"/>
  <c r="V24" i="31" s="1"/>
  <c r="J59" i="31"/>
  <c r="J48" i="31"/>
  <c r="K25" i="31"/>
  <c r="E26" i="31"/>
  <c r="J44" i="31"/>
  <c r="J55" i="31"/>
  <c r="N53" i="31"/>
  <c r="N64" i="31"/>
  <c r="P30" i="31"/>
  <c r="Z30" i="31" s="1"/>
  <c r="T30" i="31"/>
  <c r="T29" i="31"/>
  <c r="P29" i="31"/>
  <c r="Z29" i="31" s="1"/>
  <c r="T28" i="31"/>
  <c r="P28" i="31"/>
  <c r="Z28" i="31" s="1"/>
  <c r="T33" i="31"/>
  <c r="P33" i="31"/>
  <c r="Z33" i="31" s="1"/>
  <c r="X42" i="31"/>
  <c r="L42" i="31"/>
  <c r="V42" i="31" s="1"/>
  <c r="J41" i="31"/>
  <c r="J40" i="31"/>
  <c r="J39" i="31"/>
  <c r="Y57" i="31"/>
  <c r="O69" i="31"/>
  <c r="K69" i="31"/>
  <c r="O58" i="31"/>
  <c r="K58" i="31"/>
  <c r="K47" i="31"/>
  <c r="O47" i="31"/>
  <c r="K36" i="31"/>
  <c r="O36" i="31"/>
  <c r="U35" i="31"/>
  <c r="Y24" i="31"/>
  <c r="U24" i="31"/>
  <c r="Q174" i="28"/>
  <c r="AA174" i="28" s="1"/>
  <c r="Y174" i="28"/>
  <c r="O175" i="28"/>
  <c r="G176" i="28"/>
  <c r="K175" i="28"/>
  <c r="E176" i="28"/>
  <c r="Q158" i="28"/>
  <c r="AA158" i="28" s="1"/>
  <c r="Y158" i="28"/>
  <c r="O159" i="28"/>
  <c r="G160" i="28"/>
  <c r="K159" i="28"/>
  <c r="E160" i="28"/>
  <c r="P113" i="28"/>
  <c r="Z113" i="28" s="1"/>
  <c r="T113" i="28"/>
  <c r="P130" i="28"/>
  <c r="Z130" i="28" s="1"/>
  <c r="T130" i="28"/>
  <c r="P142" i="28"/>
  <c r="Z142" i="28" s="1"/>
  <c r="T142" i="28"/>
  <c r="P117" i="28"/>
  <c r="Z117" i="28" s="1"/>
  <c r="T117" i="28"/>
  <c r="P101" i="28"/>
  <c r="Z101" i="28" s="1"/>
  <c r="T101" i="28"/>
  <c r="P146" i="28"/>
  <c r="Z146" i="28" s="1"/>
  <c r="T146" i="28"/>
  <c r="P140" i="28"/>
  <c r="Z140" i="28" s="1"/>
  <c r="T140" i="28"/>
  <c r="P144" i="28"/>
  <c r="Z144" i="28" s="1"/>
  <c r="T144" i="28"/>
  <c r="P111" i="28"/>
  <c r="Z111" i="28" s="1"/>
  <c r="T111" i="28"/>
  <c r="P115" i="28"/>
  <c r="Z115" i="28" s="1"/>
  <c r="T115" i="28"/>
  <c r="G44" i="28"/>
  <c r="O43" i="28"/>
  <c r="Q42" i="28"/>
  <c r="AA42" i="28" s="1"/>
  <c r="Y42" i="28"/>
  <c r="E44" i="28"/>
  <c r="K43" i="28"/>
  <c r="K130" i="28"/>
  <c r="Q129" i="28"/>
  <c r="AA129" i="28" s="1"/>
  <c r="Y129" i="28"/>
  <c r="O130" i="28"/>
  <c r="K101" i="28"/>
  <c r="O101" i="28"/>
  <c r="K72" i="28"/>
  <c r="O72" i="28"/>
  <c r="E252" i="27"/>
  <c r="K251" i="27"/>
  <c r="M250" i="27"/>
  <c r="W250" i="27" s="1"/>
  <c r="U250" i="27"/>
  <c r="G252" i="27"/>
  <c r="O251" i="27"/>
  <c r="Q250" i="27"/>
  <c r="AA250" i="27" s="1"/>
  <c r="Y250" i="27"/>
  <c r="U237" i="27"/>
  <c r="M237" i="27"/>
  <c r="W237" i="27" s="1"/>
  <c r="K238" i="27"/>
  <c r="E239" i="27"/>
  <c r="Q237" i="27"/>
  <c r="AA237" i="27" s="1"/>
  <c r="Y237" i="27"/>
  <c r="G239" i="27"/>
  <c r="O238" i="27"/>
  <c r="E228" i="27"/>
  <c r="K227" i="27"/>
  <c r="Q226" i="27"/>
  <c r="AA226" i="27" s="1"/>
  <c r="Y226" i="27"/>
  <c r="G228" i="27"/>
  <c r="O227" i="27"/>
  <c r="E223" i="27"/>
  <c r="K223" i="27" s="1"/>
  <c r="K222" i="27"/>
  <c r="M221" i="27"/>
  <c r="W221" i="27" s="1"/>
  <c r="U221" i="27"/>
  <c r="G223" i="27"/>
  <c r="O223" i="27" s="1"/>
  <c r="O222" i="27"/>
  <c r="Q221" i="27"/>
  <c r="AA221" i="27" s="1"/>
  <c r="Y221" i="27"/>
  <c r="Q205" i="27"/>
  <c r="AA205" i="27" s="1"/>
  <c r="Y205" i="27"/>
  <c r="O206" i="27"/>
  <c r="G207" i="27"/>
  <c r="M205" i="27"/>
  <c r="W205" i="27" s="1"/>
  <c r="U205" i="27"/>
  <c r="E207" i="27"/>
  <c r="K206" i="27"/>
  <c r="L136" i="27"/>
  <c r="V136" i="27" s="1"/>
  <c r="L120" i="27"/>
  <c r="V120" i="27" s="1"/>
  <c r="U28" i="27"/>
  <c r="X88" i="27"/>
  <c r="L88" i="27"/>
  <c r="V88" i="27" s="1"/>
  <c r="L72" i="27"/>
  <c r="V72" i="27" s="1"/>
  <c r="X72" i="27"/>
  <c r="X152" i="27"/>
  <c r="L152" i="27"/>
  <c r="V152" i="27" s="1"/>
  <c r="K75" i="27"/>
  <c r="U75" i="27" s="1"/>
  <c r="L71" i="27"/>
  <c r="V71" i="27" s="1"/>
  <c r="X71" i="27"/>
  <c r="X79" i="27"/>
  <c r="L79" i="27"/>
  <c r="V79" i="27" s="1"/>
  <c r="L63" i="27"/>
  <c r="V63" i="27" s="1"/>
  <c r="X63" i="27"/>
  <c r="X87" i="27"/>
  <c r="L87" i="27"/>
  <c r="V87" i="27" s="1"/>
  <c r="P90" i="27"/>
  <c r="Z90" i="27" s="1"/>
  <c r="T90" i="27"/>
  <c r="T59" i="27"/>
  <c r="P59" i="27"/>
  <c r="Z59" i="27" s="1"/>
  <c r="L83" i="27"/>
  <c r="V83" i="27" s="1"/>
  <c r="X83" i="27"/>
  <c r="L90" i="27"/>
  <c r="V90" i="27" s="1"/>
  <c r="X90" i="27"/>
  <c r="N114" i="27"/>
  <c r="T102" i="27"/>
  <c r="P102" i="27"/>
  <c r="Z102" i="27" s="1"/>
  <c r="X144" i="27"/>
  <c r="L144" i="27"/>
  <c r="V144" i="27" s="1"/>
  <c r="N109" i="27"/>
  <c r="J118" i="27"/>
  <c r="N160" i="27"/>
  <c r="L93" i="27"/>
  <c r="V93" i="27" s="1"/>
  <c r="X93" i="27"/>
  <c r="X102" i="27"/>
  <c r="L102" i="27"/>
  <c r="V102" i="27" s="1"/>
  <c r="N121" i="27"/>
  <c r="T94" i="27"/>
  <c r="P94" i="27"/>
  <c r="Z94" i="27" s="1"/>
  <c r="N113" i="27"/>
  <c r="N118" i="27"/>
  <c r="X105" i="27"/>
  <c r="L105" i="27"/>
  <c r="V105" i="27" s="1"/>
  <c r="J110" i="27"/>
  <c r="X97" i="27"/>
  <c r="L97" i="27"/>
  <c r="V97" i="27" s="1"/>
  <c r="N115" i="27"/>
  <c r="T106" i="27"/>
  <c r="P106" i="27"/>
  <c r="Z106" i="27" s="1"/>
  <c r="L94" i="27"/>
  <c r="V94" i="27" s="1"/>
  <c r="X94" i="27"/>
  <c r="T98" i="27"/>
  <c r="P98" i="27"/>
  <c r="Z98" i="27" s="1"/>
  <c r="L99" i="27"/>
  <c r="V99" i="27" s="1"/>
  <c r="X99" i="27"/>
  <c r="J122" i="27"/>
  <c r="N110" i="27"/>
  <c r="X95" i="27"/>
  <c r="L95" i="27"/>
  <c r="V95" i="27" s="1"/>
  <c r="J114" i="27"/>
  <c r="N117" i="27"/>
  <c r="X103" i="27"/>
  <c r="L103" i="27"/>
  <c r="V103" i="27" s="1"/>
  <c r="X106" i="27"/>
  <c r="L106" i="27"/>
  <c r="V106" i="27" s="1"/>
  <c r="N111" i="27"/>
  <c r="X98" i="27"/>
  <c r="L98" i="27"/>
  <c r="V98" i="27" s="1"/>
  <c r="L101" i="27"/>
  <c r="V101" i="27" s="1"/>
  <c r="X101" i="27"/>
  <c r="N119" i="27"/>
  <c r="N122" i="27"/>
  <c r="T152" i="27"/>
  <c r="P152" i="27"/>
  <c r="Z152" i="27" s="1"/>
  <c r="J168" i="27"/>
  <c r="P156" i="27"/>
  <c r="Z156" i="27" s="1"/>
  <c r="T156" i="27"/>
  <c r="J188" i="27"/>
  <c r="J172" i="27"/>
  <c r="P73" i="27"/>
  <c r="Z73" i="27" s="1"/>
  <c r="T73" i="27"/>
  <c r="T61" i="27"/>
  <c r="P61" i="27"/>
  <c r="Z61" i="27" s="1"/>
  <c r="L172" i="27"/>
  <c r="V172" i="27" s="1"/>
  <c r="X172" i="27"/>
  <c r="P176" i="27"/>
  <c r="Z176" i="27" s="1"/>
  <c r="T176" i="27"/>
  <c r="L180" i="27"/>
  <c r="V180" i="27" s="1"/>
  <c r="X180" i="27"/>
  <c r="L188" i="27"/>
  <c r="V188" i="27" s="1"/>
  <c r="X188" i="27"/>
  <c r="P192" i="27"/>
  <c r="Z192" i="27" s="1"/>
  <c r="T192" i="27"/>
  <c r="L196" i="27"/>
  <c r="V196" i="27" s="1"/>
  <c r="X196" i="27"/>
  <c r="J81" i="27"/>
  <c r="P180" i="27"/>
  <c r="Z180" i="27" s="1"/>
  <c r="T180" i="27"/>
  <c r="T65" i="27"/>
  <c r="P65" i="27"/>
  <c r="Z65" i="27" s="1"/>
  <c r="P196" i="27"/>
  <c r="Z196" i="27" s="1"/>
  <c r="T196" i="27"/>
  <c r="L184" i="27"/>
  <c r="V184" i="27" s="1"/>
  <c r="X184" i="27"/>
  <c r="T69" i="27"/>
  <c r="P69" i="27"/>
  <c r="Z69" i="27" s="1"/>
  <c r="L200" i="27"/>
  <c r="V200" i="27" s="1"/>
  <c r="X200" i="27"/>
  <c r="J85" i="27"/>
  <c r="J77" i="27"/>
  <c r="T67" i="27"/>
  <c r="P67" i="27"/>
  <c r="Z67" i="27" s="1"/>
  <c r="J105" i="27"/>
  <c r="P87" i="27"/>
  <c r="Z87" i="27" s="1"/>
  <c r="T87" i="27"/>
  <c r="J103" i="27"/>
  <c r="J91" i="27"/>
  <c r="P75" i="27"/>
  <c r="Z75" i="27" s="1"/>
  <c r="T75" i="27"/>
  <c r="O75" i="27"/>
  <c r="Y75" i="27" s="1"/>
  <c r="J99" i="27"/>
  <c r="J79" i="27"/>
  <c r="T83" i="27"/>
  <c r="P83" i="27"/>
  <c r="Z83" i="27" s="1"/>
  <c r="P63" i="27"/>
  <c r="Z63" i="27" s="1"/>
  <c r="T63" i="27"/>
  <c r="T89" i="27"/>
  <c r="P89" i="27"/>
  <c r="Z89" i="27" s="1"/>
  <c r="Y45" i="27"/>
  <c r="Q59" i="27"/>
  <c r="AA59" i="27" s="1"/>
  <c r="Y59" i="27"/>
  <c r="O60" i="27"/>
  <c r="M59" i="27"/>
  <c r="W59" i="27" s="1"/>
  <c r="U59" i="27"/>
  <c r="K60" i="27"/>
  <c r="O46" i="27"/>
  <c r="M45" i="27"/>
  <c r="W45" i="27" s="1"/>
  <c r="U45" i="27"/>
  <c r="K46" i="27"/>
  <c r="Q29" i="27"/>
  <c r="AA29" i="27" s="1"/>
  <c r="Y29" i="27"/>
  <c r="O30" i="27"/>
  <c r="G31" i="27"/>
  <c r="U29" i="27"/>
  <c r="M29" i="27"/>
  <c r="W29" i="27" s="1"/>
  <c r="K30" i="27"/>
  <c r="E31" i="27"/>
  <c r="K52" i="26"/>
  <c r="O52" i="26"/>
  <c r="K43" i="26"/>
  <c r="O43" i="26"/>
  <c r="Q42" i="26"/>
  <c r="AA42" i="26" s="1"/>
  <c r="Y42" i="26"/>
  <c r="K34" i="26"/>
  <c r="K35" i="26"/>
  <c r="O35" i="26"/>
  <c r="O34" i="26"/>
  <c r="U21" i="26"/>
  <c r="K28" i="26"/>
  <c r="K27" i="26"/>
  <c r="Q26" i="26"/>
  <c r="AA26" i="26" s="1"/>
  <c r="Y26" i="26"/>
  <c r="O28" i="26"/>
  <c r="O27" i="26"/>
  <c r="Q22" i="26"/>
  <c r="AA22" i="26" s="1"/>
  <c r="Y22" i="26"/>
  <c r="E60" i="24"/>
  <c r="K59" i="24"/>
  <c r="U58" i="24"/>
  <c r="M58" i="24"/>
  <c r="W58" i="24" s="1"/>
  <c r="G60" i="24"/>
  <c r="O59" i="24"/>
  <c r="G45" i="24"/>
  <c r="O44" i="24"/>
  <c r="O30" i="24"/>
  <c r="G31" i="24"/>
  <c r="E46" i="24"/>
  <c r="K45" i="24"/>
  <c r="M44" i="24"/>
  <c r="W44" i="24" s="1"/>
  <c r="U44" i="24"/>
  <c r="Y29" i="24"/>
  <c r="M28" i="24"/>
  <c r="W28" i="24" s="1"/>
  <c r="U28" i="24"/>
  <c r="E30" i="24"/>
  <c r="K29" i="24"/>
  <c r="K23" i="24"/>
  <c r="M22" i="24"/>
  <c r="W22" i="24" s="1"/>
  <c r="U22" i="24"/>
  <c r="O23" i="24"/>
  <c r="K16" i="24"/>
  <c r="M15" i="24"/>
  <c r="W15" i="24" s="1"/>
  <c r="U15" i="24"/>
  <c r="O16" i="24"/>
  <c r="U148" i="23"/>
  <c r="E173" i="23"/>
  <c r="K172" i="23"/>
  <c r="G173" i="23"/>
  <c r="O172" i="23"/>
  <c r="E150" i="23"/>
  <c r="K149" i="23"/>
  <c r="G150" i="23"/>
  <c r="O149" i="23"/>
  <c r="O137" i="23"/>
  <c r="G138" i="23"/>
  <c r="E138" i="23"/>
  <c r="K137" i="23"/>
  <c r="E133" i="23"/>
  <c r="K133" i="23" s="1"/>
  <c r="K132" i="23"/>
  <c r="G133" i="23"/>
  <c r="O133" i="23" s="1"/>
  <c r="O132" i="23"/>
  <c r="K126" i="23"/>
  <c r="E127" i="23"/>
  <c r="O126" i="23"/>
  <c r="G127" i="23"/>
  <c r="O115" i="23"/>
  <c r="K115" i="23"/>
  <c r="K104" i="23"/>
  <c r="O104" i="23"/>
  <c r="Y97" i="23"/>
  <c r="E99" i="23"/>
  <c r="K99" i="23" s="1"/>
  <c r="K98" i="23"/>
  <c r="G99" i="23"/>
  <c r="O99" i="23" s="1"/>
  <c r="O98" i="23"/>
  <c r="E84" i="23"/>
  <c r="K83" i="23"/>
  <c r="G84" i="23"/>
  <c r="O83" i="23"/>
  <c r="G61" i="23"/>
  <c r="O60" i="23"/>
  <c r="E61" i="23"/>
  <c r="K60" i="23"/>
  <c r="O44" i="23"/>
  <c r="G45" i="23"/>
  <c r="K43" i="23"/>
  <c r="E44" i="23"/>
  <c r="G38" i="23"/>
  <c r="O37" i="23"/>
  <c r="E38" i="23"/>
  <c r="K37" i="23"/>
  <c r="E33" i="23"/>
  <c r="K33" i="23" s="1"/>
  <c r="K32" i="23"/>
  <c r="K28" i="23"/>
  <c r="K27" i="23"/>
  <c r="O28" i="23"/>
  <c r="O27" i="23"/>
  <c r="K15" i="23"/>
  <c r="O15" i="23"/>
  <c r="E305" i="22"/>
  <c r="K304" i="22"/>
  <c r="G305" i="22"/>
  <c r="O304" i="22"/>
  <c r="Q303" i="22"/>
  <c r="AA303" i="22" s="1"/>
  <c r="Y303" i="22"/>
  <c r="X225" i="22"/>
  <c r="L225" i="22"/>
  <c r="V225" i="22" s="1"/>
  <c r="N237" i="22"/>
  <c r="Q192" i="22"/>
  <c r="AA192" i="22" s="1"/>
  <c r="Y192" i="22"/>
  <c r="N247" i="22"/>
  <c r="P231" i="22"/>
  <c r="Z231" i="22" s="1"/>
  <c r="T231" i="22"/>
  <c r="M204" i="22"/>
  <c r="W204" i="22" s="1"/>
  <c r="U204" i="22"/>
  <c r="Y252" i="22"/>
  <c r="Q252" i="22"/>
  <c r="AA252" i="22" s="1"/>
  <c r="J237" i="22"/>
  <c r="Q217" i="22"/>
  <c r="AA217" i="22" s="1"/>
  <c r="Y217" i="22"/>
  <c r="O193" i="22"/>
  <c r="J243" i="22"/>
  <c r="K205" i="22"/>
  <c r="O253" i="22"/>
  <c r="N222" i="22"/>
  <c r="O218" i="22"/>
  <c r="K220" i="22"/>
  <c r="L217" i="22"/>
  <c r="V217" i="22" s="1"/>
  <c r="X217" i="22"/>
  <c r="L226" i="22"/>
  <c r="V226" i="22" s="1"/>
  <c r="X226" i="22"/>
  <c r="Y228" i="22"/>
  <c r="Q228" i="22"/>
  <c r="AA228" i="22" s="1"/>
  <c r="X210" i="22"/>
  <c r="L210" i="22"/>
  <c r="V210" i="22" s="1"/>
  <c r="N220" i="22"/>
  <c r="K193" i="22"/>
  <c r="N229" i="22"/>
  <c r="O229" i="22"/>
  <c r="L208" i="22"/>
  <c r="V208" i="22" s="1"/>
  <c r="X208" i="22"/>
  <c r="X215" i="22"/>
  <c r="L215" i="22"/>
  <c r="V215" i="22" s="1"/>
  <c r="N240" i="22"/>
  <c r="N236" i="22"/>
  <c r="X219" i="22"/>
  <c r="L219" i="22"/>
  <c r="V219" i="22" s="1"/>
  <c r="N227" i="22"/>
  <c r="X238" i="22"/>
  <c r="L238" i="22"/>
  <c r="V238" i="22" s="1"/>
  <c r="X228" i="22"/>
  <c r="L228" i="22"/>
  <c r="V228" i="22" s="1"/>
  <c r="L224" i="22"/>
  <c r="V224" i="22" s="1"/>
  <c r="X224" i="22"/>
  <c r="P223" i="22"/>
  <c r="Z223" i="22" s="1"/>
  <c r="T223" i="22"/>
  <c r="N231" i="22"/>
  <c r="M240" i="22"/>
  <c r="W240" i="22" s="1"/>
  <c r="U240" i="22"/>
  <c r="Q276" i="22"/>
  <c r="AA276" i="22" s="1"/>
  <c r="Y276" i="22"/>
  <c r="M288" i="22"/>
  <c r="W288" i="22" s="1"/>
  <c r="U288" i="22"/>
  <c r="J227" i="22"/>
  <c r="J235" i="22"/>
  <c r="N218" i="22"/>
  <c r="K241" i="22"/>
  <c r="X235" i="22"/>
  <c r="L235" i="22"/>
  <c r="V235" i="22" s="1"/>
  <c r="O277" i="22"/>
  <c r="K289" i="22"/>
  <c r="P215" i="22"/>
  <c r="Z215" i="22" s="1"/>
  <c r="T215" i="22"/>
  <c r="P225" i="22"/>
  <c r="Z225" i="22" s="1"/>
  <c r="T225" i="22"/>
  <c r="L206" i="22"/>
  <c r="V206" i="22" s="1"/>
  <c r="X206" i="22"/>
  <c r="Y180" i="22"/>
  <c r="Q180" i="22"/>
  <c r="AA180" i="22" s="1"/>
  <c r="G182" i="22"/>
  <c r="O181" i="22"/>
  <c r="K181" i="22"/>
  <c r="E182" i="22"/>
  <c r="K277" i="22"/>
  <c r="N245" i="22"/>
  <c r="Y265" i="22"/>
  <c r="Q265" i="22"/>
  <c r="AA265" i="22" s="1"/>
  <c r="M267" i="22"/>
  <c r="W267" i="22" s="1"/>
  <c r="U267" i="22"/>
  <c r="P220" i="22"/>
  <c r="Z220" i="22" s="1"/>
  <c r="T220" i="22"/>
  <c r="M252" i="22"/>
  <c r="W252" i="22" s="1"/>
  <c r="U252" i="22"/>
  <c r="Q241" i="22"/>
  <c r="AA241" i="22" s="1"/>
  <c r="Y241" i="22"/>
  <c r="J232" i="22"/>
  <c r="L250" i="22"/>
  <c r="V250" i="22" s="1"/>
  <c r="X250" i="22"/>
  <c r="O266" i="22"/>
  <c r="K268" i="22"/>
  <c r="P218" i="22"/>
  <c r="Z218" i="22" s="1"/>
  <c r="T218" i="22"/>
  <c r="Q289" i="22"/>
  <c r="AA289" i="22" s="1"/>
  <c r="Y289" i="22"/>
  <c r="P233" i="22"/>
  <c r="Z233" i="22" s="1"/>
  <c r="T233" i="22"/>
  <c r="J230" i="22"/>
  <c r="O290" i="22"/>
  <c r="J228" i="22"/>
  <c r="J245" i="22"/>
  <c r="P224" i="22"/>
  <c r="Z224" i="22" s="1"/>
  <c r="T224" i="22"/>
  <c r="N262" i="22"/>
  <c r="P241" i="22"/>
  <c r="Z241" i="22" s="1"/>
  <c r="T241" i="22"/>
  <c r="P216" i="22"/>
  <c r="Z216" i="22" s="1"/>
  <c r="T216" i="22"/>
  <c r="J236" i="22"/>
  <c r="K253" i="22"/>
  <c r="P238" i="22"/>
  <c r="Z238" i="22" s="1"/>
  <c r="T238" i="22"/>
  <c r="K229" i="22"/>
  <c r="J253" i="22"/>
  <c r="P222" i="22"/>
  <c r="Z222" i="22" s="1"/>
  <c r="T222" i="22"/>
  <c r="O242" i="22"/>
  <c r="J250" i="22"/>
  <c r="M276" i="22"/>
  <c r="W276" i="22" s="1"/>
  <c r="U276" i="22"/>
  <c r="L233" i="22"/>
  <c r="V233" i="22" s="1"/>
  <c r="X233" i="22"/>
  <c r="J234" i="22"/>
  <c r="K170" i="22"/>
  <c r="O170" i="22"/>
  <c r="Q169" i="22"/>
  <c r="AA169" i="22" s="1"/>
  <c r="Y169" i="22"/>
  <c r="O149" i="22"/>
  <c r="G150" i="22"/>
  <c r="E154" i="22"/>
  <c r="K153" i="22"/>
  <c r="T110" i="22"/>
  <c r="P140" i="22"/>
  <c r="Z140" i="22" s="1"/>
  <c r="T140" i="22"/>
  <c r="T119" i="22"/>
  <c r="P119" i="22"/>
  <c r="Z119" i="22" s="1"/>
  <c r="T117" i="22"/>
  <c r="T147" i="22"/>
  <c r="P147" i="22"/>
  <c r="Z147" i="22" s="1"/>
  <c r="T127" i="22"/>
  <c r="P127" i="22"/>
  <c r="Z127" i="22" s="1"/>
  <c r="Q148" i="22"/>
  <c r="AA148" i="22" s="1"/>
  <c r="Y148" i="22"/>
  <c r="K141" i="22"/>
  <c r="E142" i="22"/>
  <c r="G141" i="22"/>
  <c r="O140" i="22"/>
  <c r="K129" i="22"/>
  <c r="E130" i="22"/>
  <c r="Q128" i="22"/>
  <c r="AA128" i="22" s="1"/>
  <c r="Y128" i="22"/>
  <c r="O129" i="22"/>
  <c r="G130" i="22"/>
  <c r="P122" i="22"/>
  <c r="Z122" i="22" s="1"/>
  <c r="T122" i="22"/>
  <c r="T99" i="22"/>
  <c r="P99" i="22"/>
  <c r="Z99" i="22" s="1"/>
  <c r="P87" i="22"/>
  <c r="Z87" i="22" s="1"/>
  <c r="T87" i="22"/>
  <c r="U38" i="22"/>
  <c r="U105" i="22"/>
  <c r="Y105" i="22"/>
  <c r="P120" i="22"/>
  <c r="Z120" i="22" s="1"/>
  <c r="T120" i="22"/>
  <c r="T97" i="22"/>
  <c r="P97" i="22"/>
  <c r="Z97" i="22" s="1"/>
  <c r="P104" i="22"/>
  <c r="Z104" i="22" s="1"/>
  <c r="T104" i="22"/>
  <c r="L87" i="22"/>
  <c r="V87" i="22" s="1"/>
  <c r="X87" i="22"/>
  <c r="X110" i="22"/>
  <c r="L110" i="22"/>
  <c r="V110" i="22" s="1"/>
  <c r="X114" i="22"/>
  <c r="L114" i="22"/>
  <c r="V114" i="22" s="1"/>
  <c r="P81" i="22"/>
  <c r="Z81" i="22" s="1"/>
  <c r="T81" i="22"/>
  <c r="L91" i="22"/>
  <c r="V91" i="22" s="1"/>
  <c r="X91" i="22"/>
  <c r="U37" i="22"/>
  <c r="K106" i="22"/>
  <c r="O106" i="22"/>
  <c r="K83" i="22"/>
  <c r="Q82" i="22"/>
  <c r="AA82" i="22" s="1"/>
  <c r="Y82" i="22"/>
  <c r="O83" i="22"/>
  <c r="K60" i="22"/>
  <c r="O60" i="22"/>
  <c r="Q59" i="22"/>
  <c r="AA59" i="22" s="1"/>
  <c r="Y59" i="22"/>
  <c r="Y36" i="22"/>
  <c r="G38" i="22"/>
  <c r="O37" i="22"/>
  <c r="E40" i="22"/>
  <c r="K39" i="22"/>
  <c r="K30" i="22"/>
  <c r="Q25" i="22"/>
  <c r="AA25" i="22" s="1"/>
  <c r="Y25" i="22"/>
  <c r="O29" i="22"/>
  <c r="K28" i="22"/>
  <c r="K27" i="22"/>
  <c r="Q26" i="22"/>
  <c r="AA26" i="22" s="1"/>
  <c r="Y26" i="22"/>
  <c r="O27" i="22"/>
  <c r="O28" i="22"/>
  <c r="U14" i="22"/>
  <c r="K15" i="22"/>
  <c r="O15" i="22"/>
  <c r="Q14" i="22"/>
  <c r="AA14" i="22" s="1"/>
  <c r="Y14" i="22"/>
  <c r="X28" i="21"/>
  <c r="L28" i="21"/>
  <c r="V28" i="21" s="1"/>
  <c r="F69" i="21"/>
  <c r="N55" i="21"/>
  <c r="L45" i="21"/>
  <c r="V45" i="21" s="1"/>
  <c r="X45" i="21"/>
  <c r="N43" i="21"/>
  <c r="F57" i="21"/>
  <c r="L34" i="21"/>
  <c r="V34" i="21" s="1"/>
  <c r="X34" i="21"/>
  <c r="P28" i="21"/>
  <c r="Z28" i="21" s="1"/>
  <c r="T28" i="21"/>
  <c r="N42" i="21"/>
  <c r="F56" i="21"/>
  <c r="T32" i="21"/>
  <c r="P32" i="21"/>
  <c r="Z32" i="21" s="1"/>
  <c r="P51" i="21"/>
  <c r="Z51" i="21" s="1"/>
  <c r="T51" i="21"/>
  <c r="D58" i="21"/>
  <c r="J44" i="21"/>
  <c r="L41" i="21"/>
  <c r="V41" i="21" s="1"/>
  <c r="X41" i="21"/>
  <c r="D71" i="21"/>
  <c r="J57" i="21"/>
  <c r="F54" i="21"/>
  <c r="N40" i="21"/>
  <c r="D54" i="21"/>
  <c r="J40" i="21"/>
  <c r="J42" i="21"/>
  <c r="D56" i="21"/>
  <c r="E27" i="21"/>
  <c r="K26" i="21"/>
  <c r="P30" i="21"/>
  <c r="Z30" i="21" s="1"/>
  <c r="T30" i="21"/>
  <c r="X53" i="21"/>
  <c r="L53" i="21"/>
  <c r="V53" i="21" s="1"/>
  <c r="P43" i="21"/>
  <c r="Z43" i="21" s="1"/>
  <c r="T43" i="21"/>
  <c r="X26" i="21"/>
  <c r="L26" i="21"/>
  <c r="V26" i="21" s="1"/>
  <c r="T26" i="21"/>
  <c r="P26" i="21"/>
  <c r="Z26" i="21" s="1"/>
  <c r="D75" i="21"/>
  <c r="J61" i="21"/>
  <c r="E39" i="21"/>
  <c r="K38" i="21"/>
  <c r="X51" i="21"/>
  <c r="L51" i="21"/>
  <c r="V51" i="21" s="1"/>
  <c r="N49" i="21"/>
  <c r="F63" i="21"/>
  <c r="F81" i="21"/>
  <c r="N67" i="21"/>
  <c r="L36" i="21"/>
  <c r="V36" i="21" s="1"/>
  <c r="X36" i="21"/>
  <c r="F75" i="21"/>
  <c r="N61" i="21"/>
  <c r="P47" i="21"/>
  <c r="Z47" i="21" s="1"/>
  <c r="T47" i="21"/>
  <c r="F62" i="21"/>
  <c r="N48" i="21"/>
  <c r="L35" i="21"/>
  <c r="V35" i="21" s="1"/>
  <c r="X35" i="21"/>
  <c r="L32" i="21"/>
  <c r="V32" i="21" s="1"/>
  <c r="X32" i="21"/>
  <c r="F64" i="21"/>
  <c r="N50" i="21"/>
  <c r="X47" i="21"/>
  <c r="L47" i="21"/>
  <c r="V47" i="21" s="1"/>
  <c r="T49" i="21"/>
  <c r="P49" i="21"/>
  <c r="Z49" i="21" s="1"/>
  <c r="T36" i="21"/>
  <c r="P36" i="21"/>
  <c r="Z36" i="21" s="1"/>
  <c r="F73" i="21"/>
  <c r="N59" i="21"/>
  <c r="P41" i="21"/>
  <c r="Z41" i="21" s="1"/>
  <c r="T41" i="21"/>
  <c r="N46" i="21"/>
  <c r="F60" i="21"/>
  <c r="X30" i="21"/>
  <c r="L30" i="21"/>
  <c r="V30" i="21" s="1"/>
  <c r="Q38" i="21"/>
  <c r="AA38" i="21" s="1"/>
  <c r="Y38" i="21"/>
  <c r="D77" i="21"/>
  <c r="J63" i="21"/>
  <c r="D64" i="21"/>
  <c r="J50" i="21"/>
  <c r="P31" i="21"/>
  <c r="Z31" i="21" s="1"/>
  <c r="T31" i="21"/>
  <c r="L29" i="21"/>
  <c r="V29" i="21" s="1"/>
  <c r="X29" i="21"/>
  <c r="D69" i="21"/>
  <c r="J55" i="21"/>
  <c r="J46" i="21"/>
  <c r="D60" i="21"/>
  <c r="F58" i="21"/>
  <c r="N44" i="21"/>
  <c r="O39" i="21"/>
  <c r="G40" i="21"/>
  <c r="F79" i="21"/>
  <c r="N65" i="21"/>
  <c r="D79" i="21"/>
  <c r="J65" i="21"/>
  <c r="M25" i="21"/>
  <c r="W25" i="21" s="1"/>
  <c r="U25" i="21"/>
  <c r="D59" i="21"/>
  <c r="J45" i="21"/>
  <c r="U53" i="21"/>
  <c r="U52" i="21"/>
  <c r="K81" i="21"/>
  <c r="K66" i="21"/>
  <c r="M66" i="21" s="1"/>
  <c r="W66" i="21" s="1"/>
  <c r="J81" i="21"/>
  <c r="T62" i="21"/>
  <c r="P62" i="21"/>
  <c r="Z62" i="21" s="1"/>
  <c r="O53" i="21"/>
  <c r="Q52" i="21"/>
  <c r="AA52" i="21" s="1"/>
  <c r="Y52" i="21"/>
  <c r="J76" i="21"/>
  <c r="P67" i="21"/>
  <c r="Z67" i="21" s="1"/>
  <c r="T67" i="21"/>
  <c r="K80" i="21"/>
  <c r="M80" i="21" s="1"/>
  <c r="W80" i="21" s="1"/>
  <c r="N94" i="21"/>
  <c r="T66" i="21"/>
  <c r="P66" i="21"/>
  <c r="Z66" i="21" s="1"/>
  <c r="X80" i="21"/>
  <c r="L80" i="21"/>
  <c r="V80" i="21" s="1"/>
  <c r="J80" i="21"/>
  <c r="U66" i="21"/>
  <c r="K67" i="21"/>
  <c r="M54" i="21"/>
  <c r="W54" i="21" s="1"/>
  <c r="U54" i="21"/>
  <c r="K55" i="21"/>
  <c r="Q27" i="21"/>
  <c r="AA27" i="21" s="1"/>
  <c r="Y27" i="21"/>
  <c r="O28" i="21"/>
  <c r="M22" i="21"/>
  <c r="W22" i="21" s="1"/>
  <c r="U22" i="21"/>
  <c r="M14" i="21"/>
  <c r="W14" i="21" s="1"/>
  <c r="U14" i="21"/>
  <c r="K15" i="21"/>
  <c r="Q14" i="21"/>
  <c r="AA14" i="21" s="1"/>
  <c r="Y14" i="21"/>
  <c r="O15" i="21"/>
  <c r="Q26" i="20"/>
  <c r="AA26" i="20" s="1"/>
  <c r="Y26" i="20"/>
  <c r="Q27" i="20"/>
  <c r="AA27" i="20" s="1"/>
  <c r="Y27" i="20"/>
  <c r="M26" i="20"/>
  <c r="W26" i="20" s="1"/>
  <c r="U26" i="20"/>
  <c r="M27" i="20"/>
  <c r="W27" i="20" s="1"/>
  <c r="U27" i="20"/>
  <c r="Q19" i="20"/>
  <c r="AA19" i="20" s="1"/>
  <c r="Y19" i="20"/>
  <c r="Q18" i="20"/>
  <c r="AA18" i="20" s="1"/>
  <c r="Y18" i="20"/>
  <c r="K154" i="18"/>
  <c r="E155" i="18"/>
  <c r="U133" i="18"/>
  <c r="M133" i="18"/>
  <c r="W133" i="18" s="1"/>
  <c r="G170" i="18"/>
  <c r="O169" i="18"/>
  <c r="Q168" i="18"/>
  <c r="AA168" i="18" s="1"/>
  <c r="Y168" i="18"/>
  <c r="Y159" i="18"/>
  <c r="Q159" i="18"/>
  <c r="AA159" i="18" s="1"/>
  <c r="O160" i="18"/>
  <c r="G161" i="18"/>
  <c r="Q135" i="18"/>
  <c r="AA135" i="18" s="1"/>
  <c r="Y135" i="18"/>
  <c r="G137" i="18"/>
  <c r="O136" i="18"/>
  <c r="M134" i="18"/>
  <c r="W134" i="18" s="1"/>
  <c r="U134" i="18"/>
  <c r="E136" i="18"/>
  <c r="K135" i="18"/>
  <c r="Q111" i="18"/>
  <c r="AA111" i="18" s="1"/>
  <c r="Y111" i="18"/>
  <c r="O112" i="18"/>
  <c r="K112" i="18"/>
  <c r="M111" i="18"/>
  <c r="W111" i="18" s="1"/>
  <c r="U111" i="18"/>
  <c r="Q87" i="18"/>
  <c r="AA87" i="18" s="1"/>
  <c r="Y87" i="18"/>
  <c r="O88" i="18"/>
  <c r="K88" i="18"/>
  <c r="M87" i="18"/>
  <c r="W87" i="18" s="1"/>
  <c r="U87" i="18"/>
  <c r="G72" i="18"/>
  <c r="O71" i="18"/>
  <c r="Q70" i="18"/>
  <c r="AA70" i="18" s="1"/>
  <c r="Y70" i="18"/>
  <c r="K64" i="18"/>
  <c r="E65" i="18"/>
  <c r="G65" i="18"/>
  <c r="O64" i="18"/>
  <c r="Q63" i="18"/>
  <c r="AA63" i="18" s="1"/>
  <c r="Y63" i="18"/>
  <c r="E42" i="18"/>
  <c r="K41" i="18"/>
  <c r="Q40" i="18"/>
  <c r="AA40" i="18" s="1"/>
  <c r="Y40" i="18"/>
  <c r="G42" i="18"/>
  <c r="O41" i="18"/>
  <c r="E30" i="18"/>
  <c r="K29" i="18"/>
  <c r="G30" i="18"/>
  <c r="O29" i="18"/>
  <c r="Q28" i="18"/>
  <c r="AA28" i="18" s="1"/>
  <c r="Y28" i="18"/>
  <c r="O16" i="18"/>
  <c r="Q15" i="18"/>
  <c r="AA15" i="18" s="1"/>
  <c r="Y15" i="18"/>
  <c r="E18" i="18"/>
  <c r="K17" i="18"/>
  <c r="G80" i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/>
  <c r="E97" i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/>
  <c r="P63" i="1"/>
  <c r="Z63" i="1" s="1"/>
  <c r="T63" i="1"/>
  <c r="J80" i="1"/>
  <c r="L88" i="1"/>
  <c r="V88" i="1" s="1"/>
  <c r="X88" i="1"/>
  <c r="N105" i="1"/>
  <c r="O30" i="1"/>
  <c r="Q30" i="1" s="1"/>
  <c r="AA30" i="1" s="1"/>
  <c r="G31" i="1"/>
  <c r="O47" i="1"/>
  <c r="Q47" i="1" s="1"/>
  <c r="AA47" i="1" s="1"/>
  <c r="K47" i="1"/>
  <c r="M47" i="1" s="1"/>
  <c r="W47" i="1" s="1"/>
  <c r="L80" i="1"/>
  <c r="V80" i="1" s="1"/>
  <c r="X80" i="1"/>
  <c r="L85" i="1"/>
  <c r="V85" i="1" s="1"/>
  <c r="X85" i="1"/>
  <c r="N99" i="1"/>
  <c r="L84" i="1"/>
  <c r="V84" i="1" s="1"/>
  <c r="X84" i="1"/>
  <c r="L95" i="1"/>
  <c r="V95" i="1" s="1"/>
  <c r="X95" i="1"/>
  <c r="L108" i="1"/>
  <c r="V108" i="1" s="1"/>
  <c r="X108" i="1"/>
  <c r="N111" i="1"/>
  <c r="L82" i="1"/>
  <c r="V82" i="1" s="1"/>
  <c r="X82" i="1"/>
  <c r="N112" i="1"/>
  <c r="L93" i="1"/>
  <c r="V93" i="1" s="1"/>
  <c r="X93" i="1"/>
  <c r="L94" i="1"/>
  <c r="V94" i="1" s="1"/>
  <c r="X94" i="1"/>
  <c r="N106" i="1"/>
  <c r="N103" i="1"/>
  <c r="N109" i="1"/>
  <c r="N115" i="1"/>
  <c r="L89" i="1"/>
  <c r="V89" i="1" s="1"/>
  <c r="X89" i="1"/>
  <c r="X86" i="1"/>
  <c r="L86" i="1"/>
  <c r="V86" i="1" s="1"/>
  <c r="X92" i="1"/>
  <c r="L92" i="1"/>
  <c r="V92" i="1" s="1"/>
  <c r="L121" i="1"/>
  <c r="V121" i="1" s="1"/>
  <c r="X121" i="1"/>
  <c r="L98" i="1"/>
  <c r="V98" i="1" s="1"/>
  <c r="X98" i="1"/>
  <c r="N102" i="1"/>
  <c r="P134" i="1"/>
  <c r="Z134" i="1" s="1"/>
  <c r="T134" i="1"/>
  <c r="P75" i="1"/>
  <c r="Z75" i="1" s="1"/>
  <c r="T75" i="1"/>
  <c r="P91" i="1"/>
  <c r="Z91" i="1" s="1"/>
  <c r="T91" i="1"/>
  <c r="P88" i="1"/>
  <c r="Z88" i="1" s="1"/>
  <c r="T88" i="1"/>
  <c r="J92" i="1"/>
  <c r="X90" i="1"/>
  <c r="L90" i="1"/>
  <c r="V90" i="1" s="1"/>
  <c r="P87" i="1"/>
  <c r="Z87" i="1" s="1"/>
  <c r="T87" i="1"/>
  <c r="N101" i="1"/>
  <c r="L101" i="1" s="1"/>
  <c r="V101" i="1" s="1"/>
  <c r="O63" i="1"/>
  <c r="Q63" i="1" s="1"/>
  <c r="AA63" i="1" s="1"/>
  <c r="O96" i="1"/>
  <c r="Q96" i="1" s="1"/>
  <c r="AA96" i="1" s="1"/>
  <c r="N110" i="1"/>
  <c r="N97" i="1"/>
  <c r="N125" i="1"/>
  <c r="J104" i="1"/>
  <c r="P101" i="1"/>
  <c r="Z101" i="1" s="1"/>
  <c r="T101" i="1"/>
  <c r="J119" i="1"/>
  <c r="P99" i="1"/>
  <c r="Z99" i="1" s="1"/>
  <c r="T99" i="1"/>
  <c r="J124" i="1"/>
  <c r="J154" i="1"/>
  <c r="J122" i="1"/>
  <c r="O64" i="1"/>
  <c r="Q64" i="1" s="1"/>
  <c r="AA64" i="1" s="1"/>
  <c r="N118" i="1"/>
  <c r="K96" i="1"/>
  <c r="M96" i="1" s="1"/>
  <c r="W96" i="1" s="1"/>
  <c r="P107" i="1"/>
  <c r="Z107" i="1" s="1"/>
  <c r="T107" i="1"/>
  <c r="T137" i="1"/>
  <c r="P137" i="1"/>
  <c r="Z137" i="1" s="1"/>
  <c r="P105" i="1"/>
  <c r="Z105" i="1" s="1"/>
  <c r="T105" i="1"/>
  <c r="J125" i="1"/>
  <c r="L107" i="1"/>
  <c r="V107" i="1" s="1"/>
  <c r="X107" i="1"/>
  <c r="K64" i="1"/>
  <c r="M64" i="1" s="1"/>
  <c r="W64" i="1" s="1"/>
  <c r="K80" i="1"/>
  <c r="M80" i="1" s="1"/>
  <c r="W80" i="1" s="1"/>
  <c r="P112" i="1"/>
  <c r="Z112" i="1" s="1"/>
  <c r="T112" i="1"/>
  <c r="N155" i="1"/>
  <c r="N124" i="1"/>
  <c r="L134" i="1"/>
  <c r="V134" i="1" s="1"/>
  <c r="X134" i="1"/>
  <c r="J128" i="1"/>
  <c r="J129" i="1"/>
  <c r="P102" i="1"/>
  <c r="Z102" i="1" s="1"/>
  <c r="T102" i="1"/>
  <c r="T98" i="1"/>
  <c r="P98" i="1"/>
  <c r="Z98" i="1" s="1"/>
  <c r="N151" i="1"/>
  <c r="P151" i="1"/>
  <c r="Z151" i="1" s="1"/>
  <c r="T151" i="1"/>
  <c r="P110" i="1"/>
  <c r="Z110" i="1" s="1"/>
  <c r="T110" i="1"/>
  <c r="P111" i="1"/>
  <c r="Z111" i="1" s="1"/>
  <c r="T111" i="1"/>
  <c r="J115" i="1"/>
  <c r="P89" i="1"/>
  <c r="Z89" i="1" s="1"/>
  <c r="T89" i="1"/>
  <c r="J185" i="1"/>
  <c r="P185" i="1" s="1"/>
  <c r="J168" i="1"/>
  <c r="J127" i="1"/>
  <c r="J116" i="1"/>
  <c r="J106" i="1"/>
  <c r="L138" i="1"/>
  <c r="V138" i="1" s="1"/>
  <c r="X138" i="1"/>
  <c r="P108" i="1"/>
  <c r="Z108" i="1" s="1"/>
  <c r="T108" i="1"/>
  <c r="J118" i="1"/>
  <c r="O202" i="1"/>
  <c r="Q202" i="1" s="1"/>
  <c r="AA202" i="1" s="1"/>
  <c r="K202" i="1"/>
  <c r="M202" i="1" s="1"/>
  <c r="E34" i="1"/>
  <c r="K33" i="1"/>
  <c r="M33" i="1" s="1"/>
  <c r="W33" i="1" s="1"/>
  <c r="O93" i="29"/>
  <c r="K93" i="29"/>
  <c r="O85" i="29"/>
  <c r="G86" i="29"/>
  <c r="E85" i="29"/>
  <c r="K84" i="29"/>
  <c r="K61" i="29"/>
  <c r="E62" i="29"/>
  <c r="O61" i="29"/>
  <c r="G62" i="29"/>
  <c r="E41" i="29"/>
  <c r="K40" i="29"/>
  <c r="G41" i="29"/>
  <c r="O40" i="29"/>
  <c r="U23" i="29"/>
  <c r="K159" i="19"/>
  <c r="E160" i="19"/>
  <c r="G159" i="19"/>
  <c r="O158" i="19"/>
  <c r="U125" i="19"/>
  <c r="U150" i="19"/>
  <c r="G152" i="19"/>
  <c r="O151" i="19"/>
  <c r="E152" i="19"/>
  <c r="K151" i="19"/>
  <c r="Y125" i="19"/>
  <c r="O126" i="19"/>
  <c r="G127" i="19"/>
  <c r="K126" i="19"/>
  <c r="E127" i="19"/>
  <c r="O102" i="19"/>
  <c r="G103" i="19"/>
  <c r="K102" i="19"/>
  <c r="E103" i="19"/>
  <c r="G95" i="19"/>
  <c r="O94" i="19"/>
  <c r="K94" i="19"/>
  <c r="E95" i="19"/>
  <c r="U78" i="19"/>
  <c r="O80" i="19"/>
  <c r="K79" i="19"/>
  <c r="G16" i="19"/>
  <c r="O15" i="19"/>
  <c r="E16" i="19"/>
  <c r="K15" i="19"/>
  <c r="Y72" i="19"/>
  <c r="L71" i="19"/>
  <c r="V71" i="19" s="1"/>
  <c r="X71" i="19"/>
  <c r="O73" i="19"/>
  <c r="K72" i="19"/>
  <c r="T71" i="19"/>
  <c r="P71" i="19"/>
  <c r="Z71" i="19" s="1"/>
  <c r="N72" i="19"/>
  <c r="J72" i="19"/>
  <c r="G61" i="19"/>
  <c r="O60" i="19"/>
  <c r="Y43" i="19"/>
  <c r="U43" i="19"/>
  <c r="O44" i="19"/>
  <c r="G45" i="19"/>
  <c r="K44" i="19"/>
  <c r="E45" i="19"/>
  <c r="K61" i="19"/>
  <c r="E62" i="19"/>
  <c r="X28" i="19"/>
  <c r="L28" i="19"/>
  <c r="V28" i="19" s="1"/>
  <c r="P38" i="19"/>
  <c r="Z38" i="19" s="1"/>
  <c r="P29" i="19"/>
  <c r="Z29" i="19" s="1"/>
  <c r="T29" i="19"/>
  <c r="Y26" i="19"/>
  <c r="L29" i="19"/>
  <c r="V29" i="19" s="1"/>
  <c r="X29" i="19"/>
  <c r="L39" i="19"/>
  <c r="V39" i="19" s="1"/>
  <c r="X39" i="19"/>
  <c r="U29" i="19"/>
  <c r="T26" i="19"/>
  <c r="P26" i="19"/>
  <c r="Z26" i="19" s="1"/>
  <c r="T36" i="19"/>
  <c r="P36" i="19"/>
  <c r="Z36" i="19" s="1"/>
  <c r="G28" i="19"/>
  <c r="O27" i="19"/>
  <c r="T27" i="19"/>
  <c r="P27" i="19"/>
  <c r="Z27" i="19" s="1"/>
  <c r="P37" i="19"/>
  <c r="Z37" i="19" s="1"/>
  <c r="T37" i="19"/>
  <c r="E31" i="19"/>
  <c r="K30" i="19"/>
  <c r="P93" i="25"/>
  <c r="Z93" i="25" s="1"/>
  <c r="T93" i="25"/>
  <c r="L73" i="25"/>
  <c r="V73" i="25" s="1"/>
  <c r="J42" i="25"/>
  <c r="L53" i="25"/>
  <c r="V53" i="25" s="1"/>
  <c r="T73" i="25"/>
  <c r="K42" i="25"/>
  <c r="K51" i="25"/>
  <c r="O51" i="25"/>
  <c r="O42" i="25"/>
  <c r="O36" i="25"/>
  <c r="G28" i="25"/>
  <c r="O27" i="25"/>
  <c r="E27" i="25"/>
  <c r="K26" i="25"/>
  <c r="K35" i="25"/>
  <c r="P23" i="25"/>
  <c r="Z23" i="25" s="1"/>
  <c r="P63" i="25"/>
  <c r="Z63" i="25" s="1"/>
  <c r="T53" i="25"/>
  <c r="T33" i="25"/>
  <c r="P43" i="25"/>
  <c r="Z43" i="25" s="1"/>
  <c r="P83" i="25"/>
  <c r="Z83" i="25" s="1"/>
  <c r="T83" i="25"/>
  <c r="F25" i="25"/>
  <c r="N15" i="25"/>
  <c r="N24" i="25"/>
  <c r="D25" i="25"/>
  <c r="J15" i="25"/>
  <c r="J24" i="25"/>
  <c r="T32" i="25"/>
  <c r="T22" i="25"/>
  <c r="J52" i="25"/>
  <c r="Y201" i="1"/>
  <c r="W202" i="1"/>
  <c r="W62" i="1"/>
  <c r="W46" i="1"/>
  <c r="W32" i="1"/>
  <c r="W30" i="1"/>
  <c r="W28" i="1"/>
  <c r="W26" i="1"/>
  <c r="W24" i="1"/>
  <c r="W22" i="1"/>
  <c r="W20" i="1"/>
  <c r="W18" i="1"/>
  <c r="W16" i="1"/>
  <c r="W14" i="1"/>
  <c r="W15" i="1"/>
  <c r="W31" i="1"/>
  <c r="W63" i="1"/>
  <c r="W13" i="1"/>
  <c r="W19" i="1"/>
  <c r="W21" i="1"/>
  <c r="W17" i="1"/>
  <c r="W23" i="1"/>
  <c r="W45" i="1"/>
  <c r="W27" i="1"/>
  <c r="W29" i="1"/>
  <c r="W25" i="1"/>
  <c r="Y12" i="1"/>
  <c r="Y63" i="1"/>
  <c r="Y45" i="1"/>
  <c r="Y29" i="1"/>
  <c r="Y27" i="1"/>
  <c r="Y25" i="1"/>
  <c r="Y23" i="1"/>
  <c r="Y21" i="1"/>
  <c r="Y19" i="1"/>
  <c r="Y17" i="1"/>
  <c r="Y15" i="1"/>
  <c r="Y13" i="1"/>
  <c r="Y62" i="1"/>
  <c r="Y46" i="1"/>
  <c r="Y30" i="1"/>
  <c r="Y22" i="1"/>
  <c r="Y14" i="1"/>
  <c r="Y24" i="1"/>
  <c r="Y16" i="1"/>
  <c r="Y26" i="1"/>
  <c r="Y18" i="1"/>
  <c r="Y28" i="1"/>
  <c r="Y20" i="1"/>
  <c r="Y79" i="1"/>
  <c r="U62" i="1"/>
  <c r="U46" i="1"/>
  <c r="U32" i="1"/>
  <c r="U30" i="1"/>
  <c r="U28" i="1"/>
  <c r="U26" i="1"/>
  <c r="U24" i="1"/>
  <c r="U22" i="1"/>
  <c r="U20" i="1"/>
  <c r="U18" i="1"/>
  <c r="U16" i="1"/>
  <c r="U14" i="1"/>
  <c r="U25" i="1"/>
  <c r="U17" i="1"/>
  <c r="U27" i="1"/>
  <c r="U19" i="1"/>
  <c r="U45" i="1"/>
  <c r="U29" i="1"/>
  <c r="U21" i="1"/>
  <c r="U13" i="1"/>
  <c r="U63" i="1"/>
  <c r="U31" i="1"/>
  <c r="U23" i="1"/>
  <c r="U15" i="1"/>
  <c r="U79" i="1"/>
  <c r="T12" i="1"/>
  <c r="Y200" i="1"/>
  <c r="W79" i="1"/>
  <c r="Y198" i="1"/>
  <c r="Y199" i="1"/>
  <c r="U198" i="1"/>
  <c r="W201" i="1"/>
  <c r="U200" i="1"/>
  <c r="U199" i="1"/>
  <c r="U12" i="1"/>
  <c r="U202" i="1"/>
  <c r="U201" i="1"/>
  <c r="W12" i="1"/>
  <c r="W198" i="1"/>
  <c r="Y11" i="1"/>
  <c r="W199" i="1"/>
  <c r="W200" i="1"/>
  <c r="T205" i="1"/>
  <c r="Z205" i="1"/>
  <c r="T210" i="1"/>
  <c r="Z210" i="1"/>
  <c r="Z185" i="1"/>
  <c r="T206" i="1"/>
  <c r="Z206" i="1"/>
  <c r="T209" i="1"/>
  <c r="Z209" i="1"/>
  <c r="T212" i="1"/>
  <c r="Z212" i="1"/>
  <c r="T202" i="1"/>
  <c r="Z202" i="1"/>
  <c r="T181" i="1"/>
  <c r="Z181" i="1"/>
  <c r="T211" i="1"/>
  <c r="Z211" i="1"/>
  <c r="P11" i="1"/>
  <c r="Z11" i="1" s="1"/>
  <c r="T11" i="1"/>
  <c r="X11" i="1"/>
  <c r="L11" i="1"/>
  <c r="V11" i="1" s="1"/>
  <c r="T204" i="1"/>
  <c r="Z204" i="1"/>
  <c r="T198" i="1"/>
  <c r="Z198" i="1"/>
  <c r="T199" i="1"/>
  <c r="Z199" i="1"/>
  <c r="T203" i="1"/>
  <c r="Z203" i="1"/>
  <c r="T201" i="1"/>
  <c r="Z201" i="1"/>
  <c r="U11" i="1"/>
  <c r="M11" i="1"/>
  <c r="W11" i="1" s="1"/>
  <c r="G31" i="39" l="1"/>
  <c r="O30" i="39"/>
  <c r="Y29" i="39"/>
  <c r="Q29" i="39"/>
  <c r="AA29" i="39" s="1"/>
  <c r="K31" i="39"/>
  <c r="E32" i="39"/>
  <c r="M30" i="39"/>
  <c r="W30" i="39" s="1"/>
  <c r="U30" i="39"/>
  <c r="Y15" i="39"/>
  <c r="Q15" i="39"/>
  <c r="AA15" i="39" s="1"/>
  <c r="O16" i="39"/>
  <c r="G17" i="39"/>
  <c r="E18" i="39"/>
  <c r="K17" i="39"/>
  <c r="M16" i="39"/>
  <c r="W16" i="39" s="1"/>
  <c r="U16" i="39"/>
  <c r="O44" i="39"/>
  <c r="Y43" i="39"/>
  <c r="Q43" i="39"/>
  <c r="AA43" i="39" s="1"/>
  <c r="U44" i="39"/>
  <c r="M44" i="39"/>
  <c r="W44" i="39" s="1"/>
  <c r="K45" i="39"/>
  <c r="Q24" i="38"/>
  <c r="AA24" i="38" s="1"/>
  <c r="Y24" i="38"/>
  <c r="G26" i="38"/>
  <c r="G27" i="38" s="1"/>
  <c r="O25" i="38"/>
  <c r="M26" i="38"/>
  <c r="W26" i="38" s="1"/>
  <c r="U26" i="38"/>
  <c r="K27" i="38"/>
  <c r="K96" i="38"/>
  <c r="L68" i="38"/>
  <c r="V68" i="38" s="1"/>
  <c r="X68" i="38"/>
  <c r="N86" i="38"/>
  <c r="X69" i="38"/>
  <c r="L69" i="38"/>
  <c r="V69" i="38" s="1"/>
  <c r="N67" i="38"/>
  <c r="K64" i="38"/>
  <c r="N111" i="38"/>
  <c r="Y63" i="38"/>
  <c r="Q63" i="38"/>
  <c r="AA63" i="38" s="1"/>
  <c r="N75" i="38"/>
  <c r="T49" i="38"/>
  <c r="P49" i="38"/>
  <c r="Z49" i="38" s="1"/>
  <c r="J84" i="38"/>
  <c r="X53" i="38"/>
  <c r="L53" i="38"/>
  <c r="V53" i="38" s="1"/>
  <c r="N76" i="38"/>
  <c r="M47" i="38"/>
  <c r="W47" i="38" s="1"/>
  <c r="U47" i="38"/>
  <c r="T86" i="38"/>
  <c r="P86" i="38"/>
  <c r="Z86" i="38" s="1"/>
  <c r="L57" i="38"/>
  <c r="V57" i="38" s="1"/>
  <c r="X57" i="38"/>
  <c r="J71" i="38"/>
  <c r="X50" i="38"/>
  <c r="L50" i="38"/>
  <c r="V50" i="38" s="1"/>
  <c r="K80" i="38"/>
  <c r="P64" i="38"/>
  <c r="Z64" i="38" s="1"/>
  <c r="T64" i="38"/>
  <c r="N74" i="38"/>
  <c r="T54" i="38"/>
  <c r="P54" i="38"/>
  <c r="Z54" i="38" s="1"/>
  <c r="J92" i="38"/>
  <c r="X94" i="38"/>
  <c r="L94" i="38"/>
  <c r="V94" i="38" s="1"/>
  <c r="O64" i="38"/>
  <c r="L58" i="38"/>
  <c r="V58" i="38" s="1"/>
  <c r="X58" i="38"/>
  <c r="J66" i="38"/>
  <c r="P67" i="38"/>
  <c r="Z67" i="38" s="1"/>
  <c r="T67" i="38"/>
  <c r="N70" i="38"/>
  <c r="L59" i="38"/>
  <c r="V59" i="38" s="1"/>
  <c r="X59" i="38"/>
  <c r="J70" i="38"/>
  <c r="T106" i="38"/>
  <c r="P106" i="38"/>
  <c r="Z106" i="38" s="1"/>
  <c r="T75" i="38"/>
  <c r="P75" i="38"/>
  <c r="Z75" i="38" s="1"/>
  <c r="N82" i="38"/>
  <c r="N72" i="38"/>
  <c r="N83" i="38"/>
  <c r="J85" i="38"/>
  <c r="L64" i="38"/>
  <c r="V64" i="38" s="1"/>
  <c r="X64" i="38"/>
  <c r="X46" i="38"/>
  <c r="L46" i="38"/>
  <c r="V46" i="38" s="1"/>
  <c r="J74" i="38"/>
  <c r="P53" i="38"/>
  <c r="Z53" i="38" s="1"/>
  <c r="T53" i="38"/>
  <c r="J123" i="38"/>
  <c r="L65" i="38"/>
  <c r="V65" i="38" s="1"/>
  <c r="X65" i="38"/>
  <c r="L55" i="38"/>
  <c r="V55" i="38" s="1"/>
  <c r="X55" i="38"/>
  <c r="L66" i="38"/>
  <c r="V66" i="38" s="1"/>
  <c r="X66" i="38"/>
  <c r="K31" i="38"/>
  <c r="T68" i="38"/>
  <c r="P68" i="38"/>
  <c r="Z68" i="38" s="1"/>
  <c r="N81" i="38"/>
  <c r="N63" i="38"/>
  <c r="P57" i="38"/>
  <c r="Z57" i="38" s="1"/>
  <c r="T57" i="38"/>
  <c r="O96" i="38"/>
  <c r="J81" i="38"/>
  <c r="P60" i="38"/>
  <c r="Z60" i="38" s="1"/>
  <c r="T60" i="38"/>
  <c r="O80" i="38"/>
  <c r="J80" i="38"/>
  <c r="J73" i="38"/>
  <c r="O48" i="38"/>
  <c r="J65" i="38"/>
  <c r="J78" i="38"/>
  <c r="L61" i="38"/>
  <c r="V61" i="38" s="1"/>
  <c r="X61" i="38"/>
  <c r="P93" i="38"/>
  <c r="Z93" i="38" s="1"/>
  <c r="T93" i="38"/>
  <c r="N71" i="38"/>
  <c r="L90" i="38"/>
  <c r="V90" i="38" s="1"/>
  <c r="X90" i="38"/>
  <c r="J77" i="38"/>
  <c r="U63" i="38"/>
  <c r="M63" i="38"/>
  <c r="W63" i="38" s="1"/>
  <c r="J103" i="38"/>
  <c r="N85" i="38"/>
  <c r="Y79" i="38"/>
  <c r="Q79" i="38"/>
  <c r="AA79" i="38" s="1"/>
  <c r="K48" i="38"/>
  <c r="M79" i="38"/>
  <c r="W79" i="38" s="1"/>
  <c r="U79" i="38"/>
  <c r="P63" i="38"/>
  <c r="Z63" i="38" s="1"/>
  <c r="T63" i="38"/>
  <c r="P56" i="38"/>
  <c r="Z56" i="38" s="1"/>
  <c r="T56" i="38"/>
  <c r="Q47" i="38"/>
  <c r="AA47" i="38" s="1"/>
  <c r="Y47" i="38"/>
  <c r="T48" i="38"/>
  <c r="P48" i="38"/>
  <c r="Z48" i="38" s="1"/>
  <c r="P61" i="38"/>
  <c r="Z61" i="38" s="1"/>
  <c r="T61" i="38"/>
  <c r="N78" i="38"/>
  <c r="J110" i="38"/>
  <c r="L54" i="38"/>
  <c r="V54" i="38" s="1"/>
  <c r="X54" i="38"/>
  <c r="N107" i="38"/>
  <c r="G64" i="36"/>
  <c r="O63" i="36"/>
  <c r="Q62" i="36"/>
  <c r="AA62" i="36" s="1"/>
  <c r="Y62" i="36"/>
  <c r="E63" i="36"/>
  <c r="K62" i="36"/>
  <c r="M61" i="36"/>
  <c r="W61" i="36" s="1"/>
  <c r="U61" i="36"/>
  <c r="E52" i="36"/>
  <c r="K51" i="36"/>
  <c r="Q50" i="36"/>
  <c r="AA50" i="36" s="1"/>
  <c r="Y50" i="36"/>
  <c r="M50" i="36"/>
  <c r="W50" i="36" s="1"/>
  <c r="U50" i="36"/>
  <c r="G52" i="36"/>
  <c r="O51" i="36"/>
  <c r="E40" i="36"/>
  <c r="K39" i="36"/>
  <c r="M38" i="36"/>
  <c r="W38" i="36" s="1"/>
  <c r="U38" i="36"/>
  <c r="Q38" i="36"/>
  <c r="AA38" i="36" s="1"/>
  <c r="Y38" i="36"/>
  <c r="G40" i="36"/>
  <c r="O39" i="36"/>
  <c r="E32" i="36"/>
  <c r="K31" i="36"/>
  <c r="M30" i="36"/>
  <c r="W30" i="36" s="1"/>
  <c r="U30" i="36"/>
  <c r="Q29" i="36"/>
  <c r="AA29" i="36" s="1"/>
  <c r="Y29" i="36"/>
  <c r="G31" i="36"/>
  <c r="O30" i="36"/>
  <c r="Q18" i="36"/>
  <c r="AA18" i="36" s="1"/>
  <c r="Y18" i="36"/>
  <c r="G20" i="36"/>
  <c r="O19" i="36"/>
  <c r="K20" i="36"/>
  <c r="M19" i="36"/>
  <c r="W19" i="36" s="1"/>
  <c r="U19" i="36"/>
  <c r="J32" i="35"/>
  <c r="P29" i="35"/>
  <c r="Z29" i="35" s="1"/>
  <c r="T29" i="35"/>
  <c r="X26" i="35"/>
  <c r="L26" i="35"/>
  <c r="V26" i="35" s="1"/>
  <c r="N29" i="35"/>
  <c r="L28" i="35"/>
  <c r="V28" i="35" s="1"/>
  <c r="X28" i="35"/>
  <c r="J30" i="35"/>
  <c r="N31" i="35"/>
  <c r="P27" i="35"/>
  <c r="Z27" i="35" s="1"/>
  <c r="T27" i="35"/>
  <c r="X27" i="35"/>
  <c r="L27" i="35"/>
  <c r="V27" i="35" s="1"/>
  <c r="J34" i="35"/>
  <c r="N30" i="35"/>
  <c r="P31" i="35"/>
  <c r="Z31" i="35" s="1"/>
  <c r="T31" i="35"/>
  <c r="T48" i="31"/>
  <c r="P48" i="31"/>
  <c r="Z48" i="31" s="1"/>
  <c r="N57" i="31"/>
  <c r="N46" i="31"/>
  <c r="J57" i="31"/>
  <c r="J46" i="31"/>
  <c r="L48" i="31"/>
  <c r="V48" i="31" s="1"/>
  <c r="X48" i="31"/>
  <c r="X50" i="31"/>
  <c r="L50" i="31"/>
  <c r="V50" i="31" s="1"/>
  <c r="J63" i="31"/>
  <c r="J52" i="31"/>
  <c r="X41" i="31"/>
  <c r="L41" i="31"/>
  <c r="V41" i="31" s="1"/>
  <c r="T59" i="31"/>
  <c r="P59" i="31"/>
  <c r="Z59" i="31" s="1"/>
  <c r="X35" i="31"/>
  <c r="L35" i="31"/>
  <c r="V35" i="31" s="1"/>
  <c r="T35" i="31"/>
  <c r="P35" i="31"/>
  <c r="Z35" i="31" s="1"/>
  <c r="X59" i="31"/>
  <c r="L59" i="31"/>
  <c r="V59" i="31" s="1"/>
  <c r="L61" i="31"/>
  <c r="V61" i="31" s="1"/>
  <c r="X61" i="31"/>
  <c r="J61" i="31"/>
  <c r="J50" i="31"/>
  <c r="L64" i="31"/>
  <c r="V64" i="31" s="1"/>
  <c r="X64" i="31"/>
  <c r="X43" i="31"/>
  <c r="L43" i="31"/>
  <c r="V43" i="31" s="1"/>
  <c r="J53" i="31"/>
  <c r="J64" i="31"/>
  <c r="L58" i="31"/>
  <c r="V58" i="31" s="1"/>
  <c r="X58" i="31"/>
  <c r="L60" i="31"/>
  <c r="V60" i="31" s="1"/>
  <c r="X60" i="31"/>
  <c r="P39" i="31"/>
  <c r="Z39" i="31" s="1"/>
  <c r="T39" i="31"/>
  <c r="L53" i="31"/>
  <c r="V53" i="31" s="1"/>
  <c r="X53" i="31"/>
  <c r="N54" i="31"/>
  <c r="N65" i="31"/>
  <c r="T42" i="31"/>
  <c r="P42" i="31"/>
  <c r="Z42" i="31" s="1"/>
  <c r="X47" i="31"/>
  <c r="L47" i="31"/>
  <c r="V47" i="31" s="1"/>
  <c r="X49" i="31"/>
  <c r="L49" i="31"/>
  <c r="V49" i="31" s="1"/>
  <c r="T65" i="31"/>
  <c r="P65" i="31"/>
  <c r="Z65" i="31" s="1"/>
  <c r="J51" i="31"/>
  <c r="J62" i="31"/>
  <c r="T55" i="31"/>
  <c r="P55" i="31"/>
  <c r="Z55" i="31" s="1"/>
  <c r="G27" i="31"/>
  <c r="O26" i="31"/>
  <c r="L56" i="31"/>
  <c r="V56" i="31" s="1"/>
  <c r="X56" i="31"/>
  <c r="T54" i="31"/>
  <c r="P54" i="31"/>
  <c r="Z54" i="31" s="1"/>
  <c r="N51" i="31"/>
  <c r="N62" i="31"/>
  <c r="T40" i="31"/>
  <c r="P40" i="31"/>
  <c r="Z40" i="31" s="1"/>
  <c r="T44" i="31"/>
  <c r="P44" i="31"/>
  <c r="Z44" i="31" s="1"/>
  <c r="Q25" i="31"/>
  <c r="AA25" i="31" s="1"/>
  <c r="Y25" i="31"/>
  <c r="L45" i="31"/>
  <c r="V45" i="31" s="1"/>
  <c r="X45" i="31"/>
  <c r="J58" i="31"/>
  <c r="J47" i="31"/>
  <c r="T56" i="31"/>
  <c r="P56" i="31"/>
  <c r="Z56" i="31" s="1"/>
  <c r="M25" i="31"/>
  <c r="W25" i="31" s="1"/>
  <c r="U25" i="31"/>
  <c r="P41" i="31"/>
  <c r="Z41" i="31" s="1"/>
  <c r="T41" i="31"/>
  <c r="E27" i="31"/>
  <c r="K26" i="31"/>
  <c r="L40" i="31"/>
  <c r="V40" i="31" s="1"/>
  <c r="X40" i="31"/>
  <c r="N52" i="31"/>
  <c r="N63" i="31"/>
  <c r="T36" i="31"/>
  <c r="P36" i="31"/>
  <c r="Z36" i="31" s="1"/>
  <c r="P45" i="31"/>
  <c r="Z45" i="31" s="1"/>
  <c r="T45" i="31"/>
  <c r="K70" i="31"/>
  <c r="M69" i="31"/>
  <c r="W69" i="31" s="1"/>
  <c r="U69" i="31"/>
  <c r="Q69" i="31"/>
  <c r="AA69" i="31" s="1"/>
  <c r="Y69" i="31"/>
  <c r="O70" i="31"/>
  <c r="M58" i="31"/>
  <c r="W58" i="31" s="1"/>
  <c r="U58" i="31"/>
  <c r="K59" i="31"/>
  <c r="Q58" i="31"/>
  <c r="AA58" i="31" s="1"/>
  <c r="Y58" i="31"/>
  <c r="O59" i="31"/>
  <c r="Q47" i="31"/>
  <c r="AA47" i="31" s="1"/>
  <c r="Y47" i="31"/>
  <c r="O48" i="31"/>
  <c r="M47" i="31"/>
  <c r="W47" i="31" s="1"/>
  <c r="U47" i="31"/>
  <c r="K48" i="31"/>
  <c r="Q36" i="31"/>
  <c r="AA36" i="31" s="1"/>
  <c r="Y36" i="31"/>
  <c r="O37" i="31"/>
  <c r="M36" i="31"/>
  <c r="W36" i="31" s="1"/>
  <c r="U36" i="31"/>
  <c r="K37" i="31"/>
  <c r="E177" i="28"/>
  <c r="K176" i="28"/>
  <c r="M175" i="28"/>
  <c r="W175" i="28" s="1"/>
  <c r="U175" i="28"/>
  <c r="G177" i="28"/>
  <c r="O176" i="28"/>
  <c r="Q175" i="28"/>
  <c r="AA175" i="28" s="1"/>
  <c r="Y175" i="28"/>
  <c r="K160" i="28"/>
  <c r="E161" i="28"/>
  <c r="M159" i="28"/>
  <c r="W159" i="28" s="1"/>
  <c r="U159" i="28"/>
  <c r="G161" i="28"/>
  <c r="O160" i="28"/>
  <c r="Q159" i="28"/>
  <c r="AA159" i="28" s="1"/>
  <c r="Y159" i="28"/>
  <c r="Q43" i="28"/>
  <c r="AA43" i="28" s="1"/>
  <c r="Y43" i="28"/>
  <c r="G45" i="28"/>
  <c r="O44" i="28"/>
  <c r="M43" i="28"/>
  <c r="W43" i="28" s="1"/>
  <c r="U43" i="28"/>
  <c r="E45" i="28"/>
  <c r="K44" i="28"/>
  <c r="Q130" i="28"/>
  <c r="AA130" i="28" s="1"/>
  <c r="Y130" i="28"/>
  <c r="O131" i="28"/>
  <c r="M130" i="28"/>
  <c r="W130" i="28" s="1"/>
  <c r="U130" i="28"/>
  <c r="K131" i="28"/>
  <c r="Q101" i="28"/>
  <c r="AA101" i="28" s="1"/>
  <c r="Y101" i="28"/>
  <c r="O102" i="28"/>
  <c r="K102" i="28"/>
  <c r="M101" i="28"/>
  <c r="W101" i="28" s="1"/>
  <c r="U101" i="28"/>
  <c r="Q72" i="28"/>
  <c r="AA72" i="28" s="1"/>
  <c r="Y72" i="28"/>
  <c r="O73" i="28"/>
  <c r="M72" i="28"/>
  <c r="W72" i="28" s="1"/>
  <c r="U72" i="28"/>
  <c r="K73" i="28"/>
  <c r="Q251" i="27"/>
  <c r="AA251" i="27" s="1"/>
  <c r="Y251" i="27"/>
  <c r="O252" i="27"/>
  <c r="G253" i="27"/>
  <c r="M251" i="27"/>
  <c r="W251" i="27" s="1"/>
  <c r="U251" i="27"/>
  <c r="K252" i="27"/>
  <c r="E253" i="27"/>
  <c r="Y238" i="27"/>
  <c r="Q238" i="27"/>
  <c r="AA238" i="27" s="1"/>
  <c r="G240" i="27"/>
  <c r="O239" i="27"/>
  <c r="E240" i="27"/>
  <c r="K239" i="27"/>
  <c r="M238" i="27"/>
  <c r="W238" i="27" s="1"/>
  <c r="U238" i="27"/>
  <c r="O228" i="27"/>
  <c r="G229" i="27"/>
  <c r="M227" i="27"/>
  <c r="W227" i="27" s="1"/>
  <c r="U227" i="27"/>
  <c r="Q227" i="27"/>
  <c r="AA227" i="27" s="1"/>
  <c r="Y227" i="27"/>
  <c r="K228" i="27"/>
  <c r="E229" i="27"/>
  <c r="Q222" i="27"/>
  <c r="AA222" i="27" s="1"/>
  <c r="Y222" i="27"/>
  <c r="Q223" i="27"/>
  <c r="AA223" i="27" s="1"/>
  <c r="Y223" i="27"/>
  <c r="M222" i="27"/>
  <c r="W222" i="27" s="1"/>
  <c r="U222" i="27"/>
  <c r="M223" i="27"/>
  <c r="W223" i="27" s="1"/>
  <c r="U223" i="27"/>
  <c r="M206" i="27"/>
  <c r="W206" i="27" s="1"/>
  <c r="U206" i="27"/>
  <c r="K207" i="27"/>
  <c r="E208" i="27"/>
  <c r="G208" i="27"/>
  <c r="O207" i="27"/>
  <c r="Y206" i="27"/>
  <c r="Q206" i="27"/>
  <c r="AA206" i="27" s="1"/>
  <c r="M75" i="27"/>
  <c r="W75" i="27" s="1"/>
  <c r="O76" i="27"/>
  <c r="Q76" i="27" s="1"/>
  <c r="AA76" i="27" s="1"/>
  <c r="O91" i="27"/>
  <c r="Y91" i="27" s="1"/>
  <c r="L110" i="27"/>
  <c r="V110" i="27" s="1"/>
  <c r="X110" i="27"/>
  <c r="N129" i="27"/>
  <c r="N126" i="27"/>
  <c r="X113" i="27"/>
  <c r="L113" i="27"/>
  <c r="V113" i="27" s="1"/>
  <c r="N133" i="27"/>
  <c r="J138" i="27"/>
  <c r="T110" i="27"/>
  <c r="P110" i="27"/>
  <c r="Z110" i="27" s="1"/>
  <c r="X160" i="27"/>
  <c r="L160" i="27"/>
  <c r="V160" i="27" s="1"/>
  <c r="L117" i="27"/>
  <c r="V117" i="27" s="1"/>
  <c r="X117" i="27"/>
  <c r="T122" i="27"/>
  <c r="P122" i="27"/>
  <c r="Z122" i="27" s="1"/>
  <c r="J126" i="27"/>
  <c r="N192" i="27"/>
  <c r="N176" i="27"/>
  <c r="N138" i="27"/>
  <c r="N127" i="27"/>
  <c r="P114" i="27"/>
  <c r="Z114" i="27" s="1"/>
  <c r="T114" i="27"/>
  <c r="N137" i="27"/>
  <c r="J134" i="27"/>
  <c r="X114" i="27"/>
  <c r="L114" i="27"/>
  <c r="V114" i="27" s="1"/>
  <c r="X122" i="27"/>
  <c r="L122" i="27"/>
  <c r="V122" i="27" s="1"/>
  <c r="X111" i="27"/>
  <c r="L111" i="27"/>
  <c r="V111" i="27" s="1"/>
  <c r="J130" i="27"/>
  <c r="X121" i="27"/>
  <c r="L121" i="27"/>
  <c r="V121" i="27" s="1"/>
  <c r="T118" i="27"/>
  <c r="P118" i="27"/>
  <c r="Z118" i="27" s="1"/>
  <c r="N130" i="27"/>
  <c r="X119" i="27"/>
  <c r="L119" i="27"/>
  <c r="V119" i="27" s="1"/>
  <c r="N131" i="27"/>
  <c r="N134" i="27"/>
  <c r="L109" i="27"/>
  <c r="V109" i="27" s="1"/>
  <c r="X109" i="27"/>
  <c r="N135" i="27"/>
  <c r="L115" i="27"/>
  <c r="V115" i="27" s="1"/>
  <c r="X115" i="27"/>
  <c r="L118" i="27"/>
  <c r="V118" i="27" s="1"/>
  <c r="X118" i="27"/>
  <c r="N125" i="27"/>
  <c r="P188" i="27"/>
  <c r="Z188" i="27" s="1"/>
  <c r="T188" i="27"/>
  <c r="P172" i="27"/>
  <c r="Z172" i="27" s="1"/>
  <c r="T172" i="27"/>
  <c r="T168" i="27"/>
  <c r="P168" i="27"/>
  <c r="Z168" i="27" s="1"/>
  <c r="J200" i="27"/>
  <c r="J184" i="27"/>
  <c r="Q75" i="27"/>
  <c r="AA75" i="27" s="1"/>
  <c r="J101" i="27"/>
  <c r="T85" i="27"/>
  <c r="P85" i="27"/>
  <c r="Z85" i="27" s="1"/>
  <c r="T81" i="27"/>
  <c r="P81" i="27"/>
  <c r="Z81" i="27" s="1"/>
  <c r="J97" i="27"/>
  <c r="T77" i="27"/>
  <c r="P77" i="27"/>
  <c r="Z77" i="27" s="1"/>
  <c r="J93" i="27"/>
  <c r="K76" i="27"/>
  <c r="U76" i="27" s="1"/>
  <c r="J95" i="27"/>
  <c r="P79" i="27"/>
  <c r="Z79" i="27" s="1"/>
  <c r="T79" i="27"/>
  <c r="P103" i="27"/>
  <c r="Z103" i="27" s="1"/>
  <c r="T103" i="27"/>
  <c r="T105" i="27"/>
  <c r="P105" i="27"/>
  <c r="Z105" i="27" s="1"/>
  <c r="T99" i="27"/>
  <c r="P99" i="27"/>
  <c r="Z99" i="27" s="1"/>
  <c r="J119" i="27"/>
  <c r="J121" i="27"/>
  <c r="K91" i="27"/>
  <c r="U91" i="27" s="1"/>
  <c r="J115" i="27"/>
  <c r="J107" i="27"/>
  <c r="T91" i="27"/>
  <c r="P91" i="27"/>
  <c r="Z91" i="27" s="1"/>
  <c r="O77" i="27"/>
  <c r="K77" i="27"/>
  <c r="K61" i="27"/>
  <c r="O61" i="27"/>
  <c r="Y60" i="27"/>
  <c r="Q60" i="27"/>
  <c r="AA60" i="27" s="1"/>
  <c r="M60" i="27"/>
  <c r="W60" i="27" s="1"/>
  <c r="U60" i="27"/>
  <c r="K47" i="27"/>
  <c r="M46" i="27"/>
  <c r="W46" i="27" s="1"/>
  <c r="U46" i="27"/>
  <c r="Y46" i="27"/>
  <c r="Q46" i="27"/>
  <c r="AA46" i="27" s="1"/>
  <c r="O47" i="27"/>
  <c r="G32" i="27"/>
  <c r="O31" i="27"/>
  <c r="Y30" i="27"/>
  <c r="Q30" i="27"/>
  <c r="AA30" i="27" s="1"/>
  <c r="K31" i="27"/>
  <c r="E32" i="27"/>
  <c r="M30" i="27"/>
  <c r="W30" i="27" s="1"/>
  <c r="U30" i="27"/>
  <c r="Q52" i="26"/>
  <c r="AA52" i="26" s="1"/>
  <c r="Y52" i="26"/>
  <c r="O53" i="26"/>
  <c r="M52" i="26"/>
  <c r="W52" i="26" s="1"/>
  <c r="U52" i="26"/>
  <c r="K53" i="26"/>
  <c r="Q43" i="26"/>
  <c r="AA43" i="26" s="1"/>
  <c r="Y43" i="26"/>
  <c r="O44" i="26"/>
  <c r="M43" i="26"/>
  <c r="W43" i="26" s="1"/>
  <c r="U43" i="26"/>
  <c r="K44" i="26"/>
  <c r="Q34" i="26"/>
  <c r="AA34" i="26" s="1"/>
  <c r="Y34" i="26"/>
  <c r="Q35" i="26"/>
  <c r="AA35" i="26" s="1"/>
  <c r="Y35" i="26"/>
  <c r="M35" i="26"/>
  <c r="W35" i="26" s="1"/>
  <c r="U35" i="26"/>
  <c r="M34" i="26"/>
  <c r="W34" i="26" s="1"/>
  <c r="U34" i="26"/>
  <c r="Q27" i="26"/>
  <c r="AA27" i="26" s="1"/>
  <c r="Y27" i="26"/>
  <c r="Q28" i="26"/>
  <c r="AA28" i="26" s="1"/>
  <c r="Y28" i="26"/>
  <c r="M27" i="26"/>
  <c r="W27" i="26" s="1"/>
  <c r="U27" i="26"/>
  <c r="M28" i="26"/>
  <c r="W28" i="26" s="1"/>
  <c r="U28" i="26"/>
  <c r="Q59" i="24"/>
  <c r="AA59" i="24" s="1"/>
  <c r="Y59" i="24"/>
  <c r="O60" i="24"/>
  <c r="G61" i="24"/>
  <c r="M59" i="24"/>
  <c r="W59" i="24" s="1"/>
  <c r="U59" i="24"/>
  <c r="K60" i="24"/>
  <c r="E61" i="24"/>
  <c r="Q44" i="24"/>
  <c r="AA44" i="24" s="1"/>
  <c r="Y44" i="24"/>
  <c r="O45" i="24"/>
  <c r="G46" i="24"/>
  <c r="G32" i="24"/>
  <c r="O31" i="24"/>
  <c r="Q30" i="24"/>
  <c r="AA30" i="24" s="1"/>
  <c r="Y30" i="24"/>
  <c r="K30" i="24"/>
  <c r="U30" i="24" s="1"/>
  <c r="E31" i="24"/>
  <c r="M45" i="24"/>
  <c r="W45" i="24" s="1"/>
  <c r="U45" i="24"/>
  <c r="E47" i="24"/>
  <c r="K46" i="24"/>
  <c r="M30" i="24"/>
  <c r="W30" i="24" s="1"/>
  <c r="M29" i="24"/>
  <c r="W29" i="24" s="1"/>
  <c r="U29" i="24"/>
  <c r="Q23" i="24"/>
  <c r="AA23" i="24" s="1"/>
  <c r="Y23" i="24"/>
  <c r="O24" i="24"/>
  <c r="K24" i="24"/>
  <c r="M23" i="24"/>
  <c r="W23" i="24" s="1"/>
  <c r="U23" i="24"/>
  <c r="Q16" i="24"/>
  <c r="AA16" i="24" s="1"/>
  <c r="Y16" i="24"/>
  <c r="O17" i="24"/>
  <c r="M16" i="24"/>
  <c r="W16" i="24" s="1"/>
  <c r="U16" i="24"/>
  <c r="K17" i="24"/>
  <c r="Q172" i="23"/>
  <c r="AA172" i="23" s="1"/>
  <c r="Y172" i="23"/>
  <c r="G174" i="23"/>
  <c r="O173" i="23"/>
  <c r="M172" i="23"/>
  <c r="W172" i="23" s="1"/>
  <c r="U172" i="23"/>
  <c r="E174" i="23"/>
  <c r="K173" i="23"/>
  <c r="Q149" i="23"/>
  <c r="AA149" i="23" s="1"/>
  <c r="Y149" i="23"/>
  <c r="G151" i="23"/>
  <c r="O150" i="23"/>
  <c r="M149" i="23"/>
  <c r="W149" i="23" s="1"/>
  <c r="U149" i="23"/>
  <c r="K150" i="23"/>
  <c r="E151" i="23"/>
  <c r="M137" i="23"/>
  <c r="W137" i="23" s="1"/>
  <c r="U137" i="23"/>
  <c r="E139" i="23"/>
  <c r="K138" i="23"/>
  <c r="G139" i="23"/>
  <c r="O138" i="23"/>
  <c r="Q137" i="23"/>
  <c r="AA137" i="23" s="1"/>
  <c r="Y137" i="23"/>
  <c r="Q132" i="23"/>
  <c r="AA132" i="23" s="1"/>
  <c r="Y132" i="23"/>
  <c r="Q133" i="23"/>
  <c r="AA133" i="23" s="1"/>
  <c r="Y133" i="23"/>
  <c r="M132" i="23"/>
  <c r="W132" i="23" s="1"/>
  <c r="U132" i="23"/>
  <c r="M133" i="23"/>
  <c r="W133" i="23" s="1"/>
  <c r="U133" i="23"/>
  <c r="G128" i="23"/>
  <c r="O128" i="23" s="1"/>
  <c r="O127" i="23"/>
  <c r="Q126" i="23"/>
  <c r="AA126" i="23" s="1"/>
  <c r="Y126" i="23"/>
  <c r="E128" i="23"/>
  <c r="K128" i="23" s="1"/>
  <c r="K127" i="23"/>
  <c r="M126" i="23"/>
  <c r="W126" i="23" s="1"/>
  <c r="U126" i="23"/>
  <c r="M115" i="23"/>
  <c r="W115" i="23" s="1"/>
  <c r="U115" i="23"/>
  <c r="K116" i="23"/>
  <c r="O116" i="23"/>
  <c r="Q115" i="23"/>
  <c r="AA115" i="23" s="1"/>
  <c r="Y115" i="23"/>
  <c r="Q104" i="23"/>
  <c r="AA104" i="23" s="1"/>
  <c r="Y104" i="23"/>
  <c r="O105" i="23"/>
  <c r="K105" i="23"/>
  <c r="M104" i="23"/>
  <c r="W104" i="23" s="1"/>
  <c r="U104" i="23"/>
  <c r="Q98" i="23"/>
  <c r="AA98" i="23" s="1"/>
  <c r="Y98" i="23"/>
  <c r="Q99" i="23"/>
  <c r="AA99" i="23" s="1"/>
  <c r="Y99" i="23"/>
  <c r="M98" i="23"/>
  <c r="W98" i="23" s="1"/>
  <c r="U98" i="23"/>
  <c r="M99" i="23"/>
  <c r="W99" i="23" s="1"/>
  <c r="U99" i="23"/>
  <c r="Q83" i="23"/>
  <c r="AA83" i="23" s="1"/>
  <c r="Y83" i="23"/>
  <c r="G85" i="23"/>
  <c r="O84" i="23"/>
  <c r="M83" i="23"/>
  <c r="W83" i="23" s="1"/>
  <c r="U83" i="23"/>
  <c r="E85" i="23"/>
  <c r="K84" i="23"/>
  <c r="M60" i="23"/>
  <c r="W60" i="23" s="1"/>
  <c r="U60" i="23"/>
  <c r="K61" i="23"/>
  <c r="E62" i="23"/>
  <c r="Q60" i="23"/>
  <c r="AA60" i="23" s="1"/>
  <c r="Y60" i="23"/>
  <c r="O61" i="23"/>
  <c r="G62" i="23"/>
  <c r="E45" i="23"/>
  <c r="K44" i="23"/>
  <c r="M43" i="23"/>
  <c r="W43" i="23" s="1"/>
  <c r="U43" i="23"/>
  <c r="G46" i="23"/>
  <c r="O45" i="23"/>
  <c r="Q44" i="23"/>
  <c r="AA44" i="23" s="1"/>
  <c r="Y44" i="23"/>
  <c r="Q37" i="23"/>
  <c r="AA37" i="23" s="1"/>
  <c r="Y37" i="23"/>
  <c r="G39" i="23"/>
  <c r="O38" i="23"/>
  <c r="M37" i="23"/>
  <c r="W37" i="23" s="1"/>
  <c r="U37" i="23"/>
  <c r="K38" i="23"/>
  <c r="E39" i="23"/>
  <c r="M32" i="23"/>
  <c r="W32" i="23" s="1"/>
  <c r="U32" i="23"/>
  <c r="M33" i="23"/>
  <c r="W33" i="23" s="1"/>
  <c r="U33" i="23"/>
  <c r="Q27" i="23"/>
  <c r="AA27" i="23" s="1"/>
  <c r="Y27" i="23"/>
  <c r="Q28" i="23"/>
  <c r="AA28" i="23" s="1"/>
  <c r="Y28" i="23"/>
  <c r="M27" i="23"/>
  <c r="W27" i="23" s="1"/>
  <c r="U27" i="23"/>
  <c r="M28" i="23"/>
  <c r="W28" i="23" s="1"/>
  <c r="U28" i="23"/>
  <c r="Q15" i="23"/>
  <c r="AA15" i="23" s="1"/>
  <c r="Y15" i="23"/>
  <c r="O16" i="23"/>
  <c r="K16" i="23"/>
  <c r="M15" i="23"/>
  <c r="W15" i="23" s="1"/>
  <c r="U15" i="23"/>
  <c r="Q304" i="22"/>
  <c r="AA304" i="22" s="1"/>
  <c r="Y304" i="22"/>
  <c r="O305" i="22"/>
  <c r="G306" i="22"/>
  <c r="M304" i="22"/>
  <c r="W304" i="22" s="1"/>
  <c r="U304" i="22"/>
  <c r="K305" i="22"/>
  <c r="E306" i="22"/>
  <c r="X237" i="22"/>
  <c r="L237" i="22"/>
  <c r="V237" i="22" s="1"/>
  <c r="N249" i="22"/>
  <c r="M241" i="22"/>
  <c r="W241" i="22" s="1"/>
  <c r="U241" i="22"/>
  <c r="L227" i="22"/>
  <c r="V227" i="22" s="1"/>
  <c r="X227" i="22"/>
  <c r="M193" i="22"/>
  <c r="W193" i="22" s="1"/>
  <c r="U193" i="22"/>
  <c r="L222" i="22"/>
  <c r="V222" i="22" s="1"/>
  <c r="X222" i="22"/>
  <c r="Y193" i="22"/>
  <c r="Q193" i="22"/>
  <c r="AA193" i="22" s="1"/>
  <c r="K242" i="22"/>
  <c r="N239" i="22"/>
  <c r="K194" i="22"/>
  <c r="N234" i="22"/>
  <c r="O194" i="22"/>
  <c r="K290" i="22"/>
  <c r="N230" i="22"/>
  <c r="N232" i="22"/>
  <c r="O254" i="22"/>
  <c r="U289" i="22"/>
  <c r="M289" i="22"/>
  <c r="W289" i="22" s="1"/>
  <c r="L218" i="22"/>
  <c r="V218" i="22" s="1"/>
  <c r="X218" i="22"/>
  <c r="L220" i="22"/>
  <c r="V220" i="22" s="1"/>
  <c r="X220" i="22"/>
  <c r="Y253" i="22"/>
  <c r="Q253" i="22"/>
  <c r="AA253" i="22" s="1"/>
  <c r="O278" i="22"/>
  <c r="P235" i="22"/>
  <c r="Z235" i="22" s="1"/>
  <c r="T235" i="22"/>
  <c r="N248" i="22"/>
  <c r="O230" i="22"/>
  <c r="M220" i="22"/>
  <c r="W220" i="22" s="1"/>
  <c r="U220" i="22"/>
  <c r="K206" i="22"/>
  <c r="P237" i="22"/>
  <c r="Z237" i="22" s="1"/>
  <c r="T237" i="22"/>
  <c r="L247" i="22"/>
  <c r="V247" i="22" s="1"/>
  <c r="X247" i="22"/>
  <c r="Q277" i="22"/>
  <c r="AA277" i="22" s="1"/>
  <c r="Y277" i="22"/>
  <c r="J247" i="22"/>
  <c r="L236" i="22"/>
  <c r="V236" i="22" s="1"/>
  <c r="X236" i="22"/>
  <c r="Q229" i="22"/>
  <c r="AA229" i="22" s="1"/>
  <c r="Y229" i="22"/>
  <c r="K221" i="22"/>
  <c r="M205" i="22"/>
  <c r="W205" i="22" s="1"/>
  <c r="U205" i="22"/>
  <c r="J249" i="22"/>
  <c r="N259" i="22"/>
  <c r="J239" i="22"/>
  <c r="X231" i="22"/>
  <c r="L231" i="22"/>
  <c r="V231" i="22" s="1"/>
  <c r="N252" i="22"/>
  <c r="L229" i="22"/>
  <c r="V229" i="22" s="1"/>
  <c r="X229" i="22"/>
  <c r="Q218" i="22"/>
  <c r="AA218" i="22" s="1"/>
  <c r="Y218" i="22"/>
  <c r="J255" i="22"/>
  <c r="P227" i="22"/>
  <c r="Z227" i="22" s="1"/>
  <c r="T227" i="22"/>
  <c r="N243" i="22"/>
  <c r="X240" i="22"/>
  <c r="L240" i="22"/>
  <c r="V240" i="22" s="1"/>
  <c r="N241" i="22"/>
  <c r="O219" i="22"/>
  <c r="T243" i="22"/>
  <c r="P243" i="22"/>
  <c r="Z243" i="22" s="1"/>
  <c r="Q181" i="22"/>
  <c r="AA181" i="22" s="1"/>
  <c r="Y181" i="22"/>
  <c r="O182" i="22"/>
  <c r="G183" i="22"/>
  <c r="K182" i="22"/>
  <c r="E183" i="22"/>
  <c r="M181" i="22"/>
  <c r="W181" i="22" s="1"/>
  <c r="U181" i="22"/>
  <c r="P253" i="22"/>
  <c r="Z253" i="22" s="1"/>
  <c r="T253" i="22"/>
  <c r="U253" i="22"/>
  <c r="M253" i="22"/>
  <c r="W253" i="22" s="1"/>
  <c r="J240" i="22"/>
  <c r="Q266" i="22"/>
  <c r="AA266" i="22" s="1"/>
  <c r="Y266" i="22"/>
  <c r="O291" i="22"/>
  <c r="K254" i="22"/>
  <c r="P228" i="22"/>
  <c r="Z228" i="22" s="1"/>
  <c r="T228" i="22"/>
  <c r="O267" i="22"/>
  <c r="L245" i="22"/>
  <c r="V245" i="22" s="1"/>
  <c r="X245" i="22"/>
  <c r="J262" i="22"/>
  <c r="M229" i="22"/>
  <c r="W229" i="22" s="1"/>
  <c r="U229" i="22"/>
  <c r="J248" i="22"/>
  <c r="P245" i="22"/>
  <c r="Z245" i="22" s="1"/>
  <c r="T245" i="22"/>
  <c r="P230" i="22"/>
  <c r="Z230" i="22" s="1"/>
  <c r="T230" i="22"/>
  <c r="P232" i="22"/>
  <c r="Z232" i="22" s="1"/>
  <c r="T232" i="22"/>
  <c r="U277" i="22"/>
  <c r="M277" i="22"/>
  <c r="W277" i="22" s="1"/>
  <c r="J265" i="22"/>
  <c r="N257" i="22"/>
  <c r="P250" i="22"/>
  <c r="Z250" i="22" s="1"/>
  <c r="T250" i="22"/>
  <c r="K230" i="22"/>
  <c r="P236" i="22"/>
  <c r="Z236" i="22" s="1"/>
  <c r="T236" i="22"/>
  <c r="J257" i="22"/>
  <c r="J242" i="22"/>
  <c r="J244" i="22"/>
  <c r="K278" i="22"/>
  <c r="P234" i="22"/>
  <c r="Z234" i="22" s="1"/>
  <c r="T234" i="22"/>
  <c r="Y242" i="22"/>
  <c r="Q242" i="22"/>
  <c r="AA242" i="22" s="1"/>
  <c r="L262" i="22"/>
  <c r="V262" i="22" s="1"/>
  <c r="X262" i="22"/>
  <c r="M268" i="22"/>
  <c r="W268" i="22" s="1"/>
  <c r="U268" i="22"/>
  <c r="Q290" i="22"/>
  <c r="AA290" i="22" s="1"/>
  <c r="Y290" i="22"/>
  <c r="J246" i="22"/>
  <c r="O243" i="22"/>
  <c r="N286" i="22"/>
  <c r="N274" i="22"/>
  <c r="K269" i="22"/>
  <c r="Q170" i="22"/>
  <c r="AA170" i="22" s="1"/>
  <c r="Y170" i="22"/>
  <c r="O171" i="22"/>
  <c r="M170" i="22"/>
  <c r="W170" i="22" s="1"/>
  <c r="U170" i="22"/>
  <c r="K171" i="22"/>
  <c r="G151" i="22"/>
  <c r="O150" i="22"/>
  <c r="Q149" i="22"/>
  <c r="AA149" i="22" s="1"/>
  <c r="Y149" i="22"/>
  <c r="M153" i="22"/>
  <c r="W153" i="22" s="1"/>
  <c r="U153" i="22"/>
  <c r="K154" i="22"/>
  <c r="E155" i="22"/>
  <c r="Q140" i="22"/>
  <c r="AA140" i="22" s="1"/>
  <c r="Y140" i="22"/>
  <c r="O141" i="22"/>
  <c r="G142" i="22"/>
  <c r="E143" i="22"/>
  <c r="K142" i="22"/>
  <c r="M141" i="22"/>
  <c r="W141" i="22" s="1"/>
  <c r="U141" i="22"/>
  <c r="G131" i="22"/>
  <c r="O130" i="22"/>
  <c r="Q129" i="22"/>
  <c r="AA129" i="22" s="1"/>
  <c r="Y129" i="22"/>
  <c r="E131" i="22"/>
  <c r="K130" i="22"/>
  <c r="M129" i="22"/>
  <c r="W129" i="22" s="1"/>
  <c r="U129" i="22"/>
  <c r="Q106" i="22"/>
  <c r="AA106" i="22" s="1"/>
  <c r="Y106" i="22"/>
  <c r="O107" i="22"/>
  <c r="M106" i="22"/>
  <c r="W106" i="22" s="1"/>
  <c r="U106" i="22"/>
  <c r="K107" i="22"/>
  <c r="Q83" i="22"/>
  <c r="AA83" i="22" s="1"/>
  <c r="Y83" i="22"/>
  <c r="O84" i="22"/>
  <c r="M83" i="22"/>
  <c r="W83" i="22" s="1"/>
  <c r="U83" i="22"/>
  <c r="K84" i="22"/>
  <c r="Q60" i="22"/>
  <c r="AA60" i="22" s="1"/>
  <c r="Y60" i="22"/>
  <c r="O61" i="22"/>
  <c r="M60" i="22"/>
  <c r="W60" i="22" s="1"/>
  <c r="U60" i="22"/>
  <c r="K61" i="22"/>
  <c r="Q37" i="22"/>
  <c r="AA37" i="22" s="1"/>
  <c r="Y37" i="22"/>
  <c r="G39" i="22"/>
  <c r="O38" i="22"/>
  <c r="M39" i="22"/>
  <c r="W39" i="22" s="1"/>
  <c r="U39" i="22"/>
  <c r="K40" i="22"/>
  <c r="E41" i="22"/>
  <c r="Q29" i="22"/>
  <c r="AA29" i="22" s="1"/>
  <c r="Y29" i="22"/>
  <c r="O30" i="22"/>
  <c r="K31" i="22"/>
  <c r="K32" i="22"/>
  <c r="M30" i="22"/>
  <c r="W30" i="22" s="1"/>
  <c r="U30" i="22"/>
  <c r="Y27" i="22"/>
  <c r="Q27" i="22"/>
  <c r="AA27" i="22" s="1"/>
  <c r="Q28" i="22"/>
  <c r="AA28" i="22" s="1"/>
  <c r="Y28" i="22"/>
  <c r="M27" i="22"/>
  <c r="W27" i="22" s="1"/>
  <c r="U27" i="22"/>
  <c r="M28" i="22"/>
  <c r="W28" i="22" s="1"/>
  <c r="U28" i="22"/>
  <c r="O16" i="22"/>
  <c r="Y15" i="22"/>
  <c r="Q15" i="22"/>
  <c r="AA15" i="22" s="1"/>
  <c r="K16" i="22"/>
  <c r="M15" i="22"/>
  <c r="W15" i="22" s="1"/>
  <c r="U15" i="22"/>
  <c r="T50" i="21"/>
  <c r="P50" i="21"/>
  <c r="Z50" i="21" s="1"/>
  <c r="M38" i="21"/>
  <c r="W38" i="21" s="1"/>
  <c r="U38" i="21"/>
  <c r="L44" i="21"/>
  <c r="V44" i="21" s="1"/>
  <c r="X44" i="21"/>
  <c r="X61" i="21"/>
  <c r="L61" i="21"/>
  <c r="V61" i="21" s="1"/>
  <c r="M26" i="21"/>
  <c r="W26" i="21" s="1"/>
  <c r="U26" i="21"/>
  <c r="P57" i="21"/>
  <c r="Z57" i="21" s="1"/>
  <c r="T57" i="21"/>
  <c r="F71" i="21"/>
  <c r="N57" i="21"/>
  <c r="F72" i="21"/>
  <c r="N58" i="21"/>
  <c r="F89" i="21"/>
  <c r="N75" i="21"/>
  <c r="E28" i="21"/>
  <c r="K27" i="21"/>
  <c r="D85" i="21"/>
  <c r="J71" i="21"/>
  <c r="X43" i="21"/>
  <c r="L43" i="21"/>
  <c r="V43" i="21" s="1"/>
  <c r="D93" i="21"/>
  <c r="J79" i="21"/>
  <c r="T46" i="21"/>
  <c r="P46" i="21"/>
  <c r="Z46" i="21" s="1"/>
  <c r="D78" i="21"/>
  <c r="J64" i="21"/>
  <c r="L46" i="21"/>
  <c r="V46" i="21" s="1"/>
  <c r="X46" i="21"/>
  <c r="E40" i="21"/>
  <c r="K39" i="21"/>
  <c r="T42" i="21"/>
  <c r="P42" i="21"/>
  <c r="Z42" i="21" s="1"/>
  <c r="L42" i="21"/>
  <c r="V42" i="21" s="1"/>
  <c r="X42" i="21"/>
  <c r="F70" i="21"/>
  <c r="N56" i="21"/>
  <c r="X65" i="21"/>
  <c r="L65" i="21"/>
  <c r="V65" i="21" s="1"/>
  <c r="P55" i="21"/>
  <c r="Z55" i="21" s="1"/>
  <c r="T55" i="21"/>
  <c r="P63" i="21"/>
  <c r="Z63" i="21" s="1"/>
  <c r="T63" i="21"/>
  <c r="L48" i="21"/>
  <c r="V48" i="21" s="1"/>
  <c r="X48" i="21"/>
  <c r="X67" i="21"/>
  <c r="L67" i="21"/>
  <c r="V67" i="21" s="1"/>
  <c r="P61" i="21"/>
  <c r="Z61" i="21" s="1"/>
  <c r="T61" i="21"/>
  <c r="T40" i="21"/>
  <c r="P40" i="21"/>
  <c r="Z40" i="21" s="1"/>
  <c r="T44" i="21"/>
  <c r="P44" i="21"/>
  <c r="Z44" i="21" s="1"/>
  <c r="L55" i="21"/>
  <c r="V55" i="21" s="1"/>
  <c r="X55" i="21"/>
  <c r="P65" i="21"/>
  <c r="Z65" i="21" s="1"/>
  <c r="T65" i="21"/>
  <c r="F74" i="21"/>
  <c r="N60" i="21"/>
  <c r="D70" i="21"/>
  <c r="J56" i="21"/>
  <c r="F93" i="21"/>
  <c r="N79" i="21"/>
  <c r="D83" i="21"/>
  <c r="J69" i="21"/>
  <c r="D91" i="21"/>
  <c r="J77" i="21"/>
  <c r="F76" i="21"/>
  <c r="N62" i="21"/>
  <c r="F95" i="21"/>
  <c r="N81" i="21"/>
  <c r="D89" i="21"/>
  <c r="J75" i="21"/>
  <c r="D68" i="21"/>
  <c r="J54" i="21"/>
  <c r="D72" i="21"/>
  <c r="J58" i="21"/>
  <c r="F83" i="21"/>
  <c r="N69" i="21"/>
  <c r="P45" i="21"/>
  <c r="Z45" i="21" s="1"/>
  <c r="T45" i="21"/>
  <c r="G41" i="21"/>
  <c r="O40" i="21"/>
  <c r="L59" i="21"/>
  <c r="V59" i="21" s="1"/>
  <c r="X59" i="21"/>
  <c r="L50" i="21"/>
  <c r="V50" i="21" s="1"/>
  <c r="X50" i="21"/>
  <c r="F77" i="21"/>
  <c r="N63" i="21"/>
  <c r="L40" i="21"/>
  <c r="V40" i="21" s="1"/>
  <c r="X40" i="21"/>
  <c r="D74" i="21"/>
  <c r="J60" i="21"/>
  <c r="D73" i="21"/>
  <c r="J59" i="21"/>
  <c r="Q39" i="21"/>
  <c r="AA39" i="21" s="1"/>
  <c r="Y39" i="21"/>
  <c r="F87" i="21"/>
  <c r="N73" i="21"/>
  <c r="F78" i="21"/>
  <c r="N64" i="21"/>
  <c r="X49" i="21"/>
  <c r="L49" i="21"/>
  <c r="V49" i="21" s="1"/>
  <c r="F68" i="21"/>
  <c r="N54" i="21"/>
  <c r="K95" i="21"/>
  <c r="O54" i="21"/>
  <c r="O66" i="21"/>
  <c r="J90" i="21"/>
  <c r="U80" i="21"/>
  <c r="T76" i="21"/>
  <c r="P76" i="21"/>
  <c r="Z76" i="21" s="1"/>
  <c r="P81" i="21"/>
  <c r="Z81" i="21" s="1"/>
  <c r="T81" i="21"/>
  <c r="Q53" i="21"/>
  <c r="AA53" i="21" s="1"/>
  <c r="Y53" i="21"/>
  <c r="J95" i="21"/>
  <c r="T80" i="21"/>
  <c r="P80" i="21"/>
  <c r="Z80" i="21" s="1"/>
  <c r="J94" i="21"/>
  <c r="N108" i="21"/>
  <c r="L94" i="21"/>
  <c r="V94" i="21" s="1"/>
  <c r="X94" i="21"/>
  <c r="K68" i="21"/>
  <c r="M67" i="21"/>
  <c r="W67" i="21" s="1"/>
  <c r="U67" i="21"/>
  <c r="M81" i="21"/>
  <c r="W81" i="21" s="1"/>
  <c r="U81" i="21"/>
  <c r="K56" i="21"/>
  <c r="M55" i="21"/>
  <c r="W55" i="21" s="1"/>
  <c r="U55" i="21"/>
  <c r="O29" i="21"/>
  <c r="Q28" i="21"/>
  <c r="AA28" i="21" s="1"/>
  <c r="Y28" i="21"/>
  <c r="Q15" i="21"/>
  <c r="AA15" i="21" s="1"/>
  <c r="Y15" i="21"/>
  <c r="K16" i="21"/>
  <c r="M15" i="21"/>
  <c r="W15" i="21" s="1"/>
  <c r="U15" i="21"/>
  <c r="O16" i="21"/>
  <c r="E156" i="18"/>
  <c r="K155" i="18"/>
  <c r="U154" i="18"/>
  <c r="M154" i="18"/>
  <c r="W154" i="18" s="1"/>
  <c r="Q169" i="18"/>
  <c r="AA169" i="18" s="1"/>
  <c r="Y169" i="18"/>
  <c r="O170" i="18"/>
  <c r="G171" i="18"/>
  <c r="G162" i="18"/>
  <c r="O161" i="18"/>
  <c r="Q160" i="18"/>
  <c r="AA160" i="18" s="1"/>
  <c r="Y160" i="18"/>
  <c r="Q136" i="18"/>
  <c r="AA136" i="18" s="1"/>
  <c r="Y136" i="18"/>
  <c r="O137" i="18"/>
  <c r="G138" i="18"/>
  <c r="U135" i="18"/>
  <c r="M135" i="18"/>
  <c r="W135" i="18" s="1"/>
  <c r="E137" i="18"/>
  <c r="K136" i="18"/>
  <c r="K113" i="18"/>
  <c r="M112" i="18"/>
  <c r="W112" i="18" s="1"/>
  <c r="U112" i="18"/>
  <c r="O113" i="18"/>
  <c r="Q112" i="18"/>
  <c r="AA112" i="18" s="1"/>
  <c r="Y112" i="18"/>
  <c r="K89" i="18"/>
  <c r="M88" i="18"/>
  <c r="W88" i="18" s="1"/>
  <c r="U88" i="18"/>
  <c r="O89" i="18"/>
  <c r="Q88" i="18"/>
  <c r="AA88" i="18" s="1"/>
  <c r="Y88" i="18"/>
  <c r="Q71" i="18"/>
  <c r="AA71" i="18" s="1"/>
  <c r="Y71" i="18"/>
  <c r="G73" i="18"/>
  <c r="O72" i="18"/>
  <c r="Q64" i="18"/>
  <c r="AA64" i="18" s="1"/>
  <c r="Y64" i="18"/>
  <c r="O65" i="18"/>
  <c r="G66" i="18"/>
  <c r="K65" i="18"/>
  <c r="E66" i="18"/>
  <c r="M64" i="18"/>
  <c r="W64" i="18" s="1"/>
  <c r="U64" i="18"/>
  <c r="Q41" i="18"/>
  <c r="AA41" i="18" s="1"/>
  <c r="Y41" i="18"/>
  <c r="O42" i="18"/>
  <c r="G43" i="18"/>
  <c r="M41" i="18"/>
  <c r="W41" i="18" s="1"/>
  <c r="U41" i="18"/>
  <c r="K42" i="18"/>
  <c r="E43" i="18"/>
  <c r="Q29" i="18"/>
  <c r="AA29" i="18" s="1"/>
  <c r="Y29" i="18"/>
  <c r="G31" i="18"/>
  <c r="O30" i="18"/>
  <c r="M29" i="18"/>
  <c r="W29" i="18" s="1"/>
  <c r="U29" i="18"/>
  <c r="E31" i="18"/>
  <c r="K30" i="18"/>
  <c r="O17" i="18"/>
  <c r="Y16" i="18"/>
  <c r="Q16" i="18"/>
  <c r="AA16" i="18" s="1"/>
  <c r="M17" i="18"/>
  <c r="W17" i="18" s="1"/>
  <c r="U17" i="18"/>
  <c r="K18" i="18"/>
  <c r="E19" i="18"/>
  <c r="Y202" i="1"/>
  <c r="X101" i="1"/>
  <c r="E114" i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/>
  <c r="G113" i="1"/>
  <c r="G97" i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Y64" i="1"/>
  <c r="Y47" i="1"/>
  <c r="P80" i="1"/>
  <c r="Z80" i="1" s="1"/>
  <c r="T80" i="1"/>
  <c r="U47" i="1"/>
  <c r="J97" i="1"/>
  <c r="L105" i="1"/>
  <c r="V105" i="1" s="1"/>
  <c r="X105" i="1"/>
  <c r="N122" i="1"/>
  <c r="O80" i="1"/>
  <c r="Q80" i="1" s="1"/>
  <c r="AA80" i="1" s="1"/>
  <c r="G32" i="1"/>
  <c r="O31" i="1"/>
  <c r="U80" i="1"/>
  <c r="O48" i="1"/>
  <c r="K48" i="1"/>
  <c r="N142" i="1"/>
  <c r="P92" i="1"/>
  <c r="Z92" i="1" s="1"/>
  <c r="T92" i="1"/>
  <c r="N132" i="1"/>
  <c r="L111" i="1"/>
  <c r="V111" i="1" s="1"/>
  <c r="X111" i="1"/>
  <c r="L125" i="1"/>
  <c r="V125" i="1" s="1"/>
  <c r="X125" i="1"/>
  <c r="J109" i="1"/>
  <c r="L115" i="1"/>
  <c r="V115" i="1" s="1"/>
  <c r="X115" i="1"/>
  <c r="N128" i="1"/>
  <c r="L99" i="1"/>
  <c r="V99" i="1" s="1"/>
  <c r="X99" i="1"/>
  <c r="N114" i="1"/>
  <c r="N126" i="1"/>
  <c r="N116" i="1"/>
  <c r="L110" i="1"/>
  <c r="V110" i="1" s="1"/>
  <c r="X110" i="1"/>
  <c r="L102" i="1"/>
  <c r="V102" i="1" s="1"/>
  <c r="X102" i="1"/>
  <c r="L103" i="1"/>
  <c r="V103" i="1" s="1"/>
  <c r="X103" i="1"/>
  <c r="L112" i="1"/>
  <c r="V112" i="1" s="1"/>
  <c r="X112" i="1"/>
  <c r="N127" i="1"/>
  <c r="N119" i="1"/>
  <c r="N120" i="1"/>
  <c r="N129" i="1"/>
  <c r="L109" i="1"/>
  <c r="V109" i="1" s="1"/>
  <c r="X109" i="1"/>
  <c r="P104" i="1"/>
  <c r="Z104" i="1" s="1"/>
  <c r="T104" i="1"/>
  <c r="X106" i="1"/>
  <c r="L106" i="1"/>
  <c r="V106" i="1" s="1"/>
  <c r="L97" i="1"/>
  <c r="V97" i="1" s="1"/>
  <c r="X97" i="1"/>
  <c r="J121" i="1"/>
  <c r="N123" i="1"/>
  <c r="T185" i="1"/>
  <c r="U64" i="1"/>
  <c r="U96" i="1"/>
  <c r="N185" i="1"/>
  <c r="N168" i="1"/>
  <c r="L118" i="1"/>
  <c r="V118" i="1" s="1"/>
  <c r="X118" i="1"/>
  <c r="Y96" i="1"/>
  <c r="P118" i="1"/>
  <c r="Z118" i="1" s="1"/>
  <c r="T118" i="1"/>
  <c r="P127" i="1"/>
  <c r="Z127" i="1" s="1"/>
  <c r="T127" i="1"/>
  <c r="P125" i="1"/>
  <c r="Z125" i="1" s="1"/>
  <c r="T125" i="1"/>
  <c r="N135" i="1"/>
  <c r="J171" i="1"/>
  <c r="J188" i="1"/>
  <c r="J136" i="1"/>
  <c r="P119" i="1"/>
  <c r="Z119" i="1" s="1"/>
  <c r="T119" i="1"/>
  <c r="O113" i="1"/>
  <c r="J144" i="1"/>
  <c r="K81" i="1"/>
  <c r="J142" i="1"/>
  <c r="P124" i="1"/>
  <c r="Z124" i="1" s="1"/>
  <c r="T124" i="1"/>
  <c r="T154" i="1"/>
  <c r="P154" i="1"/>
  <c r="Z154" i="1" s="1"/>
  <c r="P168" i="1"/>
  <c r="Z168" i="1" s="1"/>
  <c r="T168" i="1"/>
  <c r="P115" i="1"/>
  <c r="Z115" i="1" s="1"/>
  <c r="T115" i="1"/>
  <c r="P129" i="1"/>
  <c r="Z129" i="1" s="1"/>
  <c r="T129" i="1"/>
  <c r="J141" i="1"/>
  <c r="N189" i="1"/>
  <c r="N172" i="1"/>
  <c r="J133" i="1"/>
  <c r="J132" i="1"/>
  <c r="J146" i="1"/>
  <c r="K65" i="1"/>
  <c r="K113" i="1"/>
  <c r="O81" i="1"/>
  <c r="P116" i="1"/>
  <c r="Z116" i="1" s="1"/>
  <c r="T116" i="1"/>
  <c r="J145" i="1"/>
  <c r="L124" i="1"/>
  <c r="V124" i="1" s="1"/>
  <c r="X124" i="1"/>
  <c r="K97" i="1"/>
  <c r="O65" i="1"/>
  <c r="J135" i="1"/>
  <c r="P106" i="1"/>
  <c r="Z106" i="1" s="1"/>
  <c r="T106" i="1"/>
  <c r="P128" i="1"/>
  <c r="Z128" i="1" s="1"/>
  <c r="T128" i="1"/>
  <c r="N141" i="1"/>
  <c r="P122" i="1"/>
  <c r="Z122" i="1" s="1"/>
  <c r="T122" i="1"/>
  <c r="J123" i="1"/>
  <c r="L151" i="1"/>
  <c r="V151" i="1" s="1"/>
  <c r="X151" i="1"/>
  <c r="L155" i="1"/>
  <c r="V155" i="1" s="1"/>
  <c r="X155" i="1"/>
  <c r="J139" i="1"/>
  <c r="K203" i="1"/>
  <c r="O203" i="1"/>
  <c r="U33" i="1"/>
  <c r="E35" i="1"/>
  <c r="K34" i="1"/>
  <c r="O94" i="29"/>
  <c r="Q93" i="29"/>
  <c r="AA93" i="29" s="1"/>
  <c r="Y93" i="29"/>
  <c r="K94" i="29"/>
  <c r="M93" i="29"/>
  <c r="W93" i="29" s="1"/>
  <c r="U93" i="29"/>
  <c r="Q85" i="29"/>
  <c r="AA85" i="29" s="1"/>
  <c r="Y85" i="29"/>
  <c r="O86" i="29"/>
  <c r="G87" i="29"/>
  <c r="K85" i="29"/>
  <c r="M85" i="29" s="1"/>
  <c r="W85" i="29" s="1"/>
  <c r="E86" i="29"/>
  <c r="M84" i="29"/>
  <c r="W84" i="29" s="1"/>
  <c r="U84" i="29"/>
  <c r="M61" i="29"/>
  <c r="W61" i="29" s="1"/>
  <c r="U61" i="29"/>
  <c r="G63" i="29"/>
  <c r="O62" i="29"/>
  <c r="E63" i="29"/>
  <c r="K62" i="29"/>
  <c r="Q61" i="29"/>
  <c r="AA61" i="29" s="1"/>
  <c r="Y61" i="29"/>
  <c r="Q40" i="29"/>
  <c r="AA40" i="29" s="1"/>
  <c r="Y40" i="29"/>
  <c r="O41" i="29"/>
  <c r="G42" i="29"/>
  <c r="M40" i="29"/>
  <c r="W40" i="29" s="1"/>
  <c r="U40" i="29"/>
  <c r="K41" i="29"/>
  <c r="E42" i="29"/>
  <c r="Q158" i="19"/>
  <c r="AA158" i="19" s="1"/>
  <c r="Y158" i="19"/>
  <c r="O159" i="19"/>
  <c r="G160" i="19"/>
  <c r="E161" i="19"/>
  <c r="K160" i="19"/>
  <c r="M159" i="19"/>
  <c r="W159" i="19" s="1"/>
  <c r="U159" i="19"/>
  <c r="M151" i="19"/>
  <c r="W151" i="19" s="1"/>
  <c r="U151" i="19"/>
  <c r="K152" i="19"/>
  <c r="E153" i="19"/>
  <c r="Q151" i="19"/>
  <c r="AA151" i="19" s="1"/>
  <c r="Y151" i="19"/>
  <c r="O152" i="19"/>
  <c r="G153" i="19"/>
  <c r="G128" i="19"/>
  <c r="O127" i="19"/>
  <c r="Q126" i="19"/>
  <c r="AA126" i="19" s="1"/>
  <c r="Y126" i="19"/>
  <c r="E128" i="19"/>
  <c r="K127" i="19"/>
  <c r="M126" i="19"/>
  <c r="W126" i="19" s="1"/>
  <c r="U126" i="19"/>
  <c r="O103" i="19"/>
  <c r="G104" i="19"/>
  <c r="Q102" i="19"/>
  <c r="AA102" i="19" s="1"/>
  <c r="Y102" i="19"/>
  <c r="E104" i="19"/>
  <c r="K103" i="19"/>
  <c r="M102" i="19"/>
  <c r="W102" i="19" s="1"/>
  <c r="U102" i="19"/>
  <c r="E96" i="19"/>
  <c r="K95" i="19"/>
  <c r="M94" i="19"/>
  <c r="W94" i="19" s="1"/>
  <c r="U94" i="19"/>
  <c r="Q94" i="19"/>
  <c r="AA94" i="19" s="1"/>
  <c r="Y94" i="19"/>
  <c r="G96" i="19"/>
  <c r="O95" i="19"/>
  <c r="O81" i="19"/>
  <c r="Q81" i="19" s="1"/>
  <c r="AA81" i="19" s="1"/>
  <c r="Q80" i="19"/>
  <c r="AA80" i="19" s="1"/>
  <c r="Y80" i="19"/>
  <c r="M79" i="19"/>
  <c r="W79" i="19" s="1"/>
  <c r="U79" i="19"/>
  <c r="K80" i="19"/>
  <c r="Q15" i="19"/>
  <c r="AA15" i="19" s="1"/>
  <c r="Y15" i="19"/>
  <c r="G17" i="19"/>
  <c r="O16" i="19"/>
  <c r="M15" i="19"/>
  <c r="W15" i="19" s="1"/>
  <c r="U15" i="19"/>
  <c r="K16" i="19"/>
  <c r="E17" i="19"/>
  <c r="M72" i="19"/>
  <c r="W72" i="19" s="1"/>
  <c r="U72" i="19"/>
  <c r="K73" i="19"/>
  <c r="J73" i="19"/>
  <c r="Q73" i="19"/>
  <c r="AA73" i="19" s="1"/>
  <c r="Y73" i="19"/>
  <c r="T72" i="19"/>
  <c r="P72" i="19"/>
  <c r="Z72" i="19" s="1"/>
  <c r="O75" i="19"/>
  <c r="O74" i="19"/>
  <c r="L72" i="19"/>
  <c r="V72" i="19" s="1"/>
  <c r="X72" i="19"/>
  <c r="N73" i="19"/>
  <c r="Q60" i="19"/>
  <c r="AA60" i="19" s="1"/>
  <c r="Y60" i="19"/>
  <c r="O61" i="19"/>
  <c r="G62" i="19"/>
  <c r="M44" i="19"/>
  <c r="W44" i="19" s="1"/>
  <c r="U44" i="19"/>
  <c r="G46" i="19"/>
  <c r="O45" i="19"/>
  <c r="E46" i="19"/>
  <c r="K45" i="19"/>
  <c r="Q44" i="19"/>
  <c r="AA44" i="19" s="1"/>
  <c r="Y44" i="19"/>
  <c r="E63" i="19"/>
  <c r="K62" i="19"/>
  <c r="M61" i="19"/>
  <c r="W61" i="19" s="1"/>
  <c r="U61" i="19"/>
  <c r="Q27" i="19"/>
  <c r="AA27" i="19" s="1"/>
  <c r="Y27" i="19"/>
  <c r="G29" i="19"/>
  <c r="O28" i="19"/>
  <c r="M30" i="19"/>
  <c r="W30" i="19" s="1"/>
  <c r="U30" i="19"/>
  <c r="K31" i="19"/>
  <c r="E32" i="19"/>
  <c r="P42" i="25"/>
  <c r="Z42" i="25" s="1"/>
  <c r="T42" i="25"/>
  <c r="O61" i="25"/>
  <c r="Q51" i="25"/>
  <c r="AA51" i="25" s="1"/>
  <c r="Y51" i="25"/>
  <c r="O52" i="25"/>
  <c r="M51" i="25"/>
  <c r="W51" i="25" s="1"/>
  <c r="U51" i="25"/>
  <c r="K61" i="25"/>
  <c r="K52" i="25"/>
  <c r="Q42" i="25"/>
  <c r="AA42" i="25" s="1"/>
  <c r="Y42" i="25"/>
  <c r="M42" i="25"/>
  <c r="W42" i="25" s="1"/>
  <c r="U42" i="25"/>
  <c r="O43" i="25"/>
  <c r="K43" i="25"/>
  <c r="Q27" i="25"/>
  <c r="AA27" i="25" s="1"/>
  <c r="Y27" i="25"/>
  <c r="O37" i="25"/>
  <c r="G29" i="25"/>
  <c r="O28" i="25"/>
  <c r="Q36" i="25"/>
  <c r="AA36" i="25" s="1"/>
  <c r="Y36" i="25"/>
  <c r="M35" i="25"/>
  <c r="W35" i="25" s="1"/>
  <c r="U35" i="25"/>
  <c r="M26" i="25"/>
  <c r="W26" i="25" s="1"/>
  <c r="U26" i="25"/>
  <c r="K36" i="25"/>
  <c r="E28" i="25"/>
  <c r="K27" i="25"/>
  <c r="L24" i="25"/>
  <c r="V24" i="25" s="1"/>
  <c r="X24" i="25"/>
  <c r="N34" i="25"/>
  <c r="L15" i="25"/>
  <c r="V15" i="25" s="1"/>
  <c r="X15" i="25"/>
  <c r="N25" i="25"/>
  <c r="F26" i="25"/>
  <c r="N16" i="25"/>
  <c r="P24" i="25"/>
  <c r="Z24" i="25" s="1"/>
  <c r="T24" i="25"/>
  <c r="J34" i="25"/>
  <c r="P15" i="25"/>
  <c r="Z15" i="25" s="1"/>
  <c r="T15" i="25"/>
  <c r="D26" i="25"/>
  <c r="J16" i="25"/>
  <c r="J25" i="25"/>
  <c r="T52" i="25"/>
  <c r="P52" i="25"/>
  <c r="Z52" i="25" s="1"/>
  <c r="J62" i="25"/>
  <c r="Q30" i="39" l="1"/>
  <c r="AA30" i="39" s="1"/>
  <c r="Y30" i="39"/>
  <c r="O31" i="39"/>
  <c r="G32" i="39"/>
  <c r="E33" i="39"/>
  <c r="K32" i="39"/>
  <c r="M31" i="39"/>
  <c r="W31" i="39" s="1"/>
  <c r="U31" i="39"/>
  <c r="G18" i="39"/>
  <c r="O17" i="39"/>
  <c r="Q16" i="39"/>
  <c r="AA16" i="39" s="1"/>
  <c r="Y16" i="39"/>
  <c r="M17" i="39"/>
  <c r="W17" i="39" s="1"/>
  <c r="U17" i="39"/>
  <c r="E19" i="39"/>
  <c r="K18" i="39"/>
  <c r="U45" i="39"/>
  <c r="M45" i="39"/>
  <c r="W45" i="39" s="1"/>
  <c r="O45" i="39"/>
  <c r="Y44" i="39"/>
  <c r="Q44" i="39"/>
  <c r="AA44" i="39" s="1"/>
  <c r="K46" i="39"/>
  <c r="Q25" i="38"/>
  <c r="AA25" i="38" s="1"/>
  <c r="Y25" i="38"/>
  <c r="O26" i="38"/>
  <c r="U27" i="38"/>
  <c r="M27" i="38"/>
  <c r="W27" i="38" s="1"/>
  <c r="K28" i="38"/>
  <c r="J90" i="38"/>
  <c r="N99" i="38"/>
  <c r="J101" i="38"/>
  <c r="T73" i="38"/>
  <c r="P73" i="38"/>
  <c r="Z73" i="38" s="1"/>
  <c r="P74" i="38"/>
  <c r="Z74" i="38" s="1"/>
  <c r="T74" i="38"/>
  <c r="N103" i="38"/>
  <c r="N124" i="38"/>
  <c r="X85" i="38"/>
  <c r="L85" i="38"/>
  <c r="V85" i="38" s="1"/>
  <c r="P78" i="38"/>
  <c r="Z78" i="38" s="1"/>
  <c r="T78" i="38"/>
  <c r="J97" i="38"/>
  <c r="O97" i="38"/>
  <c r="X81" i="38"/>
  <c r="L81" i="38"/>
  <c r="V81" i="38" s="1"/>
  <c r="J91" i="38"/>
  <c r="X70" i="38"/>
  <c r="L70" i="38"/>
  <c r="V70" i="38" s="1"/>
  <c r="O65" i="38"/>
  <c r="K65" i="38"/>
  <c r="L86" i="38"/>
  <c r="V86" i="38" s="1"/>
  <c r="X86" i="38"/>
  <c r="P81" i="38"/>
  <c r="Z81" i="38" s="1"/>
  <c r="T81" i="38"/>
  <c r="N128" i="38"/>
  <c r="J98" i="38"/>
  <c r="N87" i="38"/>
  <c r="U64" i="38"/>
  <c r="M64" i="38"/>
  <c r="W64" i="38" s="1"/>
  <c r="L107" i="38"/>
  <c r="V107" i="38" s="1"/>
  <c r="X107" i="38"/>
  <c r="N102" i="38"/>
  <c r="J95" i="38"/>
  <c r="T80" i="38"/>
  <c r="P80" i="38"/>
  <c r="Z80" i="38" s="1"/>
  <c r="Q96" i="38"/>
  <c r="AA96" i="38" s="1"/>
  <c r="Y96" i="38"/>
  <c r="L83" i="38"/>
  <c r="V83" i="38" s="1"/>
  <c r="X83" i="38"/>
  <c r="N91" i="38"/>
  <c r="J88" i="38"/>
  <c r="L76" i="38"/>
  <c r="V76" i="38" s="1"/>
  <c r="X76" i="38"/>
  <c r="L75" i="38"/>
  <c r="V75" i="38" s="1"/>
  <c r="X75" i="38"/>
  <c r="X67" i="38"/>
  <c r="L67" i="38"/>
  <c r="V67" i="38" s="1"/>
  <c r="K81" i="38"/>
  <c r="P103" i="38"/>
  <c r="Z103" i="38" s="1"/>
  <c r="T103" i="38"/>
  <c r="X71" i="38"/>
  <c r="L71" i="38"/>
  <c r="V71" i="38" s="1"/>
  <c r="J82" i="38"/>
  <c r="O81" i="38"/>
  <c r="O113" i="38"/>
  <c r="N100" i="38"/>
  <c r="X74" i="38"/>
  <c r="L74" i="38"/>
  <c r="V74" i="38" s="1"/>
  <c r="T71" i="38"/>
  <c r="P71" i="38"/>
  <c r="Z71" i="38" s="1"/>
  <c r="N93" i="38"/>
  <c r="N92" i="38"/>
  <c r="N84" i="38"/>
  <c r="J120" i="38"/>
  <c r="N88" i="38"/>
  <c r="P65" i="38"/>
  <c r="Z65" i="38" s="1"/>
  <c r="T65" i="38"/>
  <c r="Y80" i="38"/>
  <c r="Q80" i="38"/>
  <c r="AA80" i="38" s="1"/>
  <c r="U31" i="38"/>
  <c r="M31" i="38"/>
  <c r="W31" i="38" s="1"/>
  <c r="T123" i="38"/>
  <c r="P123" i="38"/>
  <c r="Z123" i="38" s="1"/>
  <c r="L72" i="38"/>
  <c r="V72" i="38" s="1"/>
  <c r="X72" i="38"/>
  <c r="P70" i="38"/>
  <c r="Z70" i="38" s="1"/>
  <c r="T70" i="38"/>
  <c r="P66" i="38"/>
  <c r="Z66" i="38" s="1"/>
  <c r="T66" i="38"/>
  <c r="T92" i="38"/>
  <c r="P92" i="38"/>
  <c r="Z92" i="38" s="1"/>
  <c r="U96" i="38"/>
  <c r="M96" i="38"/>
  <c r="W96" i="38" s="1"/>
  <c r="N95" i="38"/>
  <c r="N80" i="38"/>
  <c r="X78" i="38"/>
  <c r="L78" i="38"/>
  <c r="V78" i="38" s="1"/>
  <c r="J127" i="38"/>
  <c r="M48" i="38"/>
  <c r="W48" i="38" s="1"/>
  <c r="U48" i="38"/>
  <c r="O49" i="38"/>
  <c r="K32" i="38"/>
  <c r="J140" i="38"/>
  <c r="N89" i="38"/>
  <c r="J87" i="38"/>
  <c r="J83" i="38"/>
  <c r="J109" i="38"/>
  <c r="K97" i="38"/>
  <c r="J94" i="38"/>
  <c r="J102" i="38"/>
  <c r="T77" i="38"/>
  <c r="P77" i="38"/>
  <c r="Z77" i="38" s="1"/>
  <c r="N98" i="38"/>
  <c r="Y64" i="38"/>
  <c r="Q64" i="38"/>
  <c r="AA64" i="38" s="1"/>
  <c r="T110" i="38"/>
  <c r="P110" i="38"/>
  <c r="Z110" i="38" s="1"/>
  <c r="K49" i="38"/>
  <c r="Q48" i="38"/>
  <c r="AA48" i="38" s="1"/>
  <c r="Y48" i="38"/>
  <c r="L63" i="38"/>
  <c r="V63" i="38" s="1"/>
  <c r="X63" i="38"/>
  <c r="P85" i="38"/>
  <c r="Z85" i="38" s="1"/>
  <c r="T85" i="38"/>
  <c r="X82" i="38"/>
  <c r="L82" i="38"/>
  <c r="V82" i="38" s="1"/>
  <c r="M80" i="38"/>
  <c r="W80" i="38" s="1"/>
  <c r="U80" i="38"/>
  <c r="T84" i="38"/>
  <c r="P84" i="38"/>
  <c r="Z84" i="38" s="1"/>
  <c r="L111" i="38"/>
  <c r="V111" i="38" s="1"/>
  <c r="X111" i="38"/>
  <c r="K113" i="38"/>
  <c r="M62" i="36"/>
  <c r="W62" i="36" s="1"/>
  <c r="U62" i="36"/>
  <c r="E64" i="36"/>
  <c r="K63" i="36"/>
  <c r="Q63" i="36"/>
  <c r="AA63" i="36" s="1"/>
  <c r="Y63" i="36"/>
  <c r="G65" i="36"/>
  <c r="O64" i="36"/>
  <c r="Q51" i="36"/>
  <c r="AA51" i="36" s="1"/>
  <c r="Y51" i="36"/>
  <c r="O52" i="36"/>
  <c r="G53" i="36"/>
  <c r="M51" i="36"/>
  <c r="W51" i="36" s="1"/>
  <c r="U51" i="36"/>
  <c r="K52" i="36"/>
  <c r="E53" i="36"/>
  <c r="Q39" i="36"/>
  <c r="AA39" i="36" s="1"/>
  <c r="Y39" i="36"/>
  <c r="G41" i="36"/>
  <c r="O40" i="36"/>
  <c r="M39" i="36"/>
  <c r="W39" i="36" s="1"/>
  <c r="U39" i="36"/>
  <c r="K40" i="36"/>
  <c r="E41" i="36"/>
  <c r="Q30" i="36"/>
  <c r="AA30" i="36" s="1"/>
  <c r="Y30" i="36"/>
  <c r="M31" i="36"/>
  <c r="W31" i="36" s="1"/>
  <c r="U31" i="36"/>
  <c r="G32" i="36"/>
  <c r="O31" i="36"/>
  <c r="E33" i="36"/>
  <c r="K32" i="36"/>
  <c r="Q19" i="36"/>
  <c r="AA19" i="36" s="1"/>
  <c r="Y19" i="36"/>
  <c r="G21" i="36"/>
  <c r="O20" i="36"/>
  <c r="K22" i="36"/>
  <c r="K21" i="36"/>
  <c r="M20" i="36"/>
  <c r="W20" i="36" s="1"/>
  <c r="U20" i="36"/>
  <c r="N32" i="35"/>
  <c r="L29" i="35"/>
  <c r="V29" i="35" s="1"/>
  <c r="X29" i="35"/>
  <c r="L30" i="35"/>
  <c r="V30" i="35" s="1"/>
  <c r="X30" i="35"/>
  <c r="N34" i="35"/>
  <c r="N33" i="35"/>
  <c r="L31" i="35"/>
  <c r="V31" i="35" s="1"/>
  <c r="X31" i="35"/>
  <c r="T34" i="35"/>
  <c r="P34" i="35"/>
  <c r="Z34" i="35" s="1"/>
  <c r="J33" i="35"/>
  <c r="J37" i="35"/>
  <c r="T30" i="35"/>
  <c r="P30" i="35"/>
  <c r="Z30" i="35" s="1"/>
  <c r="P32" i="35"/>
  <c r="Z32" i="35" s="1"/>
  <c r="T32" i="35"/>
  <c r="J35" i="35"/>
  <c r="M26" i="31"/>
  <c r="W26" i="31" s="1"/>
  <c r="U26" i="31"/>
  <c r="T47" i="31"/>
  <c r="P47" i="31"/>
  <c r="Z47" i="31" s="1"/>
  <c r="Q26" i="31"/>
  <c r="AA26" i="31" s="1"/>
  <c r="Y26" i="31"/>
  <c r="T64" i="31"/>
  <c r="P64" i="31"/>
  <c r="Z64" i="31" s="1"/>
  <c r="K27" i="31"/>
  <c r="E28" i="31"/>
  <c r="T58" i="31"/>
  <c r="P58" i="31"/>
  <c r="Z58" i="31" s="1"/>
  <c r="G28" i="31"/>
  <c r="O27" i="31"/>
  <c r="T53" i="31"/>
  <c r="P53" i="31"/>
  <c r="Z53" i="31" s="1"/>
  <c r="T46" i="31"/>
  <c r="P46" i="31"/>
  <c r="Z46" i="31" s="1"/>
  <c r="X51" i="31"/>
  <c r="L51" i="31"/>
  <c r="V51" i="31" s="1"/>
  <c r="P57" i="31"/>
  <c r="Z57" i="31" s="1"/>
  <c r="T57" i="31"/>
  <c r="X63" i="31"/>
  <c r="L63" i="31"/>
  <c r="V63" i="31" s="1"/>
  <c r="T62" i="31"/>
  <c r="P62" i="31"/>
  <c r="Z62" i="31" s="1"/>
  <c r="T52" i="31"/>
  <c r="P52" i="31"/>
  <c r="Z52" i="31" s="1"/>
  <c r="L46" i="31"/>
  <c r="V46" i="31" s="1"/>
  <c r="X46" i="31"/>
  <c r="L52" i="31"/>
  <c r="V52" i="31" s="1"/>
  <c r="X52" i="31"/>
  <c r="T51" i="31"/>
  <c r="P51" i="31"/>
  <c r="Z51" i="31" s="1"/>
  <c r="T63" i="31"/>
  <c r="P63" i="31"/>
  <c r="Z63" i="31" s="1"/>
  <c r="X57" i="31"/>
  <c r="L57" i="31"/>
  <c r="V57" i="31" s="1"/>
  <c r="L65" i="31"/>
  <c r="V65" i="31" s="1"/>
  <c r="X65" i="31"/>
  <c r="P50" i="31"/>
  <c r="Z50" i="31" s="1"/>
  <c r="T50" i="31"/>
  <c r="X62" i="31"/>
  <c r="L62" i="31"/>
  <c r="V62" i="31" s="1"/>
  <c r="X54" i="31"/>
  <c r="L54" i="31"/>
  <c r="V54" i="31" s="1"/>
  <c r="T61" i="31"/>
  <c r="P61" i="31"/>
  <c r="Z61" i="31" s="1"/>
  <c r="Q70" i="31"/>
  <c r="AA70" i="31" s="1"/>
  <c r="Y70" i="31"/>
  <c r="O71" i="31"/>
  <c r="K71" i="31"/>
  <c r="M70" i="31"/>
  <c r="W70" i="31" s="1"/>
  <c r="U70" i="31"/>
  <c r="O60" i="31"/>
  <c r="K60" i="31"/>
  <c r="M59" i="31"/>
  <c r="W59" i="31" s="1"/>
  <c r="U59" i="31"/>
  <c r="Q59" i="31"/>
  <c r="AA59" i="31" s="1"/>
  <c r="Y59" i="31"/>
  <c r="K49" i="31"/>
  <c r="M48" i="31"/>
  <c r="W48" i="31" s="1"/>
  <c r="U48" i="31"/>
  <c r="Q48" i="31"/>
  <c r="AA48" i="31" s="1"/>
  <c r="Y48" i="31"/>
  <c r="O49" i="31"/>
  <c r="M37" i="31"/>
  <c r="W37" i="31" s="1"/>
  <c r="U37" i="31"/>
  <c r="K38" i="31"/>
  <c r="O38" i="31"/>
  <c r="Q37" i="31"/>
  <c r="AA37" i="31" s="1"/>
  <c r="Y37" i="31"/>
  <c r="Q176" i="28"/>
  <c r="AA176" i="28" s="1"/>
  <c r="Y176" i="28"/>
  <c r="O177" i="28"/>
  <c r="G178" i="28"/>
  <c r="M176" i="28"/>
  <c r="W176" i="28" s="1"/>
  <c r="U176" i="28"/>
  <c r="K177" i="28"/>
  <c r="E178" i="28"/>
  <c r="O161" i="28"/>
  <c r="G162" i="28"/>
  <c r="K161" i="28"/>
  <c r="E162" i="28"/>
  <c r="Y160" i="28"/>
  <c r="Q160" i="28"/>
  <c r="AA160" i="28" s="1"/>
  <c r="M160" i="28"/>
  <c r="W160" i="28" s="1"/>
  <c r="U160" i="28"/>
  <c r="Q44" i="28"/>
  <c r="AA44" i="28" s="1"/>
  <c r="Y44" i="28"/>
  <c r="G46" i="28"/>
  <c r="O45" i="28"/>
  <c r="M44" i="28"/>
  <c r="W44" i="28" s="1"/>
  <c r="U44" i="28"/>
  <c r="E46" i="28"/>
  <c r="K45" i="28"/>
  <c r="M131" i="28"/>
  <c r="W131" i="28" s="1"/>
  <c r="U131" i="28"/>
  <c r="K132" i="28"/>
  <c r="Q131" i="28"/>
  <c r="AA131" i="28" s="1"/>
  <c r="Y131" i="28"/>
  <c r="O132" i="28"/>
  <c r="K103" i="28"/>
  <c r="M102" i="28"/>
  <c r="W102" i="28" s="1"/>
  <c r="U102" i="28"/>
  <c r="O103" i="28"/>
  <c r="Q102" i="28"/>
  <c r="AA102" i="28" s="1"/>
  <c r="Y102" i="28"/>
  <c r="K74" i="28"/>
  <c r="M73" i="28"/>
  <c r="W73" i="28" s="1"/>
  <c r="U73" i="28"/>
  <c r="Q73" i="28"/>
  <c r="AA73" i="28" s="1"/>
  <c r="Y73" i="28"/>
  <c r="O74" i="28"/>
  <c r="E254" i="27"/>
  <c r="K253" i="27"/>
  <c r="M252" i="27"/>
  <c r="W252" i="27" s="1"/>
  <c r="U252" i="27"/>
  <c r="G254" i="27"/>
  <c r="O253" i="27"/>
  <c r="Q252" i="27"/>
  <c r="AA252" i="27" s="1"/>
  <c r="Y252" i="27"/>
  <c r="M239" i="27"/>
  <c r="W239" i="27" s="1"/>
  <c r="U239" i="27"/>
  <c r="K240" i="27"/>
  <c r="E241" i="27"/>
  <c r="Q239" i="27"/>
  <c r="AA239" i="27" s="1"/>
  <c r="Y239" i="27"/>
  <c r="G241" i="27"/>
  <c r="O240" i="27"/>
  <c r="K229" i="27"/>
  <c r="E230" i="27"/>
  <c r="M228" i="27"/>
  <c r="W228" i="27" s="1"/>
  <c r="U228" i="27"/>
  <c r="G230" i="27"/>
  <c r="O229" i="27"/>
  <c r="Q228" i="27"/>
  <c r="AA228" i="27" s="1"/>
  <c r="Y228" i="27"/>
  <c r="Q207" i="27"/>
  <c r="AA207" i="27" s="1"/>
  <c r="Y207" i="27"/>
  <c r="G209" i="27"/>
  <c r="O208" i="27"/>
  <c r="E209" i="27"/>
  <c r="K208" i="27"/>
  <c r="M207" i="27"/>
  <c r="W207" i="27" s="1"/>
  <c r="U207" i="27"/>
  <c r="O92" i="27"/>
  <c r="Y92" i="27" s="1"/>
  <c r="O123" i="27"/>
  <c r="Y76" i="27"/>
  <c r="Q91" i="27"/>
  <c r="AA91" i="27" s="1"/>
  <c r="M76" i="27"/>
  <c r="W76" i="27" s="1"/>
  <c r="X134" i="27"/>
  <c r="L134" i="27"/>
  <c r="V134" i="27" s="1"/>
  <c r="X176" i="27"/>
  <c r="L176" i="27"/>
  <c r="V176" i="27" s="1"/>
  <c r="N150" i="27"/>
  <c r="L192" i="27"/>
  <c r="V192" i="27" s="1"/>
  <c r="X192" i="27"/>
  <c r="X135" i="27"/>
  <c r="L135" i="27"/>
  <c r="V135" i="27" s="1"/>
  <c r="X131" i="27"/>
  <c r="L131" i="27"/>
  <c r="V131" i="27" s="1"/>
  <c r="T126" i="27"/>
  <c r="P126" i="27"/>
  <c r="Z126" i="27" s="1"/>
  <c r="X126" i="27"/>
  <c r="L126" i="27"/>
  <c r="V126" i="27" s="1"/>
  <c r="N151" i="27"/>
  <c r="N147" i="27"/>
  <c r="J142" i="27"/>
  <c r="N142" i="27"/>
  <c r="N141" i="27"/>
  <c r="P130" i="27"/>
  <c r="Z130" i="27" s="1"/>
  <c r="T130" i="27"/>
  <c r="T134" i="27"/>
  <c r="P134" i="27"/>
  <c r="Z134" i="27" s="1"/>
  <c r="X127" i="27"/>
  <c r="L127" i="27"/>
  <c r="V127" i="27" s="1"/>
  <c r="T138" i="27"/>
  <c r="P138" i="27"/>
  <c r="Z138" i="27" s="1"/>
  <c r="N145" i="27"/>
  <c r="L125" i="27"/>
  <c r="V125" i="27" s="1"/>
  <c r="X125" i="27"/>
  <c r="J146" i="27"/>
  <c r="J150" i="27"/>
  <c r="N143" i="27"/>
  <c r="J154" i="27"/>
  <c r="X129" i="27"/>
  <c r="L129" i="27"/>
  <c r="V129" i="27" s="1"/>
  <c r="X130" i="27"/>
  <c r="L130" i="27"/>
  <c r="V130" i="27" s="1"/>
  <c r="X137" i="27"/>
  <c r="L137" i="27"/>
  <c r="V137" i="27" s="1"/>
  <c r="X138" i="27"/>
  <c r="L138" i="27"/>
  <c r="V138" i="27" s="1"/>
  <c r="N149" i="27"/>
  <c r="N146" i="27"/>
  <c r="N153" i="27"/>
  <c r="N154" i="27"/>
  <c r="L133" i="27"/>
  <c r="V133" i="27" s="1"/>
  <c r="X133" i="27"/>
  <c r="O107" i="27"/>
  <c r="Y107" i="27" s="1"/>
  <c r="P184" i="27"/>
  <c r="Z184" i="27" s="1"/>
  <c r="T184" i="27"/>
  <c r="P200" i="27"/>
  <c r="Z200" i="27" s="1"/>
  <c r="T200" i="27"/>
  <c r="J109" i="27"/>
  <c r="P93" i="27"/>
  <c r="Z93" i="27" s="1"/>
  <c r="T93" i="27"/>
  <c r="T97" i="27"/>
  <c r="P97" i="27"/>
  <c r="Z97" i="27" s="1"/>
  <c r="J113" i="27"/>
  <c r="T101" i="27"/>
  <c r="P101" i="27"/>
  <c r="Z101" i="27" s="1"/>
  <c r="J117" i="27"/>
  <c r="M91" i="27"/>
  <c r="W91" i="27" s="1"/>
  <c r="T121" i="27"/>
  <c r="P121" i="27"/>
  <c r="Z121" i="27" s="1"/>
  <c r="J131" i="27"/>
  <c r="J137" i="27"/>
  <c r="P119" i="27"/>
  <c r="Z119" i="27" s="1"/>
  <c r="T119" i="27"/>
  <c r="K92" i="27"/>
  <c r="M92" i="27" s="1"/>
  <c r="W92" i="27" s="1"/>
  <c r="J123" i="27"/>
  <c r="J135" i="27"/>
  <c r="K107" i="27"/>
  <c r="M107" i="27" s="1"/>
  <c r="W107" i="27" s="1"/>
  <c r="T107" i="27"/>
  <c r="P107" i="27"/>
  <c r="Z107" i="27" s="1"/>
  <c r="T95" i="27"/>
  <c r="P95" i="27"/>
  <c r="Z95" i="27" s="1"/>
  <c r="T115" i="27"/>
  <c r="P115" i="27"/>
  <c r="Z115" i="27" s="1"/>
  <c r="J111" i="27"/>
  <c r="O93" i="27"/>
  <c r="Y77" i="27"/>
  <c r="Q77" i="27"/>
  <c r="AA77" i="27" s="1"/>
  <c r="O78" i="27"/>
  <c r="K93" i="27"/>
  <c r="U77" i="27"/>
  <c r="M77" i="27"/>
  <c r="W77" i="27" s="1"/>
  <c r="K78" i="27"/>
  <c r="O62" i="27"/>
  <c r="Q61" i="27"/>
  <c r="AA61" i="27" s="1"/>
  <c r="Y61" i="27"/>
  <c r="U61" i="27"/>
  <c r="M61" i="27"/>
  <c r="W61" i="27" s="1"/>
  <c r="K62" i="27"/>
  <c r="Q47" i="27"/>
  <c r="AA47" i="27" s="1"/>
  <c r="Y47" i="27"/>
  <c r="O48" i="27"/>
  <c r="M47" i="27"/>
  <c r="W47" i="27" s="1"/>
  <c r="U47" i="27"/>
  <c r="K48" i="27"/>
  <c r="Q31" i="27"/>
  <c r="AA31" i="27" s="1"/>
  <c r="Y31" i="27"/>
  <c r="O32" i="27"/>
  <c r="G33" i="27"/>
  <c r="E33" i="27"/>
  <c r="K32" i="27"/>
  <c r="M31" i="27"/>
  <c r="W31" i="27" s="1"/>
  <c r="U31" i="27"/>
  <c r="K55" i="26"/>
  <c r="K54" i="26"/>
  <c r="M53" i="26"/>
  <c r="W53" i="26" s="1"/>
  <c r="U53" i="26"/>
  <c r="O55" i="26"/>
  <c r="O54" i="26"/>
  <c r="Q53" i="26"/>
  <c r="AA53" i="26" s="1"/>
  <c r="Y53" i="26"/>
  <c r="K45" i="26"/>
  <c r="K46" i="26"/>
  <c r="M44" i="26"/>
  <c r="W44" i="26" s="1"/>
  <c r="U44" i="26"/>
  <c r="O46" i="26"/>
  <c r="O45" i="26"/>
  <c r="Q44" i="26"/>
  <c r="AA44" i="26" s="1"/>
  <c r="Y44" i="26"/>
  <c r="E62" i="24"/>
  <c r="K61" i="24"/>
  <c r="M60" i="24"/>
  <c r="W60" i="24" s="1"/>
  <c r="U60" i="24"/>
  <c r="G62" i="24"/>
  <c r="O61" i="24"/>
  <c r="Q60" i="24"/>
  <c r="AA60" i="24" s="1"/>
  <c r="Y60" i="24"/>
  <c r="G47" i="24"/>
  <c r="O46" i="24"/>
  <c r="Q45" i="24"/>
  <c r="AA45" i="24" s="1"/>
  <c r="Y45" i="24"/>
  <c r="Q31" i="24"/>
  <c r="AA31" i="24" s="1"/>
  <c r="Y31" i="24"/>
  <c r="O32" i="24"/>
  <c r="G33" i="24"/>
  <c r="E32" i="24"/>
  <c r="K31" i="24"/>
  <c r="M46" i="24"/>
  <c r="W46" i="24" s="1"/>
  <c r="U46" i="24"/>
  <c r="K47" i="24"/>
  <c r="E48" i="24"/>
  <c r="K26" i="24"/>
  <c r="K25" i="24"/>
  <c r="M24" i="24"/>
  <c r="W24" i="24" s="1"/>
  <c r="U24" i="24"/>
  <c r="O26" i="24"/>
  <c r="O25" i="24"/>
  <c r="Q24" i="24"/>
  <c r="AA24" i="24" s="1"/>
  <c r="Y24" i="24"/>
  <c r="K19" i="24"/>
  <c r="K18" i="24"/>
  <c r="U17" i="24"/>
  <c r="M17" i="24"/>
  <c r="W17" i="24" s="1"/>
  <c r="O19" i="24"/>
  <c r="O18" i="24"/>
  <c r="Q17" i="24"/>
  <c r="AA17" i="24" s="1"/>
  <c r="Y17" i="24"/>
  <c r="M173" i="23"/>
  <c r="W173" i="23" s="1"/>
  <c r="U173" i="23"/>
  <c r="E175" i="23"/>
  <c r="K174" i="23"/>
  <c r="Q173" i="23"/>
  <c r="AA173" i="23" s="1"/>
  <c r="Y173" i="23"/>
  <c r="G175" i="23"/>
  <c r="O174" i="23"/>
  <c r="E152" i="23"/>
  <c r="K151" i="23"/>
  <c r="M150" i="23"/>
  <c r="W150" i="23" s="1"/>
  <c r="U150" i="23"/>
  <c r="Q150" i="23"/>
  <c r="AA150" i="23" s="1"/>
  <c r="Y150" i="23"/>
  <c r="G152" i="23"/>
  <c r="O151" i="23"/>
  <c r="E140" i="23"/>
  <c r="K139" i="23"/>
  <c r="Q138" i="23"/>
  <c r="AA138" i="23" s="1"/>
  <c r="Y138" i="23"/>
  <c r="O139" i="23"/>
  <c r="G140" i="23"/>
  <c r="M138" i="23"/>
  <c r="W138" i="23" s="1"/>
  <c r="U138" i="23"/>
  <c r="M127" i="23"/>
  <c r="W127" i="23" s="1"/>
  <c r="U127" i="23"/>
  <c r="M128" i="23"/>
  <c r="W128" i="23" s="1"/>
  <c r="U128" i="23"/>
  <c r="Q127" i="23"/>
  <c r="AA127" i="23" s="1"/>
  <c r="Y127" i="23"/>
  <c r="Q128" i="23"/>
  <c r="AA128" i="23" s="1"/>
  <c r="Y128" i="23"/>
  <c r="Q116" i="23"/>
  <c r="AA116" i="23" s="1"/>
  <c r="Y116" i="23"/>
  <c r="O117" i="23"/>
  <c r="M116" i="23"/>
  <c r="W116" i="23" s="1"/>
  <c r="U116" i="23"/>
  <c r="K117" i="23"/>
  <c r="M105" i="23"/>
  <c r="W105" i="23" s="1"/>
  <c r="U105" i="23"/>
  <c r="O106" i="23"/>
  <c r="Q105" i="23"/>
  <c r="AA105" i="23" s="1"/>
  <c r="Y105" i="23"/>
  <c r="K106" i="23"/>
  <c r="M84" i="23"/>
  <c r="W84" i="23" s="1"/>
  <c r="U84" i="23"/>
  <c r="K85" i="23"/>
  <c r="E86" i="23"/>
  <c r="Q84" i="23"/>
  <c r="AA84" i="23" s="1"/>
  <c r="Y84" i="23"/>
  <c r="G86" i="23"/>
  <c r="O85" i="23"/>
  <c r="G63" i="23"/>
  <c r="O62" i="23"/>
  <c r="Q61" i="23"/>
  <c r="AA61" i="23" s="1"/>
  <c r="Y61" i="23"/>
  <c r="E63" i="23"/>
  <c r="K62" i="23"/>
  <c r="M61" i="23"/>
  <c r="W61" i="23" s="1"/>
  <c r="U61" i="23"/>
  <c r="Q45" i="23"/>
  <c r="AA45" i="23" s="1"/>
  <c r="Y45" i="23"/>
  <c r="G47" i="23"/>
  <c r="O46" i="23"/>
  <c r="M44" i="23"/>
  <c r="W44" i="23" s="1"/>
  <c r="U44" i="23"/>
  <c r="E46" i="23"/>
  <c r="K45" i="23"/>
  <c r="Q38" i="23"/>
  <c r="AA38" i="23" s="1"/>
  <c r="Y38" i="23"/>
  <c r="O39" i="23"/>
  <c r="G40" i="23"/>
  <c r="O40" i="23" s="1"/>
  <c r="E40" i="23"/>
  <c r="K40" i="23" s="1"/>
  <c r="K39" i="23"/>
  <c r="M38" i="23"/>
  <c r="W38" i="23" s="1"/>
  <c r="U38" i="23"/>
  <c r="M16" i="23"/>
  <c r="W16" i="23" s="1"/>
  <c r="U16" i="23"/>
  <c r="K17" i="23"/>
  <c r="Q16" i="23"/>
  <c r="AA16" i="23" s="1"/>
  <c r="Y16" i="23"/>
  <c r="O17" i="23"/>
  <c r="E307" i="22"/>
  <c r="K307" i="22" s="1"/>
  <c r="K306" i="22"/>
  <c r="M305" i="22"/>
  <c r="W305" i="22" s="1"/>
  <c r="U305" i="22"/>
  <c r="G307" i="22"/>
  <c r="O307" i="22" s="1"/>
  <c r="O306" i="22"/>
  <c r="Y305" i="22"/>
  <c r="Q305" i="22"/>
  <c r="AA305" i="22" s="1"/>
  <c r="L249" i="22"/>
  <c r="V249" i="22" s="1"/>
  <c r="X249" i="22"/>
  <c r="N261" i="22"/>
  <c r="L241" i="22"/>
  <c r="V241" i="22" s="1"/>
  <c r="X241" i="22"/>
  <c r="J267" i="22"/>
  <c r="P247" i="22"/>
  <c r="Z247" i="22" s="1"/>
  <c r="T247" i="22"/>
  <c r="M206" i="22"/>
  <c r="W206" i="22" s="1"/>
  <c r="U206" i="22"/>
  <c r="L230" i="22"/>
  <c r="V230" i="22" s="1"/>
  <c r="X230" i="22"/>
  <c r="M194" i="22"/>
  <c r="W194" i="22" s="1"/>
  <c r="U194" i="22"/>
  <c r="N253" i="22"/>
  <c r="P255" i="22"/>
  <c r="Z255" i="22" s="1"/>
  <c r="T255" i="22"/>
  <c r="J259" i="22"/>
  <c r="K207" i="22"/>
  <c r="N242" i="22"/>
  <c r="K195" i="22"/>
  <c r="P239" i="22"/>
  <c r="Z239" i="22" s="1"/>
  <c r="T239" i="22"/>
  <c r="K222" i="22"/>
  <c r="Q278" i="22"/>
  <c r="AA278" i="22" s="1"/>
  <c r="Y278" i="22"/>
  <c r="M290" i="22"/>
  <c r="W290" i="22" s="1"/>
  <c r="U290" i="22"/>
  <c r="X239" i="22"/>
  <c r="L239" i="22"/>
  <c r="V239" i="22" s="1"/>
  <c r="J251" i="22"/>
  <c r="M221" i="22"/>
  <c r="W221" i="22" s="1"/>
  <c r="U221" i="22"/>
  <c r="O279" i="22"/>
  <c r="K291" i="22"/>
  <c r="N251" i="22"/>
  <c r="N255" i="22"/>
  <c r="X259" i="22"/>
  <c r="L259" i="22"/>
  <c r="V259" i="22" s="1"/>
  <c r="Y230" i="22"/>
  <c r="Q230" i="22"/>
  <c r="AA230" i="22" s="1"/>
  <c r="Y254" i="22"/>
  <c r="Q254" i="22"/>
  <c r="AA254" i="22" s="1"/>
  <c r="Q194" i="22"/>
  <c r="AA194" i="22" s="1"/>
  <c r="Y194" i="22"/>
  <c r="M242" i="22"/>
  <c r="W242" i="22" s="1"/>
  <c r="U242" i="22"/>
  <c r="L243" i="22"/>
  <c r="V243" i="22" s="1"/>
  <c r="X243" i="22"/>
  <c r="N271" i="22"/>
  <c r="O231" i="22"/>
  <c r="O255" i="22"/>
  <c r="O195" i="22"/>
  <c r="K243" i="22"/>
  <c r="Y219" i="22"/>
  <c r="Q219" i="22"/>
  <c r="AA219" i="22" s="1"/>
  <c r="N264" i="22"/>
  <c r="P249" i="22"/>
  <c r="Z249" i="22" s="1"/>
  <c r="T249" i="22"/>
  <c r="N260" i="22"/>
  <c r="N244" i="22"/>
  <c r="L234" i="22"/>
  <c r="V234" i="22" s="1"/>
  <c r="X234" i="22"/>
  <c r="O220" i="22"/>
  <c r="L252" i="22"/>
  <c r="V252" i="22" s="1"/>
  <c r="X252" i="22"/>
  <c r="J261" i="22"/>
  <c r="L248" i="22"/>
  <c r="V248" i="22" s="1"/>
  <c r="X248" i="22"/>
  <c r="X232" i="22"/>
  <c r="L232" i="22"/>
  <c r="V232" i="22" s="1"/>
  <c r="N246" i="22"/>
  <c r="O183" i="22"/>
  <c r="G184" i="22"/>
  <c r="Y182" i="22"/>
  <c r="Q182" i="22"/>
  <c r="AA182" i="22" s="1"/>
  <c r="K183" i="22"/>
  <c r="E184" i="22"/>
  <c r="M182" i="22"/>
  <c r="W182" i="22" s="1"/>
  <c r="U182" i="22"/>
  <c r="L274" i="22"/>
  <c r="V274" i="22" s="1"/>
  <c r="X274" i="22"/>
  <c r="P262" i="22"/>
  <c r="Z262" i="22" s="1"/>
  <c r="T262" i="22"/>
  <c r="P246" i="22"/>
  <c r="Z246" i="22" s="1"/>
  <c r="T246" i="22"/>
  <c r="J256" i="22"/>
  <c r="M230" i="22"/>
  <c r="W230" i="22" s="1"/>
  <c r="U230" i="22"/>
  <c r="P265" i="22"/>
  <c r="Z265" i="22" s="1"/>
  <c r="T265" i="22"/>
  <c r="U254" i="22"/>
  <c r="M254" i="22"/>
  <c r="W254" i="22" s="1"/>
  <c r="L286" i="22"/>
  <c r="V286" i="22" s="1"/>
  <c r="X286" i="22"/>
  <c r="J254" i="22"/>
  <c r="J258" i="22"/>
  <c r="P244" i="22"/>
  <c r="Z244" i="22" s="1"/>
  <c r="T244" i="22"/>
  <c r="K231" i="22"/>
  <c r="J289" i="22"/>
  <c r="J277" i="22"/>
  <c r="K255" i="22"/>
  <c r="M269" i="22"/>
  <c r="W269" i="22" s="1"/>
  <c r="U269" i="22"/>
  <c r="P257" i="22"/>
  <c r="Z257" i="22" s="1"/>
  <c r="T257" i="22"/>
  <c r="P248" i="22"/>
  <c r="Z248" i="22" s="1"/>
  <c r="T248" i="22"/>
  <c r="Q291" i="22"/>
  <c r="AA291" i="22" s="1"/>
  <c r="Y291" i="22"/>
  <c r="T242" i="22"/>
  <c r="P242" i="22"/>
  <c r="Z242" i="22" s="1"/>
  <c r="K270" i="22"/>
  <c r="J269" i="22"/>
  <c r="J260" i="22"/>
  <c r="O292" i="22"/>
  <c r="J274" i="22"/>
  <c r="J286" i="22"/>
  <c r="O268" i="22"/>
  <c r="Q243" i="22"/>
  <c r="AA243" i="22" s="1"/>
  <c r="Y243" i="22"/>
  <c r="M278" i="22"/>
  <c r="W278" i="22" s="1"/>
  <c r="U278" i="22"/>
  <c r="L257" i="22"/>
  <c r="V257" i="22" s="1"/>
  <c r="X257" i="22"/>
  <c r="J252" i="22"/>
  <c r="Q267" i="22"/>
  <c r="AA267" i="22" s="1"/>
  <c r="Y267" i="22"/>
  <c r="O244" i="22"/>
  <c r="K279" i="22"/>
  <c r="N269" i="22"/>
  <c r="T240" i="22"/>
  <c r="P240" i="22"/>
  <c r="Z240" i="22" s="1"/>
  <c r="K172" i="22"/>
  <c r="M171" i="22"/>
  <c r="W171" i="22" s="1"/>
  <c r="U171" i="22"/>
  <c r="Q171" i="22"/>
  <c r="AA171" i="22" s="1"/>
  <c r="Y171" i="22"/>
  <c r="O172" i="22"/>
  <c r="Q150" i="22"/>
  <c r="AA150" i="22" s="1"/>
  <c r="Y150" i="22"/>
  <c r="G152" i="22"/>
  <c r="O151" i="22"/>
  <c r="K155" i="22"/>
  <c r="E156" i="22"/>
  <c r="M154" i="22"/>
  <c r="W154" i="22" s="1"/>
  <c r="U154" i="22"/>
  <c r="M142" i="22"/>
  <c r="W142" i="22" s="1"/>
  <c r="U142" i="22"/>
  <c r="K143" i="22"/>
  <c r="E144" i="22"/>
  <c r="G143" i="22"/>
  <c r="O142" i="22"/>
  <c r="Q141" i="22"/>
  <c r="AA141" i="22" s="1"/>
  <c r="Y141" i="22"/>
  <c r="M130" i="22"/>
  <c r="W130" i="22" s="1"/>
  <c r="U130" i="22"/>
  <c r="K131" i="22"/>
  <c r="E132" i="22"/>
  <c r="Q130" i="22"/>
  <c r="AA130" i="22" s="1"/>
  <c r="Y130" i="22"/>
  <c r="O131" i="22"/>
  <c r="G132" i="22"/>
  <c r="K108" i="22"/>
  <c r="M107" i="22"/>
  <c r="W107" i="22" s="1"/>
  <c r="U107" i="22"/>
  <c r="O108" i="22"/>
  <c r="Q107" i="22"/>
  <c r="AA107" i="22" s="1"/>
  <c r="Y107" i="22"/>
  <c r="M84" i="22"/>
  <c r="W84" i="22" s="1"/>
  <c r="U84" i="22"/>
  <c r="K85" i="22"/>
  <c r="O85" i="22"/>
  <c r="Q84" i="22"/>
  <c r="AA84" i="22" s="1"/>
  <c r="Y84" i="22"/>
  <c r="K62" i="22"/>
  <c r="M61" i="22"/>
  <c r="W61" i="22" s="1"/>
  <c r="U61" i="22"/>
  <c r="Q61" i="22"/>
  <c r="AA61" i="22" s="1"/>
  <c r="Y61" i="22"/>
  <c r="O62" i="22"/>
  <c r="Q38" i="22"/>
  <c r="AA38" i="22" s="1"/>
  <c r="Y38" i="22"/>
  <c r="O39" i="22"/>
  <c r="G40" i="22"/>
  <c r="E42" i="22"/>
  <c r="K41" i="22"/>
  <c r="M40" i="22"/>
  <c r="W40" i="22" s="1"/>
  <c r="U40" i="22"/>
  <c r="M32" i="22"/>
  <c r="W32" i="22" s="1"/>
  <c r="U32" i="22"/>
  <c r="M31" i="22"/>
  <c r="W31" i="22" s="1"/>
  <c r="U31" i="22"/>
  <c r="O32" i="22"/>
  <c r="O31" i="22"/>
  <c r="Q30" i="22"/>
  <c r="AA30" i="22" s="1"/>
  <c r="Y30" i="22"/>
  <c r="M16" i="22"/>
  <c r="W16" i="22" s="1"/>
  <c r="U16" i="22"/>
  <c r="K17" i="22"/>
  <c r="O17" i="22"/>
  <c r="Q16" i="22"/>
  <c r="AA16" i="22" s="1"/>
  <c r="Y16" i="22"/>
  <c r="L64" i="21"/>
  <c r="V64" i="21" s="1"/>
  <c r="X64" i="21"/>
  <c r="T60" i="21"/>
  <c r="P60" i="21"/>
  <c r="Z60" i="21" s="1"/>
  <c r="T58" i="21"/>
  <c r="P58" i="21"/>
  <c r="Z58" i="21" s="1"/>
  <c r="L62" i="21"/>
  <c r="V62" i="21" s="1"/>
  <c r="X62" i="21"/>
  <c r="P56" i="21"/>
  <c r="Z56" i="21" s="1"/>
  <c r="T56" i="21"/>
  <c r="L56" i="21"/>
  <c r="V56" i="21" s="1"/>
  <c r="X56" i="21"/>
  <c r="L58" i="21"/>
  <c r="V58" i="21" s="1"/>
  <c r="X58" i="21"/>
  <c r="F92" i="21"/>
  <c r="N78" i="21"/>
  <c r="D88" i="21"/>
  <c r="J74" i="21"/>
  <c r="D86" i="21"/>
  <c r="J72" i="21"/>
  <c r="F90" i="21"/>
  <c r="N76" i="21"/>
  <c r="D84" i="21"/>
  <c r="J70" i="21"/>
  <c r="F84" i="21"/>
  <c r="N70" i="21"/>
  <c r="F86" i="21"/>
  <c r="N72" i="21"/>
  <c r="X73" i="21"/>
  <c r="L73" i="21"/>
  <c r="V73" i="21" s="1"/>
  <c r="T54" i="21"/>
  <c r="P54" i="21"/>
  <c r="Z54" i="21" s="1"/>
  <c r="F101" i="21"/>
  <c r="N87" i="21"/>
  <c r="G42" i="21"/>
  <c r="O41" i="21"/>
  <c r="D82" i="21"/>
  <c r="J68" i="21"/>
  <c r="D105" i="21"/>
  <c r="J91" i="21"/>
  <c r="F88" i="21"/>
  <c r="N74" i="21"/>
  <c r="D92" i="21"/>
  <c r="J78" i="21"/>
  <c r="D99" i="21"/>
  <c r="J85" i="21"/>
  <c r="F85" i="21"/>
  <c r="N71" i="21"/>
  <c r="P77" i="21"/>
  <c r="Z77" i="21" s="1"/>
  <c r="T77" i="21"/>
  <c r="L57" i="21"/>
  <c r="V57" i="21" s="1"/>
  <c r="X57" i="21"/>
  <c r="L54" i="21"/>
  <c r="V54" i="21" s="1"/>
  <c r="X54" i="21"/>
  <c r="X63" i="21"/>
  <c r="L63" i="21"/>
  <c r="V63" i="21" s="1"/>
  <c r="P75" i="21"/>
  <c r="Z75" i="21" s="1"/>
  <c r="T75" i="21"/>
  <c r="T69" i="21"/>
  <c r="P69" i="21"/>
  <c r="Z69" i="21" s="1"/>
  <c r="U27" i="21"/>
  <c r="M27" i="21"/>
  <c r="W27" i="21" s="1"/>
  <c r="L60" i="21"/>
  <c r="V60" i="21" s="1"/>
  <c r="X60" i="21"/>
  <c r="T64" i="21"/>
  <c r="P64" i="21"/>
  <c r="Z64" i="21" s="1"/>
  <c r="F82" i="21"/>
  <c r="N68" i="21"/>
  <c r="F91" i="21"/>
  <c r="N77" i="21"/>
  <c r="D103" i="21"/>
  <c r="J89" i="21"/>
  <c r="D97" i="21"/>
  <c r="J83" i="21"/>
  <c r="E29" i="21"/>
  <c r="K28" i="21"/>
  <c r="P71" i="21"/>
  <c r="Z71" i="21" s="1"/>
  <c r="T71" i="21"/>
  <c r="P59" i="21"/>
  <c r="Z59" i="21" s="1"/>
  <c r="T59" i="21"/>
  <c r="X69" i="21"/>
  <c r="L69" i="21"/>
  <c r="V69" i="21" s="1"/>
  <c r="X81" i="21"/>
  <c r="L81" i="21"/>
  <c r="V81" i="21" s="1"/>
  <c r="X79" i="21"/>
  <c r="L79" i="21"/>
  <c r="V79" i="21" s="1"/>
  <c r="M39" i="21"/>
  <c r="W39" i="21" s="1"/>
  <c r="U39" i="21"/>
  <c r="P79" i="21"/>
  <c r="Z79" i="21" s="1"/>
  <c r="T79" i="21"/>
  <c r="X75" i="21"/>
  <c r="L75" i="21"/>
  <c r="V75" i="21" s="1"/>
  <c r="Q40" i="21"/>
  <c r="AA40" i="21" s="1"/>
  <c r="Y40" i="21"/>
  <c r="D87" i="21"/>
  <c r="J73" i="21"/>
  <c r="F97" i="21"/>
  <c r="N83" i="21"/>
  <c r="F109" i="21"/>
  <c r="N95" i="21"/>
  <c r="F107" i="21"/>
  <c r="N93" i="21"/>
  <c r="E41" i="21"/>
  <c r="K40" i="21"/>
  <c r="D107" i="21"/>
  <c r="J93" i="21"/>
  <c r="F103" i="21"/>
  <c r="N89" i="21"/>
  <c r="K82" i="21"/>
  <c r="U82" i="21" s="1"/>
  <c r="K94" i="21"/>
  <c r="K108" i="21"/>
  <c r="M108" i="21" s="1"/>
  <c r="W108" i="21" s="1"/>
  <c r="Q66" i="21"/>
  <c r="AA66" i="21" s="1"/>
  <c r="Y66" i="21"/>
  <c r="O67" i="21"/>
  <c r="J109" i="21"/>
  <c r="Q54" i="21"/>
  <c r="AA54" i="21" s="1"/>
  <c r="Y54" i="21"/>
  <c r="P90" i="21"/>
  <c r="Z90" i="21" s="1"/>
  <c r="T90" i="21"/>
  <c r="O55" i="21"/>
  <c r="J104" i="21"/>
  <c r="P95" i="21"/>
  <c r="Z95" i="21" s="1"/>
  <c r="T95" i="21"/>
  <c r="L108" i="21"/>
  <c r="V108" i="21" s="1"/>
  <c r="X108" i="21"/>
  <c r="J108" i="21"/>
  <c r="N122" i="21"/>
  <c r="P94" i="21"/>
  <c r="Z94" i="21" s="1"/>
  <c r="T94" i="21"/>
  <c r="K69" i="21"/>
  <c r="M68" i="21"/>
  <c r="W68" i="21" s="1"/>
  <c r="U68" i="21"/>
  <c r="K122" i="21"/>
  <c r="K109" i="21"/>
  <c r="K83" i="21"/>
  <c r="M95" i="21"/>
  <c r="W95" i="21" s="1"/>
  <c r="U95" i="21"/>
  <c r="K96" i="21"/>
  <c r="M56" i="21"/>
  <c r="W56" i="21" s="1"/>
  <c r="U56" i="21"/>
  <c r="K57" i="21"/>
  <c r="Q29" i="21"/>
  <c r="AA29" i="21" s="1"/>
  <c r="Y29" i="21"/>
  <c r="O30" i="21"/>
  <c r="Q16" i="21"/>
  <c r="AA16" i="21" s="1"/>
  <c r="Y16" i="21"/>
  <c r="O17" i="21"/>
  <c r="K17" i="21"/>
  <c r="M16" i="21"/>
  <c r="W16" i="21" s="1"/>
  <c r="U16" i="21"/>
  <c r="E157" i="18"/>
  <c r="K156" i="18"/>
  <c r="M155" i="18"/>
  <c r="W155" i="18" s="1"/>
  <c r="U155" i="18"/>
  <c r="G172" i="18"/>
  <c r="O171" i="18"/>
  <c r="Y170" i="18"/>
  <c r="Q170" i="18"/>
  <c r="AA170" i="18" s="1"/>
  <c r="Q161" i="18"/>
  <c r="AA161" i="18" s="1"/>
  <c r="Y161" i="18"/>
  <c r="O162" i="18"/>
  <c r="G163" i="18"/>
  <c r="O138" i="18"/>
  <c r="G139" i="18"/>
  <c r="Q137" i="18"/>
  <c r="AA137" i="18" s="1"/>
  <c r="Y137" i="18"/>
  <c r="M136" i="18"/>
  <c r="W136" i="18" s="1"/>
  <c r="U136" i="18"/>
  <c r="K137" i="18"/>
  <c r="E138" i="18"/>
  <c r="Q113" i="18"/>
  <c r="AA113" i="18" s="1"/>
  <c r="Y113" i="18"/>
  <c r="O114" i="18"/>
  <c r="M113" i="18"/>
  <c r="W113" i="18" s="1"/>
  <c r="U113" i="18"/>
  <c r="K114" i="18"/>
  <c r="Q89" i="18"/>
  <c r="AA89" i="18" s="1"/>
  <c r="Y89" i="18"/>
  <c r="O90" i="18"/>
  <c r="U89" i="18"/>
  <c r="M89" i="18"/>
  <c r="W89" i="18" s="1"/>
  <c r="K90" i="18"/>
  <c r="Q72" i="18"/>
  <c r="AA72" i="18" s="1"/>
  <c r="Y72" i="18"/>
  <c r="G74" i="18"/>
  <c r="O73" i="18"/>
  <c r="E67" i="18"/>
  <c r="K66" i="18"/>
  <c r="M65" i="18"/>
  <c r="W65" i="18" s="1"/>
  <c r="U65" i="18"/>
  <c r="G67" i="18"/>
  <c r="O67" i="18" s="1"/>
  <c r="O66" i="18"/>
  <c r="Y65" i="18"/>
  <c r="Q65" i="18"/>
  <c r="AA65" i="18" s="1"/>
  <c r="M42" i="18"/>
  <c r="W42" i="18" s="1"/>
  <c r="U42" i="18"/>
  <c r="E44" i="18"/>
  <c r="K43" i="18"/>
  <c r="G44" i="18"/>
  <c r="O43" i="18"/>
  <c r="Q42" i="18"/>
  <c r="AA42" i="18" s="1"/>
  <c r="Y42" i="18"/>
  <c r="M30" i="18"/>
  <c r="W30" i="18" s="1"/>
  <c r="U30" i="18"/>
  <c r="E32" i="18"/>
  <c r="K31" i="18"/>
  <c r="Q30" i="18"/>
  <c r="AA30" i="18" s="1"/>
  <c r="Y30" i="18"/>
  <c r="G32" i="18"/>
  <c r="O31" i="18"/>
  <c r="Q17" i="18"/>
  <c r="AA17" i="18" s="1"/>
  <c r="Y17" i="18"/>
  <c r="O18" i="18"/>
  <c r="E20" i="18"/>
  <c r="K19" i="18"/>
  <c r="M18" i="18"/>
  <c r="W18" i="18" s="1"/>
  <c r="U18" i="18"/>
  <c r="G114" i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/>
  <c r="E131" i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/>
  <c r="P97" i="1"/>
  <c r="Z97" i="1" s="1"/>
  <c r="T97" i="1"/>
  <c r="J114" i="1"/>
  <c r="L122" i="1"/>
  <c r="V122" i="1" s="1"/>
  <c r="X122" i="1"/>
  <c r="N139" i="1"/>
  <c r="Y80" i="1"/>
  <c r="G33" i="1"/>
  <c r="O32" i="1"/>
  <c r="Q31" i="1"/>
  <c r="AA31" i="1" s="1"/>
  <c r="Y31" i="1"/>
  <c r="Q48" i="1"/>
  <c r="AA48" i="1" s="1"/>
  <c r="Y48" i="1"/>
  <c r="O49" i="1"/>
  <c r="M48" i="1"/>
  <c r="W48" i="1" s="1"/>
  <c r="U48" i="1"/>
  <c r="K49" i="1"/>
  <c r="T121" i="1"/>
  <c r="P121" i="1"/>
  <c r="Z121" i="1" s="1"/>
  <c r="N146" i="1"/>
  <c r="N133" i="1"/>
  <c r="L128" i="1"/>
  <c r="V128" i="1" s="1"/>
  <c r="X128" i="1"/>
  <c r="J138" i="1"/>
  <c r="L129" i="1"/>
  <c r="V129" i="1" s="1"/>
  <c r="X129" i="1"/>
  <c r="L116" i="1"/>
  <c r="V116" i="1" s="1"/>
  <c r="X116" i="1"/>
  <c r="N145" i="1"/>
  <c r="L132" i="1"/>
  <c r="V132" i="1" s="1"/>
  <c r="X132" i="1"/>
  <c r="N137" i="1"/>
  <c r="L126" i="1"/>
  <c r="V126" i="1" s="1"/>
  <c r="X126" i="1"/>
  <c r="N149" i="1"/>
  <c r="N140" i="1"/>
  <c r="N136" i="1"/>
  <c r="L114" i="1"/>
  <c r="V114" i="1" s="1"/>
  <c r="X114" i="1"/>
  <c r="P109" i="1"/>
  <c r="Z109" i="1" s="1"/>
  <c r="T109" i="1"/>
  <c r="L123" i="1"/>
  <c r="V123" i="1" s="1"/>
  <c r="X123" i="1"/>
  <c r="L119" i="1"/>
  <c r="V119" i="1" s="1"/>
  <c r="X119" i="1"/>
  <c r="N131" i="1"/>
  <c r="J126" i="1"/>
  <c r="N143" i="1"/>
  <c r="N144" i="1"/>
  <c r="L142" i="1"/>
  <c r="V142" i="1" s="1"/>
  <c r="X142" i="1"/>
  <c r="L120" i="1"/>
  <c r="V120" i="1" s="1"/>
  <c r="X120" i="1"/>
  <c r="O97" i="1"/>
  <c r="Y97" i="1" s="1"/>
  <c r="L127" i="1"/>
  <c r="V127" i="1" s="1"/>
  <c r="X127" i="1"/>
  <c r="N159" i="1"/>
  <c r="T123" i="1"/>
  <c r="P123" i="1"/>
  <c r="Z123" i="1" s="1"/>
  <c r="Q65" i="1"/>
  <c r="AA65" i="1" s="1"/>
  <c r="Y65" i="1"/>
  <c r="K66" i="1"/>
  <c r="K82" i="1"/>
  <c r="O130" i="1"/>
  <c r="L135" i="1"/>
  <c r="V135" i="1" s="1"/>
  <c r="X135" i="1"/>
  <c r="K130" i="1"/>
  <c r="P144" i="1"/>
  <c r="Z144" i="1" s="1"/>
  <c r="T144" i="1"/>
  <c r="J152" i="1"/>
  <c r="J158" i="1"/>
  <c r="P188" i="1"/>
  <c r="Z188" i="1" s="1"/>
  <c r="T188" i="1"/>
  <c r="N158" i="1"/>
  <c r="M65" i="1"/>
  <c r="W65" i="1" s="1"/>
  <c r="U65" i="1"/>
  <c r="M81" i="1"/>
  <c r="W81" i="1" s="1"/>
  <c r="U81" i="1"/>
  <c r="P171" i="1"/>
  <c r="Z171" i="1" s="1"/>
  <c r="T171" i="1"/>
  <c r="J140" i="1"/>
  <c r="O66" i="1"/>
  <c r="J163" i="1"/>
  <c r="J150" i="1"/>
  <c r="O114" i="1"/>
  <c r="N152" i="1"/>
  <c r="P141" i="1"/>
  <c r="Z141" i="1" s="1"/>
  <c r="T141" i="1"/>
  <c r="J153" i="1"/>
  <c r="P145" i="1"/>
  <c r="Z145" i="1" s="1"/>
  <c r="T145" i="1"/>
  <c r="J161" i="1"/>
  <c r="J162" i="1"/>
  <c r="M97" i="1"/>
  <c r="W97" i="1" s="1"/>
  <c r="U97" i="1"/>
  <c r="Q81" i="1"/>
  <c r="AA81" i="1" s="1"/>
  <c r="Y81" i="1"/>
  <c r="P146" i="1"/>
  <c r="Z146" i="1" s="1"/>
  <c r="T146" i="1"/>
  <c r="P133" i="1"/>
  <c r="Z133" i="1" s="1"/>
  <c r="T133" i="1"/>
  <c r="J149" i="1"/>
  <c r="J159" i="1"/>
  <c r="O98" i="1"/>
  <c r="K114" i="1"/>
  <c r="P135" i="1"/>
  <c r="Z135" i="1" s="1"/>
  <c r="T135" i="1"/>
  <c r="Q113" i="1"/>
  <c r="AA113" i="1" s="1"/>
  <c r="Y113" i="1"/>
  <c r="K98" i="1"/>
  <c r="O82" i="1"/>
  <c r="L172" i="1"/>
  <c r="V172" i="1" s="1"/>
  <c r="X172" i="1"/>
  <c r="L168" i="1"/>
  <c r="V168" i="1" s="1"/>
  <c r="X168" i="1"/>
  <c r="J156" i="1"/>
  <c r="L141" i="1"/>
  <c r="V141" i="1" s="1"/>
  <c r="X141" i="1"/>
  <c r="P132" i="1"/>
  <c r="Z132" i="1" s="1"/>
  <c r="T132" i="1"/>
  <c r="P142" i="1"/>
  <c r="Z142" i="1" s="1"/>
  <c r="T142" i="1"/>
  <c r="P139" i="1"/>
  <c r="Z139" i="1" s="1"/>
  <c r="T139" i="1"/>
  <c r="M113" i="1"/>
  <c r="W113" i="1" s="1"/>
  <c r="U113" i="1"/>
  <c r="L189" i="1"/>
  <c r="V189" i="1" s="1"/>
  <c r="X189" i="1"/>
  <c r="P136" i="1"/>
  <c r="Z136" i="1" s="1"/>
  <c r="T136" i="1"/>
  <c r="Q97" i="1"/>
  <c r="AA97" i="1" s="1"/>
  <c r="L185" i="1"/>
  <c r="V185" i="1" s="1"/>
  <c r="X185" i="1"/>
  <c r="Q203" i="1"/>
  <c r="AA203" i="1" s="1"/>
  <c r="Y203" i="1"/>
  <c r="O204" i="1"/>
  <c r="M203" i="1"/>
  <c r="W203" i="1" s="1"/>
  <c r="U203" i="1"/>
  <c r="K204" i="1"/>
  <c r="M34" i="1"/>
  <c r="W34" i="1" s="1"/>
  <c r="U34" i="1"/>
  <c r="K35" i="1"/>
  <c r="E36" i="1"/>
  <c r="Q94" i="29"/>
  <c r="AA94" i="29" s="1"/>
  <c r="Y94" i="29"/>
  <c r="O95" i="29"/>
  <c r="K95" i="29"/>
  <c r="M94" i="29"/>
  <c r="W94" i="29" s="1"/>
  <c r="U94" i="29"/>
  <c r="U85" i="29"/>
  <c r="G88" i="29"/>
  <c r="O87" i="29"/>
  <c r="Q86" i="29"/>
  <c r="AA86" i="29" s="1"/>
  <c r="Y86" i="29"/>
  <c r="K86" i="29"/>
  <c r="E87" i="29"/>
  <c r="K63" i="29"/>
  <c r="E64" i="29"/>
  <c r="Q62" i="29"/>
  <c r="AA62" i="29" s="1"/>
  <c r="Y62" i="29"/>
  <c r="M62" i="29"/>
  <c r="W62" i="29" s="1"/>
  <c r="U62" i="29"/>
  <c r="O63" i="29"/>
  <c r="G64" i="29"/>
  <c r="K42" i="29"/>
  <c r="E43" i="29"/>
  <c r="M41" i="29"/>
  <c r="W41" i="29" s="1"/>
  <c r="U41" i="29"/>
  <c r="G43" i="29"/>
  <c r="O42" i="29"/>
  <c r="Q41" i="29"/>
  <c r="AA41" i="29" s="1"/>
  <c r="Y41" i="29"/>
  <c r="K161" i="19"/>
  <c r="E162" i="19"/>
  <c r="G161" i="19"/>
  <c r="O160" i="19"/>
  <c r="Q159" i="19"/>
  <c r="AA159" i="19" s="1"/>
  <c r="Y159" i="19"/>
  <c r="M160" i="19"/>
  <c r="W160" i="19" s="1"/>
  <c r="U160" i="19"/>
  <c r="G154" i="19"/>
  <c r="O154" i="19" s="1"/>
  <c r="O153" i="19"/>
  <c r="Q152" i="19"/>
  <c r="AA152" i="19" s="1"/>
  <c r="Y152" i="19"/>
  <c r="E154" i="19"/>
  <c r="K154" i="19" s="1"/>
  <c r="K153" i="19"/>
  <c r="M152" i="19"/>
  <c r="W152" i="19" s="1"/>
  <c r="U152" i="19"/>
  <c r="Q127" i="19"/>
  <c r="AA127" i="19" s="1"/>
  <c r="Y127" i="19"/>
  <c r="G129" i="19"/>
  <c r="O128" i="19"/>
  <c r="M127" i="19"/>
  <c r="W127" i="19" s="1"/>
  <c r="U127" i="19"/>
  <c r="K128" i="19"/>
  <c r="E129" i="19"/>
  <c r="O104" i="19"/>
  <c r="G105" i="19"/>
  <c r="Q103" i="19"/>
  <c r="AA103" i="19" s="1"/>
  <c r="Y103" i="19"/>
  <c r="M103" i="19"/>
  <c r="W103" i="19" s="1"/>
  <c r="U103" i="19"/>
  <c r="E105" i="19"/>
  <c r="K104" i="19"/>
  <c r="Q95" i="19"/>
  <c r="AA95" i="19" s="1"/>
  <c r="Y95" i="19"/>
  <c r="O96" i="19"/>
  <c r="G97" i="19"/>
  <c r="M95" i="19"/>
  <c r="W95" i="19" s="1"/>
  <c r="U95" i="19"/>
  <c r="K96" i="19"/>
  <c r="E97" i="19"/>
  <c r="Y81" i="19"/>
  <c r="O82" i="19"/>
  <c r="K81" i="19"/>
  <c r="M80" i="19"/>
  <c r="W80" i="19" s="1"/>
  <c r="U80" i="19"/>
  <c r="M81" i="19"/>
  <c r="W81" i="19" s="1"/>
  <c r="U81" i="19"/>
  <c r="Q16" i="19"/>
  <c r="AA16" i="19" s="1"/>
  <c r="Y16" i="19"/>
  <c r="O17" i="19"/>
  <c r="G18" i="19"/>
  <c r="K17" i="19"/>
  <c r="E18" i="19"/>
  <c r="M16" i="19"/>
  <c r="W16" i="19" s="1"/>
  <c r="U16" i="19"/>
  <c r="N75" i="19"/>
  <c r="N74" i="19"/>
  <c r="L73" i="19"/>
  <c r="V73" i="19" s="1"/>
  <c r="X73" i="19"/>
  <c r="T73" i="19"/>
  <c r="P73" i="19"/>
  <c r="Z73" i="19" s="1"/>
  <c r="Q74" i="19"/>
  <c r="AA74" i="19" s="1"/>
  <c r="Y74" i="19"/>
  <c r="K75" i="19"/>
  <c r="K74" i="19"/>
  <c r="J75" i="19"/>
  <c r="J74" i="19"/>
  <c r="Q75" i="19"/>
  <c r="AA75" i="19" s="1"/>
  <c r="Y75" i="19"/>
  <c r="M73" i="19"/>
  <c r="W73" i="19" s="1"/>
  <c r="U73" i="19"/>
  <c r="G63" i="19"/>
  <c r="O62" i="19"/>
  <c r="Q61" i="19"/>
  <c r="AA61" i="19" s="1"/>
  <c r="Y61" i="19"/>
  <c r="M45" i="19"/>
  <c r="W45" i="19" s="1"/>
  <c r="U45" i="19"/>
  <c r="Q45" i="19"/>
  <c r="AA45" i="19" s="1"/>
  <c r="Y45" i="19"/>
  <c r="G47" i="19"/>
  <c r="O46" i="19"/>
  <c r="K46" i="19"/>
  <c r="E47" i="19"/>
  <c r="M62" i="19"/>
  <c r="W62" i="19" s="1"/>
  <c r="U62" i="19"/>
  <c r="K63" i="19"/>
  <c r="E64" i="19"/>
  <c r="Q28" i="19"/>
  <c r="AA28" i="19" s="1"/>
  <c r="Y28" i="19"/>
  <c r="G30" i="19"/>
  <c r="O29" i="19"/>
  <c r="M31" i="19"/>
  <c r="W31" i="19" s="1"/>
  <c r="U31" i="19"/>
  <c r="K32" i="19"/>
  <c r="E33" i="19"/>
  <c r="Q52" i="25"/>
  <c r="AA52" i="25" s="1"/>
  <c r="Y52" i="25"/>
  <c r="O53" i="25"/>
  <c r="K44" i="25"/>
  <c r="K53" i="25"/>
  <c r="M43" i="25"/>
  <c r="W43" i="25" s="1"/>
  <c r="U43" i="25"/>
  <c r="Q43" i="25"/>
  <c r="AA43" i="25" s="1"/>
  <c r="Y43" i="25"/>
  <c r="M61" i="25"/>
  <c r="W61" i="25" s="1"/>
  <c r="U61" i="25"/>
  <c r="M52" i="25"/>
  <c r="W52" i="25" s="1"/>
  <c r="U52" i="25"/>
  <c r="O44" i="25"/>
  <c r="K71" i="25"/>
  <c r="Q61" i="25"/>
  <c r="AA61" i="25" s="1"/>
  <c r="Y61" i="25"/>
  <c r="K62" i="25"/>
  <c r="O71" i="25"/>
  <c r="O62" i="25"/>
  <c r="Q28" i="25"/>
  <c r="AA28" i="25" s="1"/>
  <c r="Y28" i="25"/>
  <c r="G30" i="25"/>
  <c r="O29" i="25"/>
  <c r="Q37" i="25"/>
  <c r="AA37" i="25" s="1"/>
  <c r="Y37" i="25"/>
  <c r="O38" i="25"/>
  <c r="M36" i="25"/>
  <c r="W36" i="25" s="1"/>
  <c r="U36" i="25"/>
  <c r="M27" i="25"/>
  <c r="W27" i="25" s="1"/>
  <c r="U27" i="25"/>
  <c r="K37" i="25"/>
  <c r="E29" i="25"/>
  <c r="K28" i="25"/>
  <c r="L34" i="25"/>
  <c r="V34" i="25" s="1"/>
  <c r="X34" i="25"/>
  <c r="X25" i="25"/>
  <c r="L25" i="25"/>
  <c r="V25" i="25" s="1"/>
  <c r="X16" i="25"/>
  <c r="L16" i="25"/>
  <c r="V16" i="25" s="1"/>
  <c r="N44" i="25"/>
  <c r="N35" i="25"/>
  <c r="F27" i="25"/>
  <c r="N17" i="25"/>
  <c r="N26" i="25"/>
  <c r="D27" i="25"/>
  <c r="J17" i="25"/>
  <c r="J26" i="25"/>
  <c r="T25" i="25"/>
  <c r="P25" i="25"/>
  <c r="Z25" i="25" s="1"/>
  <c r="P34" i="25"/>
  <c r="Z34" i="25" s="1"/>
  <c r="T34" i="25"/>
  <c r="J35" i="25"/>
  <c r="J44" i="25"/>
  <c r="P16" i="25"/>
  <c r="Z16" i="25" s="1"/>
  <c r="T16" i="25"/>
  <c r="P62" i="25"/>
  <c r="Z62" i="25" s="1"/>
  <c r="T62" i="25"/>
  <c r="J72" i="25"/>
  <c r="O32" i="39" l="1"/>
  <c r="G33" i="39"/>
  <c r="Q31" i="39"/>
  <c r="AA31" i="39" s="1"/>
  <c r="Y31" i="39"/>
  <c r="M32" i="39"/>
  <c r="W32" i="39" s="1"/>
  <c r="U32" i="39"/>
  <c r="E34" i="39"/>
  <c r="K33" i="39"/>
  <c r="Q17" i="39"/>
  <c r="AA17" i="39" s="1"/>
  <c r="Y17" i="39"/>
  <c r="O18" i="39"/>
  <c r="G19" i="39"/>
  <c r="M18" i="39"/>
  <c r="W18" i="39" s="1"/>
  <c r="U18" i="39"/>
  <c r="E20" i="39"/>
  <c r="K19" i="39"/>
  <c r="M46" i="39"/>
  <c r="W46" i="39" s="1"/>
  <c r="U46" i="39"/>
  <c r="Q45" i="39"/>
  <c r="AA45" i="39" s="1"/>
  <c r="Y45" i="39"/>
  <c r="O46" i="39"/>
  <c r="K47" i="39"/>
  <c r="Q26" i="38"/>
  <c r="AA26" i="38" s="1"/>
  <c r="Y26" i="38"/>
  <c r="G28" i="38"/>
  <c r="G29" i="38" s="1"/>
  <c r="G30" i="38" s="1"/>
  <c r="G32" i="38" s="1"/>
  <c r="G33" i="38" s="1"/>
  <c r="G34" i="38" s="1"/>
  <c r="G35" i="38" s="1"/>
  <c r="O27" i="38"/>
  <c r="M28" i="38"/>
  <c r="W28" i="38" s="1"/>
  <c r="U28" i="38"/>
  <c r="K30" i="38"/>
  <c r="K29" i="38"/>
  <c r="J111" i="38"/>
  <c r="T83" i="38"/>
  <c r="P83" i="38"/>
  <c r="Z83" i="38" s="1"/>
  <c r="M32" i="38"/>
  <c r="W32" i="38" s="1"/>
  <c r="U32" i="38"/>
  <c r="X92" i="38"/>
  <c r="L92" i="38"/>
  <c r="V92" i="38" s="1"/>
  <c r="X100" i="38"/>
  <c r="L100" i="38"/>
  <c r="V100" i="38" s="1"/>
  <c r="N119" i="38"/>
  <c r="T98" i="38"/>
  <c r="P98" i="38"/>
  <c r="Z98" i="38" s="1"/>
  <c r="U65" i="38"/>
  <c r="M65" i="38"/>
  <c r="W65" i="38" s="1"/>
  <c r="L98" i="38"/>
  <c r="V98" i="38" s="1"/>
  <c r="X98" i="38"/>
  <c r="K98" i="38"/>
  <c r="J104" i="38"/>
  <c r="O50" i="38"/>
  <c r="N97" i="38"/>
  <c r="N105" i="38"/>
  <c r="X93" i="38"/>
  <c r="L93" i="38"/>
  <c r="V93" i="38" s="1"/>
  <c r="O114" i="38"/>
  <c r="X102" i="38"/>
  <c r="L102" i="38"/>
  <c r="V102" i="38" s="1"/>
  <c r="J115" i="38"/>
  <c r="K66" i="38"/>
  <c r="K114" i="38"/>
  <c r="N115" i="38"/>
  <c r="X80" i="38"/>
  <c r="L80" i="38"/>
  <c r="V80" i="38" s="1"/>
  <c r="Q97" i="38"/>
  <c r="AA97" i="38" s="1"/>
  <c r="Y97" i="38"/>
  <c r="U113" i="38"/>
  <c r="M113" i="38"/>
  <c r="W113" i="38" s="1"/>
  <c r="M49" i="38"/>
  <c r="W49" i="38" s="1"/>
  <c r="U49" i="38"/>
  <c r="X89" i="38"/>
  <c r="L89" i="38"/>
  <c r="V89" i="38" s="1"/>
  <c r="L95" i="38"/>
  <c r="V95" i="38" s="1"/>
  <c r="X95" i="38"/>
  <c r="P120" i="38"/>
  <c r="Z120" i="38" s="1"/>
  <c r="T120" i="38"/>
  <c r="Q113" i="38"/>
  <c r="AA113" i="38" s="1"/>
  <c r="Y113" i="38"/>
  <c r="N145" i="38"/>
  <c r="O66" i="38"/>
  <c r="O98" i="38"/>
  <c r="N141" i="38"/>
  <c r="J118" i="38"/>
  <c r="U97" i="38"/>
  <c r="M97" i="38"/>
  <c r="W97" i="38" s="1"/>
  <c r="O130" i="38"/>
  <c r="P101" i="38"/>
  <c r="Z101" i="38" s="1"/>
  <c r="T101" i="38"/>
  <c r="K130" i="38"/>
  <c r="K50" i="38"/>
  <c r="N106" i="38"/>
  <c r="N112" i="38"/>
  <c r="J137" i="38"/>
  <c r="O82" i="38"/>
  <c r="U81" i="38"/>
  <c r="M81" i="38"/>
  <c r="W81" i="38" s="1"/>
  <c r="P88" i="38"/>
  <c r="Z88" i="38" s="1"/>
  <c r="T88" i="38"/>
  <c r="T97" i="38"/>
  <c r="P97" i="38"/>
  <c r="Z97" i="38" s="1"/>
  <c r="L103" i="38"/>
  <c r="V103" i="38" s="1"/>
  <c r="X103" i="38"/>
  <c r="X99" i="38"/>
  <c r="L99" i="38"/>
  <c r="V99" i="38" s="1"/>
  <c r="X128" i="38"/>
  <c r="L128" i="38"/>
  <c r="V128" i="38" s="1"/>
  <c r="J119" i="38"/>
  <c r="P109" i="38"/>
  <c r="Z109" i="38" s="1"/>
  <c r="T109" i="38"/>
  <c r="P140" i="38"/>
  <c r="Z140" i="38" s="1"/>
  <c r="T140" i="38"/>
  <c r="T127" i="38"/>
  <c r="P127" i="38"/>
  <c r="Z127" i="38" s="1"/>
  <c r="X84" i="38"/>
  <c r="L84" i="38"/>
  <c r="V84" i="38" s="1"/>
  <c r="Q81" i="38"/>
  <c r="AA81" i="38" s="1"/>
  <c r="Y81" i="38"/>
  <c r="K82" i="38"/>
  <c r="J105" i="38"/>
  <c r="J114" i="38"/>
  <c r="N120" i="38"/>
  <c r="N116" i="38"/>
  <c r="T87" i="38"/>
  <c r="P87" i="38"/>
  <c r="Z87" i="38" s="1"/>
  <c r="N110" i="38"/>
  <c r="Y65" i="38"/>
  <c r="Q65" i="38"/>
  <c r="AA65" i="38" s="1"/>
  <c r="T102" i="38"/>
  <c r="P102" i="38"/>
  <c r="Z102" i="38" s="1"/>
  <c r="J126" i="38"/>
  <c r="J157" i="38"/>
  <c r="J144" i="38"/>
  <c r="N101" i="38"/>
  <c r="J99" i="38"/>
  <c r="L91" i="38"/>
  <c r="V91" i="38" s="1"/>
  <c r="X91" i="38"/>
  <c r="T95" i="38"/>
  <c r="P95" i="38"/>
  <c r="Z95" i="38" s="1"/>
  <c r="L87" i="38"/>
  <c r="V87" i="38" s="1"/>
  <c r="X87" i="38"/>
  <c r="T91" i="38"/>
  <c r="P91" i="38"/>
  <c r="Z91" i="38" s="1"/>
  <c r="T90" i="38"/>
  <c r="P90" i="38"/>
  <c r="Z90" i="38" s="1"/>
  <c r="Q49" i="38"/>
  <c r="AA49" i="38" s="1"/>
  <c r="Y49" i="38"/>
  <c r="X88" i="38"/>
  <c r="L88" i="38"/>
  <c r="V88" i="38" s="1"/>
  <c r="X124" i="38"/>
  <c r="L124" i="38"/>
  <c r="V124" i="38" s="1"/>
  <c r="T94" i="38"/>
  <c r="P94" i="38"/>
  <c r="Z94" i="38" s="1"/>
  <c r="J100" i="38"/>
  <c r="K33" i="38"/>
  <c r="N109" i="38"/>
  <c r="N117" i="38"/>
  <c r="T82" i="38"/>
  <c r="P82" i="38"/>
  <c r="Z82" i="38" s="1"/>
  <c r="N108" i="38"/>
  <c r="J112" i="38"/>
  <c r="N104" i="38"/>
  <c r="J108" i="38"/>
  <c r="J107" i="38"/>
  <c r="G66" i="36"/>
  <c r="O65" i="36"/>
  <c r="Q64" i="36"/>
  <c r="AA64" i="36" s="1"/>
  <c r="Y64" i="36"/>
  <c r="M63" i="36"/>
  <c r="W63" i="36" s="1"/>
  <c r="U63" i="36"/>
  <c r="E65" i="36"/>
  <c r="K64" i="36"/>
  <c r="K53" i="36"/>
  <c r="E54" i="36"/>
  <c r="M52" i="36"/>
  <c r="W52" i="36" s="1"/>
  <c r="U52" i="36"/>
  <c r="G54" i="36"/>
  <c r="O53" i="36"/>
  <c r="Q52" i="36"/>
  <c r="AA52" i="36" s="1"/>
  <c r="Y52" i="36"/>
  <c r="E42" i="36"/>
  <c r="K41" i="36"/>
  <c r="M40" i="36"/>
  <c r="W40" i="36" s="1"/>
  <c r="U40" i="36"/>
  <c r="Q40" i="36"/>
  <c r="AA40" i="36" s="1"/>
  <c r="Y40" i="36"/>
  <c r="G42" i="36"/>
  <c r="O41" i="36"/>
  <c r="M32" i="36"/>
  <c r="W32" i="36" s="1"/>
  <c r="U32" i="36"/>
  <c r="K33" i="36"/>
  <c r="E34" i="36"/>
  <c r="K34" i="36" s="1"/>
  <c r="G33" i="36"/>
  <c r="O32" i="36"/>
  <c r="Q31" i="36"/>
  <c r="AA31" i="36" s="1"/>
  <c r="Y31" i="36"/>
  <c r="Q20" i="36"/>
  <c r="AA20" i="36" s="1"/>
  <c r="Y20" i="36"/>
  <c r="G22" i="36"/>
  <c r="O22" i="36" s="1"/>
  <c r="O21" i="36"/>
  <c r="M21" i="36"/>
  <c r="W21" i="36" s="1"/>
  <c r="U21" i="36"/>
  <c r="M22" i="36"/>
  <c r="W22" i="36" s="1"/>
  <c r="U22" i="36"/>
  <c r="L34" i="35"/>
  <c r="V34" i="35" s="1"/>
  <c r="X34" i="35"/>
  <c r="J38" i="35"/>
  <c r="P33" i="35"/>
  <c r="Z33" i="35" s="1"/>
  <c r="T33" i="35"/>
  <c r="N37" i="35"/>
  <c r="P35" i="35"/>
  <c r="Z35" i="35" s="1"/>
  <c r="T35" i="35"/>
  <c r="J36" i="35"/>
  <c r="P37" i="35"/>
  <c r="Z37" i="35" s="1"/>
  <c r="T37" i="35"/>
  <c r="X33" i="35"/>
  <c r="L33" i="35"/>
  <c r="V33" i="35" s="1"/>
  <c r="L32" i="35"/>
  <c r="V32" i="35" s="1"/>
  <c r="X32" i="35"/>
  <c r="J40" i="35"/>
  <c r="N36" i="35"/>
  <c r="N35" i="35"/>
  <c r="Q27" i="31"/>
  <c r="AA27" i="31" s="1"/>
  <c r="Y27" i="31"/>
  <c r="O28" i="31"/>
  <c r="G29" i="31"/>
  <c r="K28" i="31"/>
  <c r="E29" i="31"/>
  <c r="M27" i="31"/>
  <c r="W27" i="31" s="1"/>
  <c r="U27" i="31"/>
  <c r="M71" i="31"/>
  <c r="W71" i="31" s="1"/>
  <c r="U71" i="31"/>
  <c r="K73" i="31"/>
  <c r="Q71" i="31"/>
  <c r="AA71" i="31" s="1"/>
  <c r="Y71" i="31"/>
  <c r="O73" i="31"/>
  <c r="M60" i="31"/>
  <c r="W60" i="31" s="1"/>
  <c r="U60" i="31"/>
  <c r="K61" i="31"/>
  <c r="Q60" i="31"/>
  <c r="AA60" i="31" s="1"/>
  <c r="Y60" i="31"/>
  <c r="O61" i="31"/>
  <c r="Q49" i="31"/>
  <c r="AA49" i="31" s="1"/>
  <c r="Y49" i="31"/>
  <c r="O50" i="31"/>
  <c r="M49" i="31"/>
  <c r="W49" i="31" s="1"/>
  <c r="U49" i="31"/>
  <c r="K50" i="31"/>
  <c r="Q38" i="31"/>
  <c r="AA38" i="31" s="1"/>
  <c r="Y38" i="31"/>
  <c r="O39" i="31"/>
  <c r="M38" i="31"/>
  <c r="W38" i="31" s="1"/>
  <c r="U38" i="31"/>
  <c r="K39" i="31"/>
  <c r="M177" i="28"/>
  <c r="W177" i="28" s="1"/>
  <c r="U177" i="28"/>
  <c r="G179" i="28"/>
  <c r="O178" i="28"/>
  <c r="E179" i="28"/>
  <c r="K178" i="28"/>
  <c r="Q177" i="28"/>
  <c r="AA177" i="28" s="1"/>
  <c r="Y177" i="28"/>
  <c r="E163" i="28"/>
  <c r="K162" i="28"/>
  <c r="M161" i="28"/>
  <c r="W161" i="28" s="1"/>
  <c r="U161" i="28"/>
  <c r="G163" i="28"/>
  <c r="O162" i="28"/>
  <c r="Q161" i="28"/>
  <c r="AA161" i="28" s="1"/>
  <c r="Y161" i="28"/>
  <c r="Q45" i="28"/>
  <c r="AA45" i="28" s="1"/>
  <c r="Y45" i="28"/>
  <c r="G47" i="28"/>
  <c r="O46" i="28"/>
  <c r="M45" i="28"/>
  <c r="W45" i="28" s="1"/>
  <c r="U45" i="28"/>
  <c r="E47" i="28"/>
  <c r="K46" i="28"/>
  <c r="O133" i="28"/>
  <c r="Q132" i="28"/>
  <c r="AA132" i="28" s="1"/>
  <c r="Y132" i="28"/>
  <c r="K133" i="28"/>
  <c r="M132" i="28"/>
  <c r="W132" i="28" s="1"/>
  <c r="U132" i="28"/>
  <c r="Q103" i="28"/>
  <c r="AA103" i="28" s="1"/>
  <c r="Y103" i="28"/>
  <c r="O104" i="28"/>
  <c r="M103" i="28"/>
  <c r="W103" i="28" s="1"/>
  <c r="U103" i="28"/>
  <c r="K104" i="28"/>
  <c r="O75" i="28"/>
  <c r="Q74" i="28"/>
  <c r="AA74" i="28" s="1"/>
  <c r="Y74" i="28"/>
  <c r="M74" i="28"/>
  <c r="W74" i="28" s="1"/>
  <c r="U74" i="28"/>
  <c r="K75" i="28"/>
  <c r="Q253" i="27"/>
  <c r="AA253" i="27" s="1"/>
  <c r="Y253" i="27"/>
  <c r="O254" i="27"/>
  <c r="G255" i="27"/>
  <c r="M253" i="27"/>
  <c r="W253" i="27" s="1"/>
  <c r="U253" i="27"/>
  <c r="K254" i="27"/>
  <c r="E255" i="27"/>
  <c r="Q240" i="27"/>
  <c r="AA240" i="27" s="1"/>
  <c r="Y240" i="27"/>
  <c r="G242" i="27"/>
  <c r="O241" i="27"/>
  <c r="E242" i="27"/>
  <c r="K241" i="27"/>
  <c r="M240" i="27"/>
  <c r="W240" i="27" s="1"/>
  <c r="U240" i="27"/>
  <c r="Q229" i="27"/>
  <c r="AA229" i="27" s="1"/>
  <c r="Y229" i="27"/>
  <c r="O230" i="27"/>
  <c r="G231" i="27"/>
  <c r="K230" i="27"/>
  <c r="E231" i="27"/>
  <c r="M229" i="27"/>
  <c r="W229" i="27" s="1"/>
  <c r="U229" i="27"/>
  <c r="M208" i="27"/>
  <c r="W208" i="27" s="1"/>
  <c r="U208" i="27"/>
  <c r="E210" i="27"/>
  <c r="K209" i="27"/>
  <c r="Q208" i="27"/>
  <c r="AA208" i="27" s="1"/>
  <c r="Y208" i="27"/>
  <c r="G210" i="27"/>
  <c r="O209" i="27"/>
  <c r="Q92" i="27"/>
  <c r="AA92" i="27" s="1"/>
  <c r="O139" i="27"/>
  <c r="Q107" i="27"/>
  <c r="AA107" i="27" s="1"/>
  <c r="X153" i="27"/>
  <c r="L153" i="27"/>
  <c r="V153" i="27" s="1"/>
  <c r="X143" i="27"/>
  <c r="L143" i="27"/>
  <c r="V143" i="27" s="1"/>
  <c r="X145" i="27"/>
  <c r="L145" i="27"/>
  <c r="V145" i="27" s="1"/>
  <c r="T142" i="27"/>
  <c r="P142" i="27"/>
  <c r="Z142" i="27" s="1"/>
  <c r="X150" i="27"/>
  <c r="L150" i="27"/>
  <c r="V150" i="27" s="1"/>
  <c r="N169" i="27"/>
  <c r="N159" i="27"/>
  <c r="N161" i="27"/>
  <c r="J158" i="27"/>
  <c r="N166" i="27"/>
  <c r="L146" i="27"/>
  <c r="V146" i="27" s="1"/>
  <c r="X146" i="27"/>
  <c r="P150" i="27"/>
  <c r="Z150" i="27" s="1"/>
  <c r="T150" i="27"/>
  <c r="L147" i="27"/>
  <c r="V147" i="27" s="1"/>
  <c r="X147" i="27"/>
  <c r="N162" i="27"/>
  <c r="J166" i="27"/>
  <c r="N163" i="27"/>
  <c r="X149" i="27"/>
  <c r="L149" i="27"/>
  <c r="V149" i="27" s="1"/>
  <c r="T146" i="27"/>
  <c r="P146" i="27"/>
  <c r="Z146" i="27" s="1"/>
  <c r="N157" i="27"/>
  <c r="X151" i="27"/>
  <c r="L151" i="27"/>
  <c r="V151" i="27" s="1"/>
  <c r="N165" i="27"/>
  <c r="J162" i="27"/>
  <c r="X141" i="27"/>
  <c r="L141" i="27"/>
  <c r="V141" i="27" s="1"/>
  <c r="N167" i="27"/>
  <c r="X154" i="27"/>
  <c r="L154" i="27"/>
  <c r="V154" i="27" s="1"/>
  <c r="P154" i="27"/>
  <c r="Z154" i="27" s="1"/>
  <c r="T154" i="27"/>
  <c r="X142" i="27"/>
  <c r="L142" i="27"/>
  <c r="V142" i="27" s="1"/>
  <c r="N170" i="27"/>
  <c r="J170" i="27"/>
  <c r="N158" i="27"/>
  <c r="U107" i="27"/>
  <c r="J133" i="27"/>
  <c r="T117" i="27"/>
  <c r="P117" i="27"/>
  <c r="Z117" i="27" s="1"/>
  <c r="T113" i="27"/>
  <c r="P113" i="27"/>
  <c r="Z113" i="27" s="1"/>
  <c r="T109" i="27"/>
  <c r="P109" i="27"/>
  <c r="Z109" i="27" s="1"/>
  <c r="J129" i="27"/>
  <c r="J125" i="27"/>
  <c r="O108" i="27"/>
  <c r="Q108" i="27" s="1"/>
  <c r="AA108" i="27" s="1"/>
  <c r="U92" i="27"/>
  <c r="J139" i="27"/>
  <c r="T111" i="27"/>
  <c r="P111" i="27"/>
  <c r="Z111" i="27" s="1"/>
  <c r="P123" i="27"/>
  <c r="Z123" i="27" s="1"/>
  <c r="T123" i="27"/>
  <c r="J151" i="27"/>
  <c r="J127" i="27"/>
  <c r="T137" i="27"/>
  <c r="P137" i="27"/>
  <c r="Z137" i="27" s="1"/>
  <c r="J153" i="27"/>
  <c r="K108" i="27"/>
  <c r="U108" i="27" s="1"/>
  <c r="J147" i="27"/>
  <c r="K123" i="27"/>
  <c r="M123" i="27" s="1"/>
  <c r="W123" i="27" s="1"/>
  <c r="T135" i="27"/>
  <c r="P135" i="27"/>
  <c r="Z135" i="27" s="1"/>
  <c r="T131" i="27"/>
  <c r="P131" i="27"/>
  <c r="Z131" i="27" s="1"/>
  <c r="Y78" i="27"/>
  <c r="Q78" i="27"/>
  <c r="AA78" i="27" s="1"/>
  <c r="O79" i="27"/>
  <c r="Q123" i="27"/>
  <c r="AA123" i="27" s="1"/>
  <c r="Y123" i="27"/>
  <c r="O94" i="27"/>
  <c r="Q93" i="27"/>
  <c r="AA93" i="27" s="1"/>
  <c r="Y93" i="27"/>
  <c r="O109" i="27"/>
  <c r="K94" i="27"/>
  <c r="U78" i="27"/>
  <c r="M78" i="27"/>
  <c r="W78" i="27" s="1"/>
  <c r="U93" i="27"/>
  <c r="M93" i="27"/>
  <c r="W93" i="27" s="1"/>
  <c r="K79" i="27"/>
  <c r="K109" i="27"/>
  <c r="K63" i="27"/>
  <c r="M62" i="27"/>
  <c r="W62" i="27" s="1"/>
  <c r="U62" i="27"/>
  <c r="Y62" i="27"/>
  <c r="Q62" i="27"/>
  <c r="AA62" i="27" s="1"/>
  <c r="O63" i="27"/>
  <c r="M48" i="27"/>
  <c r="W48" i="27" s="1"/>
  <c r="U48" i="27"/>
  <c r="K49" i="27"/>
  <c r="Q48" i="27"/>
  <c r="AA48" i="27" s="1"/>
  <c r="Y48" i="27"/>
  <c r="O49" i="27"/>
  <c r="G34" i="27"/>
  <c r="O33" i="27"/>
  <c r="Q32" i="27"/>
  <c r="AA32" i="27" s="1"/>
  <c r="Y32" i="27"/>
  <c r="M32" i="27"/>
  <c r="W32" i="27" s="1"/>
  <c r="U32" i="27"/>
  <c r="E34" i="27"/>
  <c r="K33" i="27"/>
  <c r="Q54" i="26"/>
  <c r="AA54" i="26" s="1"/>
  <c r="Y54" i="26"/>
  <c r="Q55" i="26"/>
  <c r="AA55" i="26" s="1"/>
  <c r="Y55" i="26"/>
  <c r="M54" i="26"/>
  <c r="W54" i="26" s="1"/>
  <c r="U54" i="26"/>
  <c r="M55" i="26"/>
  <c r="W55" i="26" s="1"/>
  <c r="U55" i="26"/>
  <c r="Q45" i="26"/>
  <c r="AA45" i="26" s="1"/>
  <c r="Y45" i="26"/>
  <c r="Q46" i="26"/>
  <c r="AA46" i="26" s="1"/>
  <c r="Y46" i="26"/>
  <c r="M46" i="26"/>
  <c r="W46" i="26" s="1"/>
  <c r="U46" i="26"/>
  <c r="M45" i="26"/>
  <c r="W45" i="26" s="1"/>
  <c r="U45" i="26"/>
  <c r="Q61" i="24"/>
  <c r="AA61" i="24" s="1"/>
  <c r="Y61" i="24"/>
  <c r="G63" i="24"/>
  <c r="O62" i="24"/>
  <c r="M61" i="24"/>
  <c r="W61" i="24" s="1"/>
  <c r="U61" i="24"/>
  <c r="K62" i="24"/>
  <c r="E63" i="24"/>
  <c r="Q46" i="24"/>
  <c r="AA46" i="24" s="1"/>
  <c r="Y46" i="24"/>
  <c r="O47" i="24"/>
  <c r="G48" i="24"/>
  <c r="G34" i="24"/>
  <c r="O33" i="24"/>
  <c r="Q32" i="24"/>
  <c r="AA32" i="24" s="1"/>
  <c r="Y32" i="24"/>
  <c r="M31" i="24"/>
  <c r="W31" i="24" s="1"/>
  <c r="U31" i="24"/>
  <c r="K32" i="24"/>
  <c r="E33" i="24"/>
  <c r="E49" i="24"/>
  <c r="K48" i="24"/>
  <c r="U47" i="24"/>
  <c r="M47" i="24"/>
  <c r="W47" i="24" s="1"/>
  <c r="Q25" i="24"/>
  <c r="AA25" i="24" s="1"/>
  <c r="Y25" i="24"/>
  <c r="Q26" i="24"/>
  <c r="AA26" i="24" s="1"/>
  <c r="Y26" i="24"/>
  <c r="M25" i="24"/>
  <c r="W25" i="24" s="1"/>
  <c r="U25" i="24"/>
  <c r="U26" i="24"/>
  <c r="M26" i="24"/>
  <c r="W26" i="24" s="1"/>
  <c r="Q18" i="24"/>
  <c r="AA18" i="24" s="1"/>
  <c r="Y18" i="24"/>
  <c r="Q19" i="24"/>
  <c r="AA19" i="24" s="1"/>
  <c r="Y19" i="24"/>
  <c r="M18" i="24"/>
  <c r="W18" i="24" s="1"/>
  <c r="U18" i="24"/>
  <c r="M19" i="24"/>
  <c r="W19" i="24" s="1"/>
  <c r="U19" i="24"/>
  <c r="Q174" i="23"/>
  <c r="AA174" i="23" s="1"/>
  <c r="Y174" i="23"/>
  <c r="G176" i="23"/>
  <c r="O175" i="23"/>
  <c r="M174" i="23"/>
  <c r="W174" i="23" s="1"/>
  <c r="U174" i="23"/>
  <c r="K175" i="23"/>
  <c r="E176" i="23"/>
  <c r="O152" i="23"/>
  <c r="G153" i="23"/>
  <c r="Q151" i="23"/>
  <c r="AA151" i="23" s="1"/>
  <c r="Y151" i="23"/>
  <c r="M151" i="23"/>
  <c r="W151" i="23" s="1"/>
  <c r="U151" i="23"/>
  <c r="E153" i="23"/>
  <c r="K152" i="23"/>
  <c r="G141" i="23"/>
  <c r="O140" i="23"/>
  <c r="Q139" i="23"/>
  <c r="AA139" i="23" s="1"/>
  <c r="Y139" i="23"/>
  <c r="M139" i="23"/>
  <c r="W139" i="23" s="1"/>
  <c r="U139" i="23"/>
  <c r="E141" i="23"/>
  <c r="K140" i="23"/>
  <c r="K119" i="23"/>
  <c r="K118" i="23"/>
  <c r="M117" i="23"/>
  <c r="W117" i="23" s="1"/>
  <c r="U117" i="23"/>
  <c r="O119" i="23"/>
  <c r="O118" i="23"/>
  <c r="Q117" i="23"/>
  <c r="AA117" i="23" s="1"/>
  <c r="Y117" i="23"/>
  <c r="M106" i="23"/>
  <c r="W106" i="23" s="1"/>
  <c r="U106" i="23"/>
  <c r="K107" i="23"/>
  <c r="Q106" i="23"/>
  <c r="AA106" i="23" s="1"/>
  <c r="Y106" i="23"/>
  <c r="O107" i="23"/>
  <c r="Q85" i="23"/>
  <c r="AA85" i="23" s="1"/>
  <c r="Y85" i="23"/>
  <c r="O86" i="23"/>
  <c r="G87" i="23"/>
  <c r="K86" i="23"/>
  <c r="E87" i="23"/>
  <c r="M85" i="23"/>
  <c r="W85" i="23" s="1"/>
  <c r="U85" i="23"/>
  <c r="M62" i="23"/>
  <c r="W62" i="23" s="1"/>
  <c r="U62" i="23"/>
  <c r="K63" i="23"/>
  <c r="E64" i="23"/>
  <c r="Q62" i="23"/>
  <c r="AA62" i="23" s="1"/>
  <c r="Y62" i="23"/>
  <c r="O63" i="23"/>
  <c r="G64" i="23"/>
  <c r="M45" i="23"/>
  <c r="W45" i="23" s="1"/>
  <c r="U45" i="23"/>
  <c r="E47" i="23"/>
  <c r="K46" i="23"/>
  <c r="Q46" i="23"/>
  <c r="AA46" i="23" s="1"/>
  <c r="Y46" i="23"/>
  <c r="G48" i="23"/>
  <c r="O47" i="23"/>
  <c r="Q40" i="23"/>
  <c r="AA40" i="23" s="1"/>
  <c r="Y40" i="23"/>
  <c r="Q39" i="23"/>
  <c r="AA39" i="23" s="1"/>
  <c r="Y39" i="23"/>
  <c r="M39" i="23"/>
  <c r="W39" i="23" s="1"/>
  <c r="U39" i="23"/>
  <c r="M40" i="23"/>
  <c r="W40" i="23" s="1"/>
  <c r="U40" i="23"/>
  <c r="O18" i="23"/>
  <c r="Q17" i="23"/>
  <c r="AA17" i="23" s="1"/>
  <c r="Y17" i="23"/>
  <c r="M17" i="23"/>
  <c r="W17" i="23" s="1"/>
  <c r="U17" i="23"/>
  <c r="K18" i="23"/>
  <c r="Y306" i="22"/>
  <c r="Q306" i="22"/>
  <c r="AA306" i="22" s="1"/>
  <c r="Q307" i="22"/>
  <c r="AA307" i="22" s="1"/>
  <c r="Y307" i="22"/>
  <c r="M306" i="22"/>
  <c r="W306" i="22" s="1"/>
  <c r="U306" i="22"/>
  <c r="M307" i="22"/>
  <c r="W307" i="22" s="1"/>
  <c r="U307" i="22"/>
  <c r="X261" i="22"/>
  <c r="L261" i="22"/>
  <c r="V261" i="22" s="1"/>
  <c r="N273" i="22"/>
  <c r="N276" i="22"/>
  <c r="N288" i="22"/>
  <c r="O256" i="22"/>
  <c r="O280" i="22"/>
  <c r="K196" i="22"/>
  <c r="P261" i="22"/>
  <c r="Z261" i="22" s="1"/>
  <c r="T261" i="22"/>
  <c r="N256" i="22"/>
  <c r="Q231" i="22"/>
  <c r="AA231" i="22" s="1"/>
  <c r="Y231" i="22"/>
  <c r="X255" i="22"/>
  <c r="L255" i="22"/>
  <c r="V255" i="22" s="1"/>
  <c r="L242" i="22"/>
  <c r="V242" i="22" s="1"/>
  <c r="X242" i="22"/>
  <c r="L253" i="22"/>
  <c r="V253" i="22" s="1"/>
  <c r="X253" i="22"/>
  <c r="M195" i="22"/>
  <c r="W195" i="22" s="1"/>
  <c r="U195" i="22"/>
  <c r="J273" i="22"/>
  <c r="L244" i="22"/>
  <c r="V244" i="22" s="1"/>
  <c r="X244" i="22"/>
  <c r="O232" i="22"/>
  <c r="N267" i="22"/>
  <c r="N254" i="22"/>
  <c r="N265" i="22"/>
  <c r="Q279" i="22"/>
  <c r="AA279" i="22" s="1"/>
  <c r="Y279" i="22"/>
  <c r="X246" i="22"/>
  <c r="L246" i="22"/>
  <c r="V246" i="22" s="1"/>
  <c r="L260" i="22"/>
  <c r="V260" i="22" s="1"/>
  <c r="X260" i="22"/>
  <c r="M243" i="22"/>
  <c r="W243" i="22" s="1"/>
  <c r="U243" i="22"/>
  <c r="N295" i="22"/>
  <c r="N283" i="22"/>
  <c r="L251" i="22"/>
  <c r="V251" i="22" s="1"/>
  <c r="X251" i="22"/>
  <c r="P251" i="22"/>
  <c r="Z251" i="22" s="1"/>
  <c r="T251" i="22"/>
  <c r="M222" i="22"/>
  <c r="W222" i="22" s="1"/>
  <c r="U222" i="22"/>
  <c r="K208" i="22"/>
  <c r="J291" i="22"/>
  <c r="J279" i="22"/>
  <c r="N258" i="22"/>
  <c r="N272" i="22"/>
  <c r="K244" i="22"/>
  <c r="X271" i="22"/>
  <c r="L271" i="22"/>
  <c r="V271" i="22" s="1"/>
  <c r="N263" i="22"/>
  <c r="J263" i="22"/>
  <c r="K223" i="22"/>
  <c r="M207" i="22"/>
  <c r="W207" i="22" s="1"/>
  <c r="U207" i="22"/>
  <c r="P267" i="22"/>
  <c r="Z267" i="22" s="1"/>
  <c r="T267" i="22"/>
  <c r="L264" i="22"/>
  <c r="V264" i="22" s="1"/>
  <c r="X264" i="22"/>
  <c r="Q220" i="22"/>
  <c r="AA220" i="22" s="1"/>
  <c r="Y220" i="22"/>
  <c r="Y195" i="22"/>
  <c r="Q195" i="22"/>
  <c r="AA195" i="22" s="1"/>
  <c r="M291" i="22"/>
  <c r="W291" i="22" s="1"/>
  <c r="U291" i="22"/>
  <c r="P259" i="22"/>
  <c r="Z259" i="22" s="1"/>
  <c r="T259" i="22"/>
  <c r="Q255" i="22"/>
  <c r="AA255" i="22" s="1"/>
  <c r="Y255" i="22"/>
  <c r="O221" i="22"/>
  <c r="O196" i="22"/>
  <c r="K292" i="22"/>
  <c r="J271" i="22"/>
  <c r="G185" i="22"/>
  <c r="O184" i="22"/>
  <c r="Y183" i="22"/>
  <c r="Q183" i="22"/>
  <c r="AA183" i="22" s="1"/>
  <c r="E185" i="22"/>
  <c r="K184" i="22"/>
  <c r="M183" i="22"/>
  <c r="W183" i="22" s="1"/>
  <c r="U183" i="22"/>
  <c r="Y268" i="22"/>
  <c r="Q268" i="22"/>
  <c r="AA268" i="22" s="1"/>
  <c r="P254" i="22"/>
  <c r="Z254" i="22" s="1"/>
  <c r="T254" i="22"/>
  <c r="K280" i="22"/>
  <c r="L269" i="22"/>
  <c r="V269" i="22" s="1"/>
  <c r="X269" i="22"/>
  <c r="P277" i="22"/>
  <c r="Z277" i="22" s="1"/>
  <c r="T277" i="22"/>
  <c r="P256" i="22"/>
  <c r="Z256" i="22" s="1"/>
  <c r="T256" i="22"/>
  <c r="O269" i="22"/>
  <c r="K232" i="22"/>
  <c r="N293" i="22"/>
  <c r="N281" i="22"/>
  <c r="P289" i="22"/>
  <c r="Z289" i="22" s="1"/>
  <c r="T289" i="22"/>
  <c r="J268" i="22"/>
  <c r="P260" i="22"/>
  <c r="Z260" i="22" s="1"/>
  <c r="T260" i="22"/>
  <c r="K271" i="22"/>
  <c r="Y244" i="22"/>
  <c r="Q244" i="22"/>
  <c r="AA244" i="22" s="1"/>
  <c r="T286" i="22"/>
  <c r="P286" i="22"/>
  <c r="Z286" i="22" s="1"/>
  <c r="P269" i="22"/>
  <c r="Z269" i="22" s="1"/>
  <c r="T269" i="22"/>
  <c r="M255" i="22"/>
  <c r="W255" i="22" s="1"/>
  <c r="U255" i="22"/>
  <c r="J272" i="22"/>
  <c r="M231" i="22"/>
  <c r="W231" i="22" s="1"/>
  <c r="U231" i="22"/>
  <c r="O245" i="22"/>
  <c r="T274" i="22"/>
  <c r="P274" i="22"/>
  <c r="Z274" i="22" s="1"/>
  <c r="J293" i="22"/>
  <c r="J281" i="22"/>
  <c r="K256" i="22"/>
  <c r="M270" i="22"/>
  <c r="W270" i="22" s="1"/>
  <c r="U270" i="22"/>
  <c r="J264" i="22"/>
  <c r="Q292" i="22"/>
  <c r="AA292" i="22" s="1"/>
  <c r="Y292" i="22"/>
  <c r="P258" i="22"/>
  <c r="Z258" i="22" s="1"/>
  <c r="T258" i="22"/>
  <c r="M279" i="22"/>
  <c r="W279" i="22" s="1"/>
  <c r="U279" i="22"/>
  <c r="J266" i="22"/>
  <c r="P252" i="22"/>
  <c r="Z252" i="22" s="1"/>
  <c r="T252" i="22"/>
  <c r="O293" i="22"/>
  <c r="J270" i="22"/>
  <c r="Q172" i="22"/>
  <c r="AA172" i="22" s="1"/>
  <c r="Y172" i="22"/>
  <c r="O173" i="22"/>
  <c r="M172" i="22"/>
  <c r="W172" i="22" s="1"/>
  <c r="U172" i="22"/>
  <c r="K173" i="22"/>
  <c r="Q151" i="22"/>
  <c r="AA151" i="22" s="1"/>
  <c r="Y151" i="22"/>
  <c r="G153" i="22"/>
  <c r="O152" i="22"/>
  <c r="K156" i="22"/>
  <c r="E157" i="22"/>
  <c r="M155" i="22"/>
  <c r="W155" i="22" s="1"/>
  <c r="U155" i="22"/>
  <c r="Q142" i="22"/>
  <c r="AA142" i="22" s="1"/>
  <c r="Y142" i="22"/>
  <c r="O143" i="22"/>
  <c r="G144" i="22"/>
  <c r="E145" i="22"/>
  <c r="K145" i="22" s="1"/>
  <c r="K144" i="22"/>
  <c r="M143" i="22"/>
  <c r="W143" i="22" s="1"/>
  <c r="U143" i="22"/>
  <c r="G133" i="22"/>
  <c r="O132" i="22"/>
  <c r="Q131" i="22"/>
  <c r="AA131" i="22" s="1"/>
  <c r="Y131" i="22"/>
  <c r="E133" i="22"/>
  <c r="K132" i="22"/>
  <c r="M131" i="22"/>
  <c r="W131" i="22" s="1"/>
  <c r="U131" i="22"/>
  <c r="Q108" i="22"/>
  <c r="AA108" i="22" s="1"/>
  <c r="Y108" i="22"/>
  <c r="O109" i="22"/>
  <c r="K109" i="22"/>
  <c r="M108" i="22"/>
  <c r="W108" i="22" s="1"/>
  <c r="U108" i="22"/>
  <c r="Q85" i="22"/>
  <c r="AA85" i="22" s="1"/>
  <c r="Y85" i="22"/>
  <c r="O86" i="22"/>
  <c r="K86" i="22"/>
  <c r="M85" i="22"/>
  <c r="W85" i="22" s="1"/>
  <c r="U85" i="22"/>
  <c r="Q62" i="22"/>
  <c r="AA62" i="22" s="1"/>
  <c r="Y62" i="22"/>
  <c r="O63" i="22"/>
  <c r="M62" i="22"/>
  <c r="W62" i="22" s="1"/>
  <c r="U62" i="22"/>
  <c r="K63" i="22"/>
  <c r="G41" i="22"/>
  <c r="O40" i="22"/>
  <c r="Y39" i="22"/>
  <c r="Q39" i="22"/>
  <c r="AA39" i="22" s="1"/>
  <c r="M41" i="22"/>
  <c r="W41" i="22" s="1"/>
  <c r="U41" i="22"/>
  <c r="E43" i="22"/>
  <c r="K42" i="22"/>
  <c r="Q31" i="22"/>
  <c r="AA31" i="22" s="1"/>
  <c r="Y31" i="22"/>
  <c r="Q32" i="22"/>
  <c r="AA32" i="22" s="1"/>
  <c r="Y32" i="22"/>
  <c r="Q17" i="22"/>
  <c r="AA17" i="22" s="1"/>
  <c r="Y17" i="22"/>
  <c r="O18" i="22"/>
  <c r="K18" i="22"/>
  <c r="M17" i="22"/>
  <c r="W17" i="22" s="1"/>
  <c r="U17" i="22"/>
  <c r="M40" i="21"/>
  <c r="W40" i="21" s="1"/>
  <c r="U40" i="21"/>
  <c r="T73" i="21"/>
  <c r="P73" i="21"/>
  <c r="Z73" i="21" s="1"/>
  <c r="P89" i="21"/>
  <c r="Z89" i="21" s="1"/>
  <c r="T89" i="21"/>
  <c r="X71" i="21"/>
  <c r="L71" i="21"/>
  <c r="V71" i="21" s="1"/>
  <c r="T91" i="21"/>
  <c r="P91" i="21"/>
  <c r="Z91" i="21" s="1"/>
  <c r="T70" i="21"/>
  <c r="P70" i="21"/>
  <c r="Z70" i="21" s="1"/>
  <c r="L78" i="21"/>
  <c r="V78" i="21" s="1"/>
  <c r="X78" i="21"/>
  <c r="P85" i="21"/>
  <c r="Z85" i="21" s="1"/>
  <c r="T85" i="21"/>
  <c r="E42" i="21"/>
  <c r="K41" i="21"/>
  <c r="D101" i="21"/>
  <c r="J87" i="21"/>
  <c r="D117" i="21"/>
  <c r="J103" i="21"/>
  <c r="F99" i="21"/>
  <c r="N85" i="21"/>
  <c r="D119" i="21"/>
  <c r="J105" i="21"/>
  <c r="D98" i="21"/>
  <c r="J84" i="21"/>
  <c r="F106" i="21"/>
  <c r="N92" i="21"/>
  <c r="F121" i="21"/>
  <c r="N107" i="21"/>
  <c r="F105" i="21"/>
  <c r="N91" i="21"/>
  <c r="D113" i="21"/>
  <c r="J99" i="21"/>
  <c r="D96" i="21"/>
  <c r="J82" i="21"/>
  <c r="F104" i="21"/>
  <c r="N90" i="21"/>
  <c r="X77" i="21"/>
  <c r="L77" i="21"/>
  <c r="V77" i="21" s="1"/>
  <c r="X89" i="21"/>
  <c r="L89" i="21"/>
  <c r="V89" i="21" s="1"/>
  <c r="L95" i="21"/>
  <c r="V95" i="21" s="1"/>
  <c r="X95" i="21"/>
  <c r="U28" i="21"/>
  <c r="M28" i="21"/>
  <c r="W28" i="21" s="1"/>
  <c r="L68" i="21"/>
  <c r="V68" i="21" s="1"/>
  <c r="X68" i="21"/>
  <c r="T78" i="21"/>
  <c r="P78" i="21"/>
  <c r="Z78" i="21" s="1"/>
  <c r="Q41" i="21"/>
  <c r="AA41" i="21" s="1"/>
  <c r="Y41" i="21"/>
  <c r="L72" i="21"/>
  <c r="V72" i="21" s="1"/>
  <c r="X72" i="21"/>
  <c r="P72" i="21"/>
  <c r="Z72" i="21" s="1"/>
  <c r="T72" i="21"/>
  <c r="L76" i="21"/>
  <c r="V76" i="21" s="1"/>
  <c r="X76" i="21"/>
  <c r="F117" i="21"/>
  <c r="N103" i="21"/>
  <c r="F123" i="21"/>
  <c r="N109" i="21"/>
  <c r="E30" i="21"/>
  <c r="K29" i="21"/>
  <c r="F96" i="21"/>
  <c r="N82" i="21"/>
  <c r="D106" i="21"/>
  <c r="J92" i="21"/>
  <c r="G43" i="21"/>
  <c r="O42" i="21"/>
  <c r="F100" i="21"/>
  <c r="N86" i="21"/>
  <c r="D100" i="21"/>
  <c r="J86" i="21"/>
  <c r="L93" i="21"/>
  <c r="V93" i="21" s="1"/>
  <c r="X93" i="21"/>
  <c r="T93" i="21"/>
  <c r="P93" i="21"/>
  <c r="Z93" i="21" s="1"/>
  <c r="X83" i="21"/>
  <c r="L83" i="21"/>
  <c r="V83" i="21" s="1"/>
  <c r="T83" i="21"/>
  <c r="P83" i="21"/>
  <c r="Z83" i="21" s="1"/>
  <c r="X74" i="21"/>
  <c r="L74" i="21"/>
  <c r="V74" i="21" s="1"/>
  <c r="X87" i="21"/>
  <c r="L87" i="21"/>
  <c r="V87" i="21" s="1"/>
  <c r="L70" i="21"/>
  <c r="V70" i="21" s="1"/>
  <c r="X70" i="21"/>
  <c r="T74" i="21"/>
  <c r="P74" i="21"/>
  <c r="Z74" i="21" s="1"/>
  <c r="P68" i="21"/>
  <c r="Z68" i="21" s="1"/>
  <c r="T68" i="21"/>
  <c r="D121" i="21"/>
  <c r="J107" i="21"/>
  <c r="F111" i="21"/>
  <c r="N97" i="21"/>
  <c r="D111" i="21"/>
  <c r="J97" i="21"/>
  <c r="F102" i="21"/>
  <c r="N88" i="21"/>
  <c r="F115" i="21"/>
  <c r="N101" i="21"/>
  <c r="F98" i="21"/>
  <c r="N84" i="21"/>
  <c r="D102" i="21"/>
  <c r="J88" i="21"/>
  <c r="U108" i="21"/>
  <c r="M82" i="21"/>
  <c r="W82" i="21" s="1"/>
  <c r="U94" i="21"/>
  <c r="M94" i="21"/>
  <c r="W94" i="21" s="1"/>
  <c r="J123" i="21"/>
  <c r="P104" i="21"/>
  <c r="Z104" i="21" s="1"/>
  <c r="T104" i="21"/>
  <c r="Y55" i="21"/>
  <c r="Q55" i="21"/>
  <c r="AA55" i="21" s="1"/>
  <c r="Q67" i="21"/>
  <c r="AA67" i="21" s="1"/>
  <c r="Y67" i="21"/>
  <c r="J118" i="21"/>
  <c r="O56" i="21"/>
  <c r="O80" i="21"/>
  <c r="P109" i="21"/>
  <c r="Z109" i="21" s="1"/>
  <c r="T109" i="21"/>
  <c r="O68" i="21"/>
  <c r="L122" i="21"/>
  <c r="V122" i="21" s="1"/>
  <c r="X122" i="21"/>
  <c r="N136" i="21"/>
  <c r="J122" i="21"/>
  <c r="P108" i="21"/>
  <c r="Z108" i="21" s="1"/>
  <c r="T108" i="21"/>
  <c r="M69" i="21"/>
  <c r="W69" i="21" s="1"/>
  <c r="U69" i="21"/>
  <c r="K70" i="21"/>
  <c r="K97" i="21"/>
  <c r="M109" i="21"/>
  <c r="W109" i="21" s="1"/>
  <c r="U109" i="21"/>
  <c r="U96" i="21"/>
  <c r="M96" i="21"/>
  <c r="W96" i="21" s="1"/>
  <c r="K110" i="21"/>
  <c r="U122" i="21"/>
  <c r="M122" i="21"/>
  <c r="W122" i="21" s="1"/>
  <c r="K84" i="21"/>
  <c r="M83" i="21"/>
  <c r="W83" i="21" s="1"/>
  <c r="U83" i="21"/>
  <c r="K123" i="21"/>
  <c r="M57" i="21"/>
  <c r="W57" i="21" s="1"/>
  <c r="U57" i="21"/>
  <c r="K58" i="21"/>
  <c r="Q30" i="21"/>
  <c r="AA30" i="21" s="1"/>
  <c r="Y30" i="21"/>
  <c r="O31" i="21"/>
  <c r="K18" i="21"/>
  <c r="M17" i="21"/>
  <c r="W17" i="21" s="1"/>
  <c r="U17" i="21"/>
  <c r="O18" i="21"/>
  <c r="Q17" i="21"/>
  <c r="AA17" i="21" s="1"/>
  <c r="Y17" i="21"/>
  <c r="M156" i="18"/>
  <c r="W156" i="18" s="1"/>
  <c r="U156" i="18"/>
  <c r="K67" i="18"/>
  <c r="E68" i="18"/>
  <c r="E158" i="18"/>
  <c r="K157" i="18"/>
  <c r="Q171" i="18"/>
  <c r="AA171" i="18" s="1"/>
  <c r="Y171" i="18"/>
  <c r="G173" i="18"/>
  <c r="O172" i="18"/>
  <c r="G164" i="18"/>
  <c r="O164" i="18" s="1"/>
  <c r="O163" i="18"/>
  <c r="Q162" i="18"/>
  <c r="AA162" i="18" s="1"/>
  <c r="Y162" i="18"/>
  <c r="G140" i="18"/>
  <c r="O139" i="18"/>
  <c r="Q138" i="18"/>
  <c r="AA138" i="18" s="1"/>
  <c r="Y138" i="18"/>
  <c r="K138" i="18"/>
  <c r="E139" i="18"/>
  <c r="M137" i="18"/>
  <c r="W137" i="18" s="1"/>
  <c r="U137" i="18"/>
  <c r="K115" i="18"/>
  <c r="Q114" i="18"/>
  <c r="AA114" i="18" s="1"/>
  <c r="Y114" i="18"/>
  <c r="O115" i="18"/>
  <c r="M114" i="18"/>
  <c r="W114" i="18" s="1"/>
  <c r="U114" i="18"/>
  <c r="K91" i="18"/>
  <c r="M90" i="18"/>
  <c r="W90" i="18" s="1"/>
  <c r="U90" i="18"/>
  <c r="O91" i="18"/>
  <c r="Y90" i="18"/>
  <c r="Q90" i="18"/>
  <c r="AA90" i="18" s="1"/>
  <c r="Q73" i="18"/>
  <c r="AA73" i="18" s="1"/>
  <c r="Y73" i="18"/>
  <c r="O74" i="18"/>
  <c r="G75" i="18"/>
  <c r="Q66" i="18"/>
  <c r="AA66" i="18" s="1"/>
  <c r="Y66" i="18"/>
  <c r="Q67" i="18"/>
  <c r="AA67" i="18" s="1"/>
  <c r="Y67" i="18"/>
  <c r="M66" i="18"/>
  <c r="W66" i="18" s="1"/>
  <c r="U66" i="18"/>
  <c r="U67" i="18"/>
  <c r="M67" i="18"/>
  <c r="W67" i="18" s="1"/>
  <c r="Y43" i="18"/>
  <c r="Q43" i="18"/>
  <c r="AA43" i="18" s="1"/>
  <c r="G45" i="18"/>
  <c r="O44" i="18"/>
  <c r="M43" i="18"/>
  <c r="W43" i="18" s="1"/>
  <c r="U43" i="18"/>
  <c r="K44" i="18"/>
  <c r="E45" i="18"/>
  <c r="Q31" i="18"/>
  <c r="AA31" i="18" s="1"/>
  <c r="Y31" i="18"/>
  <c r="O32" i="18"/>
  <c r="G33" i="18"/>
  <c r="M31" i="18"/>
  <c r="W31" i="18" s="1"/>
  <c r="U31" i="18"/>
  <c r="K32" i="18"/>
  <c r="E33" i="18"/>
  <c r="O19" i="18"/>
  <c r="Y18" i="18"/>
  <c r="Q18" i="18"/>
  <c r="AA18" i="18" s="1"/>
  <c r="M19" i="18"/>
  <c r="W19" i="18" s="1"/>
  <c r="U19" i="18"/>
  <c r="K20" i="18"/>
  <c r="E21" i="18"/>
  <c r="E148" i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/>
  <c r="G131" i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/>
  <c r="L139" i="1"/>
  <c r="V139" i="1" s="1"/>
  <c r="X139" i="1"/>
  <c r="N156" i="1"/>
  <c r="P114" i="1"/>
  <c r="Z114" i="1" s="1"/>
  <c r="T114" i="1"/>
  <c r="J131" i="1"/>
  <c r="Q32" i="1"/>
  <c r="AA32" i="1" s="1"/>
  <c r="Y32" i="1"/>
  <c r="G34" i="1"/>
  <c r="O33" i="1"/>
  <c r="Q49" i="1"/>
  <c r="AA49" i="1" s="1"/>
  <c r="Y49" i="1"/>
  <c r="O50" i="1"/>
  <c r="M49" i="1"/>
  <c r="W49" i="1" s="1"/>
  <c r="U49" i="1"/>
  <c r="K50" i="1"/>
  <c r="N153" i="1"/>
  <c r="L145" i="1"/>
  <c r="V145" i="1" s="1"/>
  <c r="X145" i="1"/>
  <c r="L136" i="1"/>
  <c r="V136" i="1" s="1"/>
  <c r="X136" i="1"/>
  <c r="N162" i="1"/>
  <c r="X159" i="1"/>
  <c r="L159" i="1"/>
  <c r="V159" i="1" s="1"/>
  <c r="L143" i="1"/>
  <c r="V143" i="1" s="1"/>
  <c r="X143" i="1"/>
  <c r="N154" i="1"/>
  <c r="N150" i="1"/>
  <c r="L133" i="1"/>
  <c r="V133" i="1" s="1"/>
  <c r="X133" i="1"/>
  <c r="N193" i="1"/>
  <c r="N176" i="1"/>
  <c r="P126" i="1"/>
  <c r="Z126" i="1" s="1"/>
  <c r="T126" i="1"/>
  <c r="L140" i="1"/>
  <c r="V140" i="1" s="1"/>
  <c r="X140" i="1"/>
  <c r="L146" i="1"/>
  <c r="V146" i="1" s="1"/>
  <c r="X146" i="1"/>
  <c r="L137" i="1"/>
  <c r="V137" i="1" s="1"/>
  <c r="X137" i="1"/>
  <c r="J143" i="1"/>
  <c r="N157" i="1"/>
  <c r="N163" i="1"/>
  <c r="L144" i="1"/>
  <c r="V144" i="1" s="1"/>
  <c r="X144" i="1"/>
  <c r="L131" i="1"/>
  <c r="V131" i="1" s="1"/>
  <c r="X131" i="1"/>
  <c r="L149" i="1"/>
  <c r="V149" i="1" s="1"/>
  <c r="X149" i="1"/>
  <c r="J155" i="1"/>
  <c r="N160" i="1"/>
  <c r="N161" i="1"/>
  <c r="N148" i="1"/>
  <c r="N183" i="1"/>
  <c r="N166" i="1"/>
  <c r="P138" i="1"/>
  <c r="Z138" i="1" s="1"/>
  <c r="T138" i="1"/>
  <c r="Q82" i="1"/>
  <c r="AA82" i="1" s="1"/>
  <c r="Y82" i="1"/>
  <c r="Q114" i="1"/>
  <c r="AA114" i="1" s="1"/>
  <c r="Y114" i="1"/>
  <c r="P156" i="1"/>
  <c r="Z156" i="1" s="1"/>
  <c r="T156" i="1"/>
  <c r="O83" i="1"/>
  <c r="K115" i="1"/>
  <c r="J187" i="1"/>
  <c r="J170" i="1"/>
  <c r="O115" i="1"/>
  <c r="O67" i="1"/>
  <c r="J169" i="1"/>
  <c r="J186" i="1"/>
  <c r="P162" i="1"/>
  <c r="Z162" i="1" s="1"/>
  <c r="T162" i="1"/>
  <c r="M66" i="1"/>
  <c r="W66" i="1" s="1"/>
  <c r="U66" i="1"/>
  <c r="K99" i="1"/>
  <c r="O99" i="1"/>
  <c r="J196" i="1"/>
  <c r="J179" i="1"/>
  <c r="J157" i="1"/>
  <c r="L158" i="1"/>
  <c r="V158" i="1" s="1"/>
  <c r="X158" i="1"/>
  <c r="Q130" i="1"/>
  <c r="AA130" i="1" s="1"/>
  <c r="Y130" i="1"/>
  <c r="K67" i="1"/>
  <c r="P159" i="1"/>
  <c r="Z159" i="1" s="1"/>
  <c r="T159" i="1"/>
  <c r="J195" i="1"/>
  <c r="J178" i="1"/>
  <c r="P150" i="1"/>
  <c r="Z150" i="1" s="1"/>
  <c r="T150" i="1"/>
  <c r="M130" i="1"/>
  <c r="W130" i="1" s="1"/>
  <c r="U130" i="1"/>
  <c r="M114" i="1"/>
  <c r="W114" i="1" s="1"/>
  <c r="U114" i="1"/>
  <c r="P152" i="1"/>
  <c r="Z152" i="1" s="1"/>
  <c r="T152" i="1"/>
  <c r="M98" i="1"/>
  <c r="W98" i="1" s="1"/>
  <c r="U98" i="1"/>
  <c r="J193" i="1"/>
  <c r="J176" i="1"/>
  <c r="P161" i="1"/>
  <c r="Z161" i="1" s="1"/>
  <c r="T161" i="1"/>
  <c r="J167" i="1"/>
  <c r="J184" i="1"/>
  <c r="K147" i="1"/>
  <c r="P153" i="1"/>
  <c r="Z153" i="1" s="1"/>
  <c r="T153" i="1"/>
  <c r="Q98" i="1"/>
  <c r="AA98" i="1" s="1"/>
  <c r="Y98" i="1"/>
  <c r="P140" i="1"/>
  <c r="Z140" i="1" s="1"/>
  <c r="T140" i="1"/>
  <c r="P149" i="1"/>
  <c r="Z149" i="1" s="1"/>
  <c r="T149" i="1"/>
  <c r="N186" i="1"/>
  <c r="N169" i="1"/>
  <c r="J197" i="1"/>
  <c r="J180" i="1"/>
  <c r="P158" i="1"/>
  <c r="Z158" i="1" s="1"/>
  <c r="T158" i="1"/>
  <c r="K131" i="1"/>
  <c r="M82" i="1"/>
  <c r="W82" i="1" s="1"/>
  <c r="U82" i="1"/>
  <c r="J190" i="1"/>
  <c r="J173" i="1"/>
  <c r="Q66" i="1"/>
  <c r="AA66" i="1" s="1"/>
  <c r="Y66" i="1"/>
  <c r="N192" i="1"/>
  <c r="N175" i="1"/>
  <c r="J183" i="1"/>
  <c r="J166" i="1"/>
  <c r="X152" i="1"/>
  <c r="L152" i="1"/>
  <c r="V152" i="1" s="1"/>
  <c r="P163" i="1"/>
  <c r="Z163" i="1" s="1"/>
  <c r="T163" i="1"/>
  <c r="J192" i="1"/>
  <c r="J175" i="1"/>
  <c r="K83" i="1"/>
  <c r="K205" i="1"/>
  <c r="M204" i="1"/>
  <c r="W204" i="1" s="1"/>
  <c r="U204" i="1"/>
  <c r="O205" i="1"/>
  <c r="Q204" i="1"/>
  <c r="AA204" i="1" s="1"/>
  <c r="Y204" i="1"/>
  <c r="K36" i="1"/>
  <c r="E37" i="1"/>
  <c r="M35" i="1"/>
  <c r="W35" i="1" s="1"/>
  <c r="U35" i="1"/>
  <c r="Q95" i="29"/>
  <c r="AA95" i="29" s="1"/>
  <c r="Y95" i="29"/>
  <c r="O96" i="29"/>
  <c r="M95" i="29"/>
  <c r="W95" i="29" s="1"/>
  <c r="U95" i="29"/>
  <c r="K96" i="29"/>
  <c r="G89" i="29"/>
  <c r="O89" i="29" s="1"/>
  <c r="O88" i="29"/>
  <c r="Q87" i="29"/>
  <c r="AA87" i="29" s="1"/>
  <c r="Y87" i="29"/>
  <c r="E88" i="29"/>
  <c r="K87" i="29"/>
  <c r="M86" i="29"/>
  <c r="W86" i="29" s="1"/>
  <c r="U86" i="29"/>
  <c r="G65" i="29"/>
  <c r="O64" i="29"/>
  <c r="Q63" i="29"/>
  <c r="AA63" i="29" s="1"/>
  <c r="Y63" i="29"/>
  <c r="E65" i="29"/>
  <c r="K64" i="29"/>
  <c r="M63" i="29"/>
  <c r="W63" i="29" s="1"/>
  <c r="U63" i="29"/>
  <c r="Q42" i="29"/>
  <c r="AA42" i="29" s="1"/>
  <c r="Y42" i="29"/>
  <c r="O43" i="29"/>
  <c r="G44" i="29"/>
  <c r="K43" i="29"/>
  <c r="E44" i="29"/>
  <c r="M42" i="29"/>
  <c r="W42" i="29" s="1"/>
  <c r="U42" i="29"/>
  <c r="Q160" i="19"/>
  <c r="AA160" i="19" s="1"/>
  <c r="Y160" i="19"/>
  <c r="O161" i="19"/>
  <c r="G162" i="19"/>
  <c r="E163" i="19"/>
  <c r="K162" i="19"/>
  <c r="M161" i="19"/>
  <c r="W161" i="19" s="1"/>
  <c r="U161" i="19"/>
  <c r="M154" i="19"/>
  <c r="W154" i="19" s="1"/>
  <c r="U154" i="19"/>
  <c r="M153" i="19"/>
  <c r="W153" i="19" s="1"/>
  <c r="U153" i="19"/>
  <c r="Q153" i="19"/>
  <c r="AA153" i="19" s="1"/>
  <c r="Y153" i="19"/>
  <c r="Q154" i="19"/>
  <c r="AA154" i="19" s="1"/>
  <c r="Y154" i="19"/>
  <c r="Q128" i="19"/>
  <c r="AA128" i="19" s="1"/>
  <c r="Y128" i="19"/>
  <c r="G130" i="19"/>
  <c r="O129" i="19"/>
  <c r="E130" i="19"/>
  <c r="K129" i="19"/>
  <c r="M128" i="19"/>
  <c r="W128" i="19" s="1"/>
  <c r="U128" i="19"/>
  <c r="G106" i="19"/>
  <c r="O105" i="19"/>
  <c r="Q104" i="19"/>
  <c r="AA104" i="19" s="1"/>
  <c r="Y104" i="19"/>
  <c r="E106" i="19"/>
  <c r="K105" i="19"/>
  <c r="M104" i="19"/>
  <c r="W104" i="19" s="1"/>
  <c r="U104" i="19"/>
  <c r="K97" i="19"/>
  <c r="E98" i="19"/>
  <c r="K98" i="19" s="1"/>
  <c r="M96" i="19"/>
  <c r="W96" i="19" s="1"/>
  <c r="U96" i="19"/>
  <c r="G98" i="19"/>
  <c r="O98" i="19" s="1"/>
  <c r="O97" i="19"/>
  <c r="Q96" i="19"/>
  <c r="AA96" i="19" s="1"/>
  <c r="Y96" i="19"/>
  <c r="Q82" i="19"/>
  <c r="AA82" i="19" s="1"/>
  <c r="Y82" i="19"/>
  <c r="O83" i="19"/>
  <c r="K82" i="19"/>
  <c r="O18" i="19"/>
  <c r="G19" i="19"/>
  <c r="Q17" i="19"/>
  <c r="AA17" i="19" s="1"/>
  <c r="Y17" i="19"/>
  <c r="E19" i="19"/>
  <c r="K18" i="19"/>
  <c r="M17" i="19"/>
  <c r="W17" i="19" s="1"/>
  <c r="U17" i="19"/>
  <c r="M75" i="19"/>
  <c r="W75" i="19" s="1"/>
  <c r="U75" i="19"/>
  <c r="X75" i="19"/>
  <c r="L75" i="19"/>
  <c r="V75" i="19" s="1"/>
  <c r="L74" i="19"/>
  <c r="V74" i="19" s="1"/>
  <c r="X74" i="19"/>
  <c r="T74" i="19"/>
  <c r="P74" i="19"/>
  <c r="Z74" i="19" s="1"/>
  <c r="M74" i="19"/>
  <c r="W74" i="19" s="1"/>
  <c r="U74" i="19"/>
  <c r="P75" i="19"/>
  <c r="Z75" i="19" s="1"/>
  <c r="T75" i="19"/>
  <c r="Q62" i="19"/>
  <c r="AA62" i="19" s="1"/>
  <c r="Y62" i="19"/>
  <c r="O63" i="19"/>
  <c r="G64" i="19"/>
  <c r="M46" i="19"/>
  <c r="W46" i="19" s="1"/>
  <c r="U46" i="19"/>
  <c r="O47" i="19"/>
  <c r="G48" i="19"/>
  <c r="E48" i="19"/>
  <c r="K47" i="19"/>
  <c r="Q46" i="19"/>
  <c r="AA46" i="19" s="1"/>
  <c r="Y46" i="19"/>
  <c r="E65" i="19"/>
  <c r="K64" i="19"/>
  <c r="M63" i="19"/>
  <c r="W63" i="19" s="1"/>
  <c r="U63" i="19"/>
  <c r="Q29" i="19"/>
  <c r="AA29" i="19" s="1"/>
  <c r="Y29" i="19"/>
  <c r="G31" i="19"/>
  <c r="O30" i="19"/>
  <c r="K33" i="19"/>
  <c r="E34" i="19"/>
  <c r="M32" i="19"/>
  <c r="W32" i="19" s="1"/>
  <c r="U32" i="19"/>
  <c r="K54" i="25"/>
  <c r="M44" i="25"/>
  <c r="W44" i="25" s="1"/>
  <c r="U44" i="25"/>
  <c r="O63" i="25"/>
  <c r="M71" i="25"/>
  <c r="W71" i="25" s="1"/>
  <c r="U71" i="25"/>
  <c r="K45" i="25"/>
  <c r="K63" i="25"/>
  <c r="Q71" i="25"/>
  <c r="AA71" i="25" s="1"/>
  <c r="Y71" i="25"/>
  <c r="K81" i="25"/>
  <c r="Q53" i="25"/>
  <c r="AA53" i="25" s="1"/>
  <c r="Y53" i="25"/>
  <c r="Q62" i="25"/>
  <c r="AA62" i="25" s="1"/>
  <c r="Y62" i="25"/>
  <c r="O81" i="25"/>
  <c r="K72" i="25"/>
  <c r="O54" i="25"/>
  <c r="O72" i="25"/>
  <c r="Q44" i="25"/>
  <c r="AA44" i="25" s="1"/>
  <c r="Y44" i="25"/>
  <c r="M53" i="25"/>
  <c r="W53" i="25" s="1"/>
  <c r="U53" i="25"/>
  <c r="M62" i="25"/>
  <c r="W62" i="25" s="1"/>
  <c r="U62" i="25"/>
  <c r="O45" i="25"/>
  <c r="Q29" i="25"/>
  <c r="AA29" i="25" s="1"/>
  <c r="Y29" i="25"/>
  <c r="O39" i="25"/>
  <c r="O30" i="25"/>
  <c r="Q38" i="25"/>
  <c r="AA38" i="25" s="1"/>
  <c r="Y38" i="25"/>
  <c r="K38" i="25"/>
  <c r="E30" i="25"/>
  <c r="K29" i="25"/>
  <c r="M28" i="25"/>
  <c r="W28" i="25" s="1"/>
  <c r="U28" i="25"/>
  <c r="M37" i="25"/>
  <c r="W37" i="25" s="1"/>
  <c r="U37" i="25"/>
  <c r="X44" i="25"/>
  <c r="L44" i="25"/>
  <c r="V44" i="25" s="1"/>
  <c r="N54" i="25"/>
  <c r="F28" i="25"/>
  <c r="N18" i="25"/>
  <c r="X26" i="25"/>
  <c r="L26" i="25"/>
  <c r="V26" i="25" s="1"/>
  <c r="L17" i="25"/>
  <c r="V17" i="25" s="1"/>
  <c r="X17" i="25"/>
  <c r="N27" i="25"/>
  <c r="N36" i="25"/>
  <c r="L35" i="25"/>
  <c r="V35" i="25" s="1"/>
  <c r="X35" i="25"/>
  <c r="N45" i="25"/>
  <c r="P44" i="25"/>
  <c r="Z44" i="25" s="1"/>
  <c r="T44" i="25"/>
  <c r="P26" i="25"/>
  <c r="Z26" i="25" s="1"/>
  <c r="T26" i="25"/>
  <c r="J27" i="25"/>
  <c r="J54" i="25"/>
  <c r="T35" i="25"/>
  <c r="P35" i="25"/>
  <c r="Z35" i="25" s="1"/>
  <c r="T17" i="25"/>
  <c r="P17" i="25"/>
  <c r="Z17" i="25" s="1"/>
  <c r="J45" i="25"/>
  <c r="J36" i="25"/>
  <c r="D28" i="25"/>
  <c r="J18" i="25"/>
  <c r="P72" i="25"/>
  <c r="Z72" i="25" s="1"/>
  <c r="T72" i="25"/>
  <c r="J92" i="25"/>
  <c r="J82" i="25"/>
  <c r="G34" i="39" l="1"/>
  <c r="O33" i="39"/>
  <c r="Y32" i="39"/>
  <c r="Q32" i="39"/>
  <c r="AA32" i="39" s="1"/>
  <c r="M33" i="39"/>
  <c r="W33" i="39" s="1"/>
  <c r="U33" i="39"/>
  <c r="K34" i="39"/>
  <c r="E35" i="39"/>
  <c r="O19" i="39"/>
  <c r="G20" i="39"/>
  <c r="Q18" i="39"/>
  <c r="AA18" i="39" s="1"/>
  <c r="Y18" i="39"/>
  <c r="M19" i="39"/>
  <c r="W19" i="39" s="1"/>
  <c r="U19" i="39"/>
  <c r="K20" i="39"/>
  <c r="E21" i="39"/>
  <c r="K48" i="39"/>
  <c r="O47" i="39"/>
  <c r="M47" i="39"/>
  <c r="W47" i="39" s="1"/>
  <c r="U47" i="39"/>
  <c r="Q46" i="39"/>
  <c r="AA46" i="39" s="1"/>
  <c r="Y46" i="39"/>
  <c r="Y27" i="38"/>
  <c r="Q27" i="38"/>
  <c r="AA27" i="38" s="1"/>
  <c r="O28" i="38"/>
  <c r="M29" i="38"/>
  <c r="W29" i="38" s="1"/>
  <c r="U29" i="38"/>
  <c r="M30" i="38"/>
  <c r="W30" i="38" s="1"/>
  <c r="U30" i="38"/>
  <c r="U114" i="38"/>
  <c r="M114" i="38"/>
  <c r="W114" i="38" s="1"/>
  <c r="T99" i="38"/>
  <c r="P99" i="38"/>
  <c r="Z99" i="38" s="1"/>
  <c r="J116" i="38"/>
  <c r="P105" i="38"/>
  <c r="Z105" i="38" s="1"/>
  <c r="T105" i="38"/>
  <c r="K131" i="38"/>
  <c r="O67" i="38"/>
  <c r="P107" i="38"/>
  <c r="Z107" i="38" s="1"/>
  <c r="T107" i="38"/>
  <c r="X108" i="38"/>
  <c r="L108" i="38"/>
  <c r="V108" i="38" s="1"/>
  <c r="U33" i="38"/>
  <c r="M33" i="38"/>
  <c r="W33" i="38" s="1"/>
  <c r="N118" i="38"/>
  <c r="N133" i="38"/>
  <c r="K83" i="38"/>
  <c r="N123" i="38"/>
  <c r="K147" i="38"/>
  <c r="J135" i="38"/>
  <c r="X145" i="38"/>
  <c r="L145" i="38"/>
  <c r="V145" i="38" s="1"/>
  <c r="U66" i="38"/>
  <c r="M66" i="38"/>
  <c r="W66" i="38" s="1"/>
  <c r="J121" i="38"/>
  <c r="J143" i="38"/>
  <c r="U130" i="38"/>
  <c r="M130" i="38"/>
  <c r="W130" i="38" s="1"/>
  <c r="Y66" i="38"/>
  <c r="Q66" i="38"/>
  <c r="AA66" i="38" s="1"/>
  <c r="N126" i="38"/>
  <c r="T126" i="38"/>
  <c r="P126" i="38"/>
  <c r="Z126" i="38" s="1"/>
  <c r="N129" i="38"/>
  <c r="J124" i="38"/>
  <c r="N125" i="38"/>
  <c r="K34" i="38"/>
  <c r="L101" i="38"/>
  <c r="V101" i="38" s="1"/>
  <c r="X101" i="38"/>
  <c r="X116" i="38"/>
  <c r="L116" i="38"/>
  <c r="V116" i="38" s="1"/>
  <c r="U82" i="38"/>
  <c r="M82" i="38"/>
  <c r="W82" i="38" s="1"/>
  <c r="X106" i="38"/>
  <c r="L106" i="38"/>
  <c r="V106" i="38" s="1"/>
  <c r="T118" i="38"/>
  <c r="P118" i="38"/>
  <c r="Z118" i="38" s="1"/>
  <c r="N162" i="38"/>
  <c r="K67" i="38"/>
  <c r="T104" i="38"/>
  <c r="P104" i="38"/>
  <c r="Z104" i="38" s="1"/>
  <c r="J122" i="38"/>
  <c r="X112" i="38"/>
  <c r="L112" i="38"/>
  <c r="V112" i="38" s="1"/>
  <c r="O51" i="38"/>
  <c r="T112" i="38"/>
  <c r="P112" i="38"/>
  <c r="Z112" i="38" s="1"/>
  <c r="Q50" i="38"/>
  <c r="AA50" i="38" s="1"/>
  <c r="Y50" i="38"/>
  <c r="J125" i="38"/>
  <c r="T100" i="38"/>
  <c r="P100" i="38"/>
  <c r="Z100" i="38" s="1"/>
  <c r="T144" i="38"/>
  <c r="P144" i="38"/>
  <c r="Z144" i="38" s="1"/>
  <c r="X120" i="38"/>
  <c r="L120" i="38"/>
  <c r="V120" i="38" s="1"/>
  <c r="Q82" i="38"/>
  <c r="AA82" i="38" s="1"/>
  <c r="Y82" i="38"/>
  <c r="X141" i="38"/>
  <c r="L141" i="38"/>
  <c r="V141" i="38" s="1"/>
  <c r="P115" i="38"/>
  <c r="Z115" i="38" s="1"/>
  <c r="T115" i="38"/>
  <c r="L105" i="38"/>
  <c r="V105" i="38" s="1"/>
  <c r="X105" i="38"/>
  <c r="M98" i="38"/>
  <c r="W98" i="38" s="1"/>
  <c r="U98" i="38"/>
  <c r="N136" i="38"/>
  <c r="J129" i="38"/>
  <c r="Q114" i="38"/>
  <c r="AA114" i="38" s="1"/>
  <c r="Y114" i="38"/>
  <c r="O115" i="38"/>
  <c r="T108" i="38"/>
  <c r="P108" i="38"/>
  <c r="Z108" i="38" s="1"/>
  <c r="J117" i="38"/>
  <c r="J161" i="38"/>
  <c r="N137" i="38"/>
  <c r="O83" i="38"/>
  <c r="Q130" i="38"/>
  <c r="AA130" i="38" s="1"/>
  <c r="Y130" i="38"/>
  <c r="N158" i="38"/>
  <c r="J132" i="38"/>
  <c r="N122" i="38"/>
  <c r="K99" i="38"/>
  <c r="L119" i="38"/>
  <c r="V119" i="38" s="1"/>
  <c r="X119" i="38"/>
  <c r="L109" i="38"/>
  <c r="V109" i="38" s="1"/>
  <c r="X109" i="38"/>
  <c r="K115" i="38"/>
  <c r="X104" i="38"/>
  <c r="L104" i="38"/>
  <c r="V104" i="38" s="1"/>
  <c r="X117" i="38"/>
  <c r="L117" i="38"/>
  <c r="V117" i="38" s="1"/>
  <c r="T157" i="38"/>
  <c r="P157" i="38"/>
  <c r="Z157" i="38" s="1"/>
  <c r="N127" i="38"/>
  <c r="P114" i="38"/>
  <c r="Z114" i="38" s="1"/>
  <c r="T114" i="38"/>
  <c r="T119" i="38"/>
  <c r="P119" i="38"/>
  <c r="Z119" i="38" s="1"/>
  <c r="J154" i="38"/>
  <c r="M50" i="38"/>
  <c r="W50" i="38" s="1"/>
  <c r="U50" i="38"/>
  <c r="O131" i="38"/>
  <c r="Y98" i="38"/>
  <c r="Q98" i="38"/>
  <c r="AA98" i="38" s="1"/>
  <c r="N132" i="38"/>
  <c r="L97" i="38"/>
  <c r="V97" i="38" s="1"/>
  <c r="X97" i="38"/>
  <c r="P111" i="38"/>
  <c r="Z111" i="38" s="1"/>
  <c r="T111" i="38"/>
  <c r="N121" i="38"/>
  <c r="N134" i="38"/>
  <c r="J174" i="38"/>
  <c r="X110" i="38"/>
  <c r="L110" i="38"/>
  <c r="V110" i="38" s="1"/>
  <c r="J131" i="38"/>
  <c r="J136" i="38"/>
  <c r="T137" i="38"/>
  <c r="P137" i="38"/>
  <c r="Z137" i="38" s="1"/>
  <c r="K51" i="38"/>
  <c r="O147" i="38"/>
  <c r="O99" i="38"/>
  <c r="L115" i="38"/>
  <c r="V115" i="38" s="1"/>
  <c r="X115" i="38"/>
  <c r="N114" i="38"/>
  <c r="J128" i="38"/>
  <c r="M64" i="36"/>
  <c r="W64" i="36" s="1"/>
  <c r="U64" i="36"/>
  <c r="K65" i="36"/>
  <c r="E66" i="36"/>
  <c r="Q65" i="36"/>
  <c r="AA65" i="36" s="1"/>
  <c r="Y65" i="36"/>
  <c r="O66" i="36"/>
  <c r="G67" i="36"/>
  <c r="Q53" i="36"/>
  <c r="AA53" i="36" s="1"/>
  <c r="Y53" i="36"/>
  <c r="O54" i="36"/>
  <c r="G55" i="36"/>
  <c r="K54" i="36"/>
  <c r="E55" i="36"/>
  <c r="M53" i="36"/>
  <c r="W53" i="36" s="1"/>
  <c r="U53" i="36"/>
  <c r="Q41" i="36"/>
  <c r="AA41" i="36" s="1"/>
  <c r="Y41" i="36"/>
  <c r="O42" i="36"/>
  <c r="G43" i="36"/>
  <c r="M41" i="36"/>
  <c r="W41" i="36" s="1"/>
  <c r="U41" i="36"/>
  <c r="K42" i="36"/>
  <c r="E43" i="36"/>
  <c r="Q32" i="36"/>
  <c r="AA32" i="36" s="1"/>
  <c r="Y32" i="36"/>
  <c r="G34" i="36"/>
  <c r="O34" i="36" s="1"/>
  <c r="O33" i="36"/>
  <c r="M34" i="36"/>
  <c r="W34" i="36" s="1"/>
  <c r="U34" i="36"/>
  <c r="M33" i="36"/>
  <c r="W33" i="36" s="1"/>
  <c r="U33" i="36"/>
  <c r="Q21" i="36"/>
  <c r="AA21" i="36" s="1"/>
  <c r="Y21" i="36"/>
  <c r="Y22" i="36"/>
  <c r="Q22" i="36"/>
  <c r="AA22" i="36" s="1"/>
  <c r="N40" i="35"/>
  <c r="L35" i="35"/>
  <c r="V35" i="35" s="1"/>
  <c r="X35" i="35"/>
  <c r="X37" i="35"/>
  <c r="L37" i="35"/>
  <c r="V37" i="35" s="1"/>
  <c r="L36" i="35"/>
  <c r="V36" i="35" s="1"/>
  <c r="X36" i="35"/>
  <c r="N38" i="35"/>
  <c r="N39" i="35"/>
  <c r="P40" i="35"/>
  <c r="Z40" i="35" s="1"/>
  <c r="T40" i="35"/>
  <c r="J39" i="35"/>
  <c r="J41" i="35"/>
  <c r="J43" i="35"/>
  <c r="P36" i="35"/>
  <c r="Z36" i="35" s="1"/>
  <c r="T36" i="35"/>
  <c r="P38" i="35"/>
  <c r="Z38" i="35" s="1"/>
  <c r="T38" i="35"/>
  <c r="E30" i="31"/>
  <c r="K29" i="31"/>
  <c r="M28" i="31"/>
  <c r="W28" i="31" s="1"/>
  <c r="U28" i="31"/>
  <c r="O29" i="31"/>
  <c r="G30" i="31"/>
  <c r="Q28" i="31"/>
  <c r="AA28" i="31" s="1"/>
  <c r="Y28" i="31"/>
  <c r="O74" i="31"/>
  <c r="K74" i="31"/>
  <c r="M73" i="31"/>
  <c r="W73" i="31" s="1"/>
  <c r="U73" i="31"/>
  <c r="Q73" i="31"/>
  <c r="AA73" i="31" s="1"/>
  <c r="Y73" i="31"/>
  <c r="O62" i="31"/>
  <c r="M61" i="31"/>
  <c r="W61" i="31" s="1"/>
  <c r="U61" i="31"/>
  <c r="K62" i="31"/>
  <c r="Q61" i="31"/>
  <c r="AA61" i="31" s="1"/>
  <c r="Y61" i="31"/>
  <c r="M50" i="31"/>
  <c r="W50" i="31" s="1"/>
  <c r="U50" i="31"/>
  <c r="K51" i="31"/>
  <c r="Q50" i="31"/>
  <c r="AA50" i="31" s="1"/>
  <c r="Y50" i="31"/>
  <c r="O51" i="31"/>
  <c r="K40" i="31"/>
  <c r="M39" i="31"/>
  <c r="W39" i="31" s="1"/>
  <c r="U39" i="31"/>
  <c r="O40" i="31"/>
  <c r="Q39" i="31"/>
  <c r="AA39" i="31" s="1"/>
  <c r="Y39" i="31"/>
  <c r="M178" i="28"/>
  <c r="W178" i="28" s="1"/>
  <c r="U178" i="28"/>
  <c r="K179" i="28"/>
  <c r="E180" i="28"/>
  <c r="Q178" i="28"/>
  <c r="AA178" i="28" s="1"/>
  <c r="Y178" i="28"/>
  <c r="G180" i="28"/>
  <c r="O179" i="28"/>
  <c r="Q162" i="28"/>
  <c r="AA162" i="28" s="1"/>
  <c r="Y162" i="28"/>
  <c r="O163" i="28"/>
  <c r="G164" i="28"/>
  <c r="M162" i="28"/>
  <c r="W162" i="28" s="1"/>
  <c r="U162" i="28"/>
  <c r="K163" i="28"/>
  <c r="E164" i="28"/>
  <c r="Q46" i="28"/>
  <c r="AA46" i="28" s="1"/>
  <c r="Y46" i="28"/>
  <c r="G48" i="28"/>
  <c r="O47" i="28"/>
  <c r="M46" i="28"/>
  <c r="W46" i="28" s="1"/>
  <c r="U46" i="28"/>
  <c r="K47" i="28"/>
  <c r="E48" i="28"/>
  <c r="K134" i="28"/>
  <c r="M133" i="28"/>
  <c r="W133" i="28" s="1"/>
  <c r="U133" i="28"/>
  <c r="O134" i="28"/>
  <c r="Q133" i="28"/>
  <c r="AA133" i="28" s="1"/>
  <c r="Y133" i="28"/>
  <c r="K105" i="28"/>
  <c r="M104" i="28"/>
  <c r="W104" i="28" s="1"/>
  <c r="U104" i="28"/>
  <c r="Q104" i="28"/>
  <c r="AA104" i="28" s="1"/>
  <c r="Y104" i="28"/>
  <c r="O105" i="28"/>
  <c r="M75" i="28"/>
  <c r="W75" i="28" s="1"/>
  <c r="U75" i="28"/>
  <c r="K76" i="28"/>
  <c r="Q75" i="28"/>
  <c r="AA75" i="28" s="1"/>
  <c r="Y75" i="28"/>
  <c r="O76" i="28"/>
  <c r="K255" i="27"/>
  <c r="E256" i="27"/>
  <c r="K256" i="27" s="1"/>
  <c r="M254" i="27"/>
  <c r="W254" i="27" s="1"/>
  <c r="U254" i="27"/>
  <c r="G256" i="27"/>
  <c r="O256" i="27" s="1"/>
  <c r="O255" i="27"/>
  <c r="Q254" i="27"/>
  <c r="AA254" i="27" s="1"/>
  <c r="Y254" i="27"/>
  <c r="M241" i="27"/>
  <c r="W241" i="27" s="1"/>
  <c r="U241" i="27"/>
  <c r="K242" i="27"/>
  <c r="E243" i="27"/>
  <c r="Q241" i="27"/>
  <c r="AA241" i="27" s="1"/>
  <c r="Y241" i="27"/>
  <c r="O242" i="27"/>
  <c r="G243" i="27"/>
  <c r="M230" i="27"/>
  <c r="W230" i="27" s="1"/>
  <c r="U230" i="27"/>
  <c r="G232" i="27"/>
  <c r="O232" i="27" s="1"/>
  <c r="O231" i="27"/>
  <c r="E232" i="27"/>
  <c r="K232" i="27" s="1"/>
  <c r="K231" i="27"/>
  <c r="Q230" i="27"/>
  <c r="AA230" i="27" s="1"/>
  <c r="Y230" i="27"/>
  <c r="Q209" i="27"/>
  <c r="AA209" i="27" s="1"/>
  <c r="Y209" i="27"/>
  <c r="O210" i="27"/>
  <c r="G211" i="27"/>
  <c r="M209" i="27"/>
  <c r="W209" i="27" s="1"/>
  <c r="U209" i="27"/>
  <c r="K210" i="27"/>
  <c r="E211" i="27"/>
  <c r="K155" i="27"/>
  <c r="N190" i="27"/>
  <c r="N174" i="27"/>
  <c r="J194" i="27"/>
  <c r="J178" i="27"/>
  <c r="N189" i="27"/>
  <c r="N173" i="27"/>
  <c r="J198" i="27"/>
  <c r="J182" i="27"/>
  <c r="N193" i="27"/>
  <c r="N177" i="27"/>
  <c r="P170" i="27"/>
  <c r="Z170" i="27" s="1"/>
  <c r="T170" i="27"/>
  <c r="L165" i="27"/>
  <c r="V165" i="27" s="1"/>
  <c r="X165" i="27"/>
  <c r="X162" i="27"/>
  <c r="L162" i="27"/>
  <c r="V162" i="27" s="1"/>
  <c r="X159" i="27"/>
  <c r="L159" i="27"/>
  <c r="V159" i="27" s="1"/>
  <c r="T166" i="27"/>
  <c r="P166" i="27"/>
  <c r="Z166" i="27" s="1"/>
  <c r="J202" i="27"/>
  <c r="J186" i="27"/>
  <c r="N197" i="27"/>
  <c r="N181" i="27"/>
  <c r="N194" i="27"/>
  <c r="N178" i="27"/>
  <c r="N191" i="27"/>
  <c r="N175" i="27"/>
  <c r="X158" i="27"/>
  <c r="L158" i="27"/>
  <c r="V158" i="27" s="1"/>
  <c r="X161" i="27"/>
  <c r="L161" i="27"/>
  <c r="V161" i="27" s="1"/>
  <c r="L170" i="27"/>
  <c r="V170" i="27" s="1"/>
  <c r="X170" i="27"/>
  <c r="X167" i="27"/>
  <c r="L167" i="27"/>
  <c r="V167" i="27" s="1"/>
  <c r="X166" i="27"/>
  <c r="L166" i="27"/>
  <c r="V166" i="27" s="1"/>
  <c r="X169" i="27"/>
  <c r="L169" i="27"/>
  <c r="V169" i="27" s="1"/>
  <c r="X157" i="27"/>
  <c r="L157" i="27"/>
  <c r="V157" i="27" s="1"/>
  <c r="N202" i="27"/>
  <c r="N186" i="27"/>
  <c r="N199" i="27"/>
  <c r="N183" i="27"/>
  <c r="N198" i="27"/>
  <c r="N182" i="27"/>
  <c r="N201" i="27"/>
  <c r="N185" i="27"/>
  <c r="T162" i="27"/>
  <c r="P162" i="27"/>
  <c r="Z162" i="27" s="1"/>
  <c r="L163" i="27"/>
  <c r="V163" i="27" s="1"/>
  <c r="X163" i="27"/>
  <c r="P158" i="27"/>
  <c r="Z158" i="27" s="1"/>
  <c r="T158" i="27"/>
  <c r="N195" i="27"/>
  <c r="N179" i="27"/>
  <c r="J190" i="27"/>
  <c r="J174" i="27"/>
  <c r="M108" i="27"/>
  <c r="W108" i="27" s="1"/>
  <c r="Y108" i="27"/>
  <c r="O124" i="27"/>
  <c r="Q124" i="27" s="1"/>
  <c r="AA124" i="27" s="1"/>
  <c r="P125" i="27"/>
  <c r="Z125" i="27" s="1"/>
  <c r="T125" i="27"/>
  <c r="J141" i="27"/>
  <c r="P129" i="27"/>
  <c r="Z129" i="27" s="1"/>
  <c r="T129" i="27"/>
  <c r="P133" i="27"/>
  <c r="Z133" i="27" s="1"/>
  <c r="T133" i="27"/>
  <c r="J145" i="27"/>
  <c r="J149" i="27"/>
  <c r="K124" i="27"/>
  <c r="M124" i="27" s="1"/>
  <c r="W124" i="27" s="1"/>
  <c r="K139" i="27"/>
  <c r="M139" i="27" s="1"/>
  <c r="W139" i="27" s="1"/>
  <c r="T127" i="27"/>
  <c r="P127" i="27"/>
  <c r="Z127" i="27" s="1"/>
  <c r="J167" i="27"/>
  <c r="J163" i="27"/>
  <c r="T151" i="27"/>
  <c r="P151" i="27"/>
  <c r="Z151" i="27" s="1"/>
  <c r="U123" i="27"/>
  <c r="P147" i="27"/>
  <c r="Z147" i="27" s="1"/>
  <c r="T147" i="27"/>
  <c r="T139" i="27"/>
  <c r="P139" i="27"/>
  <c r="Z139" i="27" s="1"/>
  <c r="J143" i="27"/>
  <c r="J155" i="27"/>
  <c r="T153" i="27"/>
  <c r="P153" i="27"/>
  <c r="Z153" i="27" s="1"/>
  <c r="J169" i="27"/>
  <c r="O110" i="27"/>
  <c r="O80" i="27"/>
  <c r="Y79" i="27"/>
  <c r="Q79" i="27"/>
  <c r="AA79" i="27" s="1"/>
  <c r="O125" i="27"/>
  <c r="O95" i="27"/>
  <c r="Q94" i="27"/>
  <c r="AA94" i="27" s="1"/>
  <c r="Y94" i="27"/>
  <c r="Q139" i="27"/>
  <c r="AA139" i="27" s="1"/>
  <c r="Y139" i="27"/>
  <c r="Q109" i="27"/>
  <c r="AA109" i="27" s="1"/>
  <c r="Y109" i="27"/>
  <c r="K125" i="27"/>
  <c r="K140" i="27"/>
  <c r="K110" i="27"/>
  <c r="K95" i="27"/>
  <c r="M79" i="27"/>
  <c r="W79" i="27" s="1"/>
  <c r="U79" i="27"/>
  <c r="K80" i="27"/>
  <c r="M109" i="27"/>
  <c r="W109" i="27" s="1"/>
  <c r="U109" i="27"/>
  <c r="U94" i="27"/>
  <c r="M94" i="27"/>
  <c r="W94" i="27" s="1"/>
  <c r="Q63" i="27"/>
  <c r="AA63" i="27" s="1"/>
  <c r="Y63" i="27"/>
  <c r="O64" i="27"/>
  <c r="U63" i="27"/>
  <c r="M63" i="27"/>
  <c r="W63" i="27" s="1"/>
  <c r="K64" i="27"/>
  <c r="O50" i="27"/>
  <c r="K50" i="27"/>
  <c r="U49" i="27"/>
  <c r="M49" i="27"/>
  <c r="W49" i="27" s="1"/>
  <c r="Q49" i="27"/>
  <c r="AA49" i="27" s="1"/>
  <c r="Y49" i="27"/>
  <c r="Q33" i="27"/>
  <c r="AA33" i="27" s="1"/>
  <c r="Y33" i="27"/>
  <c r="G35" i="27"/>
  <c r="O34" i="27"/>
  <c r="M33" i="27"/>
  <c r="W33" i="27" s="1"/>
  <c r="U33" i="27"/>
  <c r="K34" i="27"/>
  <c r="E35" i="27"/>
  <c r="E64" i="24"/>
  <c r="K63" i="24"/>
  <c r="M62" i="24"/>
  <c r="W62" i="24" s="1"/>
  <c r="U62" i="24"/>
  <c r="Q62" i="24"/>
  <c r="AA62" i="24" s="1"/>
  <c r="Y62" i="24"/>
  <c r="G64" i="24"/>
  <c r="O63" i="24"/>
  <c r="G49" i="24"/>
  <c r="O48" i="24"/>
  <c r="Y47" i="24"/>
  <c r="Q47" i="24"/>
  <c r="AA47" i="24" s="1"/>
  <c r="Q33" i="24"/>
  <c r="AA33" i="24" s="1"/>
  <c r="Y33" i="24"/>
  <c r="O34" i="24"/>
  <c r="G35" i="24"/>
  <c r="K33" i="24"/>
  <c r="E34" i="24"/>
  <c r="U32" i="24"/>
  <c r="M32" i="24"/>
  <c r="W32" i="24" s="1"/>
  <c r="E50" i="24"/>
  <c r="K49" i="24"/>
  <c r="M48" i="24"/>
  <c r="W48" i="24" s="1"/>
  <c r="U48" i="24"/>
  <c r="E177" i="23"/>
  <c r="K176" i="23"/>
  <c r="M175" i="23"/>
  <c r="W175" i="23" s="1"/>
  <c r="U175" i="23"/>
  <c r="Q175" i="23"/>
  <c r="AA175" i="23" s="1"/>
  <c r="Y175" i="23"/>
  <c r="G177" i="23"/>
  <c r="O176" i="23"/>
  <c r="E154" i="23"/>
  <c r="K153" i="23"/>
  <c r="M152" i="23"/>
  <c r="W152" i="23" s="1"/>
  <c r="U152" i="23"/>
  <c r="G154" i="23"/>
  <c r="O153" i="23"/>
  <c r="Q152" i="23"/>
  <c r="AA152" i="23" s="1"/>
  <c r="Y152" i="23"/>
  <c r="M140" i="23"/>
  <c r="W140" i="23" s="1"/>
  <c r="U140" i="23"/>
  <c r="K141" i="23"/>
  <c r="E142" i="23"/>
  <c r="Q140" i="23"/>
  <c r="AA140" i="23" s="1"/>
  <c r="Y140" i="23"/>
  <c r="G142" i="23"/>
  <c r="O141" i="23"/>
  <c r="Q118" i="23"/>
  <c r="AA118" i="23" s="1"/>
  <c r="Y118" i="23"/>
  <c r="Q119" i="23"/>
  <c r="AA119" i="23" s="1"/>
  <c r="Y119" i="23"/>
  <c r="M118" i="23"/>
  <c r="W118" i="23" s="1"/>
  <c r="U118" i="23"/>
  <c r="M119" i="23"/>
  <c r="W119" i="23" s="1"/>
  <c r="U119" i="23"/>
  <c r="O108" i="23"/>
  <c r="Q107" i="23"/>
  <c r="AA107" i="23" s="1"/>
  <c r="Y107" i="23"/>
  <c r="K108" i="23"/>
  <c r="M107" i="23"/>
  <c r="W107" i="23" s="1"/>
  <c r="U107" i="23"/>
  <c r="E88" i="23"/>
  <c r="K87" i="23"/>
  <c r="M86" i="23"/>
  <c r="W86" i="23" s="1"/>
  <c r="U86" i="23"/>
  <c r="G88" i="23"/>
  <c r="O87" i="23"/>
  <c r="Q86" i="23"/>
  <c r="AA86" i="23" s="1"/>
  <c r="Y86" i="23"/>
  <c r="G65" i="23"/>
  <c r="O64" i="23"/>
  <c r="Q63" i="23"/>
  <c r="AA63" i="23" s="1"/>
  <c r="Y63" i="23"/>
  <c r="E65" i="23"/>
  <c r="K64" i="23"/>
  <c r="M63" i="23"/>
  <c r="W63" i="23" s="1"/>
  <c r="U63" i="23"/>
  <c r="Q47" i="23"/>
  <c r="AA47" i="23" s="1"/>
  <c r="Y47" i="23"/>
  <c r="O48" i="23"/>
  <c r="G49" i="23"/>
  <c r="M46" i="23"/>
  <c r="W46" i="23" s="1"/>
  <c r="U46" i="23"/>
  <c r="E48" i="23"/>
  <c r="K47" i="23"/>
  <c r="M18" i="23"/>
  <c r="W18" i="23" s="1"/>
  <c r="U18" i="23"/>
  <c r="K19" i="23"/>
  <c r="Q18" i="23"/>
  <c r="AA18" i="23" s="1"/>
  <c r="Y18" i="23"/>
  <c r="O19" i="23"/>
  <c r="L273" i="22"/>
  <c r="V273" i="22" s="1"/>
  <c r="X273" i="22"/>
  <c r="N297" i="22"/>
  <c r="N285" i="22"/>
  <c r="Q196" i="22"/>
  <c r="AA196" i="22" s="1"/>
  <c r="Y196" i="22"/>
  <c r="L263" i="22"/>
  <c r="V263" i="22" s="1"/>
  <c r="X263" i="22"/>
  <c r="X258" i="22"/>
  <c r="L258" i="22"/>
  <c r="V258" i="22" s="1"/>
  <c r="X254" i="22"/>
  <c r="L254" i="22"/>
  <c r="V254" i="22" s="1"/>
  <c r="P273" i="22"/>
  <c r="Z273" i="22" s="1"/>
  <c r="T273" i="22"/>
  <c r="K197" i="22"/>
  <c r="O197" i="22"/>
  <c r="N287" i="22"/>
  <c r="N275" i="22"/>
  <c r="N270" i="22"/>
  <c r="N266" i="22"/>
  <c r="J297" i="22"/>
  <c r="J285" i="22"/>
  <c r="M196" i="22"/>
  <c r="W196" i="22" s="1"/>
  <c r="U196" i="22"/>
  <c r="O222" i="22"/>
  <c r="P279" i="22"/>
  <c r="Z279" i="22" s="1"/>
  <c r="T279" i="22"/>
  <c r="X267" i="22"/>
  <c r="L267" i="22"/>
  <c r="V267" i="22" s="1"/>
  <c r="Q280" i="22"/>
  <c r="AA280" i="22" s="1"/>
  <c r="Y280" i="22"/>
  <c r="Q221" i="22"/>
  <c r="AA221" i="22" s="1"/>
  <c r="Y221" i="22"/>
  <c r="P291" i="22"/>
  <c r="Z291" i="22" s="1"/>
  <c r="T291" i="22"/>
  <c r="N291" i="22"/>
  <c r="N279" i="22"/>
  <c r="O281" i="22"/>
  <c r="J295" i="22"/>
  <c r="J283" i="22"/>
  <c r="M223" i="22"/>
  <c r="W223" i="22" s="1"/>
  <c r="U223" i="22"/>
  <c r="M244" i="22"/>
  <c r="W244" i="22" s="1"/>
  <c r="U244" i="22"/>
  <c r="K209" i="22"/>
  <c r="X283" i="22"/>
  <c r="L283" i="22"/>
  <c r="V283" i="22" s="1"/>
  <c r="Q232" i="22"/>
  <c r="AA232" i="22" s="1"/>
  <c r="Y232" i="22"/>
  <c r="N268" i="22"/>
  <c r="Y256" i="22"/>
  <c r="Q256" i="22"/>
  <c r="AA256" i="22" s="1"/>
  <c r="P271" i="22"/>
  <c r="Z271" i="22" s="1"/>
  <c r="T271" i="22"/>
  <c r="K225" i="22"/>
  <c r="K224" i="22"/>
  <c r="K245" i="22"/>
  <c r="M208" i="22"/>
  <c r="W208" i="22" s="1"/>
  <c r="U208" i="22"/>
  <c r="L295" i="22"/>
  <c r="V295" i="22" s="1"/>
  <c r="X295" i="22"/>
  <c r="O233" i="22"/>
  <c r="L256" i="22"/>
  <c r="V256" i="22" s="1"/>
  <c r="X256" i="22"/>
  <c r="O257" i="22"/>
  <c r="M292" i="22"/>
  <c r="W292" i="22" s="1"/>
  <c r="U292" i="22"/>
  <c r="J275" i="22"/>
  <c r="J287" i="22"/>
  <c r="N284" i="22"/>
  <c r="N296" i="22"/>
  <c r="X265" i="22"/>
  <c r="L265" i="22"/>
  <c r="V265" i="22" s="1"/>
  <c r="L288" i="22"/>
  <c r="V288" i="22" s="1"/>
  <c r="X288" i="22"/>
  <c r="K293" i="22"/>
  <c r="T263" i="22"/>
  <c r="P263" i="22"/>
  <c r="Z263" i="22" s="1"/>
  <c r="L272" i="22"/>
  <c r="V272" i="22" s="1"/>
  <c r="X272" i="22"/>
  <c r="N289" i="22"/>
  <c r="N277" i="22"/>
  <c r="X276" i="22"/>
  <c r="L276" i="22"/>
  <c r="V276" i="22" s="1"/>
  <c r="Q184" i="22"/>
  <c r="AA184" i="22" s="1"/>
  <c r="Y184" i="22"/>
  <c r="O185" i="22"/>
  <c r="G186" i="22"/>
  <c r="U184" i="22"/>
  <c r="M184" i="22"/>
  <c r="W184" i="22" s="1"/>
  <c r="K185" i="22"/>
  <c r="E186" i="22"/>
  <c r="J276" i="22"/>
  <c r="J288" i="22"/>
  <c r="P264" i="22"/>
  <c r="Z264" i="22" s="1"/>
  <c r="T264" i="22"/>
  <c r="T270" i="22"/>
  <c r="P270" i="22"/>
  <c r="Z270" i="22" s="1"/>
  <c r="Q245" i="22"/>
  <c r="AA245" i="22" s="1"/>
  <c r="Y245" i="22"/>
  <c r="J280" i="22"/>
  <c r="J292" i="22"/>
  <c r="Y269" i="22"/>
  <c r="Q269" i="22"/>
  <c r="AA269" i="22" s="1"/>
  <c r="M256" i="22"/>
  <c r="W256" i="22" s="1"/>
  <c r="U256" i="22"/>
  <c r="K273" i="22"/>
  <c r="K272" i="22"/>
  <c r="J294" i="22"/>
  <c r="J282" i="22"/>
  <c r="O246" i="22"/>
  <c r="P268" i="22"/>
  <c r="Z268" i="22" s="1"/>
  <c r="T268" i="22"/>
  <c r="O270" i="22"/>
  <c r="K281" i="22"/>
  <c r="P281" i="22"/>
  <c r="Z281" i="22" s="1"/>
  <c r="T281" i="22"/>
  <c r="X281" i="22"/>
  <c r="L281" i="22"/>
  <c r="V281" i="22" s="1"/>
  <c r="M280" i="22"/>
  <c r="W280" i="22" s="1"/>
  <c r="U280" i="22"/>
  <c r="K257" i="22"/>
  <c r="P293" i="22"/>
  <c r="Z293" i="22" s="1"/>
  <c r="T293" i="22"/>
  <c r="L293" i="22"/>
  <c r="V293" i="22" s="1"/>
  <c r="X293" i="22"/>
  <c r="M271" i="22"/>
  <c r="W271" i="22" s="1"/>
  <c r="U271" i="22"/>
  <c r="Q293" i="22"/>
  <c r="AA293" i="22" s="1"/>
  <c r="Y293" i="22"/>
  <c r="J278" i="22"/>
  <c r="J290" i="22"/>
  <c r="T272" i="22"/>
  <c r="P272" i="22"/>
  <c r="Z272" i="22" s="1"/>
  <c r="M232" i="22"/>
  <c r="W232" i="22" s="1"/>
  <c r="U232" i="22"/>
  <c r="O294" i="22"/>
  <c r="T266" i="22"/>
  <c r="P266" i="22"/>
  <c r="Z266" i="22" s="1"/>
  <c r="J284" i="22"/>
  <c r="J296" i="22"/>
  <c r="K233" i="22"/>
  <c r="K174" i="22"/>
  <c r="K175" i="22"/>
  <c r="M173" i="22"/>
  <c r="W173" i="22" s="1"/>
  <c r="U173" i="22"/>
  <c r="Q173" i="22"/>
  <c r="AA173" i="22" s="1"/>
  <c r="Y173" i="22"/>
  <c r="O175" i="22"/>
  <c r="O174" i="22"/>
  <c r="Q152" i="22"/>
  <c r="AA152" i="22" s="1"/>
  <c r="Y152" i="22"/>
  <c r="G154" i="22"/>
  <c r="O153" i="22"/>
  <c r="K157" i="22"/>
  <c r="E158" i="22"/>
  <c r="M156" i="22"/>
  <c r="W156" i="22" s="1"/>
  <c r="U156" i="22"/>
  <c r="M144" i="22"/>
  <c r="W144" i="22" s="1"/>
  <c r="U144" i="22"/>
  <c r="M145" i="22"/>
  <c r="W145" i="22" s="1"/>
  <c r="U145" i="22"/>
  <c r="G145" i="22"/>
  <c r="O145" i="22" s="1"/>
  <c r="O144" i="22"/>
  <c r="Q143" i="22"/>
  <c r="AA143" i="22" s="1"/>
  <c r="Y143" i="22"/>
  <c r="M132" i="22"/>
  <c r="W132" i="22" s="1"/>
  <c r="U132" i="22"/>
  <c r="K133" i="22"/>
  <c r="E134" i="22"/>
  <c r="Q132" i="22"/>
  <c r="AA132" i="22" s="1"/>
  <c r="Y132" i="22"/>
  <c r="G134" i="22"/>
  <c r="O133" i="22"/>
  <c r="K110" i="22"/>
  <c r="M109" i="22"/>
  <c r="W109" i="22" s="1"/>
  <c r="U109" i="22"/>
  <c r="Q109" i="22"/>
  <c r="AA109" i="22" s="1"/>
  <c r="Y109" i="22"/>
  <c r="O110" i="22"/>
  <c r="K87" i="22"/>
  <c r="M86" i="22"/>
  <c r="W86" i="22" s="1"/>
  <c r="U86" i="22"/>
  <c r="O87" i="22"/>
  <c r="Y86" i="22"/>
  <c r="Q86" i="22"/>
  <c r="AA86" i="22" s="1"/>
  <c r="M63" i="22"/>
  <c r="W63" i="22" s="1"/>
  <c r="U63" i="22"/>
  <c r="K64" i="22"/>
  <c r="Q63" i="22"/>
  <c r="AA63" i="22" s="1"/>
  <c r="Y63" i="22"/>
  <c r="O64" i="22"/>
  <c r="Q40" i="22"/>
  <c r="AA40" i="22" s="1"/>
  <c r="Y40" i="22"/>
  <c r="G42" i="22"/>
  <c r="O41" i="22"/>
  <c r="M42" i="22"/>
  <c r="W42" i="22" s="1"/>
  <c r="U42" i="22"/>
  <c r="K43" i="22"/>
  <c r="E44" i="22"/>
  <c r="M18" i="22"/>
  <c r="W18" i="22" s="1"/>
  <c r="U18" i="22"/>
  <c r="K19" i="22"/>
  <c r="O19" i="22"/>
  <c r="Q18" i="22"/>
  <c r="AA18" i="22" s="1"/>
  <c r="Y18" i="22"/>
  <c r="Q42" i="21"/>
  <c r="AA42" i="21" s="1"/>
  <c r="Y42" i="21"/>
  <c r="F129" i="21"/>
  <c r="N115" i="21"/>
  <c r="D135" i="21"/>
  <c r="J121" i="21"/>
  <c r="G44" i="21"/>
  <c r="O43" i="21"/>
  <c r="F137" i="21"/>
  <c r="N123" i="21"/>
  <c r="F118" i="21"/>
  <c r="N104" i="21"/>
  <c r="F135" i="21"/>
  <c r="N121" i="21"/>
  <c r="F113" i="21"/>
  <c r="N99" i="21"/>
  <c r="L88" i="21"/>
  <c r="V88" i="21" s="1"/>
  <c r="X88" i="21"/>
  <c r="P92" i="21"/>
  <c r="Z92" i="21" s="1"/>
  <c r="T92" i="21"/>
  <c r="L103" i="21"/>
  <c r="V103" i="21" s="1"/>
  <c r="X103" i="21"/>
  <c r="T82" i="21"/>
  <c r="P82" i="21"/>
  <c r="Z82" i="21" s="1"/>
  <c r="L92" i="21"/>
  <c r="V92" i="21" s="1"/>
  <c r="X92" i="21"/>
  <c r="P103" i="21"/>
  <c r="Z103" i="21" s="1"/>
  <c r="T103" i="21"/>
  <c r="T107" i="21"/>
  <c r="P107" i="21"/>
  <c r="Z107" i="21" s="1"/>
  <c r="F116" i="21"/>
  <c r="N102" i="21"/>
  <c r="D120" i="21"/>
  <c r="J106" i="21"/>
  <c r="F131" i="21"/>
  <c r="N117" i="21"/>
  <c r="D110" i="21"/>
  <c r="J96" i="21"/>
  <c r="F120" i="21"/>
  <c r="N106" i="21"/>
  <c r="D131" i="21"/>
  <c r="J117" i="21"/>
  <c r="X90" i="21"/>
  <c r="L90" i="21"/>
  <c r="V90" i="21" s="1"/>
  <c r="P88" i="21"/>
  <c r="Z88" i="21" s="1"/>
  <c r="T88" i="21"/>
  <c r="P97" i="21"/>
  <c r="Z97" i="21" s="1"/>
  <c r="T97" i="21"/>
  <c r="P86" i="21"/>
  <c r="Z86" i="21" s="1"/>
  <c r="T86" i="21"/>
  <c r="L82" i="21"/>
  <c r="V82" i="21" s="1"/>
  <c r="X82" i="21"/>
  <c r="P99" i="21"/>
  <c r="Z99" i="21" s="1"/>
  <c r="T99" i="21"/>
  <c r="P84" i="21"/>
  <c r="Z84" i="21" s="1"/>
  <c r="T84" i="21"/>
  <c r="P87" i="21"/>
  <c r="Z87" i="21" s="1"/>
  <c r="T87" i="21"/>
  <c r="X101" i="21"/>
  <c r="L101" i="21"/>
  <c r="V101" i="21" s="1"/>
  <c r="X109" i="21"/>
  <c r="L109" i="21"/>
  <c r="V109" i="21" s="1"/>
  <c r="L107" i="21"/>
  <c r="V107" i="21" s="1"/>
  <c r="X107" i="21"/>
  <c r="D116" i="21"/>
  <c r="J102" i="21"/>
  <c r="D125" i="21"/>
  <c r="J111" i="21"/>
  <c r="D114" i="21"/>
  <c r="J100" i="21"/>
  <c r="F110" i="21"/>
  <c r="N96" i="21"/>
  <c r="D127" i="21"/>
  <c r="J113" i="21"/>
  <c r="D112" i="21"/>
  <c r="J98" i="21"/>
  <c r="D115" i="21"/>
  <c r="J101" i="21"/>
  <c r="L84" i="21"/>
  <c r="V84" i="21" s="1"/>
  <c r="X84" i="21"/>
  <c r="X97" i="21"/>
  <c r="L97" i="21"/>
  <c r="V97" i="21" s="1"/>
  <c r="X86" i="21"/>
  <c r="L86" i="21"/>
  <c r="V86" i="21" s="1"/>
  <c r="M29" i="21"/>
  <c r="W29" i="21" s="1"/>
  <c r="U29" i="21"/>
  <c r="X91" i="21"/>
  <c r="L91" i="21"/>
  <c r="V91" i="21" s="1"/>
  <c r="P105" i="21"/>
  <c r="Z105" i="21" s="1"/>
  <c r="T105" i="21"/>
  <c r="U41" i="21"/>
  <c r="M41" i="21"/>
  <c r="W41" i="21" s="1"/>
  <c r="L85" i="21"/>
  <c r="V85" i="21" s="1"/>
  <c r="X85" i="21"/>
  <c r="F112" i="21"/>
  <c r="N98" i="21"/>
  <c r="F125" i="21"/>
  <c r="N111" i="21"/>
  <c r="F114" i="21"/>
  <c r="N100" i="21"/>
  <c r="E31" i="21"/>
  <c r="K30" i="21"/>
  <c r="F119" i="21"/>
  <c r="N105" i="21"/>
  <c r="D133" i="21"/>
  <c r="J119" i="21"/>
  <c r="E43" i="21"/>
  <c r="K42" i="21"/>
  <c r="O57" i="21"/>
  <c r="Q56" i="21"/>
  <c r="AA56" i="21" s="1"/>
  <c r="Y56" i="21"/>
  <c r="P123" i="21"/>
  <c r="Z123" i="21" s="1"/>
  <c r="T123" i="21"/>
  <c r="O69" i="21"/>
  <c r="Q80" i="21"/>
  <c r="AA80" i="21" s="1"/>
  <c r="Y80" i="21"/>
  <c r="P118" i="21"/>
  <c r="Z118" i="21" s="1"/>
  <c r="T118" i="21"/>
  <c r="Q68" i="21"/>
  <c r="AA68" i="21" s="1"/>
  <c r="Y68" i="21"/>
  <c r="J151" i="21"/>
  <c r="J137" i="21"/>
  <c r="O81" i="21"/>
  <c r="J132" i="21"/>
  <c r="P122" i="21"/>
  <c r="Z122" i="21" s="1"/>
  <c r="T122" i="21"/>
  <c r="J136" i="21"/>
  <c r="X136" i="21"/>
  <c r="L136" i="21"/>
  <c r="V136" i="21" s="1"/>
  <c r="K136" i="21"/>
  <c r="M136" i="21" s="1"/>
  <c r="W136" i="21" s="1"/>
  <c r="N150" i="21"/>
  <c r="N164" i="21"/>
  <c r="K71" i="21"/>
  <c r="M70" i="21"/>
  <c r="W70" i="21" s="1"/>
  <c r="U70" i="21"/>
  <c r="U110" i="21"/>
  <c r="M110" i="21"/>
  <c r="W110" i="21" s="1"/>
  <c r="K85" i="21"/>
  <c r="K111" i="21"/>
  <c r="K137" i="21"/>
  <c r="U84" i="21"/>
  <c r="M84" i="21"/>
  <c r="W84" i="21" s="1"/>
  <c r="K124" i="21"/>
  <c r="M123" i="21"/>
  <c r="W123" i="21" s="1"/>
  <c r="U123" i="21"/>
  <c r="K98" i="21"/>
  <c r="M97" i="21"/>
  <c r="W97" i="21" s="1"/>
  <c r="U97" i="21"/>
  <c r="K59" i="21"/>
  <c r="M58" i="21"/>
  <c r="W58" i="21" s="1"/>
  <c r="U58" i="21"/>
  <c r="Q31" i="21"/>
  <c r="AA31" i="21" s="1"/>
  <c r="Y31" i="21"/>
  <c r="O32" i="21"/>
  <c r="Q18" i="21"/>
  <c r="AA18" i="21" s="1"/>
  <c r="Y18" i="21"/>
  <c r="O19" i="21"/>
  <c r="M18" i="21"/>
  <c r="W18" i="21" s="1"/>
  <c r="U18" i="21"/>
  <c r="K19" i="21"/>
  <c r="E159" i="18"/>
  <c r="K158" i="18"/>
  <c r="K68" i="18"/>
  <c r="E69" i="18"/>
  <c r="M157" i="18"/>
  <c r="W157" i="18" s="1"/>
  <c r="U157" i="18"/>
  <c r="Q172" i="18"/>
  <c r="AA172" i="18" s="1"/>
  <c r="Y172" i="18"/>
  <c r="G174" i="18"/>
  <c r="O174" i="18" s="1"/>
  <c r="O173" i="18"/>
  <c r="Y163" i="18"/>
  <c r="Q163" i="18"/>
  <c r="AA163" i="18" s="1"/>
  <c r="Q164" i="18"/>
  <c r="AA164" i="18" s="1"/>
  <c r="Y164" i="18"/>
  <c r="Q139" i="18"/>
  <c r="AA139" i="18" s="1"/>
  <c r="Y139" i="18"/>
  <c r="G141" i="18"/>
  <c r="O140" i="18"/>
  <c r="K139" i="18"/>
  <c r="E140" i="18"/>
  <c r="M138" i="18"/>
  <c r="W138" i="18" s="1"/>
  <c r="U138" i="18"/>
  <c r="Q115" i="18"/>
  <c r="AA115" i="18" s="1"/>
  <c r="Y115" i="18"/>
  <c r="O116" i="18"/>
  <c r="M115" i="18"/>
  <c r="W115" i="18" s="1"/>
  <c r="U115" i="18"/>
  <c r="K116" i="18"/>
  <c r="Q91" i="18"/>
  <c r="AA91" i="18" s="1"/>
  <c r="Y91" i="18"/>
  <c r="O92" i="18"/>
  <c r="M91" i="18"/>
  <c r="W91" i="18" s="1"/>
  <c r="U91" i="18"/>
  <c r="K92" i="18"/>
  <c r="G76" i="18"/>
  <c r="O75" i="18"/>
  <c r="Q74" i="18"/>
  <c r="AA74" i="18" s="1"/>
  <c r="Y74" i="18"/>
  <c r="E46" i="18"/>
  <c r="K45" i="18"/>
  <c r="M44" i="18"/>
  <c r="W44" i="18" s="1"/>
  <c r="U44" i="18"/>
  <c r="Q44" i="18"/>
  <c r="AA44" i="18" s="1"/>
  <c r="Y44" i="18"/>
  <c r="G46" i="18"/>
  <c r="O45" i="18"/>
  <c r="K33" i="18"/>
  <c r="E34" i="18"/>
  <c r="M32" i="18"/>
  <c r="W32" i="18" s="1"/>
  <c r="U32" i="18"/>
  <c r="G34" i="18"/>
  <c r="O33" i="18"/>
  <c r="Q32" i="18"/>
  <c r="AA32" i="18" s="1"/>
  <c r="Y32" i="18"/>
  <c r="O20" i="18"/>
  <c r="Q19" i="18"/>
  <c r="AA19" i="18" s="1"/>
  <c r="Y19" i="18"/>
  <c r="E22" i="18"/>
  <c r="K21" i="18"/>
  <c r="U20" i="18"/>
  <c r="M20" i="18"/>
  <c r="W20" i="18" s="1"/>
  <c r="G148" i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/>
  <c r="E165" i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X156" i="1"/>
  <c r="L156" i="1"/>
  <c r="V156" i="1" s="1"/>
  <c r="N190" i="1"/>
  <c r="N173" i="1"/>
  <c r="T131" i="1"/>
  <c r="P131" i="1"/>
  <c r="Z131" i="1" s="1"/>
  <c r="J148" i="1"/>
  <c r="Q33" i="1"/>
  <c r="AA33" i="1" s="1"/>
  <c r="Y33" i="1"/>
  <c r="G35" i="1"/>
  <c r="O34" i="1"/>
  <c r="Q50" i="1"/>
  <c r="AA50" i="1" s="1"/>
  <c r="Y50" i="1"/>
  <c r="O51" i="1"/>
  <c r="O131" i="1"/>
  <c r="U50" i="1"/>
  <c r="M50" i="1"/>
  <c r="W50" i="1" s="1"/>
  <c r="K51" i="1"/>
  <c r="L148" i="1"/>
  <c r="V148" i="1" s="1"/>
  <c r="X148" i="1"/>
  <c r="L163" i="1"/>
  <c r="V163" i="1" s="1"/>
  <c r="X163" i="1"/>
  <c r="L176" i="1"/>
  <c r="V176" i="1" s="1"/>
  <c r="X176" i="1"/>
  <c r="N182" i="1"/>
  <c r="N165" i="1"/>
  <c r="N197" i="1"/>
  <c r="N180" i="1"/>
  <c r="L193" i="1"/>
  <c r="V193" i="1" s="1"/>
  <c r="X193" i="1"/>
  <c r="X161" i="1"/>
  <c r="L161" i="1"/>
  <c r="V161" i="1" s="1"/>
  <c r="O147" i="1"/>
  <c r="Y147" i="1" s="1"/>
  <c r="N195" i="1"/>
  <c r="N178" i="1"/>
  <c r="N191" i="1"/>
  <c r="N174" i="1"/>
  <c r="N194" i="1"/>
  <c r="N177" i="1"/>
  <c r="T143" i="1"/>
  <c r="P143" i="1"/>
  <c r="Z143" i="1" s="1"/>
  <c r="N184" i="1"/>
  <c r="N167" i="1"/>
  <c r="X162" i="1"/>
  <c r="L162" i="1"/>
  <c r="V162" i="1" s="1"/>
  <c r="L153" i="1"/>
  <c r="V153" i="1" s="1"/>
  <c r="X153" i="1"/>
  <c r="X160" i="1"/>
  <c r="L160" i="1"/>
  <c r="V160" i="1" s="1"/>
  <c r="J160" i="1"/>
  <c r="L150" i="1"/>
  <c r="V150" i="1" s="1"/>
  <c r="X150" i="1"/>
  <c r="N196" i="1"/>
  <c r="N179" i="1"/>
  <c r="N187" i="1"/>
  <c r="N170" i="1"/>
  <c r="L166" i="1"/>
  <c r="V166" i="1" s="1"/>
  <c r="X166" i="1"/>
  <c r="T155" i="1"/>
  <c r="P155" i="1"/>
  <c r="Z155" i="1" s="1"/>
  <c r="L154" i="1"/>
  <c r="V154" i="1" s="1"/>
  <c r="X154" i="1"/>
  <c r="X157" i="1"/>
  <c r="L157" i="1"/>
  <c r="V157" i="1" s="1"/>
  <c r="L183" i="1"/>
  <c r="V183" i="1" s="1"/>
  <c r="X183" i="1"/>
  <c r="J189" i="1"/>
  <c r="J172" i="1"/>
  <c r="N188" i="1"/>
  <c r="N171" i="1"/>
  <c r="M131" i="1"/>
  <c r="W131" i="1" s="1"/>
  <c r="U131" i="1"/>
  <c r="Q131" i="1"/>
  <c r="AA131" i="1" s="1"/>
  <c r="Y131" i="1"/>
  <c r="J191" i="1"/>
  <c r="J174" i="1"/>
  <c r="Q67" i="1"/>
  <c r="AA67" i="1" s="1"/>
  <c r="Y67" i="1"/>
  <c r="M115" i="1"/>
  <c r="W115" i="1" s="1"/>
  <c r="U115" i="1"/>
  <c r="P192" i="1"/>
  <c r="Z192" i="1" s="1"/>
  <c r="T192" i="1"/>
  <c r="L192" i="1"/>
  <c r="V192" i="1" s="1"/>
  <c r="X192" i="1"/>
  <c r="K132" i="1"/>
  <c r="O132" i="1"/>
  <c r="P157" i="1"/>
  <c r="Z157" i="1" s="1"/>
  <c r="T157" i="1"/>
  <c r="O68" i="1"/>
  <c r="K116" i="1"/>
  <c r="P175" i="1"/>
  <c r="Z175" i="1" s="1"/>
  <c r="T175" i="1"/>
  <c r="Q83" i="1"/>
  <c r="AA83" i="1" s="1"/>
  <c r="Y83" i="1"/>
  <c r="K164" i="1"/>
  <c r="P176" i="1"/>
  <c r="Z176" i="1" s="1"/>
  <c r="T176" i="1"/>
  <c r="K68" i="1"/>
  <c r="P196" i="1"/>
  <c r="Z196" i="1" s="1"/>
  <c r="T196" i="1"/>
  <c r="O116" i="1"/>
  <c r="O84" i="1"/>
  <c r="P173" i="1"/>
  <c r="Z173" i="1" s="1"/>
  <c r="T173" i="1"/>
  <c r="P180" i="1"/>
  <c r="Z180" i="1" s="1"/>
  <c r="T180" i="1"/>
  <c r="K148" i="1"/>
  <c r="P193" i="1"/>
  <c r="Z193" i="1" s="1"/>
  <c r="T193" i="1"/>
  <c r="Q99" i="1"/>
  <c r="AA99" i="1" s="1"/>
  <c r="Y99" i="1"/>
  <c r="P170" i="1"/>
  <c r="Z170" i="1" s="1"/>
  <c r="T170" i="1"/>
  <c r="M67" i="1"/>
  <c r="W67" i="1" s="1"/>
  <c r="U67" i="1"/>
  <c r="P190" i="1"/>
  <c r="Z190" i="1" s="1"/>
  <c r="T190" i="1"/>
  <c r="P197" i="1"/>
  <c r="Z197" i="1" s="1"/>
  <c r="T197" i="1"/>
  <c r="P184" i="1"/>
  <c r="Z184" i="1" s="1"/>
  <c r="T184" i="1"/>
  <c r="O100" i="1"/>
  <c r="P187" i="1"/>
  <c r="Z187" i="1" s="1"/>
  <c r="T187" i="1"/>
  <c r="P179" i="1"/>
  <c r="Z179" i="1" s="1"/>
  <c r="T179" i="1"/>
  <c r="M83" i="1"/>
  <c r="W83" i="1" s="1"/>
  <c r="U83" i="1"/>
  <c r="P166" i="1"/>
  <c r="Z166" i="1" s="1"/>
  <c r="T166" i="1"/>
  <c r="L169" i="1"/>
  <c r="V169" i="1" s="1"/>
  <c r="X169" i="1"/>
  <c r="P167" i="1"/>
  <c r="Z167" i="1" s="1"/>
  <c r="T167" i="1"/>
  <c r="P178" i="1"/>
  <c r="Z178" i="1" s="1"/>
  <c r="T178" i="1"/>
  <c r="M99" i="1"/>
  <c r="W99" i="1" s="1"/>
  <c r="U99" i="1"/>
  <c r="P186" i="1"/>
  <c r="Z186" i="1" s="1"/>
  <c r="T186" i="1"/>
  <c r="L175" i="1"/>
  <c r="V175" i="1" s="1"/>
  <c r="X175" i="1"/>
  <c r="M147" i="1"/>
  <c r="W147" i="1" s="1"/>
  <c r="U147" i="1"/>
  <c r="Q115" i="1"/>
  <c r="AA115" i="1" s="1"/>
  <c r="Y115" i="1"/>
  <c r="K84" i="1"/>
  <c r="P183" i="1"/>
  <c r="Z183" i="1" s="1"/>
  <c r="T183" i="1"/>
  <c r="L186" i="1"/>
  <c r="V186" i="1" s="1"/>
  <c r="X186" i="1"/>
  <c r="P195" i="1"/>
  <c r="Z195" i="1" s="1"/>
  <c r="T195" i="1"/>
  <c r="K100" i="1"/>
  <c r="P169" i="1"/>
  <c r="Z169" i="1" s="1"/>
  <c r="T169" i="1"/>
  <c r="Q205" i="1"/>
  <c r="AA205" i="1" s="1"/>
  <c r="Y205" i="1"/>
  <c r="O206" i="1"/>
  <c r="M205" i="1"/>
  <c r="W205" i="1" s="1"/>
  <c r="U205" i="1"/>
  <c r="K206" i="1"/>
  <c r="M36" i="1"/>
  <c r="W36" i="1" s="1"/>
  <c r="U36" i="1"/>
  <c r="E38" i="1"/>
  <c r="K37" i="1"/>
  <c r="Q96" i="29"/>
  <c r="AA96" i="29" s="1"/>
  <c r="Y96" i="29"/>
  <c r="O97" i="29"/>
  <c r="M96" i="29"/>
  <c r="W96" i="29" s="1"/>
  <c r="U96" i="29"/>
  <c r="K97" i="29"/>
  <c r="Q88" i="29"/>
  <c r="AA88" i="29" s="1"/>
  <c r="Y88" i="29"/>
  <c r="Q89" i="29"/>
  <c r="AA89" i="29" s="1"/>
  <c r="Y89" i="29"/>
  <c r="M87" i="29"/>
  <c r="W87" i="29" s="1"/>
  <c r="U87" i="29"/>
  <c r="E89" i="29"/>
  <c r="K89" i="29" s="1"/>
  <c r="K88" i="29"/>
  <c r="M64" i="29"/>
  <c r="W64" i="29" s="1"/>
  <c r="U64" i="29"/>
  <c r="K65" i="29"/>
  <c r="E66" i="29"/>
  <c r="Q64" i="29"/>
  <c r="AA64" i="29" s="1"/>
  <c r="Y64" i="29"/>
  <c r="G66" i="29"/>
  <c r="O65" i="29"/>
  <c r="E45" i="29"/>
  <c r="K44" i="29"/>
  <c r="M43" i="29"/>
  <c r="W43" i="29" s="1"/>
  <c r="U43" i="29"/>
  <c r="G45" i="29"/>
  <c r="O44" i="29"/>
  <c r="Q43" i="29"/>
  <c r="AA43" i="29" s="1"/>
  <c r="Y43" i="29"/>
  <c r="K163" i="19"/>
  <c r="E164" i="19"/>
  <c r="G163" i="19"/>
  <c r="O162" i="19"/>
  <c r="Q161" i="19"/>
  <c r="AA161" i="19" s="1"/>
  <c r="Y161" i="19"/>
  <c r="M162" i="19"/>
  <c r="W162" i="19" s="1"/>
  <c r="U162" i="19"/>
  <c r="Q129" i="19"/>
  <c r="AA129" i="19" s="1"/>
  <c r="Y129" i="19"/>
  <c r="O130" i="19"/>
  <c r="G131" i="19"/>
  <c r="U129" i="19"/>
  <c r="M129" i="19"/>
  <c r="W129" i="19" s="1"/>
  <c r="E131" i="19"/>
  <c r="K130" i="19"/>
  <c r="Q105" i="19"/>
  <c r="AA105" i="19" s="1"/>
  <c r="Y105" i="19"/>
  <c r="O106" i="19"/>
  <c r="G107" i="19"/>
  <c r="K106" i="19"/>
  <c r="E107" i="19"/>
  <c r="M105" i="19"/>
  <c r="W105" i="19" s="1"/>
  <c r="U105" i="19"/>
  <c r="Q97" i="19"/>
  <c r="AA97" i="19" s="1"/>
  <c r="Y97" i="19"/>
  <c r="M98" i="19"/>
  <c r="W98" i="19" s="1"/>
  <c r="U98" i="19"/>
  <c r="Q98" i="19"/>
  <c r="AA98" i="19" s="1"/>
  <c r="Y98" i="19"/>
  <c r="M97" i="19"/>
  <c r="W97" i="19" s="1"/>
  <c r="U97" i="19"/>
  <c r="O84" i="19"/>
  <c r="Q83" i="19"/>
  <c r="AA83" i="19" s="1"/>
  <c r="Y83" i="19"/>
  <c r="M82" i="19"/>
  <c r="W82" i="19" s="1"/>
  <c r="U82" i="19"/>
  <c r="K83" i="19"/>
  <c r="O19" i="19"/>
  <c r="G20" i="19"/>
  <c r="Q18" i="19"/>
  <c r="AA18" i="19" s="1"/>
  <c r="Y18" i="19"/>
  <c r="M18" i="19"/>
  <c r="W18" i="19" s="1"/>
  <c r="U18" i="19"/>
  <c r="E20" i="19"/>
  <c r="K19" i="19"/>
  <c r="G65" i="19"/>
  <c r="O64" i="19"/>
  <c r="Q63" i="19"/>
  <c r="AA63" i="19" s="1"/>
  <c r="Y63" i="19"/>
  <c r="M47" i="19"/>
  <c r="W47" i="19" s="1"/>
  <c r="U47" i="19"/>
  <c r="O48" i="19"/>
  <c r="G49" i="19"/>
  <c r="K48" i="19"/>
  <c r="E49" i="19"/>
  <c r="Q47" i="19"/>
  <c r="AA47" i="19" s="1"/>
  <c r="Y47" i="19"/>
  <c r="M64" i="19"/>
  <c r="W64" i="19" s="1"/>
  <c r="U64" i="19"/>
  <c r="E66" i="19"/>
  <c r="K65" i="19"/>
  <c r="Y30" i="19"/>
  <c r="Q30" i="19"/>
  <c r="AA30" i="19" s="1"/>
  <c r="O31" i="19"/>
  <c r="G32" i="19"/>
  <c r="E35" i="19"/>
  <c r="K34" i="19"/>
  <c r="M33" i="19"/>
  <c r="W33" i="19" s="1"/>
  <c r="U33" i="19"/>
  <c r="O91" i="25"/>
  <c r="K82" i="25"/>
  <c r="Q45" i="25"/>
  <c r="AA45" i="25" s="1"/>
  <c r="Y45" i="25"/>
  <c r="O82" i="25"/>
  <c r="Q63" i="25"/>
  <c r="AA63" i="25" s="1"/>
  <c r="Y63" i="25"/>
  <c r="O46" i="25"/>
  <c r="O73" i="25"/>
  <c r="O64" i="25"/>
  <c r="Q54" i="25"/>
  <c r="AA54" i="25" s="1"/>
  <c r="Y54" i="25"/>
  <c r="M63" i="25"/>
  <c r="W63" i="25" s="1"/>
  <c r="U63" i="25"/>
  <c r="Q81" i="25"/>
  <c r="AA81" i="25" s="1"/>
  <c r="Y81" i="25"/>
  <c r="Q72" i="25"/>
  <c r="AA72" i="25" s="1"/>
  <c r="Y72" i="25"/>
  <c r="O55" i="25"/>
  <c r="K64" i="25"/>
  <c r="M72" i="25"/>
  <c r="W72" i="25" s="1"/>
  <c r="U72" i="25"/>
  <c r="U45" i="25"/>
  <c r="M45" i="25"/>
  <c r="W45" i="25" s="1"/>
  <c r="M54" i="25"/>
  <c r="W54" i="25" s="1"/>
  <c r="U54" i="25"/>
  <c r="K91" i="25"/>
  <c r="K73" i="25"/>
  <c r="M81" i="25"/>
  <c r="W81" i="25" s="1"/>
  <c r="U81" i="25"/>
  <c r="K46" i="25"/>
  <c r="K55" i="25"/>
  <c r="Q39" i="25"/>
  <c r="AA39" i="25" s="1"/>
  <c r="Y39" i="25"/>
  <c r="O40" i="25"/>
  <c r="Q30" i="25"/>
  <c r="AA30" i="25" s="1"/>
  <c r="Y30" i="25"/>
  <c r="M29" i="25"/>
  <c r="W29" i="25" s="1"/>
  <c r="U29" i="25"/>
  <c r="K39" i="25"/>
  <c r="M38" i="25"/>
  <c r="W38" i="25" s="1"/>
  <c r="U38" i="25"/>
  <c r="K30" i="25"/>
  <c r="X36" i="25"/>
  <c r="L36" i="25"/>
  <c r="V36" i="25" s="1"/>
  <c r="L18" i="25"/>
  <c r="V18" i="25" s="1"/>
  <c r="X18" i="25"/>
  <c r="X54" i="25"/>
  <c r="L54" i="25"/>
  <c r="V54" i="25" s="1"/>
  <c r="N46" i="25"/>
  <c r="N28" i="25"/>
  <c r="N37" i="25"/>
  <c r="L45" i="25"/>
  <c r="V45" i="25" s="1"/>
  <c r="X45" i="25"/>
  <c r="N64" i="25"/>
  <c r="X27" i="25"/>
  <c r="L27" i="25"/>
  <c r="V27" i="25" s="1"/>
  <c r="F29" i="25"/>
  <c r="N19" i="25"/>
  <c r="N55" i="25"/>
  <c r="J46" i="25"/>
  <c r="D29" i="25"/>
  <c r="J19" i="25"/>
  <c r="J64" i="25"/>
  <c r="P54" i="25"/>
  <c r="Z54" i="25" s="1"/>
  <c r="T54" i="25"/>
  <c r="T45" i="25"/>
  <c r="P45" i="25"/>
  <c r="Z45" i="25" s="1"/>
  <c r="T27" i="25"/>
  <c r="P27" i="25"/>
  <c r="Z27" i="25" s="1"/>
  <c r="P36" i="25"/>
  <c r="Z36" i="25" s="1"/>
  <c r="T36" i="25"/>
  <c r="J55" i="25"/>
  <c r="J37" i="25"/>
  <c r="P18" i="25"/>
  <c r="Z18" i="25" s="1"/>
  <c r="T18" i="25"/>
  <c r="J28" i="25"/>
  <c r="P82" i="25"/>
  <c r="Z82" i="25" s="1"/>
  <c r="T82" i="25"/>
  <c r="P92" i="25"/>
  <c r="Z92" i="25" s="1"/>
  <c r="T92" i="25"/>
  <c r="Q33" i="39" l="1"/>
  <c r="AA33" i="39" s="1"/>
  <c r="Y33" i="39"/>
  <c r="G35" i="39"/>
  <c r="O34" i="39"/>
  <c r="E36" i="39"/>
  <c r="K36" i="39" s="1"/>
  <c r="K35" i="39"/>
  <c r="U34" i="39"/>
  <c r="M34" i="39"/>
  <c r="W34" i="39" s="1"/>
  <c r="G21" i="39"/>
  <c r="O20" i="39"/>
  <c r="Q19" i="39"/>
  <c r="AA19" i="39" s="1"/>
  <c r="Y19" i="39"/>
  <c r="K21" i="39"/>
  <c r="E22" i="39"/>
  <c r="M20" i="39"/>
  <c r="W20" i="39" s="1"/>
  <c r="U20" i="39"/>
  <c r="Q47" i="39"/>
  <c r="AA47" i="39" s="1"/>
  <c r="Y47" i="39"/>
  <c r="O48" i="39"/>
  <c r="M48" i="39"/>
  <c r="W48" i="39" s="1"/>
  <c r="U48" i="39"/>
  <c r="K49" i="39"/>
  <c r="Y28" i="38"/>
  <c r="Q28" i="38"/>
  <c r="AA28" i="38" s="1"/>
  <c r="O29" i="38"/>
  <c r="K116" i="38"/>
  <c r="Y99" i="38"/>
  <c r="Q99" i="38"/>
  <c r="AA99" i="38" s="1"/>
  <c r="J153" i="38"/>
  <c r="N151" i="38"/>
  <c r="L132" i="38"/>
  <c r="V132" i="38" s="1"/>
  <c r="X132" i="38"/>
  <c r="J171" i="38"/>
  <c r="P132" i="38"/>
  <c r="Z132" i="38" s="1"/>
  <c r="T132" i="38"/>
  <c r="O84" i="38"/>
  <c r="L136" i="38"/>
  <c r="V136" i="38" s="1"/>
  <c r="X136" i="38"/>
  <c r="M34" i="38"/>
  <c r="W34" i="38" s="1"/>
  <c r="U34" i="38"/>
  <c r="T143" i="38"/>
  <c r="P143" i="38"/>
  <c r="Z143" i="38" s="1"/>
  <c r="J152" i="38"/>
  <c r="K84" i="38"/>
  <c r="P117" i="38"/>
  <c r="Z117" i="38" s="1"/>
  <c r="T117" i="38"/>
  <c r="P128" i="38"/>
  <c r="Z128" i="38" s="1"/>
  <c r="T128" i="38"/>
  <c r="Q147" i="38"/>
  <c r="AA147" i="38" s="1"/>
  <c r="Y147" i="38"/>
  <c r="P136" i="38"/>
  <c r="Z136" i="38" s="1"/>
  <c r="T136" i="38"/>
  <c r="L134" i="38"/>
  <c r="V134" i="38" s="1"/>
  <c r="X134" i="38"/>
  <c r="N149" i="38"/>
  <c r="T154" i="38"/>
  <c r="P154" i="38"/>
  <c r="Z154" i="38" s="1"/>
  <c r="J149" i="38"/>
  <c r="Y83" i="38"/>
  <c r="Q83" i="38"/>
  <c r="AA83" i="38" s="1"/>
  <c r="N153" i="38"/>
  <c r="K35" i="38"/>
  <c r="J160" i="38"/>
  <c r="T135" i="38"/>
  <c r="P135" i="38"/>
  <c r="Z135" i="38" s="1"/>
  <c r="N150" i="38"/>
  <c r="P116" i="38"/>
  <c r="Z116" i="38" s="1"/>
  <c r="T116" i="38"/>
  <c r="N139" i="38"/>
  <c r="J146" i="38"/>
  <c r="M83" i="38"/>
  <c r="W83" i="38" s="1"/>
  <c r="U83" i="38"/>
  <c r="J145" i="38"/>
  <c r="O164" i="38"/>
  <c r="P131" i="38"/>
  <c r="Z131" i="38" s="1"/>
  <c r="T131" i="38"/>
  <c r="X121" i="38"/>
  <c r="L121" i="38"/>
  <c r="V121" i="38" s="1"/>
  <c r="O36" i="38"/>
  <c r="N154" i="38"/>
  <c r="Q115" i="38"/>
  <c r="AA115" i="38" s="1"/>
  <c r="Y115" i="38"/>
  <c r="O52" i="38"/>
  <c r="K68" i="38"/>
  <c r="N142" i="38"/>
  <c r="L126" i="38"/>
  <c r="V126" i="38" s="1"/>
  <c r="X126" i="38"/>
  <c r="J138" i="38"/>
  <c r="U147" i="38"/>
  <c r="M147" i="38"/>
  <c r="W147" i="38" s="1"/>
  <c r="L133" i="38"/>
  <c r="V133" i="38" s="1"/>
  <c r="X133" i="38"/>
  <c r="J133" i="38"/>
  <c r="X114" i="38"/>
  <c r="L114" i="38"/>
  <c r="V114" i="38" s="1"/>
  <c r="O148" i="38"/>
  <c r="J148" i="38"/>
  <c r="N138" i="38"/>
  <c r="X137" i="38"/>
  <c r="L137" i="38"/>
  <c r="V137" i="38" s="1"/>
  <c r="O116" i="38"/>
  <c r="Q51" i="38"/>
  <c r="AA51" i="38" s="1"/>
  <c r="Y51" i="38"/>
  <c r="U67" i="38"/>
  <c r="M67" i="38"/>
  <c r="W67" i="38" s="1"/>
  <c r="X125" i="38"/>
  <c r="L125" i="38"/>
  <c r="V125" i="38" s="1"/>
  <c r="N143" i="38"/>
  <c r="P121" i="38"/>
  <c r="Z121" i="38" s="1"/>
  <c r="T121" i="38"/>
  <c r="K164" i="38"/>
  <c r="N135" i="38"/>
  <c r="Y67" i="38"/>
  <c r="Q67" i="38"/>
  <c r="AA67" i="38" s="1"/>
  <c r="N131" i="38"/>
  <c r="K52" i="38"/>
  <c r="Y131" i="38"/>
  <c r="Q131" i="38"/>
  <c r="AA131" i="38" s="1"/>
  <c r="M99" i="38"/>
  <c r="W99" i="38" s="1"/>
  <c r="U99" i="38"/>
  <c r="X158" i="38"/>
  <c r="L158" i="38"/>
  <c r="V158" i="38" s="1"/>
  <c r="T161" i="38"/>
  <c r="P161" i="38"/>
  <c r="Z161" i="38" s="1"/>
  <c r="J142" i="38"/>
  <c r="N179" i="38"/>
  <c r="P124" i="38"/>
  <c r="Z124" i="38" s="1"/>
  <c r="T124" i="38"/>
  <c r="K148" i="38"/>
  <c r="L118" i="38"/>
  <c r="V118" i="38" s="1"/>
  <c r="X118" i="38"/>
  <c r="O68" i="38"/>
  <c r="P122" i="38"/>
  <c r="Z122" i="38" s="1"/>
  <c r="T122" i="38"/>
  <c r="M51" i="38"/>
  <c r="W51" i="38" s="1"/>
  <c r="U51" i="38"/>
  <c r="O132" i="38"/>
  <c r="K100" i="38"/>
  <c r="N175" i="38"/>
  <c r="J178" i="38"/>
  <c r="P125" i="38"/>
  <c r="Z125" i="38" s="1"/>
  <c r="T125" i="38"/>
  <c r="X162" i="38"/>
  <c r="L162" i="38"/>
  <c r="V162" i="38" s="1"/>
  <c r="J141" i="38"/>
  <c r="N140" i="38"/>
  <c r="M131" i="38"/>
  <c r="W131" i="38" s="1"/>
  <c r="U131" i="38"/>
  <c r="O100" i="38"/>
  <c r="N144" i="38"/>
  <c r="N146" i="38"/>
  <c r="P174" i="38"/>
  <c r="Z174" i="38" s="1"/>
  <c r="T174" i="38"/>
  <c r="L127" i="38"/>
  <c r="V127" i="38" s="1"/>
  <c r="X127" i="38"/>
  <c r="U115" i="38"/>
  <c r="M115" i="38"/>
  <c r="W115" i="38" s="1"/>
  <c r="L122" i="38"/>
  <c r="V122" i="38" s="1"/>
  <c r="X122" i="38"/>
  <c r="J134" i="38"/>
  <c r="P129" i="38"/>
  <c r="Z129" i="38" s="1"/>
  <c r="T129" i="38"/>
  <c r="J139" i="38"/>
  <c r="X129" i="38"/>
  <c r="L129" i="38"/>
  <c r="V129" i="38" s="1"/>
  <c r="L123" i="38"/>
  <c r="V123" i="38" s="1"/>
  <c r="X123" i="38"/>
  <c r="K132" i="38"/>
  <c r="G68" i="36"/>
  <c r="O68" i="36" s="1"/>
  <c r="O67" i="36"/>
  <c r="Q66" i="36"/>
  <c r="AA66" i="36" s="1"/>
  <c r="Y66" i="36"/>
  <c r="K66" i="36"/>
  <c r="E67" i="36"/>
  <c r="M65" i="36"/>
  <c r="W65" i="36" s="1"/>
  <c r="U65" i="36"/>
  <c r="M54" i="36"/>
  <c r="W54" i="36" s="1"/>
  <c r="U54" i="36"/>
  <c r="E56" i="36"/>
  <c r="K55" i="36"/>
  <c r="G56" i="36"/>
  <c r="O55" i="36"/>
  <c r="Q54" i="36"/>
  <c r="AA54" i="36" s="1"/>
  <c r="Y54" i="36"/>
  <c r="K43" i="36"/>
  <c r="E44" i="36"/>
  <c r="M42" i="36"/>
  <c r="W42" i="36" s="1"/>
  <c r="U42" i="36"/>
  <c r="G44" i="36"/>
  <c r="O43" i="36"/>
  <c r="Q42" i="36"/>
  <c r="AA42" i="36" s="1"/>
  <c r="Y42" i="36"/>
  <c r="Q33" i="36"/>
  <c r="AA33" i="36" s="1"/>
  <c r="Y33" i="36"/>
  <c r="Y34" i="36"/>
  <c r="Q34" i="36"/>
  <c r="AA34" i="36" s="1"/>
  <c r="P39" i="35"/>
  <c r="Z39" i="35" s="1"/>
  <c r="T39" i="35"/>
  <c r="J42" i="35"/>
  <c r="J46" i="35"/>
  <c r="N42" i="35"/>
  <c r="P43" i="35"/>
  <c r="Z43" i="35" s="1"/>
  <c r="T43" i="35"/>
  <c r="L39" i="35"/>
  <c r="V39" i="35" s="1"/>
  <c r="X39" i="35"/>
  <c r="P41" i="35"/>
  <c r="Z41" i="35" s="1"/>
  <c r="T41" i="35"/>
  <c r="L38" i="35"/>
  <c r="V38" i="35" s="1"/>
  <c r="X38" i="35"/>
  <c r="L40" i="35"/>
  <c r="V40" i="35" s="1"/>
  <c r="X40" i="35"/>
  <c r="J44" i="35"/>
  <c r="N41" i="35"/>
  <c r="N43" i="35"/>
  <c r="Q29" i="31"/>
  <c r="AA29" i="31" s="1"/>
  <c r="Y29" i="31"/>
  <c r="M29" i="31"/>
  <c r="W29" i="31" s="1"/>
  <c r="U29" i="31"/>
  <c r="O30" i="31"/>
  <c r="G31" i="31"/>
  <c r="E31" i="31"/>
  <c r="K30" i="31"/>
  <c r="M74" i="31"/>
  <c r="W74" i="31" s="1"/>
  <c r="U74" i="31"/>
  <c r="K75" i="31"/>
  <c r="Q74" i="31"/>
  <c r="AA74" i="31" s="1"/>
  <c r="Y74" i="31"/>
  <c r="O75" i="31"/>
  <c r="K63" i="31"/>
  <c r="M62" i="31"/>
  <c r="W62" i="31" s="1"/>
  <c r="U62" i="31"/>
  <c r="Q62" i="31"/>
  <c r="AA62" i="31" s="1"/>
  <c r="Y62" i="31"/>
  <c r="O63" i="31"/>
  <c r="M51" i="31"/>
  <c r="W51" i="31" s="1"/>
  <c r="U51" i="31"/>
  <c r="Q51" i="31"/>
  <c r="AA51" i="31" s="1"/>
  <c r="Y51" i="31"/>
  <c r="O52" i="31"/>
  <c r="K52" i="31"/>
  <c r="O41" i="31"/>
  <c r="Q40" i="31"/>
  <c r="AA40" i="31" s="1"/>
  <c r="Y40" i="31"/>
  <c r="K41" i="31"/>
  <c r="M40" i="31"/>
  <c r="W40" i="31" s="1"/>
  <c r="U40" i="31"/>
  <c r="G181" i="28"/>
  <c r="O180" i="28"/>
  <c r="K180" i="28"/>
  <c r="E181" i="28"/>
  <c r="M179" i="28"/>
  <c r="W179" i="28" s="1"/>
  <c r="U179" i="28"/>
  <c r="Q179" i="28"/>
  <c r="AA179" i="28" s="1"/>
  <c r="Y179" i="28"/>
  <c r="E165" i="28"/>
  <c r="K164" i="28"/>
  <c r="M163" i="28"/>
  <c r="W163" i="28" s="1"/>
  <c r="U163" i="28"/>
  <c r="G165" i="28"/>
  <c r="O164" i="28"/>
  <c r="Q163" i="28"/>
  <c r="AA163" i="28" s="1"/>
  <c r="Y163" i="28"/>
  <c r="Q47" i="28"/>
  <c r="AA47" i="28" s="1"/>
  <c r="Y47" i="28"/>
  <c r="O48" i="28"/>
  <c r="G49" i="28"/>
  <c r="K48" i="28"/>
  <c r="E49" i="28"/>
  <c r="U47" i="28"/>
  <c r="M47" i="28"/>
  <c r="W47" i="28" s="1"/>
  <c r="Q134" i="28"/>
  <c r="AA134" i="28" s="1"/>
  <c r="Y134" i="28"/>
  <c r="O135" i="28"/>
  <c r="M134" i="28"/>
  <c r="W134" i="28" s="1"/>
  <c r="U134" i="28"/>
  <c r="K135" i="28"/>
  <c r="Q105" i="28"/>
  <c r="AA105" i="28" s="1"/>
  <c r="Y105" i="28"/>
  <c r="O106" i="28"/>
  <c r="M105" i="28"/>
  <c r="W105" i="28" s="1"/>
  <c r="U105" i="28"/>
  <c r="K106" i="28"/>
  <c r="O77" i="28"/>
  <c r="K77" i="28"/>
  <c r="Q76" i="28"/>
  <c r="AA76" i="28" s="1"/>
  <c r="Y76" i="28"/>
  <c r="M76" i="28"/>
  <c r="W76" i="28" s="1"/>
  <c r="U76" i="28"/>
  <c r="M256" i="27"/>
  <c r="W256" i="27" s="1"/>
  <c r="U256" i="27"/>
  <c r="Q255" i="27"/>
  <c r="AA255" i="27" s="1"/>
  <c r="Y255" i="27"/>
  <c r="Q256" i="27"/>
  <c r="AA256" i="27" s="1"/>
  <c r="Y256" i="27"/>
  <c r="M255" i="27"/>
  <c r="W255" i="27" s="1"/>
  <c r="U255" i="27"/>
  <c r="G244" i="27"/>
  <c r="O244" i="27" s="1"/>
  <c r="O243" i="27"/>
  <c r="Y242" i="27"/>
  <c r="Q242" i="27"/>
  <c r="AA242" i="27" s="1"/>
  <c r="K243" i="27"/>
  <c r="E244" i="27"/>
  <c r="K244" i="27" s="1"/>
  <c r="M242" i="27"/>
  <c r="W242" i="27" s="1"/>
  <c r="U242" i="27"/>
  <c r="M232" i="27"/>
  <c r="W232" i="27" s="1"/>
  <c r="U232" i="27"/>
  <c r="Q231" i="27"/>
  <c r="AA231" i="27" s="1"/>
  <c r="Y231" i="27"/>
  <c r="M231" i="27"/>
  <c r="W231" i="27" s="1"/>
  <c r="U231" i="27"/>
  <c r="Q232" i="27"/>
  <c r="AA232" i="27" s="1"/>
  <c r="Y232" i="27"/>
  <c r="K211" i="27"/>
  <c r="E212" i="27"/>
  <c r="M210" i="27"/>
  <c r="W210" i="27" s="1"/>
  <c r="U210" i="27"/>
  <c r="G212" i="27"/>
  <c r="O211" i="27"/>
  <c r="Q210" i="27"/>
  <c r="AA210" i="27" s="1"/>
  <c r="Y210" i="27"/>
  <c r="P182" i="27"/>
  <c r="Z182" i="27" s="1"/>
  <c r="T182" i="27"/>
  <c r="P190" i="27"/>
  <c r="Z190" i="27" s="1"/>
  <c r="T190" i="27"/>
  <c r="L199" i="27"/>
  <c r="V199" i="27" s="1"/>
  <c r="X199" i="27"/>
  <c r="L197" i="27"/>
  <c r="V197" i="27" s="1"/>
  <c r="X197" i="27"/>
  <c r="P198" i="27"/>
  <c r="Z198" i="27" s="1"/>
  <c r="T198" i="27"/>
  <c r="X181" i="27"/>
  <c r="L181" i="27"/>
  <c r="V181" i="27" s="1"/>
  <c r="L179" i="27"/>
  <c r="V179" i="27" s="1"/>
  <c r="X179" i="27"/>
  <c r="L186" i="27"/>
  <c r="V186" i="27" s="1"/>
  <c r="X186" i="27"/>
  <c r="P186" i="27"/>
  <c r="Z186" i="27" s="1"/>
  <c r="T186" i="27"/>
  <c r="L173" i="27"/>
  <c r="V173" i="27" s="1"/>
  <c r="X173" i="27"/>
  <c r="L195" i="27"/>
  <c r="V195" i="27" s="1"/>
  <c r="X195" i="27"/>
  <c r="L202" i="27"/>
  <c r="V202" i="27" s="1"/>
  <c r="X202" i="27"/>
  <c r="P202" i="27"/>
  <c r="Z202" i="27" s="1"/>
  <c r="T202" i="27"/>
  <c r="L189" i="27"/>
  <c r="V189" i="27" s="1"/>
  <c r="X189" i="27"/>
  <c r="X185" i="27"/>
  <c r="L185" i="27"/>
  <c r="V185" i="27" s="1"/>
  <c r="L175" i="27"/>
  <c r="V175" i="27" s="1"/>
  <c r="X175" i="27"/>
  <c r="P178" i="27"/>
  <c r="Z178" i="27" s="1"/>
  <c r="T178" i="27"/>
  <c r="X201" i="27"/>
  <c r="L201" i="27"/>
  <c r="V201" i="27" s="1"/>
  <c r="L191" i="27"/>
  <c r="V191" i="27" s="1"/>
  <c r="X191" i="27"/>
  <c r="T194" i="27"/>
  <c r="P194" i="27"/>
  <c r="Z194" i="27" s="1"/>
  <c r="L183" i="27"/>
  <c r="V183" i="27" s="1"/>
  <c r="X183" i="27"/>
  <c r="L182" i="27"/>
  <c r="V182" i="27" s="1"/>
  <c r="X182" i="27"/>
  <c r="L178" i="27"/>
  <c r="V178" i="27" s="1"/>
  <c r="X178" i="27"/>
  <c r="L177" i="27"/>
  <c r="V177" i="27" s="1"/>
  <c r="X177" i="27"/>
  <c r="L174" i="27"/>
  <c r="V174" i="27" s="1"/>
  <c r="X174" i="27"/>
  <c r="P174" i="27"/>
  <c r="Z174" i="27" s="1"/>
  <c r="T174" i="27"/>
  <c r="L198" i="27"/>
  <c r="V198" i="27" s="1"/>
  <c r="X198" i="27"/>
  <c r="L194" i="27"/>
  <c r="V194" i="27" s="1"/>
  <c r="X194" i="27"/>
  <c r="L193" i="27"/>
  <c r="V193" i="27" s="1"/>
  <c r="X193" i="27"/>
  <c r="L190" i="27"/>
  <c r="V190" i="27" s="1"/>
  <c r="X190" i="27"/>
  <c r="U124" i="27"/>
  <c r="Y124" i="27"/>
  <c r="T141" i="27"/>
  <c r="P141" i="27"/>
  <c r="Z141" i="27" s="1"/>
  <c r="J165" i="27"/>
  <c r="J157" i="27"/>
  <c r="P145" i="27"/>
  <c r="Z145" i="27" s="1"/>
  <c r="T145" i="27"/>
  <c r="J161" i="27"/>
  <c r="T149" i="27"/>
  <c r="P149" i="27"/>
  <c r="Z149" i="27" s="1"/>
  <c r="O140" i="27"/>
  <c r="Y140" i="27" s="1"/>
  <c r="U139" i="27"/>
  <c r="O155" i="27"/>
  <c r="Q155" i="27" s="1"/>
  <c r="AA155" i="27" s="1"/>
  <c r="T143" i="27"/>
  <c r="P143" i="27"/>
  <c r="Z143" i="27" s="1"/>
  <c r="J159" i="27"/>
  <c r="P163" i="27"/>
  <c r="Z163" i="27" s="1"/>
  <c r="T163" i="27"/>
  <c r="T169" i="27"/>
  <c r="P169" i="27"/>
  <c r="Z169" i="27" s="1"/>
  <c r="J171" i="27"/>
  <c r="J187" i="27"/>
  <c r="J195" i="27"/>
  <c r="J179" i="27"/>
  <c r="J185" i="27"/>
  <c r="J201" i="27"/>
  <c r="T155" i="27"/>
  <c r="P155" i="27"/>
  <c r="Z155" i="27" s="1"/>
  <c r="T167" i="27"/>
  <c r="P167" i="27"/>
  <c r="Z167" i="27" s="1"/>
  <c r="J183" i="27"/>
  <c r="J199" i="27"/>
  <c r="O141" i="27"/>
  <c r="Q95" i="27"/>
  <c r="AA95" i="27" s="1"/>
  <c r="Y95" i="27"/>
  <c r="Q80" i="27"/>
  <c r="AA80" i="27" s="1"/>
  <c r="Y80" i="27"/>
  <c r="O96" i="27"/>
  <c r="O81" i="27"/>
  <c r="Q125" i="27"/>
  <c r="AA125" i="27" s="1"/>
  <c r="Y125" i="27"/>
  <c r="O111" i="27"/>
  <c r="O126" i="27"/>
  <c r="Y110" i="27"/>
  <c r="Q110" i="27"/>
  <c r="AA110" i="27" s="1"/>
  <c r="K81" i="27"/>
  <c r="M140" i="27"/>
  <c r="W140" i="27" s="1"/>
  <c r="U140" i="27"/>
  <c r="M95" i="27"/>
  <c r="W95" i="27" s="1"/>
  <c r="U95" i="27"/>
  <c r="K96" i="27"/>
  <c r="M155" i="27"/>
  <c r="W155" i="27" s="1"/>
  <c r="U155" i="27"/>
  <c r="K111" i="27"/>
  <c r="U110" i="27"/>
  <c r="M110" i="27"/>
  <c r="W110" i="27" s="1"/>
  <c r="K126" i="27"/>
  <c r="K141" i="27"/>
  <c r="M80" i="27"/>
  <c r="W80" i="27" s="1"/>
  <c r="U80" i="27"/>
  <c r="U125" i="27"/>
  <c r="M125" i="27"/>
  <c r="W125" i="27" s="1"/>
  <c r="K65" i="27"/>
  <c r="U64" i="27"/>
  <c r="M64" i="27"/>
  <c r="W64" i="27" s="1"/>
  <c r="Y64" i="27"/>
  <c r="Q64" i="27"/>
  <c r="AA64" i="27" s="1"/>
  <c r="O65" i="27"/>
  <c r="K51" i="27"/>
  <c r="M50" i="27"/>
  <c r="W50" i="27" s="1"/>
  <c r="U50" i="27"/>
  <c r="O51" i="27"/>
  <c r="Q50" i="27"/>
  <c r="AA50" i="27" s="1"/>
  <c r="Y50" i="27"/>
  <c r="Q34" i="27"/>
  <c r="AA34" i="27" s="1"/>
  <c r="Y34" i="27"/>
  <c r="G36" i="27"/>
  <c r="O35" i="27"/>
  <c r="E36" i="27"/>
  <c r="K35" i="27"/>
  <c r="M34" i="27"/>
  <c r="W34" i="27" s="1"/>
  <c r="U34" i="27"/>
  <c r="Q63" i="24"/>
  <c r="AA63" i="24" s="1"/>
  <c r="Y63" i="24"/>
  <c r="G65" i="24"/>
  <c r="O64" i="24"/>
  <c r="M63" i="24"/>
  <c r="W63" i="24" s="1"/>
  <c r="U63" i="24"/>
  <c r="E65" i="24"/>
  <c r="K64" i="24"/>
  <c r="Q48" i="24"/>
  <c r="AA48" i="24" s="1"/>
  <c r="Y48" i="24"/>
  <c r="G50" i="24"/>
  <c r="O49" i="24"/>
  <c r="G36" i="24"/>
  <c r="O35" i="24"/>
  <c r="Q34" i="24"/>
  <c r="AA34" i="24" s="1"/>
  <c r="Y34" i="24"/>
  <c r="K34" i="24"/>
  <c r="E35" i="24"/>
  <c r="M33" i="24"/>
  <c r="W33" i="24" s="1"/>
  <c r="U33" i="24"/>
  <c r="M49" i="24"/>
  <c r="W49" i="24" s="1"/>
  <c r="U49" i="24"/>
  <c r="E51" i="24"/>
  <c r="K50" i="24"/>
  <c r="Q176" i="23"/>
  <c r="AA176" i="23" s="1"/>
  <c r="Y176" i="23"/>
  <c r="O177" i="23"/>
  <c r="G178" i="23"/>
  <c r="M176" i="23"/>
  <c r="W176" i="23" s="1"/>
  <c r="U176" i="23"/>
  <c r="K177" i="23"/>
  <c r="E178" i="23"/>
  <c r="Q153" i="23"/>
  <c r="AA153" i="23" s="1"/>
  <c r="Y153" i="23"/>
  <c r="O154" i="23"/>
  <c r="G155" i="23"/>
  <c r="M153" i="23"/>
  <c r="W153" i="23" s="1"/>
  <c r="U153" i="23"/>
  <c r="K154" i="23"/>
  <c r="E155" i="23"/>
  <c r="E143" i="23"/>
  <c r="K142" i="23"/>
  <c r="M141" i="23"/>
  <c r="W141" i="23" s="1"/>
  <c r="U141" i="23"/>
  <c r="Q141" i="23"/>
  <c r="AA141" i="23" s="1"/>
  <c r="Y141" i="23"/>
  <c r="G143" i="23"/>
  <c r="O142" i="23"/>
  <c r="K109" i="23"/>
  <c r="M108" i="23"/>
  <c r="W108" i="23" s="1"/>
  <c r="U108" i="23"/>
  <c r="Q108" i="23"/>
  <c r="AA108" i="23" s="1"/>
  <c r="Y108" i="23"/>
  <c r="O109" i="23"/>
  <c r="Q87" i="23"/>
  <c r="AA87" i="23" s="1"/>
  <c r="Y87" i="23"/>
  <c r="O88" i="23"/>
  <c r="G89" i="23"/>
  <c r="M87" i="23"/>
  <c r="W87" i="23" s="1"/>
  <c r="U87" i="23"/>
  <c r="K88" i="23"/>
  <c r="E89" i="23"/>
  <c r="E66" i="23"/>
  <c r="K65" i="23"/>
  <c r="M64" i="23"/>
  <c r="W64" i="23" s="1"/>
  <c r="U64" i="23"/>
  <c r="Q64" i="23"/>
  <c r="AA64" i="23" s="1"/>
  <c r="Y64" i="23"/>
  <c r="G66" i="23"/>
  <c r="O65" i="23"/>
  <c r="M47" i="23"/>
  <c r="W47" i="23" s="1"/>
  <c r="U47" i="23"/>
  <c r="E49" i="23"/>
  <c r="K48" i="23"/>
  <c r="G50" i="23"/>
  <c r="O49" i="23"/>
  <c r="Q48" i="23"/>
  <c r="AA48" i="23" s="1"/>
  <c r="Y48" i="23"/>
  <c r="O21" i="23"/>
  <c r="O20" i="23"/>
  <c r="Q19" i="23"/>
  <c r="AA19" i="23" s="1"/>
  <c r="Y19" i="23"/>
  <c r="K20" i="23"/>
  <c r="K21" i="23"/>
  <c r="M19" i="23"/>
  <c r="W19" i="23" s="1"/>
  <c r="U19" i="23"/>
  <c r="L285" i="22"/>
  <c r="V285" i="22" s="1"/>
  <c r="X285" i="22"/>
  <c r="X297" i="22"/>
  <c r="L297" i="22"/>
  <c r="V297" i="22" s="1"/>
  <c r="Y257" i="22"/>
  <c r="Q257" i="22"/>
  <c r="AA257" i="22" s="1"/>
  <c r="M209" i="22"/>
  <c r="W209" i="22" s="1"/>
  <c r="U209" i="22"/>
  <c r="Q281" i="22"/>
  <c r="AA281" i="22" s="1"/>
  <c r="Y281" i="22"/>
  <c r="L275" i="22"/>
  <c r="V275" i="22" s="1"/>
  <c r="X275" i="22"/>
  <c r="O258" i="22"/>
  <c r="K210" i="22"/>
  <c r="O282" i="22"/>
  <c r="X287" i="22"/>
  <c r="L287" i="22"/>
  <c r="V287" i="22" s="1"/>
  <c r="L296" i="22"/>
  <c r="V296" i="22" s="1"/>
  <c r="X296" i="22"/>
  <c r="M245" i="22"/>
  <c r="W245" i="22" s="1"/>
  <c r="U245" i="22"/>
  <c r="L268" i="22"/>
  <c r="V268" i="22" s="1"/>
  <c r="X268" i="22"/>
  <c r="L279" i="22"/>
  <c r="V279" i="22" s="1"/>
  <c r="X279" i="22"/>
  <c r="P285" i="22"/>
  <c r="Z285" i="22" s="1"/>
  <c r="T285" i="22"/>
  <c r="O198" i="22"/>
  <c r="X284" i="22"/>
  <c r="L284" i="22"/>
  <c r="V284" i="22" s="1"/>
  <c r="K246" i="22"/>
  <c r="N280" i="22"/>
  <c r="N292" i="22"/>
  <c r="X291" i="22"/>
  <c r="L291" i="22"/>
  <c r="V291" i="22" s="1"/>
  <c r="T297" i="22"/>
  <c r="P297" i="22"/>
  <c r="Z297" i="22" s="1"/>
  <c r="Y197" i="22"/>
  <c r="Q197" i="22"/>
  <c r="AA197" i="22" s="1"/>
  <c r="M293" i="22"/>
  <c r="W293" i="22" s="1"/>
  <c r="U293" i="22"/>
  <c r="P287" i="22"/>
  <c r="Z287" i="22" s="1"/>
  <c r="T287" i="22"/>
  <c r="Q233" i="22"/>
  <c r="AA233" i="22" s="1"/>
  <c r="Y233" i="22"/>
  <c r="M224" i="22"/>
  <c r="W224" i="22" s="1"/>
  <c r="U224" i="22"/>
  <c r="X266" i="22"/>
  <c r="L266" i="22"/>
  <c r="V266" i="22" s="1"/>
  <c r="K198" i="22"/>
  <c r="K294" i="22"/>
  <c r="P275" i="22"/>
  <c r="Z275" i="22" s="1"/>
  <c r="T275" i="22"/>
  <c r="O234" i="22"/>
  <c r="M225" i="22"/>
  <c r="W225" i="22" s="1"/>
  <c r="U225" i="22"/>
  <c r="N290" i="22"/>
  <c r="N278" i="22"/>
  <c r="M197" i="22"/>
  <c r="W197" i="22" s="1"/>
  <c r="U197" i="22"/>
  <c r="L277" i="22"/>
  <c r="V277" i="22" s="1"/>
  <c r="X277" i="22"/>
  <c r="P283" i="22"/>
  <c r="Z283" i="22" s="1"/>
  <c r="T283" i="22"/>
  <c r="Q222" i="22"/>
  <c r="AA222" i="22" s="1"/>
  <c r="Y222" i="22"/>
  <c r="L270" i="22"/>
  <c r="V270" i="22" s="1"/>
  <c r="X270" i="22"/>
  <c r="L289" i="22"/>
  <c r="V289" i="22" s="1"/>
  <c r="X289" i="22"/>
  <c r="P295" i="22"/>
  <c r="Z295" i="22" s="1"/>
  <c r="T295" i="22"/>
  <c r="O223" i="22"/>
  <c r="N294" i="22"/>
  <c r="N282" i="22"/>
  <c r="G187" i="22"/>
  <c r="O186" i="22"/>
  <c r="Q185" i="22"/>
  <c r="AA185" i="22" s="1"/>
  <c r="Y185" i="22"/>
  <c r="K186" i="22"/>
  <c r="E187" i="22"/>
  <c r="M185" i="22"/>
  <c r="W185" i="22" s="1"/>
  <c r="U185" i="22"/>
  <c r="P296" i="22"/>
  <c r="Z296" i="22" s="1"/>
  <c r="T296" i="22"/>
  <c r="T290" i="22"/>
  <c r="P290" i="22"/>
  <c r="Z290" i="22" s="1"/>
  <c r="Q270" i="22"/>
  <c r="AA270" i="22" s="1"/>
  <c r="Y270" i="22"/>
  <c r="M272" i="22"/>
  <c r="W272" i="22" s="1"/>
  <c r="U272" i="22"/>
  <c r="T284" i="22"/>
  <c r="P284" i="22"/>
  <c r="Z284" i="22" s="1"/>
  <c r="T278" i="22"/>
  <c r="P278" i="22"/>
  <c r="Z278" i="22" s="1"/>
  <c r="O271" i="22"/>
  <c r="M273" i="22"/>
  <c r="W273" i="22" s="1"/>
  <c r="U273" i="22"/>
  <c r="M233" i="22"/>
  <c r="W233" i="22" s="1"/>
  <c r="U233" i="22"/>
  <c r="Q294" i="22"/>
  <c r="AA294" i="22" s="1"/>
  <c r="Y294" i="22"/>
  <c r="M257" i="22"/>
  <c r="W257" i="22" s="1"/>
  <c r="U257" i="22"/>
  <c r="Q246" i="22"/>
  <c r="AA246" i="22" s="1"/>
  <c r="Y246" i="22"/>
  <c r="K234" i="22"/>
  <c r="O295" i="22"/>
  <c r="K258" i="22"/>
  <c r="O247" i="22"/>
  <c r="U281" i="22"/>
  <c r="M281" i="22"/>
  <c r="W281" i="22" s="1"/>
  <c r="T282" i="22"/>
  <c r="P282" i="22"/>
  <c r="Z282" i="22" s="1"/>
  <c r="P292" i="22"/>
  <c r="Z292" i="22" s="1"/>
  <c r="T292" i="22"/>
  <c r="T288" i="22"/>
  <c r="P288" i="22"/>
  <c r="Z288" i="22" s="1"/>
  <c r="K282" i="22"/>
  <c r="P294" i="22"/>
  <c r="Z294" i="22" s="1"/>
  <c r="T294" i="22"/>
  <c r="T280" i="22"/>
  <c r="P280" i="22"/>
  <c r="Z280" i="22" s="1"/>
  <c r="T276" i="22"/>
  <c r="P276" i="22"/>
  <c r="Z276" i="22" s="1"/>
  <c r="Q174" i="22"/>
  <c r="AA174" i="22" s="1"/>
  <c r="Y174" i="22"/>
  <c r="Q175" i="22"/>
  <c r="AA175" i="22" s="1"/>
  <c r="Y175" i="22"/>
  <c r="M175" i="22"/>
  <c r="W175" i="22" s="1"/>
  <c r="U175" i="22"/>
  <c r="M174" i="22"/>
  <c r="W174" i="22" s="1"/>
  <c r="U174" i="22"/>
  <c r="Q153" i="22"/>
  <c r="AA153" i="22" s="1"/>
  <c r="Y153" i="22"/>
  <c r="G155" i="22"/>
  <c r="O154" i="22"/>
  <c r="E159" i="22"/>
  <c r="K158" i="22"/>
  <c r="M157" i="22"/>
  <c r="W157" i="22" s="1"/>
  <c r="U157" i="22"/>
  <c r="Q144" i="22"/>
  <c r="AA144" i="22" s="1"/>
  <c r="Y144" i="22"/>
  <c r="Q145" i="22"/>
  <c r="AA145" i="22" s="1"/>
  <c r="Y145" i="22"/>
  <c r="Q133" i="22"/>
  <c r="AA133" i="22" s="1"/>
  <c r="Y133" i="22"/>
  <c r="G135" i="22"/>
  <c r="O135" i="22" s="1"/>
  <c r="O134" i="22"/>
  <c r="E135" i="22"/>
  <c r="K135" i="22" s="1"/>
  <c r="K134" i="22"/>
  <c r="M133" i="22"/>
  <c r="W133" i="22" s="1"/>
  <c r="U133" i="22"/>
  <c r="Q110" i="22"/>
  <c r="AA110" i="22" s="1"/>
  <c r="Y110" i="22"/>
  <c r="O111" i="22"/>
  <c r="M110" i="22"/>
  <c r="W110" i="22" s="1"/>
  <c r="U110" i="22"/>
  <c r="K111" i="22"/>
  <c r="O88" i="22"/>
  <c r="Q87" i="22"/>
  <c r="AA87" i="22" s="1"/>
  <c r="Y87" i="22"/>
  <c r="M87" i="22"/>
  <c r="W87" i="22" s="1"/>
  <c r="U87" i="22"/>
  <c r="K88" i="22"/>
  <c r="Q64" i="22"/>
  <c r="AA64" i="22" s="1"/>
  <c r="Y64" i="22"/>
  <c r="O65" i="22"/>
  <c r="M64" i="22"/>
  <c r="W64" i="22" s="1"/>
  <c r="U64" i="22"/>
  <c r="K65" i="22"/>
  <c r="G43" i="22"/>
  <c r="O42" i="22"/>
  <c r="Q41" i="22"/>
  <c r="AA41" i="22" s="1"/>
  <c r="Y41" i="22"/>
  <c r="K44" i="22"/>
  <c r="E45" i="22"/>
  <c r="M43" i="22"/>
  <c r="W43" i="22" s="1"/>
  <c r="U43" i="22"/>
  <c r="O34" i="22"/>
  <c r="O33" i="22"/>
  <c r="K34" i="22"/>
  <c r="K33" i="22"/>
  <c r="Q19" i="22"/>
  <c r="AA19" i="22" s="1"/>
  <c r="Y19" i="22"/>
  <c r="O20" i="22"/>
  <c r="M19" i="22"/>
  <c r="W19" i="22" s="1"/>
  <c r="U19" i="22"/>
  <c r="K20" i="22"/>
  <c r="Q43" i="21"/>
  <c r="AA43" i="21" s="1"/>
  <c r="Y43" i="21"/>
  <c r="F133" i="21"/>
  <c r="N119" i="21"/>
  <c r="F126" i="21"/>
  <c r="N112" i="21"/>
  <c r="F124" i="21"/>
  <c r="N110" i="21"/>
  <c r="F134" i="21"/>
  <c r="N120" i="21"/>
  <c r="F130" i="21"/>
  <c r="N116" i="21"/>
  <c r="F127" i="21"/>
  <c r="N113" i="21"/>
  <c r="G45" i="21"/>
  <c r="O44" i="21"/>
  <c r="L105" i="21"/>
  <c r="V105" i="21" s="1"/>
  <c r="X105" i="21"/>
  <c r="L96" i="21"/>
  <c r="V96" i="21" s="1"/>
  <c r="X96" i="21"/>
  <c r="U30" i="21"/>
  <c r="M30" i="21"/>
  <c r="W30" i="21" s="1"/>
  <c r="P101" i="21"/>
  <c r="Z101" i="21" s="1"/>
  <c r="T101" i="21"/>
  <c r="P100" i="21"/>
  <c r="Z100" i="21" s="1"/>
  <c r="T100" i="21"/>
  <c r="P96" i="21"/>
  <c r="Z96" i="21" s="1"/>
  <c r="T96" i="21"/>
  <c r="L121" i="21"/>
  <c r="V121" i="21" s="1"/>
  <c r="X121" i="21"/>
  <c r="P121" i="21"/>
  <c r="Z121" i="21" s="1"/>
  <c r="T121" i="21"/>
  <c r="L106" i="21"/>
  <c r="V106" i="21" s="1"/>
  <c r="X106" i="21"/>
  <c r="E32" i="21"/>
  <c r="K31" i="21"/>
  <c r="D129" i="21"/>
  <c r="J115" i="21"/>
  <c r="D128" i="21"/>
  <c r="J114" i="21"/>
  <c r="D124" i="21"/>
  <c r="J110" i="21"/>
  <c r="F149" i="21"/>
  <c r="N135" i="21"/>
  <c r="D149" i="21"/>
  <c r="J135" i="21"/>
  <c r="L99" i="21"/>
  <c r="V99" i="21" s="1"/>
  <c r="X99" i="21"/>
  <c r="M42" i="21"/>
  <c r="W42" i="21" s="1"/>
  <c r="U42" i="21"/>
  <c r="L100" i="21"/>
  <c r="V100" i="21" s="1"/>
  <c r="X100" i="21"/>
  <c r="T98" i="21"/>
  <c r="P98" i="21"/>
  <c r="Z98" i="21" s="1"/>
  <c r="P111" i="21"/>
  <c r="Z111" i="21" s="1"/>
  <c r="T111" i="21"/>
  <c r="L117" i="21"/>
  <c r="V117" i="21" s="1"/>
  <c r="X117" i="21"/>
  <c r="L104" i="21"/>
  <c r="V104" i="21" s="1"/>
  <c r="X104" i="21"/>
  <c r="L115" i="21"/>
  <c r="V115" i="21" s="1"/>
  <c r="X115" i="21"/>
  <c r="L98" i="21"/>
  <c r="V98" i="21" s="1"/>
  <c r="X98" i="21"/>
  <c r="E44" i="21"/>
  <c r="K43" i="21"/>
  <c r="F128" i="21"/>
  <c r="N114" i="21"/>
  <c r="D126" i="21"/>
  <c r="J112" i="21"/>
  <c r="D139" i="21"/>
  <c r="J125" i="21"/>
  <c r="F145" i="21"/>
  <c r="N131" i="21"/>
  <c r="F132" i="21"/>
  <c r="N118" i="21"/>
  <c r="F143" i="21"/>
  <c r="N129" i="21"/>
  <c r="L102" i="21"/>
  <c r="V102" i="21" s="1"/>
  <c r="X102" i="21"/>
  <c r="P119" i="21"/>
  <c r="Z119" i="21" s="1"/>
  <c r="T119" i="21"/>
  <c r="X111" i="21"/>
  <c r="L111" i="21"/>
  <c r="V111" i="21" s="1"/>
  <c r="P113" i="21"/>
  <c r="Z113" i="21" s="1"/>
  <c r="T113" i="21"/>
  <c r="P102" i="21"/>
  <c r="Z102" i="21" s="1"/>
  <c r="T102" i="21"/>
  <c r="P117" i="21"/>
  <c r="Z117" i="21" s="1"/>
  <c r="T117" i="21"/>
  <c r="P106" i="21"/>
  <c r="Z106" i="21" s="1"/>
  <c r="T106" i="21"/>
  <c r="L123" i="21"/>
  <c r="V123" i="21" s="1"/>
  <c r="X123" i="21"/>
  <c r="D147" i="21"/>
  <c r="J133" i="21"/>
  <c r="F139" i="21"/>
  <c r="N125" i="21"/>
  <c r="D141" i="21"/>
  <c r="J127" i="21"/>
  <c r="D130" i="21"/>
  <c r="J116" i="21"/>
  <c r="D145" i="21"/>
  <c r="J131" i="21"/>
  <c r="D134" i="21"/>
  <c r="J120" i="21"/>
  <c r="F151" i="21"/>
  <c r="N137" i="21"/>
  <c r="K150" i="21"/>
  <c r="U136" i="21"/>
  <c r="Y57" i="21"/>
  <c r="Q57" i="21"/>
  <c r="AA57" i="21" s="1"/>
  <c r="J160" i="21"/>
  <c r="J146" i="21"/>
  <c r="O58" i="21"/>
  <c r="P132" i="21"/>
  <c r="Z132" i="21" s="1"/>
  <c r="T132" i="21"/>
  <c r="Q81" i="21"/>
  <c r="AA81" i="21" s="1"/>
  <c r="Y81" i="21"/>
  <c r="Q69" i="21"/>
  <c r="AA69" i="21" s="1"/>
  <c r="Y69" i="21"/>
  <c r="O70" i="21"/>
  <c r="O94" i="21"/>
  <c r="P137" i="21"/>
  <c r="Z137" i="21" s="1"/>
  <c r="T137" i="21"/>
  <c r="O82" i="21"/>
  <c r="T151" i="21"/>
  <c r="P151" i="21"/>
  <c r="Z151" i="21" s="1"/>
  <c r="L150" i="21"/>
  <c r="V150" i="21" s="1"/>
  <c r="X150" i="21"/>
  <c r="X164" i="21"/>
  <c r="L164" i="21"/>
  <c r="V164" i="21" s="1"/>
  <c r="T136" i="21"/>
  <c r="P136" i="21"/>
  <c r="Z136" i="21" s="1"/>
  <c r="J150" i="21"/>
  <c r="J164" i="21"/>
  <c r="K72" i="21"/>
  <c r="M71" i="21"/>
  <c r="W71" i="21" s="1"/>
  <c r="U71" i="21"/>
  <c r="M150" i="21"/>
  <c r="W150" i="21" s="1"/>
  <c r="U150" i="21"/>
  <c r="U137" i="21"/>
  <c r="M137" i="21"/>
  <c r="W137" i="21" s="1"/>
  <c r="K151" i="21"/>
  <c r="K138" i="21"/>
  <c r="K112" i="21"/>
  <c r="K99" i="21"/>
  <c r="K125" i="21"/>
  <c r="M111" i="21"/>
  <c r="W111" i="21" s="1"/>
  <c r="U111" i="21"/>
  <c r="M98" i="21"/>
  <c r="W98" i="21" s="1"/>
  <c r="U98" i="21"/>
  <c r="K86" i="21"/>
  <c r="M85" i="21"/>
  <c r="W85" i="21" s="1"/>
  <c r="U85" i="21"/>
  <c r="U124" i="21"/>
  <c r="M124" i="21"/>
  <c r="W124" i="21" s="1"/>
  <c r="K60" i="21"/>
  <c r="U59" i="21"/>
  <c r="M59" i="21"/>
  <c r="W59" i="21" s="1"/>
  <c r="Q32" i="21"/>
  <c r="AA32" i="21" s="1"/>
  <c r="Y32" i="21"/>
  <c r="O33" i="21"/>
  <c r="M19" i="21"/>
  <c r="W19" i="21" s="1"/>
  <c r="U19" i="21"/>
  <c r="K21" i="21"/>
  <c r="K20" i="21"/>
  <c r="Q19" i="21"/>
  <c r="AA19" i="21" s="1"/>
  <c r="Y19" i="21"/>
  <c r="O21" i="21"/>
  <c r="O20" i="21"/>
  <c r="E70" i="18"/>
  <c r="K69" i="18"/>
  <c r="M68" i="18"/>
  <c r="W68" i="18" s="1"/>
  <c r="U68" i="18"/>
  <c r="U158" i="18"/>
  <c r="M158" i="18"/>
  <c r="W158" i="18" s="1"/>
  <c r="K159" i="18"/>
  <c r="E160" i="18"/>
  <c r="Q173" i="18"/>
  <c r="AA173" i="18" s="1"/>
  <c r="Y173" i="18"/>
  <c r="Q174" i="18"/>
  <c r="AA174" i="18" s="1"/>
  <c r="Y174" i="18"/>
  <c r="Y140" i="18"/>
  <c r="Q140" i="18"/>
  <c r="AA140" i="18" s="1"/>
  <c r="O141" i="18"/>
  <c r="G142" i="18"/>
  <c r="E141" i="18"/>
  <c r="K140" i="18"/>
  <c r="M139" i="18"/>
  <c r="W139" i="18" s="1"/>
  <c r="U139" i="18"/>
  <c r="M116" i="18"/>
  <c r="W116" i="18" s="1"/>
  <c r="U116" i="18"/>
  <c r="K117" i="18"/>
  <c r="Q116" i="18"/>
  <c r="AA116" i="18" s="1"/>
  <c r="Y116" i="18"/>
  <c r="O117" i="18"/>
  <c r="M92" i="18"/>
  <c r="W92" i="18" s="1"/>
  <c r="U92" i="18"/>
  <c r="Q92" i="18"/>
  <c r="AA92" i="18" s="1"/>
  <c r="Y92" i="18"/>
  <c r="O93" i="18"/>
  <c r="K93" i="18"/>
  <c r="Q75" i="18"/>
  <c r="AA75" i="18" s="1"/>
  <c r="Y75" i="18"/>
  <c r="O76" i="18"/>
  <c r="G77" i="18"/>
  <c r="Q45" i="18"/>
  <c r="AA45" i="18" s="1"/>
  <c r="Y45" i="18"/>
  <c r="G47" i="18"/>
  <c r="O46" i="18"/>
  <c r="M45" i="18"/>
  <c r="W45" i="18" s="1"/>
  <c r="U45" i="18"/>
  <c r="E47" i="18"/>
  <c r="K46" i="18"/>
  <c r="Q33" i="18"/>
  <c r="AA33" i="18" s="1"/>
  <c r="Y33" i="18"/>
  <c r="O34" i="18"/>
  <c r="G35" i="18"/>
  <c r="K34" i="18"/>
  <c r="E35" i="18"/>
  <c r="M33" i="18"/>
  <c r="W33" i="18" s="1"/>
  <c r="U33" i="18"/>
  <c r="O21" i="18"/>
  <c r="Q20" i="18"/>
  <c r="AA20" i="18" s="1"/>
  <c r="Y20" i="18"/>
  <c r="M21" i="18"/>
  <c r="W21" i="18" s="1"/>
  <c r="U21" i="18"/>
  <c r="E23" i="18"/>
  <c r="K23" i="18" s="1"/>
  <c r="K22" i="18"/>
  <c r="G181" i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65" i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L173" i="1"/>
  <c r="V173" i="1" s="1"/>
  <c r="X173" i="1"/>
  <c r="L190" i="1"/>
  <c r="V190" i="1" s="1"/>
  <c r="X190" i="1"/>
  <c r="T148" i="1"/>
  <c r="P148" i="1"/>
  <c r="Z148" i="1" s="1"/>
  <c r="J182" i="1"/>
  <c r="J165" i="1"/>
  <c r="Q147" i="1"/>
  <c r="AA147" i="1" s="1"/>
  <c r="Y34" i="1"/>
  <c r="Q34" i="1"/>
  <c r="AA34" i="1" s="1"/>
  <c r="O35" i="1"/>
  <c r="G36" i="1"/>
  <c r="Q51" i="1"/>
  <c r="AA51" i="1" s="1"/>
  <c r="Y51" i="1"/>
  <c r="O52" i="1"/>
  <c r="O148" i="1"/>
  <c r="Q148" i="1" s="1"/>
  <c r="AA148" i="1" s="1"/>
  <c r="M51" i="1"/>
  <c r="W51" i="1" s="1"/>
  <c r="U51" i="1"/>
  <c r="K52" i="1"/>
  <c r="L165" i="1"/>
  <c r="V165" i="1" s="1"/>
  <c r="X165" i="1"/>
  <c r="P172" i="1"/>
  <c r="Z172" i="1" s="1"/>
  <c r="T172" i="1"/>
  <c r="L179" i="1"/>
  <c r="V179" i="1" s="1"/>
  <c r="X179" i="1"/>
  <c r="L177" i="1"/>
  <c r="V177" i="1" s="1"/>
  <c r="X177" i="1"/>
  <c r="L182" i="1"/>
  <c r="V182" i="1" s="1"/>
  <c r="X182" i="1"/>
  <c r="P189" i="1"/>
  <c r="Z189" i="1" s="1"/>
  <c r="T189" i="1"/>
  <c r="X174" i="1"/>
  <c r="L174" i="1"/>
  <c r="V174" i="1" s="1"/>
  <c r="X187" i="1"/>
  <c r="L187" i="1"/>
  <c r="V187" i="1" s="1"/>
  <c r="L196" i="1"/>
  <c r="V196" i="1" s="1"/>
  <c r="X196" i="1"/>
  <c r="L191" i="1"/>
  <c r="V191" i="1" s="1"/>
  <c r="X191" i="1"/>
  <c r="P160" i="1"/>
  <c r="Z160" i="1" s="1"/>
  <c r="T160" i="1"/>
  <c r="X167" i="1"/>
  <c r="L167" i="1"/>
  <c r="V167" i="1" s="1"/>
  <c r="L178" i="1"/>
  <c r="V178" i="1" s="1"/>
  <c r="X178" i="1"/>
  <c r="L194" i="1"/>
  <c r="V194" i="1" s="1"/>
  <c r="X194" i="1"/>
  <c r="O164" i="1"/>
  <c r="Q164" i="1" s="1"/>
  <c r="AA164" i="1" s="1"/>
  <c r="J194" i="1"/>
  <c r="J177" i="1"/>
  <c r="L184" i="1"/>
  <c r="V184" i="1" s="1"/>
  <c r="X184" i="1"/>
  <c r="X195" i="1"/>
  <c r="L195" i="1"/>
  <c r="V195" i="1" s="1"/>
  <c r="L180" i="1"/>
  <c r="V180" i="1" s="1"/>
  <c r="X180" i="1"/>
  <c r="X188" i="1"/>
  <c r="L188" i="1"/>
  <c r="V188" i="1" s="1"/>
  <c r="X171" i="1"/>
  <c r="L171" i="1"/>
  <c r="V171" i="1" s="1"/>
  <c r="L170" i="1"/>
  <c r="V170" i="1" s="1"/>
  <c r="X170" i="1"/>
  <c r="X197" i="1"/>
  <c r="L197" i="1"/>
  <c r="V197" i="1" s="1"/>
  <c r="K69" i="1"/>
  <c r="P174" i="1"/>
  <c r="Z174" i="1" s="1"/>
  <c r="T174" i="1"/>
  <c r="K101" i="1"/>
  <c r="Q100" i="1"/>
  <c r="AA100" i="1" s="1"/>
  <c r="Y100" i="1"/>
  <c r="Q84" i="1"/>
  <c r="AA84" i="1" s="1"/>
  <c r="Y84" i="1"/>
  <c r="P191" i="1"/>
  <c r="Z191" i="1" s="1"/>
  <c r="T191" i="1"/>
  <c r="O101" i="1"/>
  <c r="M148" i="1"/>
  <c r="W148" i="1" s="1"/>
  <c r="U148" i="1"/>
  <c r="Q116" i="1"/>
  <c r="AA116" i="1" s="1"/>
  <c r="Y116" i="1"/>
  <c r="M164" i="1"/>
  <c r="W164" i="1" s="1"/>
  <c r="U164" i="1"/>
  <c r="O133" i="1"/>
  <c r="M84" i="1"/>
  <c r="W84" i="1" s="1"/>
  <c r="U84" i="1"/>
  <c r="O181" i="1"/>
  <c r="K149" i="1"/>
  <c r="O117" i="1"/>
  <c r="K181" i="1"/>
  <c r="M116" i="1"/>
  <c r="W116" i="1" s="1"/>
  <c r="U116" i="1"/>
  <c r="M132" i="1"/>
  <c r="W132" i="1" s="1"/>
  <c r="U132" i="1"/>
  <c r="O85" i="1"/>
  <c r="Q132" i="1"/>
  <c r="AA132" i="1" s="1"/>
  <c r="Y132" i="1"/>
  <c r="O149" i="1"/>
  <c r="K85" i="1"/>
  <c r="K165" i="1"/>
  <c r="K117" i="1"/>
  <c r="K133" i="1"/>
  <c r="M100" i="1"/>
  <c r="W100" i="1" s="1"/>
  <c r="U100" i="1"/>
  <c r="Q68" i="1"/>
  <c r="AA68" i="1" s="1"/>
  <c r="Y68" i="1"/>
  <c r="M68" i="1"/>
  <c r="W68" i="1" s="1"/>
  <c r="U68" i="1"/>
  <c r="O69" i="1"/>
  <c r="K207" i="1"/>
  <c r="M206" i="1"/>
  <c r="W206" i="1" s="1"/>
  <c r="U206" i="1"/>
  <c r="O207" i="1"/>
  <c r="Q206" i="1"/>
  <c r="AA206" i="1" s="1"/>
  <c r="Y206" i="1"/>
  <c r="M37" i="1"/>
  <c r="W37" i="1" s="1"/>
  <c r="U37" i="1"/>
  <c r="K38" i="1"/>
  <c r="E39" i="1"/>
  <c r="Q97" i="29"/>
  <c r="AA97" i="29" s="1"/>
  <c r="Y97" i="29"/>
  <c r="O99" i="29"/>
  <c r="O98" i="29"/>
  <c r="M97" i="29"/>
  <c r="W97" i="29" s="1"/>
  <c r="U97" i="29"/>
  <c r="K99" i="29"/>
  <c r="K98" i="29"/>
  <c r="M88" i="29"/>
  <c r="W88" i="29" s="1"/>
  <c r="U88" i="29"/>
  <c r="M89" i="29"/>
  <c r="W89" i="29" s="1"/>
  <c r="U89" i="29"/>
  <c r="E67" i="29"/>
  <c r="K66" i="29"/>
  <c r="M65" i="29"/>
  <c r="W65" i="29" s="1"/>
  <c r="U65" i="29"/>
  <c r="Q65" i="29"/>
  <c r="AA65" i="29" s="1"/>
  <c r="Y65" i="29"/>
  <c r="G67" i="29"/>
  <c r="O66" i="29"/>
  <c r="Q44" i="29"/>
  <c r="AA44" i="29" s="1"/>
  <c r="Y44" i="29"/>
  <c r="G46" i="29"/>
  <c r="O45" i="29"/>
  <c r="M44" i="29"/>
  <c r="W44" i="29" s="1"/>
  <c r="U44" i="29"/>
  <c r="K45" i="29"/>
  <c r="E46" i="29"/>
  <c r="Q162" i="19"/>
  <c r="AA162" i="19" s="1"/>
  <c r="Y162" i="19"/>
  <c r="G164" i="19"/>
  <c r="O163" i="19"/>
  <c r="E165" i="19"/>
  <c r="K164" i="19"/>
  <c r="M163" i="19"/>
  <c r="W163" i="19" s="1"/>
  <c r="U163" i="19"/>
  <c r="G132" i="19"/>
  <c r="O131" i="19"/>
  <c r="Q130" i="19"/>
  <c r="AA130" i="19" s="1"/>
  <c r="Y130" i="19"/>
  <c r="M130" i="19"/>
  <c r="W130" i="19" s="1"/>
  <c r="U130" i="19"/>
  <c r="K131" i="19"/>
  <c r="E132" i="19"/>
  <c r="G108" i="19"/>
  <c r="O107" i="19"/>
  <c r="Q106" i="19"/>
  <c r="AA106" i="19" s="1"/>
  <c r="Y106" i="19"/>
  <c r="K107" i="19"/>
  <c r="E108" i="19"/>
  <c r="M106" i="19"/>
  <c r="W106" i="19" s="1"/>
  <c r="U106" i="19"/>
  <c r="Q84" i="19"/>
  <c r="AA84" i="19" s="1"/>
  <c r="Y84" i="19"/>
  <c r="O85" i="19"/>
  <c r="K84" i="19"/>
  <c r="M83" i="19"/>
  <c r="W83" i="19" s="1"/>
  <c r="U83" i="19"/>
  <c r="G21" i="19"/>
  <c r="O20" i="19"/>
  <c r="Q19" i="19"/>
  <c r="AA19" i="19" s="1"/>
  <c r="Y19" i="19"/>
  <c r="K20" i="19"/>
  <c r="E21" i="19"/>
  <c r="M19" i="19"/>
  <c r="W19" i="19" s="1"/>
  <c r="U19" i="19"/>
  <c r="Q64" i="19"/>
  <c r="AA64" i="19" s="1"/>
  <c r="Y64" i="19"/>
  <c r="G66" i="19"/>
  <c r="O65" i="19"/>
  <c r="M48" i="19"/>
  <c r="W48" i="19" s="1"/>
  <c r="U48" i="19"/>
  <c r="O49" i="19"/>
  <c r="G50" i="19"/>
  <c r="Q48" i="19"/>
  <c r="AA48" i="19" s="1"/>
  <c r="Y48" i="19"/>
  <c r="K49" i="19"/>
  <c r="E50" i="19"/>
  <c r="E67" i="19"/>
  <c r="K66" i="19"/>
  <c r="M65" i="19"/>
  <c r="W65" i="19" s="1"/>
  <c r="U65" i="19"/>
  <c r="G33" i="19"/>
  <c r="O32" i="19"/>
  <c r="Q31" i="19"/>
  <c r="AA31" i="19" s="1"/>
  <c r="Y31" i="19"/>
  <c r="E36" i="19"/>
  <c r="K35" i="19"/>
  <c r="M34" i="19"/>
  <c r="W34" i="19" s="1"/>
  <c r="U34" i="19"/>
  <c r="O65" i="25"/>
  <c r="O83" i="25"/>
  <c r="M73" i="25"/>
  <c r="W73" i="25" s="1"/>
  <c r="U73" i="25"/>
  <c r="Q73" i="25"/>
  <c r="AA73" i="25" s="1"/>
  <c r="Y73" i="25"/>
  <c r="Q82" i="25"/>
  <c r="AA82" i="25" s="1"/>
  <c r="Y82" i="25"/>
  <c r="K74" i="25"/>
  <c r="O74" i="25"/>
  <c r="M55" i="25"/>
  <c r="W55" i="25" s="1"/>
  <c r="U55" i="25"/>
  <c r="M91" i="25"/>
  <c r="W91" i="25" s="1"/>
  <c r="U91" i="25"/>
  <c r="M64" i="25"/>
  <c r="W64" i="25" s="1"/>
  <c r="U64" i="25"/>
  <c r="Y46" i="25"/>
  <c r="Q46" i="25"/>
  <c r="AA46" i="25" s="1"/>
  <c r="M82" i="25"/>
  <c r="W82" i="25" s="1"/>
  <c r="U82" i="25"/>
  <c r="K56" i="25"/>
  <c r="K92" i="25"/>
  <c r="K65" i="25"/>
  <c r="O47" i="25"/>
  <c r="K83" i="25"/>
  <c r="M46" i="25"/>
  <c r="W46" i="25" s="1"/>
  <c r="U46" i="25"/>
  <c r="Q55" i="25"/>
  <c r="AA55" i="25" s="1"/>
  <c r="Y55" i="25"/>
  <c r="Q91" i="25"/>
  <c r="AA91" i="25" s="1"/>
  <c r="Y91" i="25"/>
  <c r="Q64" i="25"/>
  <c r="AA64" i="25" s="1"/>
  <c r="Y64" i="25"/>
  <c r="K47" i="25"/>
  <c r="O56" i="25"/>
  <c r="O92" i="25"/>
  <c r="Q40" i="25"/>
  <c r="AA40" i="25" s="1"/>
  <c r="Y40" i="25"/>
  <c r="M30" i="25"/>
  <c r="W30" i="25" s="1"/>
  <c r="U30" i="25"/>
  <c r="M39" i="25"/>
  <c r="W39" i="25" s="1"/>
  <c r="U39" i="25"/>
  <c r="K40" i="25"/>
  <c r="X64" i="25"/>
  <c r="L64" i="25"/>
  <c r="V64" i="25" s="1"/>
  <c r="L55" i="25"/>
  <c r="V55" i="25" s="1"/>
  <c r="X55" i="25"/>
  <c r="N74" i="25"/>
  <c r="N56" i="25"/>
  <c r="N65" i="25"/>
  <c r="X19" i="25"/>
  <c r="L19" i="25"/>
  <c r="V19" i="25" s="1"/>
  <c r="N29" i="25"/>
  <c r="F30" i="25"/>
  <c r="N20" i="25"/>
  <c r="N47" i="25"/>
  <c r="X46" i="25"/>
  <c r="L46" i="25"/>
  <c r="V46" i="25" s="1"/>
  <c r="L28" i="25"/>
  <c r="V28" i="25" s="1"/>
  <c r="X28" i="25"/>
  <c r="X37" i="25"/>
  <c r="L37" i="25"/>
  <c r="V37" i="25" s="1"/>
  <c r="N38" i="25"/>
  <c r="J56" i="25"/>
  <c r="J38" i="25"/>
  <c r="P64" i="25"/>
  <c r="Z64" i="25" s="1"/>
  <c r="T64" i="25"/>
  <c r="J65" i="25"/>
  <c r="J74" i="25"/>
  <c r="T19" i="25"/>
  <c r="P19" i="25"/>
  <c r="Z19" i="25" s="1"/>
  <c r="J29" i="25"/>
  <c r="P28" i="25"/>
  <c r="Z28" i="25" s="1"/>
  <c r="T28" i="25"/>
  <c r="J47" i="25"/>
  <c r="D30" i="25"/>
  <c r="J20" i="25"/>
  <c r="P37" i="25"/>
  <c r="Z37" i="25" s="1"/>
  <c r="T37" i="25"/>
  <c r="P55" i="25"/>
  <c r="Z55" i="25" s="1"/>
  <c r="T55" i="25"/>
  <c r="P46" i="25"/>
  <c r="Z46" i="25" s="1"/>
  <c r="T46" i="25"/>
  <c r="Y34" i="39" l="1"/>
  <c r="Q34" i="39"/>
  <c r="AA34" i="39" s="1"/>
  <c r="G36" i="39"/>
  <c r="O36" i="39" s="1"/>
  <c r="O35" i="39"/>
  <c r="M35" i="39"/>
  <c r="W35" i="39" s="1"/>
  <c r="U35" i="39"/>
  <c r="M36" i="39"/>
  <c r="W36" i="39" s="1"/>
  <c r="U36" i="39"/>
  <c r="Y20" i="39"/>
  <c r="Q20" i="39"/>
  <c r="AA20" i="39" s="1"/>
  <c r="G22" i="39"/>
  <c r="O21" i="39"/>
  <c r="E23" i="39"/>
  <c r="K22" i="39"/>
  <c r="M21" i="39"/>
  <c r="W21" i="39" s="1"/>
  <c r="U21" i="39"/>
  <c r="O49" i="39"/>
  <c r="Y48" i="39"/>
  <c r="Q48" i="39"/>
  <c r="AA48" i="39" s="1"/>
  <c r="M49" i="39"/>
  <c r="W49" i="39" s="1"/>
  <c r="U49" i="39"/>
  <c r="O30" i="38"/>
  <c r="Q29" i="38"/>
  <c r="AA29" i="38" s="1"/>
  <c r="Y29" i="38"/>
  <c r="Q30" i="38"/>
  <c r="AA30" i="38" s="1"/>
  <c r="Y30" i="38"/>
  <c r="P141" i="38"/>
  <c r="Z141" i="38" s="1"/>
  <c r="T141" i="38"/>
  <c r="K165" i="38"/>
  <c r="N168" i="38"/>
  <c r="T139" i="38"/>
  <c r="P139" i="38"/>
  <c r="Z139" i="38" s="1"/>
  <c r="N161" i="38"/>
  <c r="J158" i="38"/>
  <c r="N148" i="38"/>
  <c r="N155" i="38"/>
  <c r="P133" i="38"/>
  <c r="Z133" i="38" s="1"/>
  <c r="T133" i="38"/>
  <c r="K36" i="38"/>
  <c r="J169" i="38"/>
  <c r="Y84" i="38"/>
  <c r="Q84" i="38"/>
  <c r="AA84" i="38" s="1"/>
  <c r="L151" i="38"/>
  <c r="V151" i="38" s="1"/>
  <c r="X151" i="38"/>
  <c r="L144" i="38"/>
  <c r="V144" i="38" s="1"/>
  <c r="X144" i="38"/>
  <c r="O85" i="38"/>
  <c r="U132" i="38"/>
  <c r="M132" i="38"/>
  <c r="W132" i="38" s="1"/>
  <c r="Q100" i="38"/>
  <c r="AA100" i="38" s="1"/>
  <c r="Y100" i="38"/>
  <c r="U100" i="38"/>
  <c r="M100" i="38"/>
  <c r="W100" i="38" s="1"/>
  <c r="O69" i="38"/>
  <c r="X179" i="38"/>
  <c r="L179" i="38"/>
  <c r="V179" i="38" s="1"/>
  <c r="L138" i="38"/>
  <c r="V138" i="38" s="1"/>
  <c r="X138" i="38"/>
  <c r="J150" i="38"/>
  <c r="P146" i="38"/>
  <c r="Z146" i="38" s="1"/>
  <c r="T146" i="38"/>
  <c r="L150" i="38"/>
  <c r="V150" i="38" s="1"/>
  <c r="X150" i="38"/>
  <c r="X153" i="38"/>
  <c r="L153" i="38"/>
  <c r="V153" i="38" s="1"/>
  <c r="X149" i="38"/>
  <c r="L149" i="38"/>
  <c r="V149" i="38" s="1"/>
  <c r="P153" i="38"/>
  <c r="Z153" i="38" s="1"/>
  <c r="T153" i="38"/>
  <c r="P152" i="38"/>
  <c r="Z152" i="38" s="1"/>
  <c r="T152" i="38"/>
  <c r="K133" i="38"/>
  <c r="O101" i="38"/>
  <c r="K101" i="38"/>
  <c r="Y68" i="38"/>
  <c r="Q68" i="38"/>
  <c r="AA68" i="38" s="1"/>
  <c r="L143" i="38"/>
  <c r="V143" i="38" s="1"/>
  <c r="X143" i="38"/>
  <c r="Y116" i="38"/>
  <c r="Q116" i="38"/>
  <c r="AA116" i="38" s="1"/>
  <c r="P148" i="38"/>
  <c r="Z148" i="38" s="1"/>
  <c r="T148" i="38"/>
  <c r="L142" i="38"/>
  <c r="V142" i="38" s="1"/>
  <c r="X142" i="38"/>
  <c r="L154" i="38"/>
  <c r="V154" i="38" s="1"/>
  <c r="X154" i="38"/>
  <c r="Q164" i="38"/>
  <c r="AA164" i="38" s="1"/>
  <c r="Y164" i="38"/>
  <c r="J163" i="38"/>
  <c r="N167" i="38"/>
  <c r="N170" i="38"/>
  <c r="N166" i="38"/>
  <c r="J170" i="38"/>
  <c r="P134" i="38"/>
  <c r="Z134" i="38" s="1"/>
  <c r="T134" i="38"/>
  <c r="O133" i="38"/>
  <c r="P142" i="38"/>
  <c r="Z142" i="38" s="1"/>
  <c r="T142" i="38"/>
  <c r="L135" i="38"/>
  <c r="V135" i="38" s="1"/>
  <c r="X135" i="38"/>
  <c r="N160" i="38"/>
  <c r="O117" i="38"/>
  <c r="J182" i="38"/>
  <c r="J165" i="38"/>
  <c r="N159" i="38"/>
  <c r="N171" i="38"/>
  <c r="O165" i="38"/>
  <c r="X139" i="38"/>
  <c r="L139" i="38"/>
  <c r="V139" i="38" s="1"/>
  <c r="X175" i="38"/>
  <c r="L175" i="38"/>
  <c r="V175" i="38" s="1"/>
  <c r="X131" i="38"/>
  <c r="L131" i="38"/>
  <c r="V131" i="38" s="1"/>
  <c r="J155" i="38"/>
  <c r="U35" i="38"/>
  <c r="M35" i="38"/>
  <c r="W35" i="38" s="1"/>
  <c r="J151" i="38"/>
  <c r="Y132" i="38"/>
  <c r="Q132" i="38"/>
  <c r="AA132" i="38" s="1"/>
  <c r="J159" i="38"/>
  <c r="N152" i="38"/>
  <c r="Y148" i="38"/>
  <c r="Q148" i="38"/>
  <c r="AA148" i="38" s="1"/>
  <c r="U68" i="38"/>
  <c r="M68" i="38"/>
  <c r="W68" i="38" s="1"/>
  <c r="Q36" i="38"/>
  <c r="AA36" i="38" s="1"/>
  <c r="Y36" i="38"/>
  <c r="O181" i="38"/>
  <c r="N156" i="38"/>
  <c r="T171" i="38"/>
  <c r="P171" i="38"/>
  <c r="Z171" i="38" s="1"/>
  <c r="X146" i="38"/>
  <c r="L146" i="38"/>
  <c r="V146" i="38" s="1"/>
  <c r="N157" i="38"/>
  <c r="P178" i="38"/>
  <c r="Z178" i="38" s="1"/>
  <c r="T178" i="38"/>
  <c r="M148" i="38"/>
  <c r="W148" i="38" s="1"/>
  <c r="U148" i="38"/>
  <c r="K53" i="38"/>
  <c r="U164" i="38"/>
  <c r="M164" i="38"/>
  <c r="W164" i="38" s="1"/>
  <c r="O149" i="38"/>
  <c r="K69" i="38"/>
  <c r="O37" i="38"/>
  <c r="P145" i="38"/>
  <c r="Z145" i="38" s="1"/>
  <c r="T145" i="38"/>
  <c r="J177" i="38"/>
  <c r="P149" i="38"/>
  <c r="Z149" i="38" s="1"/>
  <c r="T149" i="38"/>
  <c r="M84" i="38"/>
  <c r="W84" i="38" s="1"/>
  <c r="U84" i="38"/>
  <c r="K117" i="38"/>
  <c r="J156" i="38"/>
  <c r="O53" i="38"/>
  <c r="N163" i="38"/>
  <c r="L140" i="38"/>
  <c r="V140" i="38" s="1"/>
  <c r="X140" i="38"/>
  <c r="K149" i="38"/>
  <c r="M52" i="38"/>
  <c r="W52" i="38" s="1"/>
  <c r="U52" i="38"/>
  <c r="K181" i="38"/>
  <c r="P138" i="38"/>
  <c r="Z138" i="38" s="1"/>
  <c r="T138" i="38"/>
  <c r="Y52" i="38"/>
  <c r="Q52" i="38"/>
  <c r="AA52" i="38" s="1"/>
  <c r="J162" i="38"/>
  <c r="T160" i="38"/>
  <c r="P160" i="38"/>
  <c r="Z160" i="38" s="1"/>
  <c r="J166" i="38"/>
  <c r="K85" i="38"/>
  <c r="U116" i="38"/>
  <c r="M116" i="38"/>
  <c r="W116" i="38" s="1"/>
  <c r="M66" i="36"/>
  <c r="W66" i="36" s="1"/>
  <c r="U66" i="36"/>
  <c r="Q67" i="36"/>
  <c r="AA67" i="36" s="1"/>
  <c r="Y67" i="36"/>
  <c r="E68" i="36"/>
  <c r="K68" i="36" s="1"/>
  <c r="K67" i="36"/>
  <c r="Q68" i="36"/>
  <c r="AA68" i="36" s="1"/>
  <c r="Y68" i="36"/>
  <c r="O56" i="36"/>
  <c r="G57" i="36"/>
  <c r="Q55" i="36"/>
  <c r="AA55" i="36" s="1"/>
  <c r="Y55" i="36"/>
  <c r="M55" i="36"/>
  <c r="W55" i="36" s="1"/>
  <c r="U55" i="36"/>
  <c r="K56" i="36"/>
  <c r="E57" i="36"/>
  <c r="Q43" i="36"/>
  <c r="AA43" i="36" s="1"/>
  <c r="Y43" i="36"/>
  <c r="O44" i="36"/>
  <c r="G45" i="36"/>
  <c r="K44" i="36"/>
  <c r="E45" i="36"/>
  <c r="M43" i="36"/>
  <c r="W43" i="36" s="1"/>
  <c r="U43" i="36"/>
  <c r="L42" i="35"/>
  <c r="V42" i="35" s="1"/>
  <c r="X42" i="35"/>
  <c r="X43" i="35"/>
  <c r="L43" i="35"/>
  <c r="V43" i="35" s="1"/>
  <c r="N45" i="35"/>
  <c r="N46" i="35"/>
  <c r="X41" i="35"/>
  <c r="L41" i="35"/>
  <c r="V41" i="35" s="1"/>
  <c r="J49" i="35"/>
  <c r="N44" i="35"/>
  <c r="T46" i="35"/>
  <c r="P46" i="35"/>
  <c r="Z46" i="35" s="1"/>
  <c r="J47" i="35"/>
  <c r="T42" i="35"/>
  <c r="P42" i="35"/>
  <c r="Z42" i="35" s="1"/>
  <c r="P44" i="35"/>
  <c r="Z44" i="35" s="1"/>
  <c r="T44" i="35"/>
  <c r="J45" i="35"/>
  <c r="M30" i="31"/>
  <c r="W30" i="31" s="1"/>
  <c r="U30" i="31"/>
  <c r="E32" i="31"/>
  <c r="K32" i="31" s="1"/>
  <c r="K31" i="31"/>
  <c r="G32" i="31"/>
  <c r="O32" i="31" s="1"/>
  <c r="O31" i="31"/>
  <c r="Q30" i="31"/>
  <c r="AA30" i="31" s="1"/>
  <c r="Y30" i="31"/>
  <c r="O76" i="31"/>
  <c r="Q75" i="31"/>
  <c r="AA75" i="31" s="1"/>
  <c r="Y75" i="31"/>
  <c r="K76" i="31"/>
  <c r="M75" i="31"/>
  <c r="W75" i="31" s="1"/>
  <c r="U75" i="31"/>
  <c r="Q63" i="31"/>
  <c r="AA63" i="31" s="1"/>
  <c r="Y63" i="31"/>
  <c r="O65" i="31"/>
  <c r="O64" i="31"/>
  <c r="K65" i="31"/>
  <c r="K64" i="31"/>
  <c r="M63" i="31"/>
  <c r="W63" i="31" s="1"/>
  <c r="U63" i="31"/>
  <c r="K54" i="31"/>
  <c r="K53" i="31"/>
  <c r="M52" i="31"/>
  <c r="W52" i="31" s="1"/>
  <c r="U52" i="31"/>
  <c r="Q52" i="31"/>
  <c r="AA52" i="31" s="1"/>
  <c r="Y52" i="31"/>
  <c r="O54" i="31"/>
  <c r="O53" i="31"/>
  <c r="M41" i="31"/>
  <c r="W41" i="31" s="1"/>
  <c r="U41" i="31"/>
  <c r="K43" i="31"/>
  <c r="K42" i="31"/>
  <c r="O43" i="31"/>
  <c r="O42" i="31"/>
  <c r="Q41" i="31"/>
  <c r="AA41" i="31" s="1"/>
  <c r="Y41" i="31"/>
  <c r="K181" i="28"/>
  <c r="E182" i="28"/>
  <c r="M180" i="28"/>
  <c r="W180" i="28" s="1"/>
  <c r="U180" i="28"/>
  <c r="Q180" i="28"/>
  <c r="AA180" i="28" s="1"/>
  <c r="Y180" i="28"/>
  <c r="O181" i="28"/>
  <c r="G182" i="28"/>
  <c r="Q164" i="28"/>
  <c r="AA164" i="28" s="1"/>
  <c r="Y164" i="28"/>
  <c r="G166" i="28"/>
  <c r="O165" i="28"/>
  <c r="M164" i="28"/>
  <c r="W164" i="28" s="1"/>
  <c r="U164" i="28"/>
  <c r="K165" i="28"/>
  <c r="E166" i="28"/>
  <c r="G50" i="28"/>
  <c r="O49" i="28"/>
  <c r="Q48" i="28"/>
  <c r="AA48" i="28" s="1"/>
  <c r="Y48" i="28"/>
  <c r="E50" i="28"/>
  <c r="K49" i="28"/>
  <c r="M48" i="28"/>
  <c r="W48" i="28" s="1"/>
  <c r="U48" i="28"/>
  <c r="K136" i="28"/>
  <c r="M135" i="28"/>
  <c r="W135" i="28" s="1"/>
  <c r="U135" i="28"/>
  <c r="O136" i="28"/>
  <c r="Q135" i="28"/>
  <c r="AA135" i="28" s="1"/>
  <c r="Y135" i="28"/>
  <c r="M106" i="28"/>
  <c r="W106" i="28" s="1"/>
  <c r="U106" i="28"/>
  <c r="K107" i="28"/>
  <c r="O107" i="28"/>
  <c r="Q106" i="28"/>
  <c r="AA106" i="28" s="1"/>
  <c r="Y106" i="28"/>
  <c r="K78" i="28"/>
  <c r="M77" i="28"/>
  <c r="W77" i="28" s="1"/>
  <c r="U77" i="28"/>
  <c r="O78" i="28"/>
  <c r="Q77" i="28"/>
  <c r="AA77" i="28" s="1"/>
  <c r="Y77" i="28"/>
  <c r="M244" i="27"/>
  <c r="W244" i="27" s="1"/>
  <c r="U244" i="27"/>
  <c r="M243" i="27"/>
  <c r="W243" i="27" s="1"/>
  <c r="U243" i="27"/>
  <c r="Q243" i="27"/>
  <c r="AA243" i="27" s="1"/>
  <c r="Y243" i="27"/>
  <c r="Q244" i="27"/>
  <c r="AA244" i="27" s="1"/>
  <c r="Y244" i="27"/>
  <c r="Q211" i="27"/>
  <c r="AA211" i="27" s="1"/>
  <c r="Y211" i="27"/>
  <c r="G213" i="27"/>
  <c r="O212" i="27"/>
  <c r="K212" i="27"/>
  <c r="E213" i="27"/>
  <c r="M211" i="27"/>
  <c r="W211" i="27" s="1"/>
  <c r="U211" i="27"/>
  <c r="Q140" i="27"/>
  <c r="AA140" i="27" s="1"/>
  <c r="Y155" i="27"/>
  <c r="K156" i="27"/>
  <c r="M156" i="27" s="1"/>
  <c r="W156" i="27" s="1"/>
  <c r="O156" i="27"/>
  <c r="Y156" i="27" s="1"/>
  <c r="T157" i="27"/>
  <c r="P157" i="27"/>
  <c r="Z157" i="27" s="1"/>
  <c r="J189" i="27"/>
  <c r="J173" i="27"/>
  <c r="T165" i="27"/>
  <c r="P165" i="27"/>
  <c r="Z165" i="27" s="1"/>
  <c r="O171" i="27"/>
  <c r="Y171" i="27" s="1"/>
  <c r="J197" i="27"/>
  <c r="J181" i="27"/>
  <c r="K171" i="27"/>
  <c r="M171" i="27" s="1"/>
  <c r="W171" i="27" s="1"/>
  <c r="T161" i="27"/>
  <c r="P161" i="27"/>
  <c r="Z161" i="27" s="1"/>
  <c r="J193" i="27"/>
  <c r="J177" i="27"/>
  <c r="P201" i="27"/>
  <c r="Z201" i="27" s="1"/>
  <c r="T201" i="27"/>
  <c r="P187" i="27"/>
  <c r="Z187" i="27" s="1"/>
  <c r="T187" i="27"/>
  <c r="J175" i="27"/>
  <c r="J191" i="27"/>
  <c r="T185" i="27"/>
  <c r="P185" i="27"/>
  <c r="Z185" i="27" s="1"/>
  <c r="T171" i="27"/>
  <c r="P171" i="27"/>
  <c r="Z171" i="27" s="1"/>
  <c r="T159" i="27"/>
  <c r="P159" i="27"/>
  <c r="Z159" i="27" s="1"/>
  <c r="P179" i="27"/>
  <c r="Z179" i="27" s="1"/>
  <c r="T179" i="27"/>
  <c r="P183" i="27"/>
  <c r="Z183" i="27" s="1"/>
  <c r="T183" i="27"/>
  <c r="P195" i="27"/>
  <c r="Z195" i="27" s="1"/>
  <c r="T195" i="27"/>
  <c r="P199" i="27"/>
  <c r="Z199" i="27" s="1"/>
  <c r="T199" i="27"/>
  <c r="Q111" i="27"/>
  <c r="AA111" i="27" s="1"/>
  <c r="Y111" i="27"/>
  <c r="Q81" i="27"/>
  <c r="AA81" i="27" s="1"/>
  <c r="Y81" i="27"/>
  <c r="O97" i="27"/>
  <c r="O112" i="27"/>
  <c r="Q141" i="27"/>
  <c r="AA141" i="27" s="1"/>
  <c r="Y141" i="27"/>
  <c r="O142" i="27"/>
  <c r="Q126" i="27"/>
  <c r="AA126" i="27" s="1"/>
  <c r="Y126" i="27"/>
  <c r="O157" i="27"/>
  <c r="O82" i="27"/>
  <c r="O127" i="27"/>
  <c r="Q96" i="27"/>
  <c r="AA96" i="27" s="1"/>
  <c r="Y96" i="27"/>
  <c r="K112" i="27"/>
  <c r="K127" i="27"/>
  <c r="K157" i="27"/>
  <c r="M141" i="27"/>
  <c r="W141" i="27" s="1"/>
  <c r="U141" i="27"/>
  <c r="U126" i="27"/>
  <c r="M126" i="27"/>
  <c r="W126" i="27" s="1"/>
  <c r="K172" i="27"/>
  <c r="K97" i="27"/>
  <c r="M111" i="27"/>
  <c r="W111" i="27" s="1"/>
  <c r="U111" i="27"/>
  <c r="K142" i="27"/>
  <c r="K82" i="27"/>
  <c r="U96" i="27"/>
  <c r="M96" i="27"/>
  <c r="W96" i="27" s="1"/>
  <c r="M81" i="27"/>
  <c r="W81" i="27" s="1"/>
  <c r="U81" i="27"/>
  <c r="O66" i="27"/>
  <c r="Y65" i="27"/>
  <c r="Q65" i="27"/>
  <c r="AA65" i="27" s="1"/>
  <c r="K66" i="27"/>
  <c r="U65" i="27"/>
  <c r="M65" i="27"/>
  <c r="W65" i="27" s="1"/>
  <c r="Q51" i="27"/>
  <c r="AA51" i="27" s="1"/>
  <c r="Y51" i="27"/>
  <c r="O52" i="27"/>
  <c r="M51" i="27"/>
  <c r="W51" i="27" s="1"/>
  <c r="U51" i="27"/>
  <c r="K52" i="27"/>
  <c r="Q35" i="27"/>
  <c r="AA35" i="27" s="1"/>
  <c r="Y35" i="27"/>
  <c r="G37" i="27"/>
  <c r="O36" i="27"/>
  <c r="U35" i="27"/>
  <c r="M35" i="27"/>
  <c r="W35" i="27" s="1"/>
  <c r="E37" i="27"/>
  <c r="K36" i="27"/>
  <c r="M64" i="24"/>
  <c r="W64" i="24" s="1"/>
  <c r="U64" i="24"/>
  <c r="K65" i="24"/>
  <c r="E66" i="24"/>
  <c r="Q64" i="24"/>
  <c r="AA64" i="24" s="1"/>
  <c r="Y64" i="24"/>
  <c r="G66" i="24"/>
  <c r="O65" i="24"/>
  <c r="Q49" i="24"/>
  <c r="AA49" i="24" s="1"/>
  <c r="Y49" i="24"/>
  <c r="G51" i="24"/>
  <c r="O50" i="24"/>
  <c r="Y35" i="24"/>
  <c r="Q35" i="24"/>
  <c r="AA35" i="24" s="1"/>
  <c r="G37" i="24"/>
  <c r="O36" i="24"/>
  <c r="E36" i="24"/>
  <c r="K35" i="24"/>
  <c r="U34" i="24"/>
  <c r="M34" i="24"/>
  <c r="W34" i="24" s="1"/>
  <c r="U50" i="24"/>
  <c r="M50" i="24"/>
  <c r="W50" i="24" s="1"/>
  <c r="E52" i="24"/>
  <c r="K51" i="24"/>
  <c r="K178" i="23"/>
  <c r="E179" i="23"/>
  <c r="M177" i="23"/>
  <c r="W177" i="23" s="1"/>
  <c r="U177" i="23"/>
  <c r="G179" i="23"/>
  <c r="O178" i="23"/>
  <c r="Q177" i="23"/>
  <c r="AA177" i="23" s="1"/>
  <c r="Y177" i="23"/>
  <c r="M154" i="23"/>
  <c r="W154" i="23" s="1"/>
  <c r="U154" i="23"/>
  <c r="G156" i="23"/>
  <c r="O155" i="23"/>
  <c r="K155" i="23"/>
  <c r="E156" i="23"/>
  <c r="Q154" i="23"/>
  <c r="AA154" i="23" s="1"/>
  <c r="Y154" i="23"/>
  <c r="G144" i="23"/>
  <c r="O143" i="23"/>
  <c r="M142" i="23"/>
  <c r="W142" i="23" s="1"/>
  <c r="U142" i="23"/>
  <c r="Q142" i="23"/>
  <c r="AA142" i="23" s="1"/>
  <c r="Y142" i="23"/>
  <c r="E144" i="23"/>
  <c r="K143" i="23"/>
  <c r="Q109" i="23"/>
  <c r="AA109" i="23" s="1"/>
  <c r="Y109" i="23"/>
  <c r="O111" i="23"/>
  <c r="O110" i="23"/>
  <c r="K111" i="23"/>
  <c r="K110" i="23"/>
  <c r="M109" i="23"/>
  <c r="W109" i="23" s="1"/>
  <c r="U109" i="23"/>
  <c r="E90" i="23"/>
  <c r="E91" i="23" s="1"/>
  <c r="E92" i="23" s="1"/>
  <c r="E93" i="23" s="1"/>
  <c r="E94" i="23" s="1"/>
  <c r="K89" i="23"/>
  <c r="M88" i="23"/>
  <c r="W88" i="23" s="1"/>
  <c r="U88" i="23"/>
  <c r="G90" i="23"/>
  <c r="G91" i="23" s="1"/>
  <c r="G92" i="23" s="1"/>
  <c r="G93" i="23" s="1"/>
  <c r="G94" i="23" s="1"/>
  <c r="O89" i="23"/>
  <c r="Q88" i="23"/>
  <c r="AA88" i="23" s="1"/>
  <c r="Y88" i="23"/>
  <c r="Q65" i="23"/>
  <c r="AA65" i="23" s="1"/>
  <c r="Y65" i="23"/>
  <c r="G67" i="23"/>
  <c r="O66" i="23"/>
  <c r="M65" i="23"/>
  <c r="W65" i="23" s="1"/>
  <c r="U65" i="23"/>
  <c r="K66" i="23"/>
  <c r="E67" i="23"/>
  <c r="O50" i="23"/>
  <c r="G51" i="23"/>
  <c r="Q49" i="23"/>
  <c r="AA49" i="23" s="1"/>
  <c r="Y49" i="23"/>
  <c r="M48" i="23"/>
  <c r="W48" i="23" s="1"/>
  <c r="U48" i="23"/>
  <c r="K49" i="23"/>
  <c r="E50" i="23"/>
  <c r="M21" i="23"/>
  <c r="W21" i="23" s="1"/>
  <c r="U21" i="23"/>
  <c r="M20" i="23"/>
  <c r="W20" i="23" s="1"/>
  <c r="U20" i="23"/>
  <c r="Q20" i="23"/>
  <c r="AA20" i="23" s="1"/>
  <c r="Y20" i="23"/>
  <c r="Q21" i="23"/>
  <c r="AA21" i="23" s="1"/>
  <c r="Y21" i="23"/>
  <c r="X282" i="22"/>
  <c r="L282" i="22"/>
  <c r="V282" i="22" s="1"/>
  <c r="M246" i="22"/>
  <c r="W246" i="22" s="1"/>
  <c r="U246" i="22"/>
  <c r="L294" i="22"/>
  <c r="V294" i="22" s="1"/>
  <c r="X294" i="22"/>
  <c r="K247" i="22"/>
  <c r="O225" i="22"/>
  <c r="O224" i="22"/>
  <c r="L278" i="22"/>
  <c r="V278" i="22" s="1"/>
  <c r="X278" i="22"/>
  <c r="U294" i="22"/>
  <c r="M294" i="22"/>
  <c r="W294" i="22" s="1"/>
  <c r="Q282" i="22"/>
  <c r="AA282" i="22" s="1"/>
  <c r="Y282" i="22"/>
  <c r="Q223" i="22"/>
  <c r="AA223" i="22" s="1"/>
  <c r="Y223" i="22"/>
  <c r="L290" i="22"/>
  <c r="V290" i="22" s="1"/>
  <c r="X290" i="22"/>
  <c r="K295" i="22"/>
  <c r="O283" i="22"/>
  <c r="M198" i="22"/>
  <c r="W198" i="22" s="1"/>
  <c r="U198" i="22"/>
  <c r="Q198" i="22"/>
  <c r="AA198" i="22" s="1"/>
  <c r="Y198" i="22"/>
  <c r="K211" i="22"/>
  <c r="K199" i="22"/>
  <c r="O199" i="22"/>
  <c r="M210" i="22"/>
  <c r="W210" i="22" s="1"/>
  <c r="U210" i="22"/>
  <c r="Y234" i="22"/>
  <c r="Q234" i="22"/>
  <c r="AA234" i="22" s="1"/>
  <c r="X292" i="22"/>
  <c r="L292" i="22"/>
  <c r="V292" i="22" s="1"/>
  <c r="Q258" i="22"/>
  <c r="AA258" i="22" s="1"/>
  <c r="Y258" i="22"/>
  <c r="O235" i="22"/>
  <c r="X280" i="22"/>
  <c r="L280" i="22"/>
  <c r="V280" i="22" s="1"/>
  <c r="O259" i="22"/>
  <c r="Q186" i="22"/>
  <c r="AA186" i="22" s="1"/>
  <c r="Y186" i="22"/>
  <c r="O187" i="22"/>
  <c r="G188" i="22"/>
  <c r="E188" i="22"/>
  <c r="K187" i="22"/>
  <c r="M186" i="22"/>
  <c r="W186" i="22" s="1"/>
  <c r="U186" i="22"/>
  <c r="M258" i="22"/>
  <c r="W258" i="22" s="1"/>
  <c r="U258" i="22"/>
  <c r="Y247" i="22"/>
  <c r="Q247" i="22"/>
  <c r="AA247" i="22" s="1"/>
  <c r="O249" i="22"/>
  <c r="O248" i="22"/>
  <c r="Q295" i="22"/>
  <c r="AA295" i="22" s="1"/>
  <c r="Y295" i="22"/>
  <c r="Q271" i="22"/>
  <c r="AA271" i="22" s="1"/>
  <c r="Y271" i="22"/>
  <c r="O273" i="22"/>
  <c r="O272" i="22"/>
  <c r="O297" i="22"/>
  <c r="O296" i="22"/>
  <c r="M282" i="22"/>
  <c r="W282" i="22" s="1"/>
  <c r="U282" i="22"/>
  <c r="M234" i="22"/>
  <c r="W234" i="22" s="1"/>
  <c r="U234" i="22"/>
  <c r="K259" i="22"/>
  <c r="K283" i="22"/>
  <c r="K235" i="22"/>
  <c r="Y154" i="22"/>
  <c r="Q154" i="22"/>
  <c r="AA154" i="22" s="1"/>
  <c r="O155" i="22"/>
  <c r="G156" i="22"/>
  <c r="M158" i="22"/>
  <c r="W158" i="22" s="1"/>
  <c r="U158" i="22"/>
  <c r="K159" i="22"/>
  <c r="E160" i="22"/>
  <c r="M134" i="22"/>
  <c r="W134" i="22" s="1"/>
  <c r="U134" i="22"/>
  <c r="M135" i="22"/>
  <c r="W135" i="22" s="1"/>
  <c r="U135" i="22"/>
  <c r="Q134" i="22"/>
  <c r="AA134" i="22" s="1"/>
  <c r="Y134" i="22"/>
  <c r="Q135" i="22"/>
  <c r="AA135" i="22" s="1"/>
  <c r="Y135" i="22"/>
  <c r="M111" i="22"/>
  <c r="W111" i="22" s="1"/>
  <c r="U111" i="22"/>
  <c r="O112" i="22"/>
  <c r="Q111" i="22"/>
  <c r="AA111" i="22" s="1"/>
  <c r="Y111" i="22"/>
  <c r="K112" i="22"/>
  <c r="K89" i="22"/>
  <c r="M88" i="22"/>
  <c r="W88" i="22" s="1"/>
  <c r="U88" i="22"/>
  <c r="O89" i="22"/>
  <c r="Q88" i="22"/>
  <c r="AA88" i="22" s="1"/>
  <c r="Y88" i="22"/>
  <c r="K66" i="22"/>
  <c r="M65" i="22"/>
  <c r="W65" i="22" s="1"/>
  <c r="U65" i="22"/>
  <c r="O66" i="22"/>
  <c r="Q65" i="22"/>
  <c r="AA65" i="22" s="1"/>
  <c r="Y65" i="22"/>
  <c r="Q42" i="22"/>
  <c r="AA42" i="22" s="1"/>
  <c r="Y42" i="22"/>
  <c r="O43" i="22"/>
  <c r="G44" i="22"/>
  <c r="E46" i="22"/>
  <c r="K45" i="22"/>
  <c r="M44" i="22"/>
  <c r="W44" i="22" s="1"/>
  <c r="U44" i="22"/>
  <c r="Q33" i="22"/>
  <c r="AA33" i="22" s="1"/>
  <c r="Y33" i="22"/>
  <c r="Q34" i="22"/>
  <c r="AA34" i="22" s="1"/>
  <c r="Y34" i="22"/>
  <c r="M33" i="22"/>
  <c r="W33" i="22" s="1"/>
  <c r="U33" i="22"/>
  <c r="M34" i="22"/>
  <c r="W34" i="22" s="1"/>
  <c r="U34" i="22"/>
  <c r="M20" i="22"/>
  <c r="W20" i="22" s="1"/>
  <c r="U20" i="22"/>
  <c r="K21" i="22"/>
  <c r="Q20" i="22"/>
  <c r="AA20" i="22" s="1"/>
  <c r="Y20" i="22"/>
  <c r="O21" i="22"/>
  <c r="P116" i="21"/>
  <c r="Z116" i="21" s="1"/>
  <c r="T116" i="21"/>
  <c r="L129" i="21"/>
  <c r="V129" i="21" s="1"/>
  <c r="X129" i="21"/>
  <c r="T135" i="21"/>
  <c r="P135" i="21"/>
  <c r="Z135" i="21" s="1"/>
  <c r="P131" i="21"/>
  <c r="Z131" i="21" s="1"/>
  <c r="T131" i="21"/>
  <c r="P133" i="21"/>
  <c r="Z133" i="21" s="1"/>
  <c r="T133" i="21"/>
  <c r="P125" i="21"/>
  <c r="Z125" i="21" s="1"/>
  <c r="T125" i="21"/>
  <c r="P114" i="21"/>
  <c r="Z114" i="21" s="1"/>
  <c r="T114" i="21"/>
  <c r="Q44" i="21"/>
  <c r="AA44" i="21" s="1"/>
  <c r="Y44" i="21"/>
  <c r="L110" i="21"/>
  <c r="V110" i="21" s="1"/>
  <c r="X110" i="21"/>
  <c r="P112" i="21"/>
  <c r="Z112" i="21" s="1"/>
  <c r="T112" i="21"/>
  <c r="T115" i="21"/>
  <c r="P115" i="21"/>
  <c r="Z115" i="21" s="1"/>
  <c r="D159" i="21"/>
  <c r="J145" i="21"/>
  <c r="D161" i="21"/>
  <c r="J147" i="21"/>
  <c r="D153" i="21"/>
  <c r="J139" i="21"/>
  <c r="D142" i="21"/>
  <c r="J128" i="21"/>
  <c r="G46" i="21"/>
  <c r="O45" i="21"/>
  <c r="F138" i="21"/>
  <c r="N124" i="21"/>
  <c r="D144" i="21"/>
  <c r="J130" i="21"/>
  <c r="F157" i="21"/>
  <c r="N143" i="21"/>
  <c r="D140" i="21"/>
  <c r="J126" i="21"/>
  <c r="D163" i="21"/>
  <c r="J163" i="21" s="1"/>
  <c r="J149" i="21"/>
  <c r="D143" i="21"/>
  <c r="J129" i="21"/>
  <c r="F141" i="21"/>
  <c r="N127" i="21"/>
  <c r="F140" i="21"/>
  <c r="N126" i="21"/>
  <c r="L112" i="21"/>
  <c r="V112" i="21" s="1"/>
  <c r="X112" i="21"/>
  <c r="L137" i="21"/>
  <c r="V137" i="21" s="1"/>
  <c r="X137" i="21"/>
  <c r="P127" i="21"/>
  <c r="Z127" i="21" s="1"/>
  <c r="T127" i="21"/>
  <c r="L118" i="21"/>
  <c r="V118" i="21" s="1"/>
  <c r="X118" i="21"/>
  <c r="L114" i="21"/>
  <c r="V114" i="21" s="1"/>
  <c r="X114" i="21"/>
  <c r="L135" i="21"/>
  <c r="V135" i="21" s="1"/>
  <c r="X135" i="21"/>
  <c r="U31" i="21"/>
  <c r="M31" i="21"/>
  <c r="W31" i="21" s="1"/>
  <c r="X116" i="21"/>
  <c r="L116" i="21"/>
  <c r="V116" i="21" s="1"/>
  <c r="L119" i="21"/>
  <c r="V119" i="21" s="1"/>
  <c r="X119" i="21"/>
  <c r="L113" i="21"/>
  <c r="V113" i="21" s="1"/>
  <c r="X113" i="21"/>
  <c r="F165" i="21"/>
  <c r="N165" i="21" s="1"/>
  <c r="N151" i="21"/>
  <c r="D155" i="21"/>
  <c r="J141" i="21"/>
  <c r="F146" i="21"/>
  <c r="N132" i="21"/>
  <c r="F142" i="21"/>
  <c r="N128" i="21"/>
  <c r="F163" i="21"/>
  <c r="N163" i="21" s="1"/>
  <c r="N149" i="21"/>
  <c r="E33" i="21"/>
  <c r="K32" i="21"/>
  <c r="F144" i="21"/>
  <c r="N130" i="21"/>
  <c r="F147" i="21"/>
  <c r="N133" i="21"/>
  <c r="T120" i="21"/>
  <c r="P120" i="21"/>
  <c r="Z120" i="21" s="1"/>
  <c r="L125" i="21"/>
  <c r="V125" i="21" s="1"/>
  <c r="X125" i="21"/>
  <c r="L131" i="21"/>
  <c r="V131" i="21" s="1"/>
  <c r="X131" i="21"/>
  <c r="M43" i="21"/>
  <c r="W43" i="21" s="1"/>
  <c r="U43" i="21"/>
  <c r="T110" i="21"/>
  <c r="P110" i="21"/>
  <c r="Z110" i="21" s="1"/>
  <c r="X120" i="21"/>
  <c r="L120" i="21"/>
  <c r="V120" i="21" s="1"/>
  <c r="D148" i="21"/>
  <c r="J134" i="21"/>
  <c r="F153" i="21"/>
  <c r="N139" i="21"/>
  <c r="F159" i="21"/>
  <c r="N145" i="21"/>
  <c r="E45" i="21"/>
  <c r="K44" i="21"/>
  <c r="D138" i="21"/>
  <c r="J124" i="21"/>
  <c r="F148" i="21"/>
  <c r="N134" i="21"/>
  <c r="Q94" i="21"/>
  <c r="AA94" i="21" s="1"/>
  <c r="Y94" i="21"/>
  <c r="Y58" i="21"/>
  <c r="Q58" i="21"/>
  <c r="AA58" i="21" s="1"/>
  <c r="O95" i="21"/>
  <c r="O59" i="21"/>
  <c r="Y82" i="21"/>
  <c r="Q82" i="21"/>
  <c r="AA82" i="21" s="1"/>
  <c r="P146" i="21"/>
  <c r="Z146" i="21" s="1"/>
  <c r="T146" i="21"/>
  <c r="Q70" i="21"/>
  <c r="AA70" i="21" s="1"/>
  <c r="Y70" i="21"/>
  <c r="O71" i="21"/>
  <c r="O83" i="21"/>
  <c r="P160" i="21"/>
  <c r="Z160" i="21" s="1"/>
  <c r="T160" i="21"/>
  <c r="P164" i="21"/>
  <c r="Z164" i="21" s="1"/>
  <c r="T164" i="21"/>
  <c r="P150" i="21"/>
  <c r="Z150" i="21" s="1"/>
  <c r="T150" i="21"/>
  <c r="K73" i="21"/>
  <c r="M72" i="21"/>
  <c r="W72" i="21" s="1"/>
  <c r="U72" i="21"/>
  <c r="K139" i="21"/>
  <c r="M138" i="21"/>
  <c r="W138" i="21" s="1"/>
  <c r="U138" i="21"/>
  <c r="K126" i="21"/>
  <c r="M125" i="21"/>
  <c r="W125" i="21" s="1"/>
  <c r="U125" i="21"/>
  <c r="M151" i="21"/>
  <c r="W151" i="21" s="1"/>
  <c r="U151" i="21"/>
  <c r="K87" i="21"/>
  <c r="K100" i="21"/>
  <c r="U86" i="21"/>
  <c r="M86" i="21"/>
  <c r="W86" i="21" s="1"/>
  <c r="M99" i="21"/>
  <c r="W99" i="21" s="1"/>
  <c r="U99" i="21"/>
  <c r="K113" i="21"/>
  <c r="U112" i="21"/>
  <c r="M112" i="21"/>
  <c r="W112" i="21" s="1"/>
  <c r="K61" i="21"/>
  <c r="M60" i="21"/>
  <c r="W60" i="21" s="1"/>
  <c r="U60" i="21"/>
  <c r="Q33" i="21"/>
  <c r="AA33" i="21" s="1"/>
  <c r="Y33" i="21"/>
  <c r="O34" i="21"/>
  <c r="Q20" i="21"/>
  <c r="AA20" i="21" s="1"/>
  <c r="Y20" i="21"/>
  <c r="Y21" i="21"/>
  <c r="Q21" i="21"/>
  <c r="AA21" i="21" s="1"/>
  <c r="M20" i="21"/>
  <c r="W20" i="21" s="1"/>
  <c r="U20" i="21"/>
  <c r="M21" i="21"/>
  <c r="W21" i="21" s="1"/>
  <c r="U21" i="21"/>
  <c r="K160" i="18"/>
  <c r="E161" i="18"/>
  <c r="M159" i="18"/>
  <c r="W159" i="18" s="1"/>
  <c r="U159" i="18"/>
  <c r="M69" i="18"/>
  <c r="W69" i="18" s="1"/>
  <c r="U69" i="18"/>
  <c r="K70" i="18"/>
  <c r="E71" i="18"/>
  <c r="O142" i="18"/>
  <c r="G143" i="18"/>
  <c r="Q141" i="18"/>
  <c r="AA141" i="18" s="1"/>
  <c r="Y141" i="18"/>
  <c r="M140" i="18"/>
  <c r="W140" i="18" s="1"/>
  <c r="U140" i="18"/>
  <c r="K141" i="18"/>
  <c r="E142" i="18"/>
  <c r="O118" i="18"/>
  <c r="K118" i="18"/>
  <c r="M117" i="18"/>
  <c r="W117" i="18" s="1"/>
  <c r="U117" i="18"/>
  <c r="Q117" i="18"/>
  <c r="AA117" i="18" s="1"/>
  <c r="Y117" i="18"/>
  <c r="K94" i="18"/>
  <c r="Q93" i="18"/>
  <c r="AA93" i="18" s="1"/>
  <c r="Y93" i="18"/>
  <c r="O94" i="18"/>
  <c r="M93" i="18"/>
  <c r="W93" i="18" s="1"/>
  <c r="U93" i="18"/>
  <c r="G78" i="18"/>
  <c r="O77" i="18"/>
  <c r="Q76" i="18"/>
  <c r="AA76" i="18" s="1"/>
  <c r="Y76" i="18"/>
  <c r="M46" i="18"/>
  <c r="W46" i="18" s="1"/>
  <c r="U46" i="18"/>
  <c r="Q46" i="18"/>
  <c r="AA46" i="18" s="1"/>
  <c r="Y46" i="18"/>
  <c r="K47" i="18"/>
  <c r="E48" i="18"/>
  <c r="G48" i="18"/>
  <c r="O47" i="18"/>
  <c r="K36" i="18"/>
  <c r="K35" i="18"/>
  <c r="M34" i="18"/>
  <c r="W34" i="18" s="1"/>
  <c r="U34" i="18"/>
  <c r="O36" i="18"/>
  <c r="O35" i="18"/>
  <c r="Q34" i="18"/>
  <c r="AA34" i="18" s="1"/>
  <c r="Y34" i="18"/>
  <c r="Q21" i="18"/>
  <c r="AA21" i="18" s="1"/>
  <c r="Y21" i="18"/>
  <c r="O23" i="18"/>
  <c r="O22" i="18"/>
  <c r="M22" i="18"/>
  <c r="W22" i="18" s="1"/>
  <c r="U22" i="18"/>
  <c r="M23" i="18"/>
  <c r="W23" i="18" s="1"/>
  <c r="U23" i="18"/>
  <c r="T165" i="1"/>
  <c r="P165" i="1"/>
  <c r="Z165" i="1" s="1"/>
  <c r="T182" i="1"/>
  <c r="P182" i="1"/>
  <c r="Z182" i="1" s="1"/>
  <c r="O36" i="1"/>
  <c r="G37" i="1"/>
  <c r="Q35" i="1"/>
  <c r="AA35" i="1" s="1"/>
  <c r="Y35" i="1"/>
  <c r="Y148" i="1"/>
  <c r="Y52" i="1"/>
  <c r="Q52" i="1"/>
  <c r="AA52" i="1" s="1"/>
  <c r="O53" i="1"/>
  <c r="Y164" i="1"/>
  <c r="U52" i="1"/>
  <c r="M52" i="1"/>
  <c r="W52" i="1" s="1"/>
  <c r="K53" i="1"/>
  <c r="P194" i="1"/>
  <c r="Z194" i="1" s="1"/>
  <c r="T194" i="1"/>
  <c r="O165" i="1"/>
  <c r="Y165" i="1" s="1"/>
  <c r="P177" i="1"/>
  <c r="Z177" i="1" s="1"/>
  <c r="T177" i="1"/>
  <c r="M133" i="1"/>
  <c r="W133" i="1" s="1"/>
  <c r="U133" i="1"/>
  <c r="Q149" i="1"/>
  <c r="AA149" i="1" s="1"/>
  <c r="Y149" i="1"/>
  <c r="Q181" i="1"/>
  <c r="AA181" i="1" s="1"/>
  <c r="Y181" i="1"/>
  <c r="Q101" i="1"/>
  <c r="AA101" i="1" s="1"/>
  <c r="Y101" i="1"/>
  <c r="M101" i="1"/>
  <c r="W101" i="1" s="1"/>
  <c r="U101" i="1"/>
  <c r="M85" i="1"/>
  <c r="W85" i="1" s="1"/>
  <c r="U85" i="1"/>
  <c r="Q133" i="1"/>
  <c r="AA133" i="1" s="1"/>
  <c r="Y133" i="1"/>
  <c r="O166" i="1"/>
  <c r="K134" i="1"/>
  <c r="O150" i="1"/>
  <c r="O182" i="1"/>
  <c r="O102" i="1"/>
  <c r="K102" i="1"/>
  <c r="Q69" i="1"/>
  <c r="AA69" i="1" s="1"/>
  <c r="Y69" i="1"/>
  <c r="M149" i="1"/>
  <c r="W149" i="1" s="1"/>
  <c r="U149" i="1"/>
  <c r="O70" i="1"/>
  <c r="K86" i="1"/>
  <c r="K150" i="1"/>
  <c r="M117" i="1"/>
  <c r="W117" i="1" s="1"/>
  <c r="U117" i="1"/>
  <c r="M181" i="1"/>
  <c r="W181" i="1" s="1"/>
  <c r="U181" i="1"/>
  <c r="O134" i="1"/>
  <c r="K118" i="1"/>
  <c r="K182" i="1"/>
  <c r="K166" i="1"/>
  <c r="Y85" i="1"/>
  <c r="Q85" i="1"/>
  <c r="AA85" i="1" s="1"/>
  <c r="Q117" i="1"/>
  <c r="AA117" i="1" s="1"/>
  <c r="Y117" i="1"/>
  <c r="M69" i="1"/>
  <c r="W69" i="1" s="1"/>
  <c r="U69" i="1"/>
  <c r="M165" i="1"/>
  <c r="W165" i="1" s="1"/>
  <c r="U165" i="1"/>
  <c r="O86" i="1"/>
  <c r="O118" i="1"/>
  <c r="K70" i="1"/>
  <c r="Q207" i="1"/>
  <c r="AA207" i="1" s="1"/>
  <c r="Y207" i="1"/>
  <c r="O208" i="1"/>
  <c r="K208" i="1"/>
  <c r="M207" i="1"/>
  <c r="W207" i="1" s="1"/>
  <c r="U207" i="1"/>
  <c r="E40" i="1"/>
  <c r="K39" i="1"/>
  <c r="M38" i="1"/>
  <c r="W38" i="1" s="1"/>
  <c r="U38" i="1"/>
  <c r="Q98" i="29"/>
  <c r="AA98" i="29" s="1"/>
  <c r="Y98" i="29"/>
  <c r="Q99" i="29"/>
  <c r="AA99" i="29" s="1"/>
  <c r="Y99" i="29"/>
  <c r="M98" i="29"/>
  <c r="W98" i="29" s="1"/>
  <c r="U98" i="29"/>
  <c r="M99" i="29"/>
  <c r="W99" i="29" s="1"/>
  <c r="U99" i="29"/>
  <c r="Q66" i="29"/>
  <c r="AA66" i="29" s="1"/>
  <c r="Y66" i="29"/>
  <c r="M66" i="29"/>
  <c r="W66" i="29" s="1"/>
  <c r="U66" i="29"/>
  <c r="O67" i="29"/>
  <c r="G68" i="29"/>
  <c r="K67" i="29"/>
  <c r="E68" i="29"/>
  <c r="E47" i="29"/>
  <c r="K46" i="29"/>
  <c r="M45" i="29"/>
  <c r="W45" i="29" s="1"/>
  <c r="U45" i="29"/>
  <c r="Q45" i="29"/>
  <c r="AA45" i="29" s="1"/>
  <c r="Y45" i="29"/>
  <c r="G47" i="29"/>
  <c r="O46" i="29"/>
  <c r="Q163" i="19"/>
  <c r="AA163" i="19" s="1"/>
  <c r="Y163" i="19"/>
  <c r="M164" i="19"/>
  <c r="W164" i="19" s="1"/>
  <c r="U164" i="19"/>
  <c r="G165" i="19"/>
  <c r="O164" i="19"/>
  <c r="K165" i="19"/>
  <c r="E166" i="19"/>
  <c r="Q131" i="19"/>
  <c r="AA131" i="19" s="1"/>
  <c r="Y131" i="19"/>
  <c r="O132" i="19"/>
  <c r="G133" i="19"/>
  <c r="K132" i="19"/>
  <c r="E133" i="19"/>
  <c r="M131" i="19"/>
  <c r="W131" i="19" s="1"/>
  <c r="U131" i="19"/>
  <c r="O108" i="19"/>
  <c r="G109" i="19"/>
  <c r="Q107" i="19"/>
  <c r="AA107" i="19" s="1"/>
  <c r="Y107" i="19"/>
  <c r="K108" i="19"/>
  <c r="E109" i="19"/>
  <c r="U107" i="19"/>
  <c r="M107" i="19"/>
  <c r="W107" i="19" s="1"/>
  <c r="O86" i="19"/>
  <c r="Y85" i="19"/>
  <c r="Q85" i="19"/>
  <c r="AA85" i="19" s="1"/>
  <c r="M84" i="19"/>
  <c r="W84" i="19" s="1"/>
  <c r="U84" i="19"/>
  <c r="K85" i="19"/>
  <c r="Q20" i="19"/>
  <c r="AA20" i="19" s="1"/>
  <c r="Y20" i="19"/>
  <c r="G22" i="19"/>
  <c r="O21" i="19"/>
  <c r="K21" i="19"/>
  <c r="E22" i="19"/>
  <c r="M20" i="19"/>
  <c r="W20" i="19" s="1"/>
  <c r="U20" i="19"/>
  <c r="Q65" i="19"/>
  <c r="AA65" i="19" s="1"/>
  <c r="Y65" i="19"/>
  <c r="G67" i="19"/>
  <c r="O66" i="19"/>
  <c r="K50" i="19"/>
  <c r="E51" i="19"/>
  <c r="M49" i="19"/>
  <c r="W49" i="19" s="1"/>
  <c r="U49" i="19"/>
  <c r="O50" i="19"/>
  <c r="G51" i="19"/>
  <c r="Q49" i="19"/>
  <c r="AA49" i="19" s="1"/>
  <c r="Y49" i="19"/>
  <c r="M66" i="19"/>
  <c r="W66" i="19" s="1"/>
  <c r="U66" i="19"/>
  <c r="K67" i="19"/>
  <c r="E68" i="19"/>
  <c r="Q32" i="19"/>
  <c r="AA32" i="19" s="1"/>
  <c r="Y32" i="19"/>
  <c r="O33" i="19"/>
  <c r="G34" i="19"/>
  <c r="M35" i="19"/>
  <c r="W35" i="19" s="1"/>
  <c r="U35" i="19"/>
  <c r="E37" i="19"/>
  <c r="K36" i="19"/>
  <c r="O93" i="25"/>
  <c r="O48" i="25"/>
  <c r="Y56" i="25"/>
  <c r="Q56" i="25"/>
  <c r="AA56" i="25" s="1"/>
  <c r="U65" i="25"/>
  <c r="M65" i="25"/>
  <c r="W65" i="25" s="1"/>
  <c r="Q74" i="25"/>
  <c r="AA74" i="25" s="1"/>
  <c r="Y74" i="25"/>
  <c r="O57" i="25"/>
  <c r="K66" i="25"/>
  <c r="O75" i="25"/>
  <c r="M47" i="25"/>
  <c r="W47" i="25" s="1"/>
  <c r="U47" i="25"/>
  <c r="M92" i="25"/>
  <c r="W92" i="25" s="1"/>
  <c r="U92" i="25"/>
  <c r="M74" i="25"/>
  <c r="W74" i="25" s="1"/>
  <c r="U74" i="25"/>
  <c r="Q83" i="25"/>
  <c r="AA83" i="25" s="1"/>
  <c r="Y83" i="25"/>
  <c r="Q47" i="25"/>
  <c r="AA47" i="25" s="1"/>
  <c r="Y47" i="25"/>
  <c r="K48" i="25"/>
  <c r="K93" i="25"/>
  <c r="K75" i="25"/>
  <c r="O84" i="25"/>
  <c r="Q92" i="25"/>
  <c r="AA92" i="25" s="1"/>
  <c r="Y92" i="25"/>
  <c r="M83" i="25"/>
  <c r="W83" i="25" s="1"/>
  <c r="U83" i="25"/>
  <c r="U56" i="25"/>
  <c r="M56" i="25"/>
  <c r="W56" i="25" s="1"/>
  <c r="Q65" i="25"/>
  <c r="AA65" i="25" s="1"/>
  <c r="Y65" i="25"/>
  <c r="K84" i="25"/>
  <c r="K57" i="25"/>
  <c r="O66" i="25"/>
  <c r="M40" i="25"/>
  <c r="W40" i="25" s="1"/>
  <c r="U40" i="25"/>
  <c r="X20" i="25"/>
  <c r="L20" i="25"/>
  <c r="V20" i="25" s="1"/>
  <c r="X56" i="25"/>
  <c r="L56" i="25"/>
  <c r="V56" i="25" s="1"/>
  <c r="N30" i="25"/>
  <c r="N66" i="25"/>
  <c r="N39" i="25"/>
  <c r="N94" i="25"/>
  <c r="N84" i="25"/>
  <c r="X74" i="25"/>
  <c r="L74" i="25"/>
  <c r="V74" i="25" s="1"/>
  <c r="X47" i="25"/>
  <c r="L47" i="25"/>
  <c r="V47" i="25" s="1"/>
  <c r="X65" i="25"/>
  <c r="L65" i="25"/>
  <c r="V65" i="25" s="1"/>
  <c r="X29" i="25"/>
  <c r="L29" i="25"/>
  <c r="V29" i="25" s="1"/>
  <c r="X38" i="25"/>
  <c r="L38" i="25"/>
  <c r="V38" i="25" s="1"/>
  <c r="N48" i="25"/>
  <c r="N57" i="25"/>
  <c r="N75" i="25"/>
  <c r="J57" i="25"/>
  <c r="T65" i="25"/>
  <c r="P65" i="25"/>
  <c r="Z65" i="25" s="1"/>
  <c r="J75" i="25"/>
  <c r="P56" i="25"/>
  <c r="Z56" i="25" s="1"/>
  <c r="T56" i="25"/>
  <c r="P29" i="25"/>
  <c r="Z29" i="25" s="1"/>
  <c r="T29" i="25"/>
  <c r="P74" i="25"/>
  <c r="Z74" i="25" s="1"/>
  <c r="T74" i="25"/>
  <c r="P20" i="25"/>
  <c r="Z20" i="25" s="1"/>
  <c r="T20" i="25"/>
  <c r="J39" i="25"/>
  <c r="J30" i="25"/>
  <c r="P38" i="25"/>
  <c r="Z38" i="25" s="1"/>
  <c r="T38" i="25"/>
  <c r="J48" i="25"/>
  <c r="P47" i="25"/>
  <c r="Z47" i="25" s="1"/>
  <c r="T47" i="25"/>
  <c r="J84" i="25"/>
  <c r="J94" i="25"/>
  <c r="J66" i="25"/>
  <c r="Q35" i="39" l="1"/>
  <c r="AA35" i="39" s="1"/>
  <c r="Y35" i="39"/>
  <c r="Q36" i="39"/>
  <c r="AA36" i="39" s="1"/>
  <c r="Y36" i="39"/>
  <c r="Q21" i="39"/>
  <c r="AA21" i="39" s="1"/>
  <c r="Y21" i="39"/>
  <c r="G23" i="39"/>
  <c r="O22" i="39"/>
  <c r="M22" i="39"/>
  <c r="W22" i="39" s="1"/>
  <c r="U22" i="39"/>
  <c r="E24" i="39"/>
  <c r="K24" i="39" s="1"/>
  <c r="K23" i="39"/>
  <c r="Q49" i="39"/>
  <c r="AA49" i="39" s="1"/>
  <c r="Y49" i="39"/>
  <c r="O31" i="38"/>
  <c r="O54" i="38"/>
  <c r="P159" i="38"/>
  <c r="Z159" i="38" s="1"/>
  <c r="T159" i="38"/>
  <c r="T156" i="38"/>
  <c r="P156" i="38"/>
  <c r="Z156" i="38" s="1"/>
  <c r="T177" i="38"/>
  <c r="P177" i="38"/>
  <c r="Z177" i="38" s="1"/>
  <c r="M69" i="38"/>
  <c r="W69" i="38" s="1"/>
  <c r="U69" i="38"/>
  <c r="J176" i="38"/>
  <c r="J172" i="38"/>
  <c r="T182" i="38"/>
  <c r="P182" i="38"/>
  <c r="Z182" i="38" s="1"/>
  <c r="N183" i="38"/>
  <c r="K102" i="38"/>
  <c r="Y69" i="38"/>
  <c r="Q69" i="38"/>
  <c r="AA69" i="38" s="1"/>
  <c r="Q85" i="38"/>
  <c r="AA85" i="38" s="1"/>
  <c r="Y85" i="38"/>
  <c r="X148" i="38"/>
  <c r="L148" i="38"/>
  <c r="V148" i="38" s="1"/>
  <c r="M181" i="38"/>
  <c r="W181" i="38" s="1"/>
  <c r="U181" i="38"/>
  <c r="J173" i="38"/>
  <c r="K70" i="38"/>
  <c r="Q165" i="38"/>
  <c r="AA165" i="38" s="1"/>
  <c r="Y165" i="38"/>
  <c r="O118" i="38"/>
  <c r="Y133" i="38"/>
  <c r="Q133" i="38"/>
  <c r="AA133" i="38" s="1"/>
  <c r="X170" i="38"/>
  <c r="L170" i="38"/>
  <c r="V170" i="38" s="1"/>
  <c r="Y101" i="38"/>
  <c r="Q101" i="38"/>
  <c r="AA101" i="38" s="1"/>
  <c r="J167" i="38"/>
  <c r="K37" i="38"/>
  <c r="L168" i="38"/>
  <c r="V168" i="38" s="1"/>
  <c r="X168" i="38"/>
  <c r="K150" i="38"/>
  <c r="K54" i="38"/>
  <c r="T165" i="38"/>
  <c r="P165" i="38"/>
  <c r="Z165" i="38" s="1"/>
  <c r="U101" i="38"/>
  <c r="M101" i="38"/>
  <c r="W101" i="38" s="1"/>
  <c r="N165" i="38"/>
  <c r="N182" i="38"/>
  <c r="K118" i="38"/>
  <c r="O150" i="38"/>
  <c r="X156" i="38"/>
  <c r="L156" i="38"/>
  <c r="V156" i="38" s="1"/>
  <c r="O166" i="38"/>
  <c r="Y117" i="38"/>
  <c r="Q117" i="38"/>
  <c r="AA117" i="38" s="1"/>
  <c r="O134" i="38"/>
  <c r="O102" i="38"/>
  <c r="P150" i="38"/>
  <c r="Z150" i="38" s="1"/>
  <c r="T150" i="38"/>
  <c r="M36" i="38"/>
  <c r="W36" i="38" s="1"/>
  <c r="U36" i="38"/>
  <c r="T169" i="38"/>
  <c r="P169" i="38"/>
  <c r="Z169" i="38" s="1"/>
  <c r="U85" i="38"/>
  <c r="M85" i="38"/>
  <c r="W85" i="38" s="1"/>
  <c r="T162" i="38"/>
  <c r="P162" i="38"/>
  <c r="Z162" i="38" s="1"/>
  <c r="K182" i="38"/>
  <c r="U117" i="38"/>
  <c r="M117" i="38"/>
  <c r="W117" i="38" s="1"/>
  <c r="Y149" i="38"/>
  <c r="Q149" i="38"/>
  <c r="AA149" i="38" s="1"/>
  <c r="N173" i="38"/>
  <c r="P151" i="38"/>
  <c r="Z151" i="38" s="1"/>
  <c r="T151" i="38"/>
  <c r="X171" i="38"/>
  <c r="L171" i="38"/>
  <c r="V171" i="38" s="1"/>
  <c r="N177" i="38"/>
  <c r="X167" i="38"/>
  <c r="L167" i="38"/>
  <c r="V167" i="38" s="1"/>
  <c r="U133" i="38"/>
  <c r="M133" i="38"/>
  <c r="W133" i="38" s="1"/>
  <c r="T158" i="38"/>
  <c r="P158" i="38"/>
  <c r="Z158" i="38" s="1"/>
  <c r="K166" i="38"/>
  <c r="Y37" i="38"/>
  <c r="Q37" i="38"/>
  <c r="AA37" i="38" s="1"/>
  <c r="T155" i="38"/>
  <c r="P155" i="38"/>
  <c r="Z155" i="38" s="1"/>
  <c r="O86" i="38"/>
  <c r="K86" i="38"/>
  <c r="J179" i="38"/>
  <c r="X163" i="38"/>
  <c r="L163" i="38"/>
  <c r="V163" i="38" s="1"/>
  <c r="X157" i="38"/>
  <c r="L157" i="38"/>
  <c r="V157" i="38" s="1"/>
  <c r="O182" i="38"/>
  <c r="J168" i="38"/>
  <c r="X160" i="38"/>
  <c r="L160" i="38"/>
  <c r="V160" i="38" s="1"/>
  <c r="N184" i="38"/>
  <c r="K134" i="38"/>
  <c r="J175" i="38"/>
  <c r="M165" i="38"/>
  <c r="W165" i="38" s="1"/>
  <c r="U165" i="38"/>
  <c r="X166" i="38"/>
  <c r="L166" i="38"/>
  <c r="V166" i="38" s="1"/>
  <c r="O70" i="38"/>
  <c r="P166" i="38"/>
  <c r="Z166" i="38" s="1"/>
  <c r="T166" i="38"/>
  <c r="N180" i="38"/>
  <c r="N174" i="38"/>
  <c r="Y181" i="38"/>
  <c r="Q181" i="38"/>
  <c r="AA181" i="38" s="1"/>
  <c r="X152" i="38"/>
  <c r="L152" i="38"/>
  <c r="V152" i="38" s="1"/>
  <c r="N176" i="38"/>
  <c r="J180" i="38"/>
  <c r="N172" i="38"/>
  <c r="L161" i="38"/>
  <c r="V161" i="38" s="1"/>
  <c r="X161" i="38"/>
  <c r="J183" i="38"/>
  <c r="M149" i="38"/>
  <c r="W149" i="38" s="1"/>
  <c r="U149" i="38"/>
  <c r="Y53" i="38"/>
  <c r="Q53" i="38"/>
  <c r="AA53" i="38" s="1"/>
  <c r="O38" i="38"/>
  <c r="U53" i="38"/>
  <c r="M53" i="38"/>
  <c r="W53" i="38" s="1"/>
  <c r="N169" i="38"/>
  <c r="X159" i="38"/>
  <c r="L159" i="38"/>
  <c r="V159" i="38" s="1"/>
  <c r="P170" i="38"/>
  <c r="Z170" i="38" s="1"/>
  <c r="T170" i="38"/>
  <c r="P163" i="38"/>
  <c r="Z163" i="38" s="1"/>
  <c r="T163" i="38"/>
  <c r="X155" i="38"/>
  <c r="L155" i="38"/>
  <c r="V155" i="38" s="1"/>
  <c r="N178" i="38"/>
  <c r="M68" i="36"/>
  <c r="W68" i="36" s="1"/>
  <c r="U68" i="36"/>
  <c r="M67" i="36"/>
  <c r="W67" i="36" s="1"/>
  <c r="U67" i="36"/>
  <c r="K58" i="36"/>
  <c r="K57" i="36"/>
  <c r="M56" i="36"/>
  <c r="W56" i="36" s="1"/>
  <c r="U56" i="36"/>
  <c r="O58" i="36"/>
  <c r="O57" i="36"/>
  <c r="Q56" i="36"/>
  <c r="AA56" i="36" s="1"/>
  <c r="Y56" i="36"/>
  <c r="E46" i="36"/>
  <c r="K46" i="36" s="1"/>
  <c r="K45" i="36"/>
  <c r="M44" i="36"/>
  <c r="W44" i="36" s="1"/>
  <c r="U44" i="36"/>
  <c r="G46" i="36"/>
  <c r="O46" i="36" s="1"/>
  <c r="O45" i="36"/>
  <c r="Q44" i="36"/>
  <c r="AA44" i="36" s="1"/>
  <c r="Y44" i="36"/>
  <c r="L46" i="35"/>
  <c r="V46" i="35" s="1"/>
  <c r="X46" i="35"/>
  <c r="P45" i="35"/>
  <c r="Z45" i="35" s="1"/>
  <c r="T45" i="35"/>
  <c r="N49" i="35"/>
  <c r="J48" i="35"/>
  <c r="L44" i="35"/>
  <c r="V44" i="35" s="1"/>
  <c r="X44" i="35"/>
  <c r="N48" i="35"/>
  <c r="N47" i="35"/>
  <c r="L45" i="35"/>
  <c r="V45" i="35" s="1"/>
  <c r="X45" i="35"/>
  <c r="P49" i="35"/>
  <c r="Z49" i="35" s="1"/>
  <c r="T49" i="35"/>
  <c r="J52" i="35"/>
  <c r="J55" i="35"/>
  <c r="J50" i="35"/>
  <c r="J53" i="35"/>
  <c r="P47" i="35"/>
  <c r="Z47" i="35" s="1"/>
  <c r="T47" i="35"/>
  <c r="Q31" i="31"/>
  <c r="AA31" i="31" s="1"/>
  <c r="Y31" i="31"/>
  <c r="Q32" i="31"/>
  <c r="AA32" i="31" s="1"/>
  <c r="Y32" i="31"/>
  <c r="M31" i="31"/>
  <c r="W31" i="31" s="1"/>
  <c r="U31" i="31"/>
  <c r="U32" i="31"/>
  <c r="M32" i="31"/>
  <c r="W32" i="31" s="1"/>
  <c r="M76" i="31"/>
  <c r="W76" i="31" s="1"/>
  <c r="U76" i="31"/>
  <c r="Q76" i="31"/>
  <c r="AA76" i="31" s="1"/>
  <c r="Y76" i="31"/>
  <c r="M64" i="31"/>
  <c r="W64" i="31" s="1"/>
  <c r="U64" i="31"/>
  <c r="M65" i="31"/>
  <c r="W65" i="31" s="1"/>
  <c r="U65" i="31"/>
  <c r="Q64" i="31"/>
  <c r="AA64" i="31" s="1"/>
  <c r="Y64" i="31"/>
  <c r="Q65" i="31"/>
  <c r="AA65" i="31" s="1"/>
  <c r="Y65" i="31"/>
  <c r="Q53" i="31"/>
  <c r="AA53" i="31" s="1"/>
  <c r="Y53" i="31"/>
  <c r="Q54" i="31"/>
  <c r="AA54" i="31" s="1"/>
  <c r="Y54" i="31"/>
  <c r="M53" i="31"/>
  <c r="W53" i="31" s="1"/>
  <c r="U53" i="31"/>
  <c r="M54" i="31"/>
  <c r="W54" i="31" s="1"/>
  <c r="U54" i="31"/>
  <c r="Q42" i="31"/>
  <c r="AA42" i="31" s="1"/>
  <c r="Y42" i="31"/>
  <c r="Q43" i="31"/>
  <c r="AA43" i="31" s="1"/>
  <c r="Y43" i="31"/>
  <c r="M42" i="31"/>
  <c r="W42" i="31" s="1"/>
  <c r="U42" i="31"/>
  <c r="M43" i="31"/>
  <c r="W43" i="31" s="1"/>
  <c r="U43" i="31"/>
  <c r="G183" i="28"/>
  <c r="O183" i="28" s="1"/>
  <c r="O182" i="28"/>
  <c r="Q181" i="28"/>
  <c r="AA181" i="28" s="1"/>
  <c r="Y181" i="28"/>
  <c r="K182" i="28"/>
  <c r="E183" i="28"/>
  <c r="K183" i="28" s="1"/>
  <c r="M181" i="28"/>
  <c r="W181" i="28" s="1"/>
  <c r="U181" i="28"/>
  <c r="E167" i="28"/>
  <c r="K166" i="28"/>
  <c r="M165" i="28"/>
  <c r="W165" i="28" s="1"/>
  <c r="U165" i="28"/>
  <c r="Q165" i="28"/>
  <c r="AA165" i="28" s="1"/>
  <c r="Y165" i="28"/>
  <c r="G167" i="28"/>
  <c r="O166" i="28"/>
  <c r="Q49" i="28"/>
  <c r="AA49" i="28" s="1"/>
  <c r="Y49" i="28"/>
  <c r="O50" i="28"/>
  <c r="G51" i="28"/>
  <c r="M49" i="28"/>
  <c r="W49" i="28" s="1"/>
  <c r="U49" i="28"/>
  <c r="E51" i="28"/>
  <c r="K50" i="28"/>
  <c r="Q136" i="28"/>
  <c r="AA136" i="28" s="1"/>
  <c r="Y136" i="28"/>
  <c r="O137" i="28"/>
  <c r="M136" i="28"/>
  <c r="W136" i="28" s="1"/>
  <c r="U136" i="28"/>
  <c r="K137" i="28"/>
  <c r="Q107" i="28"/>
  <c r="AA107" i="28" s="1"/>
  <c r="Y107" i="28"/>
  <c r="O108" i="28"/>
  <c r="M107" i="28"/>
  <c r="W107" i="28" s="1"/>
  <c r="U107" i="28"/>
  <c r="K108" i="28"/>
  <c r="Q78" i="28"/>
  <c r="AA78" i="28" s="1"/>
  <c r="Y78" i="28"/>
  <c r="O79" i="28"/>
  <c r="M78" i="28"/>
  <c r="W78" i="28" s="1"/>
  <c r="U78" i="28"/>
  <c r="K79" i="28"/>
  <c r="E214" i="27"/>
  <c r="K213" i="27"/>
  <c r="M212" i="27"/>
  <c r="W212" i="27" s="1"/>
  <c r="U212" i="27"/>
  <c r="Q212" i="27"/>
  <c r="AA212" i="27" s="1"/>
  <c r="Y212" i="27"/>
  <c r="G214" i="27"/>
  <c r="O213" i="27"/>
  <c r="U156" i="27"/>
  <c r="Q156" i="27"/>
  <c r="AA156" i="27" s="1"/>
  <c r="Q171" i="27"/>
  <c r="AA171" i="27" s="1"/>
  <c r="U171" i="27"/>
  <c r="P173" i="27"/>
  <c r="Z173" i="27" s="1"/>
  <c r="T173" i="27"/>
  <c r="P181" i="27"/>
  <c r="Z181" i="27" s="1"/>
  <c r="T181" i="27"/>
  <c r="T189" i="27"/>
  <c r="P189" i="27"/>
  <c r="Z189" i="27" s="1"/>
  <c r="P197" i="27"/>
  <c r="Z197" i="27" s="1"/>
  <c r="T197" i="27"/>
  <c r="P177" i="27"/>
  <c r="Z177" i="27" s="1"/>
  <c r="T177" i="27"/>
  <c r="T193" i="27"/>
  <c r="P193" i="27"/>
  <c r="Z193" i="27" s="1"/>
  <c r="K187" i="27"/>
  <c r="M187" i="27" s="1"/>
  <c r="W187" i="27" s="1"/>
  <c r="P191" i="27"/>
  <c r="Z191" i="27" s="1"/>
  <c r="T191" i="27"/>
  <c r="P175" i="27"/>
  <c r="Z175" i="27" s="1"/>
  <c r="T175" i="27"/>
  <c r="O172" i="27"/>
  <c r="Q172" i="27" s="1"/>
  <c r="AA172" i="27" s="1"/>
  <c r="O187" i="27"/>
  <c r="Q187" i="27" s="1"/>
  <c r="AA187" i="27" s="1"/>
  <c r="O143" i="27"/>
  <c r="Y142" i="27"/>
  <c r="Q142" i="27"/>
  <c r="AA142" i="27" s="1"/>
  <c r="O83" i="27"/>
  <c r="Q82" i="27"/>
  <c r="AA82" i="27" s="1"/>
  <c r="Y82" i="27"/>
  <c r="O173" i="27"/>
  <c r="O158" i="27"/>
  <c r="O113" i="27"/>
  <c r="Q157" i="27"/>
  <c r="AA157" i="27" s="1"/>
  <c r="Y157" i="27"/>
  <c r="Q112" i="27"/>
  <c r="AA112" i="27" s="1"/>
  <c r="Y112" i="27"/>
  <c r="Q127" i="27"/>
  <c r="AA127" i="27" s="1"/>
  <c r="Y127" i="27"/>
  <c r="Y97" i="27"/>
  <c r="Q97" i="27"/>
  <c r="AA97" i="27" s="1"/>
  <c r="O128" i="27"/>
  <c r="O98" i="27"/>
  <c r="O188" i="27"/>
  <c r="K83" i="27"/>
  <c r="K173" i="27"/>
  <c r="M157" i="27"/>
  <c r="W157" i="27" s="1"/>
  <c r="U157" i="27"/>
  <c r="U82" i="27"/>
  <c r="M82" i="27"/>
  <c r="W82" i="27" s="1"/>
  <c r="M172" i="27"/>
  <c r="W172" i="27" s="1"/>
  <c r="U172" i="27"/>
  <c r="K158" i="27"/>
  <c r="M127" i="27"/>
  <c r="W127" i="27" s="1"/>
  <c r="U127" i="27"/>
  <c r="K188" i="27"/>
  <c r="K128" i="27"/>
  <c r="K143" i="27"/>
  <c r="U97" i="27"/>
  <c r="M97" i="27"/>
  <c r="W97" i="27" s="1"/>
  <c r="K113" i="27"/>
  <c r="U142" i="27"/>
  <c r="M142" i="27"/>
  <c r="W142" i="27" s="1"/>
  <c r="K98" i="27"/>
  <c r="M112" i="27"/>
  <c r="W112" i="27" s="1"/>
  <c r="U112" i="27"/>
  <c r="M66" i="27"/>
  <c r="W66" i="27" s="1"/>
  <c r="U66" i="27"/>
  <c r="O67" i="27"/>
  <c r="K67" i="27"/>
  <c r="Q66" i="27"/>
  <c r="AA66" i="27" s="1"/>
  <c r="Y66" i="27"/>
  <c r="K53" i="27"/>
  <c r="M52" i="27"/>
  <c r="W52" i="27" s="1"/>
  <c r="U52" i="27"/>
  <c r="O53" i="27"/>
  <c r="Y52" i="27"/>
  <c r="Q52" i="27"/>
  <c r="AA52" i="27" s="1"/>
  <c r="Q36" i="27"/>
  <c r="AA36" i="27" s="1"/>
  <c r="Y36" i="27"/>
  <c r="G38" i="27"/>
  <c r="O37" i="27"/>
  <c r="M36" i="27"/>
  <c r="W36" i="27" s="1"/>
  <c r="U36" i="27"/>
  <c r="K37" i="27"/>
  <c r="E38" i="27"/>
  <c r="Q65" i="24"/>
  <c r="AA65" i="24" s="1"/>
  <c r="Y65" i="24"/>
  <c r="O66" i="24"/>
  <c r="G67" i="24"/>
  <c r="K66" i="24"/>
  <c r="E67" i="24"/>
  <c r="M65" i="24"/>
  <c r="W65" i="24" s="1"/>
  <c r="U65" i="24"/>
  <c r="Q50" i="24"/>
  <c r="AA50" i="24" s="1"/>
  <c r="Y50" i="24"/>
  <c r="O51" i="24"/>
  <c r="G52" i="24"/>
  <c r="Q36" i="24"/>
  <c r="AA36" i="24" s="1"/>
  <c r="Y36" i="24"/>
  <c r="G38" i="24"/>
  <c r="O37" i="24"/>
  <c r="U35" i="24"/>
  <c r="M35" i="24"/>
  <c r="W35" i="24" s="1"/>
  <c r="K36" i="24"/>
  <c r="E37" i="24"/>
  <c r="M51" i="24"/>
  <c r="W51" i="24" s="1"/>
  <c r="U51" i="24"/>
  <c r="K52" i="24"/>
  <c r="E53" i="24"/>
  <c r="Q178" i="23"/>
  <c r="AA178" i="23" s="1"/>
  <c r="Y178" i="23"/>
  <c r="O179" i="23"/>
  <c r="G180" i="23"/>
  <c r="K179" i="23"/>
  <c r="E180" i="23"/>
  <c r="M178" i="23"/>
  <c r="W178" i="23" s="1"/>
  <c r="U178" i="23"/>
  <c r="K156" i="23"/>
  <c r="E157" i="23"/>
  <c r="M155" i="23"/>
  <c r="W155" i="23" s="1"/>
  <c r="U155" i="23"/>
  <c r="Q155" i="23"/>
  <c r="AA155" i="23" s="1"/>
  <c r="Y155" i="23"/>
  <c r="O156" i="23"/>
  <c r="G157" i="23"/>
  <c r="M143" i="23"/>
  <c r="W143" i="23" s="1"/>
  <c r="U143" i="23"/>
  <c r="K144" i="23"/>
  <c r="E145" i="23"/>
  <c r="K145" i="23" s="1"/>
  <c r="Q143" i="23"/>
  <c r="AA143" i="23" s="1"/>
  <c r="Y143" i="23"/>
  <c r="G145" i="23"/>
  <c r="O145" i="23" s="1"/>
  <c r="O144" i="23"/>
  <c r="M111" i="23"/>
  <c r="W111" i="23" s="1"/>
  <c r="U111" i="23"/>
  <c r="Q110" i="23"/>
  <c r="AA110" i="23" s="1"/>
  <c r="Y110" i="23"/>
  <c r="M110" i="23"/>
  <c r="W110" i="23" s="1"/>
  <c r="U110" i="23"/>
  <c r="Q111" i="23"/>
  <c r="AA111" i="23" s="1"/>
  <c r="Y111" i="23"/>
  <c r="Q89" i="23"/>
  <c r="AA89" i="23" s="1"/>
  <c r="Y89" i="23"/>
  <c r="O90" i="23"/>
  <c r="M89" i="23"/>
  <c r="W89" i="23" s="1"/>
  <c r="U89" i="23"/>
  <c r="K90" i="23"/>
  <c r="E68" i="23"/>
  <c r="K67" i="23"/>
  <c r="M66" i="23"/>
  <c r="W66" i="23" s="1"/>
  <c r="U66" i="23"/>
  <c r="Q66" i="23"/>
  <c r="AA66" i="23" s="1"/>
  <c r="Y66" i="23"/>
  <c r="O67" i="23"/>
  <c r="G68" i="23"/>
  <c r="K50" i="23"/>
  <c r="E51" i="23"/>
  <c r="M49" i="23"/>
  <c r="W49" i="23" s="1"/>
  <c r="U49" i="23"/>
  <c r="G52" i="23"/>
  <c r="O51" i="23"/>
  <c r="Q50" i="23"/>
  <c r="AA50" i="23" s="1"/>
  <c r="Y50" i="23"/>
  <c r="Y259" i="22"/>
  <c r="Q259" i="22"/>
  <c r="AA259" i="22" s="1"/>
  <c r="K201" i="22"/>
  <c r="K200" i="22"/>
  <c r="Q283" i="22"/>
  <c r="AA283" i="22" s="1"/>
  <c r="Y283" i="22"/>
  <c r="M247" i="22"/>
  <c r="W247" i="22" s="1"/>
  <c r="U247" i="22"/>
  <c r="O261" i="22"/>
  <c r="O260" i="22"/>
  <c r="M199" i="22"/>
  <c r="W199" i="22" s="1"/>
  <c r="U199" i="22"/>
  <c r="O285" i="22"/>
  <c r="O284" i="22"/>
  <c r="K249" i="22"/>
  <c r="K248" i="22"/>
  <c r="M211" i="22"/>
  <c r="W211" i="22" s="1"/>
  <c r="U211" i="22"/>
  <c r="U295" i="22"/>
  <c r="M295" i="22"/>
  <c r="W295" i="22" s="1"/>
  <c r="K213" i="22"/>
  <c r="K212" i="22"/>
  <c r="K297" i="22"/>
  <c r="K296" i="22"/>
  <c r="Q235" i="22"/>
  <c r="AA235" i="22" s="1"/>
  <c r="Y235" i="22"/>
  <c r="O237" i="22"/>
  <c r="O236" i="22"/>
  <c r="O201" i="22"/>
  <c r="O200" i="22"/>
  <c r="Q224" i="22"/>
  <c r="AA224" i="22" s="1"/>
  <c r="Y224" i="22"/>
  <c r="Y199" i="22"/>
  <c r="Q199" i="22"/>
  <c r="AA199" i="22" s="1"/>
  <c r="Q225" i="22"/>
  <c r="AA225" i="22" s="1"/>
  <c r="Y225" i="22"/>
  <c r="G189" i="22"/>
  <c r="O189" i="22" s="1"/>
  <c r="O188" i="22"/>
  <c r="Q187" i="22"/>
  <c r="AA187" i="22" s="1"/>
  <c r="Y187" i="22"/>
  <c r="U187" i="22"/>
  <c r="M187" i="22"/>
  <c r="W187" i="22" s="1"/>
  <c r="E189" i="22"/>
  <c r="K189" i="22" s="1"/>
  <c r="K188" i="22"/>
  <c r="Q296" i="22"/>
  <c r="AA296" i="22" s="1"/>
  <c r="Y296" i="22"/>
  <c r="M235" i="22"/>
  <c r="W235" i="22" s="1"/>
  <c r="U235" i="22"/>
  <c r="M283" i="22"/>
  <c r="W283" i="22" s="1"/>
  <c r="U283" i="22"/>
  <c r="K237" i="22"/>
  <c r="K236" i="22"/>
  <c r="Y249" i="22"/>
  <c r="Q249" i="22"/>
  <c r="AA249" i="22" s="1"/>
  <c r="M259" i="22"/>
  <c r="W259" i="22" s="1"/>
  <c r="U259" i="22"/>
  <c r="Q272" i="22"/>
  <c r="AA272" i="22" s="1"/>
  <c r="Y272" i="22"/>
  <c r="Y248" i="22"/>
  <c r="Q248" i="22"/>
  <c r="AA248" i="22" s="1"/>
  <c r="Q297" i="22"/>
  <c r="AA297" i="22" s="1"/>
  <c r="Y297" i="22"/>
  <c r="K261" i="22"/>
  <c r="K260" i="22"/>
  <c r="Q273" i="22"/>
  <c r="AA273" i="22" s="1"/>
  <c r="Y273" i="22"/>
  <c r="K285" i="22"/>
  <c r="K284" i="22"/>
  <c r="G157" i="22"/>
  <c r="O156" i="22"/>
  <c r="Q155" i="22"/>
  <c r="AA155" i="22" s="1"/>
  <c r="Y155" i="22"/>
  <c r="E161" i="22"/>
  <c r="K160" i="22"/>
  <c r="M159" i="22"/>
  <c r="W159" i="22" s="1"/>
  <c r="U159" i="22"/>
  <c r="M112" i="22"/>
  <c r="W112" i="22" s="1"/>
  <c r="U112" i="22"/>
  <c r="Q112" i="22"/>
  <c r="AA112" i="22" s="1"/>
  <c r="Y112" i="22"/>
  <c r="K113" i="22"/>
  <c r="O113" i="22"/>
  <c r="Q89" i="22"/>
  <c r="AA89" i="22" s="1"/>
  <c r="Y89" i="22"/>
  <c r="O90" i="22"/>
  <c r="M89" i="22"/>
  <c r="W89" i="22" s="1"/>
  <c r="U89" i="22"/>
  <c r="K90" i="22"/>
  <c r="Q66" i="22"/>
  <c r="AA66" i="22" s="1"/>
  <c r="Y66" i="22"/>
  <c r="O67" i="22"/>
  <c r="K67" i="22"/>
  <c r="M66" i="22"/>
  <c r="W66" i="22" s="1"/>
  <c r="U66" i="22"/>
  <c r="O44" i="22"/>
  <c r="G45" i="22"/>
  <c r="Q43" i="22"/>
  <c r="AA43" i="22" s="1"/>
  <c r="Y43" i="22"/>
  <c r="M45" i="22"/>
  <c r="W45" i="22" s="1"/>
  <c r="U45" i="22"/>
  <c r="K46" i="22"/>
  <c r="E47" i="22"/>
  <c r="Q21" i="22"/>
  <c r="AA21" i="22" s="1"/>
  <c r="Y21" i="22"/>
  <c r="O22" i="22"/>
  <c r="O23" i="22"/>
  <c r="M21" i="22"/>
  <c r="W21" i="22" s="1"/>
  <c r="U21" i="22"/>
  <c r="K23" i="22"/>
  <c r="K22" i="22"/>
  <c r="L143" i="21"/>
  <c r="V143" i="21" s="1"/>
  <c r="X143" i="21"/>
  <c r="M44" i="21"/>
  <c r="W44" i="21" s="1"/>
  <c r="U44" i="21"/>
  <c r="U32" i="21"/>
  <c r="M32" i="21"/>
  <c r="W32" i="21" s="1"/>
  <c r="P141" i="21"/>
  <c r="Z141" i="21" s="1"/>
  <c r="T141" i="21"/>
  <c r="L126" i="21"/>
  <c r="V126" i="21" s="1"/>
  <c r="X126" i="21"/>
  <c r="T126" i="21"/>
  <c r="P126" i="21"/>
  <c r="Z126" i="21" s="1"/>
  <c r="Q45" i="21"/>
  <c r="AA45" i="21" s="1"/>
  <c r="Y45" i="21"/>
  <c r="T145" i="21"/>
  <c r="P145" i="21"/>
  <c r="Z145" i="21" s="1"/>
  <c r="X149" i="21"/>
  <c r="L149" i="21"/>
  <c r="V149" i="21" s="1"/>
  <c r="X127" i="21"/>
  <c r="L127" i="21"/>
  <c r="V127" i="21" s="1"/>
  <c r="E46" i="21"/>
  <c r="K45" i="21"/>
  <c r="E34" i="21"/>
  <c r="K33" i="21"/>
  <c r="D169" i="21"/>
  <c r="J169" i="21" s="1"/>
  <c r="J155" i="21"/>
  <c r="F154" i="21"/>
  <c r="N140" i="21"/>
  <c r="D154" i="21"/>
  <c r="J140" i="21"/>
  <c r="G47" i="21"/>
  <c r="O46" i="21"/>
  <c r="D173" i="21"/>
  <c r="J173" i="21" s="1"/>
  <c r="J159" i="21"/>
  <c r="F173" i="21"/>
  <c r="N173" i="21" s="1"/>
  <c r="N159" i="21"/>
  <c r="L163" i="21"/>
  <c r="V163" i="21" s="1"/>
  <c r="X163" i="21"/>
  <c r="L165" i="21"/>
  <c r="V165" i="21" s="1"/>
  <c r="X165" i="21"/>
  <c r="F155" i="21"/>
  <c r="N141" i="21"/>
  <c r="F171" i="21"/>
  <c r="N171" i="21" s="1"/>
  <c r="N157" i="21"/>
  <c r="D156" i="21"/>
  <c r="J142" i="21"/>
  <c r="L151" i="21"/>
  <c r="V151" i="21" s="1"/>
  <c r="X151" i="21"/>
  <c r="L134" i="21"/>
  <c r="V134" i="21" s="1"/>
  <c r="X134" i="21"/>
  <c r="X139" i="21"/>
  <c r="L139" i="21"/>
  <c r="V139" i="21" s="1"/>
  <c r="X133" i="21"/>
  <c r="L133" i="21"/>
  <c r="V133" i="21" s="1"/>
  <c r="L128" i="21"/>
  <c r="V128" i="21" s="1"/>
  <c r="X128" i="21"/>
  <c r="P129" i="21"/>
  <c r="Z129" i="21" s="1"/>
  <c r="T129" i="21"/>
  <c r="P130" i="21"/>
  <c r="Z130" i="21" s="1"/>
  <c r="T130" i="21"/>
  <c r="P139" i="21"/>
  <c r="Z139" i="21" s="1"/>
  <c r="T139" i="21"/>
  <c r="L145" i="21"/>
  <c r="V145" i="21" s="1"/>
  <c r="X145" i="21"/>
  <c r="F162" i="21"/>
  <c r="N148" i="21"/>
  <c r="F167" i="21"/>
  <c r="N167" i="21" s="1"/>
  <c r="N153" i="21"/>
  <c r="F161" i="21"/>
  <c r="N147" i="21"/>
  <c r="F156" i="21"/>
  <c r="N142" i="21"/>
  <c r="D157" i="21"/>
  <c r="J143" i="21"/>
  <c r="D158" i="21"/>
  <c r="J144" i="21"/>
  <c r="D167" i="21"/>
  <c r="J167" i="21" s="1"/>
  <c r="J153" i="21"/>
  <c r="P124" i="21"/>
  <c r="Z124" i="21" s="1"/>
  <c r="T124" i="21"/>
  <c r="T134" i="21"/>
  <c r="P134" i="21"/>
  <c r="Z134" i="21" s="1"/>
  <c r="X130" i="21"/>
  <c r="L130" i="21"/>
  <c r="V130" i="21" s="1"/>
  <c r="L132" i="21"/>
  <c r="V132" i="21" s="1"/>
  <c r="X132" i="21"/>
  <c r="P149" i="21"/>
  <c r="Z149" i="21" s="1"/>
  <c r="T149" i="21"/>
  <c r="X124" i="21"/>
  <c r="L124" i="21"/>
  <c r="V124" i="21" s="1"/>
  <c r="P147" i="21"/>
  <c r="Z147" i="21" s="1"/>
  <c r="T147" i="21"/>
  <c r="T128" i="21"/>
  <c r="P128" i="21"/>
  <c r="Z128" i="21" s="1"/>
  <c r="D152" i="21"/>
  <c r="J138" i="21"/>
  <c r="D162" i="21"/>
  <c r="J148" i="21"/>
  <c r="F158" i="21"/>
  <c r="N144" i="21"/>
  <c r="F160" i="21"/>
  <c r="N146" i="21"/>
  <c r="P163" i="21"/>
  <c r="Z163" i="21" s="1"/>
  <c r="T163" i="21"/>
  <c r="F152" i="21"/>
  <c r="N138" i="21"/>
  <c r="D175" i="21"/>
  <c r="J175" i="21" s="1"/>
  <c r="J161" i="21"/>
  <c r="K152" i="21"/>
  <c r="U152" i="21" s="1"/>
  <c r="K164" i="21"/>
  <c r="O96" i="21"/>
  <c r="O108" i="21"/>
  <c r="O72" i="21"/>
  <c r="Y83" i="21"/>
  <c r="Q83" i="21"/>
  <c r="AA83" i="21" s="1"/>
  <c r="Y59" i="21"/>
  <c r="Q59" i="21"/>
  <c r="AA59" i="21" s="1"/>
  <c r="O84" i="21"/>
  <c r="O60" i="21"/>
  <c r="Y71" i="21"/>
  <c r="Q71" i="21"/>
  <c r="AA71" i="21" s="1"/>
  <c r="Q95" i="21"/>
  <c r="AA95" i="21" s="1"/>
  <c r="Y95" i="21"/>
  <c r="K74" i="21"/>
  <c r="M73" i="21"/>
  <c r="W73" i="21" s="1"/>
  <c r="U73" i="21"/>
  <c r="U113" i="21"/>
  <c r="M113" i="21"/>
  <c r="W113" i="21" s="1"/>
  <c r="K101" i="21"/>
  <c r="K114" i="21"/>
  <c r="U100" i="21"/>
  <c r="M100" i="21"/>
  <c r="W100" i="21" s="1"/>
  <c r="K88" i="21"/>
  <c r="K127" i="21"/>
  <c r="M87" i="21"/>
  <c r="W87" i="21" s="1"/>
  <c r="U87" i="21"/>
  <c r="K153" i="21"/>
  <c r="M126" i="21"/>
  <c r="W126" i="21" s="1"/>
  <c r="U126" i="21"/>
  <c r="K140" i="21"/>
  <c r="U139" i="21"/>
  <c r="M139" i="21"/>
  <c r="W139" i="21" s="1"/>
  <c r="K62" i="21"/>
  <c r="M61" i="21"/>
  <c r="W61" i="21" s="1"/>
  <c r="U61" i="21"/>
  <c r="O35" i="21"/>
  <c r="Q34" i="21"/>
  <c r="AA34" i="21" s="1"/>
  <c r="Y34" i="21"/>
  <c r="E72" i="18"/>
  <c r="K71" i="18"/>
  <c r="M70" i="18"/>
  <c r="W70" i="18" s="1"/>
  <c r="U70" i="18"/>
  <c r="E162" i="18"/>
  <c r="K161" i="18"/>
  <c r="M160" i="18"/>
  <c r="W160" i="18" s="1"/>
  <c r="U160" i="18"/>
  <c r="O143" i="18"/>
  <c r="G144" i="18"/>
  <c r="Y142" i="18"/>
  <c r="Q142" i="18"/>
  <c r="AA142" i="18" s="1"/>
  <c r="K142" i="18"/>
  <c r="E143" i="18"/>
  <c r="U141" i="18"/>
  <c r="M141" i="18"/>
  <c r="W141" i="18" s="1"/>
  <c r="K119" i="18"/>
  <c r="U118" i="18"/>
  <c r="M118" i="18"/>
  <c r="W118" i="18" s="1"/>
  <c r="O119" i="18"/>
  <c r="Y118" i="18"/>
  <c r="Q118" i="18"/>
  <c r="AA118" i="18" s="1"/>
  <c r="Q94" i="18"/>
  <c r="AA94" i="18" s="1"/>
  <c r="Y94" i="18"/>
  <c r="M94" i="18"/>
  <c r="W94" i="18" s="1"/>
  <c r="U94" i="18"/>
  <c r="O95" i="18"/>
  <c r="K95" i="18"/>
  <c r="Q77" i="18"/>
  <c r="AA77" i="18" s="1"/>
  <c r="Y77" i="18"/>
  <c r="O78" i="18"/>
  <c r="G79" i="18"/>
  <c r="K48" i="18"/>
  <c r="E49" i="18"/>
  <c r="Q47" i="18"/>
  <c r="AA47" i="18" s="1"/>
  <c r="Y47" i="18"/>
  <c r="M47" i="18"/>
  <c r="W47" i="18" s="1"/>
  <c r="U47" i="18"/>
  <c r="O48" i="18"/>
  <c r="G49" i="18"/>
  <c r="Q35" i="18"/>
  <c r="AA35" i="18" s="1"/>
  <c r="Y35" i="18"/>
  <c r="Q36" i="18"/>
  <c r="AA36" i="18" s="1"/>
  <c r="Y36" i="18"/>
  <c r="M35" i="18"/>
  <c r="W35" i="18" s="1"/>
  <c r="U35" i="18"/>
  <c r="M36" i="18"/>
  <c r="W36" i="18" s="1"/>
  <c r="U36" i="18"/>
  <c r="Q22" i="18"/>
  <c r="AA22" i="18" s="1"/>
  <c r="Y22" i="18"/>
  <c r="Q23" i="18"/>
  <c r="AA23" i="18" s="1"/>
  <c r="Y23" i="18"/>
  <c r="Q165" i="1"/>
  <c r="AA165" i="1" s="1"/>
  <c r="G38" i="1"/>
  <c r="O37" i="1"/>
  <c r="Q36" i="1"/>
  <c r="AA36" i="1" s="1"/>
  <c r="Y36" i="1"/>
  <c r="Q53" i="1"/>
  <c r="AA53" i="1" s="1"/>
  <c r="Y53" i="1"/>
  <c r="O54" i="1"/>
  <c r="M53" i="1"/>
  <c r="W53" i="1" s="1"/>
  <c r="U53" i="1"/>
  <c r="K54" i="1"/>
  <c r="Q182" i="1"/>
  <c r="AA182" i="1" s="1"/>
  <c r="Y182" i="1"/>
  <c r="Q118" i="1"/>
  <c r="AA118" i="1" s="1"/>
  <c r="Y118" i="1"/>
  <c r="U118" i="1"/>
  <c r="M118" i="1"/>
  <c r="W118" i="1" s="1"/>
  <c r="M150" i="1"/>
  <c r="W150" i="1" s="1"/>
  <c r="U150" i="1"/>
  <c r="Q150" i="1"/>
  <c r="AA150" i="1" s="1"/>
  <c r="Y150" i="1"/>
  <c r="O119" i="1"/>
  <c r="K119" i="1"/>
  <c r="K151" i="1"/>
  <c r="O151" i="1"/>
  <c r="M182" i="1"/>
  <c r="W182" i="1" s="1"/>
  <c r="U182" i="1"/>
  <c r="K183" i="1"/>
  <c r="Y86" i="1"/>
  <c r="Q86" i="1"/>
  <c r="AA86" i="1" s="1"/>
  <c r="Q134" i="1"/>
  <c r="AA134" i="1" s="1"/>
  <c r="Y134" i="1"/>
  <c r="U86" i="1"/>
  <c r="M86" i="1"/>
  <c r="W86" i="1" s="1"/>
  <c r="U102" i="1"/>
  <c r="M102" i="1"/>
  <c r="W102" i="1" s="1"/>
  <c r="M134" i="1"/>
  <c r="W134" i="1" s="1"/>
  <c r="U134" i="1"/>
  <c r="M70" i="1"/>
  <c r="W70" i="1" s="1"/>
  <c r="U70" i="1"/>
  <c r="K71" i="1"/>
  <c r="O183" i="1"/>
  <c r="O87" i="1"/>
  <c r="O135" i="1"/>
  <c r="K87" i="1"/>
  <c r="K103" i="1"/>
  <c r="K135" i="1"/>
  <c r="M166" i="1"/>
  <c r="W166" i="1" s="1"/>
  <c r="U166" i="1"/>
  <c r="Q70" i="1"/>
  <c r="AA70" i="1" s="1"/>
  <c r="Y70" i="1"/>
  <c r="Q102" i="1"/>
  <c r="AA102" i="1" s="1"/>
  <c r="Y102" i="1"/>
  <c r="Q166" i="1"/>
  <c r="AA166" i="1" s="1"/>
  <c r="Y166" i="1"/>
  <c r="K167" i="1"/>
  <c r="O71" i="1"/>
  <c r="O103" i="1"/>
  <c r="O167" i="1"/>
  <c r="K209" i="1"/>
  <c r="M208" i="1"/>
  <c r="W208" i="1" s="1"/>
  <c r="U208" i="1"/>
  <c r="Q208" i="1"/>
  <c r="AA208" i="1" s="1"/>
  <c r="Y208" i="1"/>
  <c r="O209" i="1"/>
  <c r="M39" i="1"/>
  <c r="W39" i="1" s="1"/>
  <c r="U39" i="1"/>
  <c r="K40" i="1"/>
  <c r="E41" i="1"/>
  <c r="K68" i="29"/>
  <c r="E69" i="29"/>
  <c r="M67" i="29"/>
  <c r="W67" i="29" s="1"/>
  <c r="U67" i="29"/>
  <c r="Q67" i="29"/>
  <c r="AA67" i="29" s="1"/>
  <c r="Y67" i="29"/>
  <c r="G69" i="29"/>
  <c r="O68" i="29"/>
  <c r="Q46" i="29"/>
  <c r="AA46" i="29" s="1"/>
  <c r="Y46" i="29"/>
  <c r="G48" i="29"/>
  <c r="O47" i="29"/>
  <c r="M46" i="29"/>
  <c r="W46" i="29" s="1"/>
  <c r="U46" i="29"/>
  <c r="E48" i="29"/>
  <c r="K47" i="29"/>
  <c r="M165" i="19"/>
  <c r="W165" i="19" s="1"/>
  <c r="U165" i="19"/>
  <c r="Q164" i="19"/>
  <c r="AA164" i="19" s="1"/>
  <c r="Y164" i="19"/>
  <c r="K166" i="19"/>
  <c r="E167" i="19"/>
  <c r="O165" i="19"/>
  <c r="G166" i="19"/>
  <c r="G134" i="19"/>
  <c r="O133" i="19"/>
  <c r="Q132" i="19"/>
  <c r="AA132" i="19" s="1"/>
  <c r="Y132" i="19"/>
  <c r="E134" i="19"/>
  <c r="K133" i="19"/>
  <c r="M132" i="19"/>
  <c r="W132" i="19" s="1"/>
  <c r="U132" i="19"/>
  <c r="G110" i="19"/>
  <c r="O109" i="19"/>
  <c r="Y108" i="19"/>
  <c r="Q108" i="19"/>
  <c r="AA108" i="19" s="1"/>
  <c r="E110" i="19"/>
  <c r="K109" i="19"/>
  <c r="M108" i="19"/>
  <c r="W108" i="19" s="1"/>
  <c r="U108" i="19"/>
  <c r="Y86" i="19"/>
  <c r="Q86" i="19"/>
  <c r="AA86" i="19" s="1"/>
  <c r="O87" i="19"/>
  <c r="K86" i="19"/>
  <c r="M85" i="19"/>
  <c r="W85" i="19" s="1"/>
  <c r="U85" i="19"/>
  <c r="Q21" i="19"/>
  <c r="AA21" i="19" s="1"/>
  <c r="Y21" i="19"/>
  <c r="G23" i="19"/>
  <c r="O22" i="19"/>
  <c r="E23" i="19"/>
  <c r="K22" i="19"/>
  <c r="M21" i="19"/>
  <c r="W21" i="19" s="1"/>
  <c r="U21" i="19"/>
  <c r="Q66" i="19"/>
  <c r="AA66" i="19" s="1"/>
  <c r="Y66" i="19"/>
  <c r="O67" i="19"/>
  <c r="G68" i="19"/>
  <c r="Q50" i="19"/>
  <c r="AA50" i="19" s="1"/>
  <c r="Y50" i="19"/>
  <c r="E52" i="19"/>
  <c r="K51" i="19"/>
  <c r="G52" i="19"/>
  <c r="O51" i="19"/>
  <c r="M50" i="19"/>
  <c r="W50" i="19" s="1"/>
  <c r="U50" i="19"/>
  <c r="M67" i="19"/>
  <c r="W67" i="19" s="1"/>
  <c r="U67" i="19"/>
  <c r="K68" i="19"/>
  <c r="K69" i="19"/>
  <c r="O34" i="19"/>
  <c r="G35" i="19"/>
  <c r="Q33" i="19"/>
  <c r="AA33" i="19" s="1"/>
  <c r="Y33" i="19"/>
  <c r="M36" i="19"/>
  <c r="W36" i="19" s="1"/>
  <c r="U36" i="19"/>
  <c r="E38" i="19"/>
  <c r="K37" i="19"/>
  <c r="O67" i="25"/>
  <c r="K76" i="25"/>
  <c r="O76" i="25"/>
  <c r="M57" i="25"/>
  <c r="W57" i="25" s="1"/>
  <c r="U57" i="25"/>
  <c r="M93" i="25"/>
  <c r="W93" i="25" s="1"/>
  <c r="U93" i="25"/>
  <c r="M66" i="25"/>
  <c r="W66" i="25" s="1"/>
  <c r="U66" i="25"/>
  <c r="K58" i="25"/>
  <c r="K94" i="25"/>
  <c r="K67" i="25"/>
  <c r="Q57" i="25"/>
  <c r="AA57" i="25" s="1"/>
  <c r="Y57" i="25"/>
  <c r="K85" i="25"/>
  <c r="K50" i="25"/>
  <c r="M50" i="25" s="1"/>
  <c r="W50" i="25" s="1"/>
  <c r="K49" i="25"/>
  <c r="O58" i="25"/>
  <c r="O50" i="25"/>
  <c r="O49" i="25"/>
  <c r="Q66" i="25"/>
  <c r="AA66" i="25" s="1"/>
  <c r="Y66" i="25"/>
  <c r="Q75" i="25"/>
  <c r="AA75" i="25" s="1"/>
  <c r="Y75" i="25"/>
  <c r="M84" i="25"/>
  <c r="W84" i="25" s="1"/>
  <c r="U84" i="25"/>
  <c r="M48" i="25"/>
  <c r="W48" i="25" s="1"/>
  <c r="U48" i="25"/>
  <c r="Y48" i="25"/>
  <c r="Q48" i="25"/>
  <c r="AA48" i="25" s="1"/>
  <c r="Q84" i="25"/>
  <c r="AA84" i="25" s="1"/>
  <c r="Y84" i="25"/>
  <c r="Q93" i="25"/>
  <c r="AA93" i="25" s="1"/>
  <c r="Y93" i="25"/>
  <c r="M75" i="25"/>
  <c r="W75" i="25" s="1"/>
  <c r="U75" i="25"/>
  <c r="O85" i="25"/>
  <c r="O94" i="25"/>
  <c r="L48" i="25"/>
  <c r="V48" i="25" s="1"/>
  <c r="X48" i="25"/>
  <c r="X66" i="25"/>
  <c r="L66" i="25"/>
  <c r="V66" i="25" s="1"/>
  <c r="L30" i="25"/>
  <c r="V30" i="25" s="1"/>
  <c r="X30" i="25"/>
  <c r="N58" i="25"/>
  <c r="N76" i="25"/>
  <c r="X75" i="25"/>
  <c r="L75" i="25"/>
  <c r="V75" i="25" s="1"/>
  <c r="X84" i="25"/>
  <c r="L84" i="25"/>
  <c r="V84" i="25" s="1"/>
  <c r="X94" i="25"/>
  <c r="L94" i="25"/>
  <c r="V94" i="25" s="1"/>
  <c r="N40" i="25"/>
  <c r="X39" i="25"/>
  <c r="L39" i="25"/>
  <c r="V39" i="25" s="1"/>
  <c r="N95" i="25"/>
  <c r="N85" i="25"/>
  <c r="L57" i="25"/>
  <c r="V57" i="25" s="1"/>
  <c r="X57" i="25"/>
  <c r="N67" i="25"/>
  <c r="N49" i="25"/>
  <c r="J40" i="25"/>
  <c r="T84" i="25"/>
  <c r="P84" i="25"/>
  <c r="Z84" i="25" s="1"/>
  <c r="J67" i="25"/>
  <c r="T39" i="25"/>
  <c r="P39" i="25"/>
  <c r="Z39" i="25" s="1"/>
  <c r="J49" i="25"/>
  <c r="T48" i="25"/>
  <c r="P48" i="25"/>
  <c r="Z48" i="25" s="1"/>
  <c r="J85" i="25"/>
  <c r="J95" i="25"/>
  <c r="J58" i="25"/>
  <c r="P75" i="25"/>
  <c r="Z75" i="25" s="1"/>
  <c r="T75" i="25"/>
  <c r="P66" i="25"/>
  <c r="Z66" i="25" s="1"/>
  <c r="T66" i="25"/>
  <c r="J76" i="25"/>
  <c r="T94" i="25"/>
  <c r="P94" i="25"/>
  <c r="Z94" i="25" s="1"/>
  <c r="P30" i="25"/>
  <c r="Z30" i="25" s="1"/>
  <c r="T30" i="25"/>
  <c r="T57" i="25"/>
  <c r="P57" i="25"/>
  <c r="Z57" i="25" s="1"/>
  <c r="Q22" i="39" l="1"/>
  <c r="AA22" i="39" s="1"/>
  <c r="Y22" i="39"/>
  <c r="G24" i="39"/>
  <c r="O24" i="39" s="1"/>
  <c r="O23" i="39"/>
  <c r="M23" i="39"/>
  <c r="W23" i="39" s="1"/>
  <c r="U23" i="39"/>
  <c r="M24" i="39"/>
  <c r="W24" i="39" s="1"/>
  <c r="U24" i="39"/>
  <c r="Y31" i="38"/>
  <c r="Q31" i="38"/>
  <c r="AA31" i="38" s="1"/>
  <c r="O32" i="38"/>
  <c r="P183" i="38"/>
  <c r="Z183" i="38" s="1"/>
  <c r="T183" i="38"/>
  <c r="O71" i="38"/>
  <c r="X178" i="38"/>
  <c r="L178" i="38"/>
  <c r="V178" i="38" s="1"/>
  <c r="Q70" i="38"/>
  <c r="AA70" i="38" s="1"/>
  <c r="Y70" i="38"/>
  <c r="K135" i="38"/>
  <c r="K119" i="38"/>
  <c r="K71" i="38"/>
  <c r="U134" i="38"/>
  <c r="M134" i="38"/>
  <c r="W134" i="38" s="1"/>
  <c r="T172" i="38"/>
  <c r="P172" i="38"/>
  <c r="Z172" i="38" s="1"/>
  <c r="Q38" i="38"/>
  <c r="AA38" i="38" s="1"/>
  <c r="Y38" i="38"/>
  <c r="L176" i="38"/>
  <c r="V176" i="38" s="1"/>
  <c r="X176" i="38"/>
  <c r="X174" i="38"/>
  <c r="L174" i="38"/>
  <c r="V174" i="38" s="1"/>
  <c r="T168" i="38"/>
  <c r="P168" i="38"/>
  <c r="Z168" i="38" s="1"/>
  <c r="T179" i="38"/>
  <c r="P179" i="38"/>
  <c r="Z179" i="38" s="1"/>
  <c r="K183" i="38"/>
  <c r="Q102" i="38"/>
  <c r="AA102" i="38" s="1"/>
  <c r="Y102" i="38"/>
  <c r="O167" i="38"/>
  <c r="U54" i="38"/>
  <c r="M54" i="38"/>
  <c r="W54" i="38" s="1"/>
  <c r="U37" i="38"/>
  <c r="M37" i="38"/>
  <c r="W37" i="38" s="1"/>
  <c r="K103" i="38"/>
  <c r="T176" i="38"/>
  <c r="P176" i="38"/>
  <c r="Z176" i="38" s="1"/>
  <c r="U118" i="38"/>
  <c r="M118" i="38"/>
  <c r="W118" i="38" s="1"/>
  <c r="O39" i="38"/>
  <c r="U182" i="38"/>
  <c r="M182" i="38"/>
  <c r="W182" i="38" s="1"/>
  <c r="O103" i="38"/>
  <c r="Y166" i="38"/>
  <c r="Q166" i="38"/>
  <c r="AA166" i="38" s="1"/>
  <c r="K55" i="38"/>
  <c r="K38" i="38"/>
  <c r="U102" i="38"/>
  <c r="M102" i="38"/>
  <c r="W102" i="38" s="1"/>
  <c r="X169" i="38"/>
  <c r="L169" i="38"/>
  <c r="V169" i="38" s="1"/>
  <c r="L172" i="38"/>
  <c r="V172" i="38" s="1"/>
  <c r="X172" i="38"/>
  <c r="L180" i="38"/>
  <c r="V180" i="38" s="1"/>
  <c r="X180" i="38"/>
  <c r="Y182" i="38"/>
  <c r="Q182" i="38"/>
  <c r="AA182" i="38" s="1"/>
  <c r="K87" i="38"/>
  <c r="K167" i="38"/>
  <c r="L173" i="38"/>
  <c r="V173" i="38" s="1"/>
  <c r="X173" i="38"/>
  <c r="X182" i="38"/>
  <c r="L182" i="38"/>
  <c r="V182" i="38" s="1"/>
  <c r="U150" i="38"/>
  <c r="M150" i="38"/>
  <c r="W150" i="38" s="1"/>
  <c r="J184" i="38"/>
  <c r="O119" i="38"/>
  <c r="T173" i="38"/>
  <c r="P173" i="38"/>
  <c r="Z173" i="38" s="1"/>
  <c r="L183" i="38"/>
  <c r="V183" i="38" s="1"/>
  <c r="X183" i="38"/>
  <c r="U70" i="38"/>
  <c r="M70" i="38"/>
  <c r="W70" i="38" s="1"/>
  <c r="X184" i="38"/>
  <c r="L184" i="38"/>
  <c r="V184" i="38" s="1"/>
  <c r="O183" i="38"/>
  <c r="U86" i="38"/>
  <c r="M86" i="38"/>
  <c r="W86" i="38" s="1"/>
  <c r="M166" i="38"/>
  <c r="W166" i="38" s="1"/>
  <c r="U166" i="38"/>
  <c r="X165" i="38"/>
  <c r="L165" i="38"/>
  <c r="V165" i="38" s="1"/>
  <c r="K151" i="38"/>
  <c r="T167" i="38"/>
  <c r="P167" i="38"/>
  <c r="Z167" i="38" s="1"/>
  <c r="Y118" i="38"/>
  <c r="Q118" i="38"/>
  <c r="AA118" i="38" s="1"/>
  <c r="Y54" i="38"/>
  <c r="Q54" i="38"/>
  <c r="AA54" i="38" s="1"/>
  <c r="T180" i="38"/>
  <c r="P180" i="38"/>
  <c r="Z180" i="38" s="1"/>
  <c r="T175" i="38"/>
  <c r="P175" i="38"/>
  <c r="Z175" i="38" s="1"/>
  <c r="Q86" i="38"/>
  <c r="AA86" i="38" s="1"/>
  <c r="Y86" i="38"/>
  <c r="L177" i="38"/>
  <c r="V177" i="38" s="1"/>
  <c r="X177" i="38"/>
  <c r="Q134" i="38"/>
  <c r="AA134" i="38" s="1"/>
  <c r="Y134" i="38"/>
  <c r="O151" i="38"/>
  <c r="O87" i="38"/>
  <c r="O135" i="38"/>
  <c r="Y150" i="38"/>
  <c r="Q150" i="38"/>
  <c r="AA150" i="38" s="1"/>
  <c r="O55" i="38"/>
  <c r="Q57" i="36"/>
  <c r="AA57" i="36" s="1"/>
  <c r="Y57" i="36"/>
  <c r="Y58" i="36"/>
  <c r="Q58" i="36"/>
  <c r="AA58" i="36" s="1"/>
  <c r="M57" i="36"/>
  <c r="W57" i="36" s="1"/>
  <c r="U57" i="36"/>
  <c r="M58" i="36"/>
  <c r="W58" i="36" s="1"/>
  <c r="U58" i="36"/>
  <c r="Q45" i="36"/>
  <c r="AA45" i="36" s="1"/>
  <c r="Y45" i="36"/>
  <c r="Q46" i="36"/>
  <c r="AA46" i="36" s="1"/>
  <c r="Y46" i="36"/>
  <c r="M45" i="36"/>
  <c r="W45" i="36" s="1"/>
  <c r="U45" i="36"/>
  <c r="M46" i="36"/>
  <c r="W46" i="36" s="1"/>
  <c r="U46" i="36"/>
  <c r="P48" i="35"/>
  <c r="Z48" i="35" s="1"/>
  <c r="T48" i="35"/>
  <c r="J54" i="35"/>
  <c r="J51" i="35"/>
  <c r="P53" i="35"/>
  <c r="Z53" i="35" s="1"/>
  <c r="T53" i="35"/>
  <c r="N53" i="35"/>
  <c r="N50" i="35"/>
  <c r="N55" i="35"/>
  <c r="N52" i="35"/>
  <c r="T50" i="35"/>
  <c r="P50" i="35"/>
  <c r="Z50" i="35" s="1"/>
  <c r="X47" i="35"/>
  <c r="L47" i="35"/>
  <c r="V47" i="35" s="1"/>
  <c r="X49" i="35"/>
  <c r="L49" i="35"/>
  <c r="V49" i="35" s="1"/>
  <c r="P55" i="35"/>
  <c r="Z55" i="35" s="1"/>
  <c r="T55" i="35"/>
  <c r="L48" i="35"/>
  <c r="V48" i="35" s="1"/>
  <c r="X48" i="35"/>
  <c r="P52" i="35"/>
  <c r="Z52" i="35" s="1"/>
  <c r="T52" i="35"/>
  <c r="N51" i="35"/>
  <c r="N54" i="35"/>
  <c r="M183" i="28"/>
  <c r="W183" i="28" s="1"/>
  <c r="U183" i="28"/>
  <c r="M182" i="28"/>
  <c r="W182" i="28" s="1"/>
  <c r="U182" i="28"/>
  <c r="Y182" i="28"/>
  <c r="Q182" i="28"/>
  <c r="AA182" i="28" s="1"/>
  <c r="Q183" i="28"/>
  <c r="AA183" i="28" s="1"/>
  <c r="Y183" i="28"/>
  <c r="Q166" i="28"/>
  <c r="AA166" i="28" s="1"/>
  <c r="Y166" i="28"/>
  <c r="O167" i="28"/>
  <c r="G168" i="28"/>
  <c r="M166" i="28"/>
  <c r="W166" i="28" s="1"/>
  <c r="U166" i="28"/>
  <c r="K167" i="28"/>
  <c r="E168" i="28"/>
  <c r="G52" i="28"/>
  <c r="O51" i="28"/>
  <c r="Q50" i="28"/>
  <c r="AA50" i="28" s="1"/>
  <c r="Y50" i="28"/>
  <c r="M50" i="28"/>
  <c r="W50" i="28" s="1"/>
  <c r="U50" i="28"/>
  <c r="E52" i="28"/>
  <c r="K51" i="28"/>
  <c r="M137" i="28"/>
  <c r="W137" i="28" s="1"/>
  <c r="U137" i="28"/>
  <c r="K138" i="28"/>
  <c r="Q137" i="28"/>
  <c r="AA137" i="28" s="1"/>
  <c r="Y137" i="28"/>
  <c r="O138" i="28"/>
  <c r="K109" i="28"/>
  <c r="M108" i="28"/>
  <c r="W108" i="28" s="1"/>
  <c r="U108" i="28"/>
  <c r="O109" i="28"/>
  <c r="Q108" i="28"/>
  <c r="AA108" i="28" s="1"/>
  <c r="Y108" i="28"/>
  <c r="K80" i="28"/>
  <c r="M79" i="28"/>
  <c r="W79" i="28" s="1"/>
  <c r="U79" i="28"/>
  <c r="O80" i="28"/>
  <c r="Q79" i="28"/>
  <c r="AA79" i="28" s="1"/>
  <c r="Y79" i="28"/>
  <c r="Q213" i="27"/>
  <c r="AA213" i="27" s="1"/>
  <c r="Y213" i="27"/>
  <c r="G215" i="27"/>
  <c r="O214" i="27"/>
  <c r="M213" i="27"/>
  <c r="W213" i="27" s="1"/>
  <c r="U213" i="27"/>
  <c r="E215" i="27"/>
  <c r="K214" i="27"/>
  <c r="U187" i="27"/>
  <c r="Y172" i="27"/>
  <c r="Y187" i="27"/>
  <c r="O189" i="27"/>
  <c r="Q113" i="27"/>
  <c r="AA113" i="27" s="1"/>
  <c r="Y113" i="27"/>
  <c r="O99" i="27"/>
  <c r="O159" i="27"/>
  <c r="Q83" i="27"/>
  <c r="AA83" i="27" s="1"/>
  <c r="Y83" i="27"/>
  <c r="O114" i="27"/>
  <c r="Q98" i="27"/>
  <c r="AA98" i="27" s="1"/>
  <c r="Y98" i="27"/>
  <c r="Q158" i="27"/>
  <c r="AA158" i="27" s="1"/>
  <c r="Y158" i="27"/>
  <c r="O84" i="27"/>
  <c r="Q188" i="27"/>
  <c r="AA188" i="27" s="1"/>
  <c r="Y188" i="27"/>
  <c r="O129" i="27"/>
  <c r="Y173" i="27"/>
  <c r="Q173" i="27"/>
  <c r="AA173" i="27" s="1"/>
  <c r="Q128" i="27"/>
  <c r="AA128" i="27" s="1"/>
  <c r="Y128" i="27"/>
  <c r="O174" i="27"/>
  <c r="Q143" i="27"/>
  <c r="AA143" i="27" s="1"/>
  <c r="Y143" i="27"/>
  <c r="O144" i="27"/>
  <c r="K99" i="27"/>
  <c r="K144" i="27"/>
  <c r="K129" i="27"/>
  <c r="M158" i="27"/>
  <c r="W158" i="27" s="1"/>
  <c r="U158" i="27"/>
  <c r="M173" i="27"/>
  <c r="W173" i="27" s="1"/>
  <c r="U173" i="27"/>
  <c r="M143" i="27"/>
  <c r="W143" i="27" s="1"/>
  <c r="U143" i="27"/>
  <c r="M128" i="27"/>
  <c r="W128" i="27" s="1"/>
  <c r="U128" i="27"/>
  <c r="K159" i="27"/>
  <c r="K174" i="27"/>
  <c r="M113" i="27"/>
  <c r="W113" i="27" s="1"/>
  <c r="U113" i="27"/>
  <c r="K189" i="27"/>
  <c r="U83" i="27"/>
  <c r="M83" i="27"/>
  <c r="W83" i="27" s="1"/>
  <c r="M98" i="27"/>
  <c r="W98" i="27" s="1"/>
  <c r="U98" i="27"/>
  <c r="K114" i="27"/>
  <c r="U188" i="27"/>
  <c r="M188" i="27"/>
  <c r="W188" i="27" s="1"/>
  <c r="K84" i="27"/>
  <c r="U67" i="27"/>
  <c r="M67" i="27"/>
  <c r="W67" i="27" s="1"/>
  <c r="K68" i="27"/>
  <c r="Q67" i="27"/>
  <c r="AA67" i="27" s="1"/>
  <c r="Y67" i="27"/>
  <c r="O68" i="27"/>
  <c r="Q53" i="27"/>
  <c r="AA53" i="27" s="1"/>
  <c r="Y53" i="27"/>
  <c r="O54" i="27"/>
  <c r="M53" i="27"/>
  <c r="W53" i="27" s="1"/>
  <c r="U53" i="27"/>
  <c r="K54" i="27"/>
  <c r="Q37" i="27"/>
  <c r="AA37" i="27" s="1"/>
  <c r="Y37" i="27"/>
  <c r="O38" i="27"/>
  <c r="G39" i="27"/>
  <c r="K38" i="27"/>
  <c r="E39" i="27"/>
  <c r="M37" i="27"/>
  <c r="W37" i="27" s="1"/>
  <c r="U37" i="27"/>
  <c r="E68" i="24"/>
  <c r="K67" i="24"/>
  <c r="M66" i="24"/>
  <c r="W66" i="24" s="1"/>
  <c r="U66" i="24"/>
  <c r="G68" i="24"/>
  <c r="O67" i="24"/>
  <c r="Q66" i="24"/>
  <c r="AA66" i="24" s="1"/>
  <c r="Y66" i="24"/>
  <c r="G53" i="24"/>
  <c r="O52" i="24"/>
  <c r="Q51" i="24"/>
  <c r="AA51" i="24" s="1"/>
  <c r="Y51" i="24"/>
  <c r="Q37" i="24"/>
  <c r="AA37" i="24" s="1"/>
  <c r="Y37" i="24"/>
  <c r="G39" i="24"/>
  <c r="O38" i="24"/>
  <c r="E38" i="24"/>
  <c r="K37" i="24"/>
  <c r="M36" i="24"/>
  <c r="W36" i="24" s="1"/>
  <c r="U36" i="24"/>
  <c r="K53" i="24"/>
  <c r="E54" i="24"/>
  <c r="M52" i="24"/>
  <c r="W52" i="24" s="1"/>
  <c r="U52" i="24"/>
  <c r="E181" i="23"/>
  <c r="K180" i="23"/>
  <c r="M179" i="23"/>
  <c r="W179" i="23" s="1"/>
  <c r="U179" i="23"/>
  <c r="G181" i="23"/>
  <c r="O180" i="23"/>
  <c r="Q179" i="23"/>
  <c r="AA179" i="23" s="1"/>
  <c r="Y179" i="23"/>
  <c r="G158" i="23"/>
  <c r="O157" i="23"/>
  <c r="Q156" i="23"/>
  <c r="AA156" i="23" s="1"/>
  <c r="Y156" i="23"/>
  <c r="E158" i="23"/>
  <c r="K157" i="23"/>
  <c r="M156" i="23"/>
  <c r="W156" i="23" s="1"/>
  <c r="U156" i="23"/>
  <c r="Q144" i="23"/>
  <c r="AA144" i="23" s="1"/>
  <c r="Y144" i="23"/>
  <c r="M145" i="23"/>
  <c r="W145" i="23" s="1"/>
  <c r="U145" i="23"/>
  <c r="M144" i="23"/>
  <c r="W144" i="23" s="1"/>
  <c r="U144" i="23"/>
  <c r="Q145" i="23"/>
  <c r="AA145" i="23" s="1"/>
  <c r="Y145" i="23"/>
  <c r="K91" i="23"/>
  <c r="M90" i="23"/>
  <c r="W90" i="23" s="1"/>
  <c r="U90" i="23"/>
  <c r="Q90" i="23"/>
  <c r="AA90" i="23" s="1"/>
  <c r="Y90" i="23"/>
  <c r="O91" i="23"/>
  <c r="G69" i="23"/>
  <c r="O68" i="23"/>
  <c r="Q67" i="23"/>
  <c r="AA67" i="23" s="1"/>
  <c r="Y67" i="23"/>
  <c r="M67" i="23"/>
  <c r="W67" i="23" s="1"/>
  <c r="U67" i="23"/>
  <c r="K68" i="23"/>
  <c r="E69" i="23"/>
  <c r="Q51" i="23"/>
  <c r="AA51" i="23" s="1"/>
  <c r="Y51" i="23"/>
  <c r="O52" i="23"/>
  <c r="G53" i="23"/>
  <c r="E52" i="23"/>
  <c r="K51" i="23"/>
  <c r="M50" i="23"/>
  <c r="W50" i="23" s="1"/>
  <c r="U50" i="23"/>
  <c r="M296" i="22"/>
  <c r="W296" i="22" s="1"/>
  <c r="U296" i="22"/>
  <c r="M248" i="22"/>
  <c r="W248" i="22" s="1"/>
  <c r="U248" i="22"/>
  <c r="U297" i="22"/>
  <c r="M297" i="22"/>
  <c r="W297" i="22" s="1"/>
  <c r="U249" i="22"/>
  <c r="M249" i="22"/>
  <c r="W249" i="22" s="1"/>
  <c r="Q200" i="22"/>
  <c r="AA200" i="22" s="1"/>
  <c r="Y200" i="22"/>
  <c r="M212" i="22"/>
  <c r="W212" i="22" s="1"/>
  <c r="U212" i="22"/>
  <c r="Y284" i="22"/>
  <c r="Q284" i="22"/>
  <c r="AA284" i="22" s="1"/>
  <c r="Y201" i="22"/>
  <c r="Q201" i="22"/>
  <c r="AA201" i="22" s="1"/>
  <c r="M213" i="22"/>
  <c r="W213" i="22" s="1"/>
  <c r="U213" i="22"/>
  <c r="Q285" i="22"/>
  <c r="AA285" i="22" s="1"/>
  <c r="Y285" i="22"/>
  <c r="Q236" i="22"/>
  <c r="AA236" i="22" s="1"/>
  <c r="Y236" i="22"/>
  <c r="M200" i="22"/>
  <c r="W200" i="22" s="1"/>
  <c r="U200" i="22"/>
  <c r="Y237" i="22"/>
  <c r="Q237" i="22"/>
  <c r="AA237" i="22" s="1"/>
  <c r="M201" i="22"/>
  <c r="W201" i="22" s="1"/>
  <c r="U201" i="22"/>
  <c r="Y260" i="22"/>
  <c r="Q260" i="22"/>
  <c r="AA260" i="22" s="1"/>
  <c r="Y261" i="22"/>
  <c r="Q261" i="22"/>
  <c r="AA261" i="22" s="1"/>
  <c r="Q188" i="22"/>
  <c r="AA188" i="22" s="1"/>
  <c r="Y188" i="22"/>
  <c r="Q189" i="22"/>
  <c r="AA189" i="22" s="1"/>
  <c r="Y189" i="22"/>
  <c r="U188" i="22"/>
  <c r="M188" i="22"/>
  <c r="W188" i="22" s="1"/>
  <c r="M189" i="22"/>
  <c r="W189" i="22" s="1"/>
  <c r="U189" i="22"/>
  <c r="M284" i="22"/>
  <c r="W284" i="22" s="1"/>
  <c r="U284" i="22"/>
  <c r="M236" i="22"/>
  <c r="W236" i="22" s="1"/>
  <c r="U236" i="22"/>
  <c r="M285" i="22"/>
  <c r="W285" i="22" s="1"/>
  <c r="U285" i="22"/>
  <c r="M237" i="22"/>
  <c r="W237" i="22" s="1"/>
  <c r="U237" i="22"/>
  <c r="M260" i="22"/>
  <c r="W260" i="22" s="1"/>
  <c r="U260" i="22"/>
  <c r="U261" i="22"/>
  <c r="M261" i="22"/>
  <c r="W261" i="22" s="1"/>
  <c r="Q156" i="22"/>
  <c r="AA156" i="22" s="1"/>
  <c r="Y156" i="22"/>
  <c r="O157" i="22"/>
  <c r="G158" i="22"/>
  <c r="M160" i="22"/>
  <c r="W160" i="22" s="1"/>
  <c r="U160" i="22"/>
  <c r="E162" i="22"/>
  <c r="K161" i="22"/>
  <c r="Q113" i="22"/>
  <c r="AA113" i="22" s="1"/>
  <c r="Y113" i="22"/>
  <c r="K114" i="22"/>
  <c r="M113" i="22"/>
  <c r="W113" i="22" s="1"/>
  <c r="U113" i="22"/>
  <c r="O114" i="22"/>
  <c r="M90" i="22"/>
  <c r="W90" i="22" s="1"/>
  <c r="U90" i="22"/>
  <c r="K91" i="22"/>
  <c r="Q90" i="22"/>
  <c r="AA90" i="22" s="1"/>
  <c r="Y90" i="22"/>
  <c r="O91" i="22"/>
  <c r="K68" i="22"/>
  <c r="M67" i="22"/>
  <c r="W67" i="22" s="1"/>
  <c r="U67" i="22"/>
  <c r="O68" i="22"/>
  <c r="Q67" i="22"/>
  <c r="AA67" i="22" s="1"/>
  <c r="Y67" i="22"/>
  <c r="G46" i="22"/>
  <c r="O45" i="22"/>
  <c r="Q44" i="22"/>
  <c r="AA44" i="22" s="1"/>
  <c r="Y44" i="22"/>
  <c r="M46" i="22"/>
  <c r="W46" i="22" s="1"/>
  <c r="U46" i="22"/>
  <c r="E48" i="22"/>
  <c r="K47" i="22"/>
  <c r="M22" i="22"/>
  <c r="W22" i="22" s="1"/>
  <c r="U22" i="22"/>
  <c r="M23" i="22"/>
  <c r="W23" i="22" s="1"/>
  <c r="U23" i="22"/>
  <c r="Y23" i="22"/>
  <c r="Q23" i="22"/>
  <c r="AA23" i="22" s="1"/>
  <c r="Q22" i="22"/>
  <c r="AA22" i="22" s="1"/>
  <c r="Y22" i="22"/>
  <c r="T138" i="21"/>
  <c r="P138" i="21"/>
  <c r="Z138" i="21" s="1"/>
  <c r="L142" i="21"/>
  <c r="V142" i="21" s="1"/>
  <c r="X142" i="21"/>
  <c r="Y46" i="21"/>
  <c r="Q46" i="21"/>
  <c r="AA46" i="21" s="1"/>
  <c r="M33" i="21"/>
  <c r="W33" i="21" s="1"/>
  <c r="U33" i="21"/>
  <c r="T153" i="21"/>
  <c r="P153" i="21"/>
  <c r="Z153" i="21" s="1"/>
  <c r="D166" i="21"/>
  <c r="J166" i="21" s="1"/>
  <c r="J152" i="21"/>
  <c r="F170" i="21"/>
  <c r="N170" i="21" s="1"/>
  <c r="N156" i="21"/>
  <c r="G48" i="21"/>
  <c r="O47" i="21"/>
  <c r="E35" i="21"/>
  <c r="K34" i="21"/>
  <c r="F174" i="21"/>
  <c r="N174" i="21" s="1"/>
  <c r="N160" i="21"/>
  <c r="P167" i="21"/>
  <c r="Z167" i="21" s="1"/>
  <c r="T167" i="21"/>
  <c r="F175" i="21"/>
  <c r="N175" i="21" s="1"/>
  <c r="N161" i="21"/>
  <c r="D170" i="21"/>
  <c r="J170" i="21" s="1"/>
  <c r="J156" i="21"/>
  <c r="D168" i="21"/>
  <c r="J168" i="21" s="1"/>
  <c r="J154" i="21"/>
  <c r="E47" i="21"/>
  <c r="K46" i="21"/>
  <c r="X146" i="21"/>
  <c r="L146" i="21"/>
  <c r="V146" i="21" s="1"/>
  <c r="X147" i="21"/>
  <c r="L147" i="21"/>
  <c r="V147" i="21" s="1"/>
  <c r="M45" i="21"/>
  <c r="W45" i="21" s="1"/>
  <c r="U45" i="21"/>
  <c r="T161" i="21"/>
  <c r="P161" i="21"/>
  <c r="Z161" i="21" s="1"/>
  <c r="L144" i="21"/>
  <c r="V144" i="21" s="1"/>
  <c r="X144" i="21"/>
  <c r="P144" i="21"/>
  <c r="Z144" i="21" s="1"/>
  <c r="T144" i="21"/>
  <c r="X153" i="21"/>
  <c r="L153" i="21"/>
  <c r="V153" i="21" s="1"/>
  <c r="L157" i="21"/>
  <c r="V157" i="21" s="1"/>
  <c r="X157" i="21"/>
  <c r="X159" i="21"/>
  <c r="L159" i="21"/>
  <c r="V159" i="21" s="1"/>
  <c r="X140" i="21"/>
  <c r="L140" i="21"/>
  <c r="V140" i="21" s="1"/>
  <c r="T175" i="21"/>
  <c r="P175" i="21"/>
  <c r="Z175" i="21" s="1"/>
  <c r="F172" i="21"/>
  <c r="N172" i="21" s="1"/>
  <c r="N158" i="21"/>
  <c r="D172" i="21"/>
  <c r="J172" i="21" s="1"/>
  <c r="J158" i="21"/>
  <c r="L167" i="21"/>
  <c r="V167" i="21" s="1"/>
  <c r="X167" i="21"/>
  <c r="X171" i="21"/>
  <c r="L171" i="21"/>
  <c r="V171" i="21" s="1"/>
  <c r="L173" i="21"/>
  <c r="V173" i="21" s="1"/>
  <c r="X173" i="21"/>
  <c r="F168" i="21"/>
  <c r="N168" i="21" s="1"/>
  <c r="N154" i="21"/>
  <c r="T140" i="21"/>
  <c r="P140" i="21"/>
  <c r="Z140" i="21" s="1"/>
  <c r="L138" i="21"/>
  <c r="V138" i="21" s="1"/>
  <c r="X138" i="21"/>
  <c r="P148" i="21"/>
  <c r="Z148" i="21" s="1"/>
  <c r="T148" i="21"/>
  <c r="P143" i="21"/>
  <c r="Z143" i="21" s="1"/>
  <c r="T143" i="21"/>
  <c r="L148" i="21"/>
  <c r="V148" i="21" s="1"/>
  <c r="X148" i="21"/>
  <c r="X141" i="21"/>
  <c r="L141" i="21"/>
  <c r="V141" i="21" s="1"/>
  <c r="P159" i="21"/>
  <c r="Z159" i="21" s="1"/>
  <c r="T159" i="21"/>
  <c r="P155" i="21"/>
  <c r="Z155" i="21" s="1"/>
  <c r="T155" i="21"/>
  <c r="P142" i="21"/>
  <c r="Z142" i="21" s="1"/>
  <c r="T142" i="21"/>
  <c r="F166" i="21"/>
  <c r="N166" i="21" s="1"/>
  <c r="N152" i="21"/>
  <c r="D176" i="21"/>
  <c r="J176" i="21" s="1"/>
  <c r="J162" i="21"/>
  <c r="D171" i="21"/>
  <c r="J171" i="21" s="1"/>
  <c r="J157" i="21"/>
  <c r="F176" i="21"/>
  <c r="N176" i="21" s="1"/>
  <c r="N162" i="21"/>
  <c r="F169" i="21"/>
  <c r="N169" i="21" s="1"/>
  <c r="N155" i="21"/>
  <c r="P173" i="21"/>
  <c r="Z173" i="21" s="1"/>
  <c r="T173" i="21"/>
  <c r="T169" i="21"/>
  <c r="P169" i="21"/>
  <c r="Z169" i="21" s="1"/>
  <c r="M152" i="21"/>
  <c r="W152" i="21" s="1"/>
  <c r="M164" i="21"/>
  <c r="W164" i="21" s="1"/>
  <c r="U164" i="21"/>
  <c r="K165" i="21"/>
  <c r="Q60" i="21"/>
  <c r="AA60" i="21" s="1"/>
  <c r="Y60" i="21"/>
  <c r="Y72" i="21"/>
  <c r="Q72" i="21"/>
  <c r="AA72" i="21" s="1"/>
  <c r="O61" i="21"/>
  <c r="O73" i="21"/>
  <c r="Q84" i="21"/>
  <c r="AA84" i="21" s="1"/>
  <c r="Y84" i="21"/>
  <c r="Q108" i="21"/>
  <c r="AA108" i="21" s="1"/>
  <c r="Y108" i="21"/>
  <c r="O85" i="21"/>
  <c r="O109" i="21"/>
  <c r="Q96" i="21"/>
  <c r="AA96" i="21" s="1"/>
  <c r="Y96" i="21"/>
  <c r="O97" i="21"/>
  <c r="M74" i="21"/>
  <c r="W74" i="21" s="1"/>
  <c r="U74" i="21"/>
  <c r="K75" i="21"/>
  <c r="U140" i="21"/>
  <c r="M140" i="21"/>
  <c r="W140" i="21" s="1"/>
  <c r="K141" i="21"/>
  <c r="M114" i="21"/>
  <c r="W114" i="21" s="1"/>
  <c r="U114" i="21"/>
  <c r="M127" i="21"/>
  <c r="W127" i="21" s="1"/>
  <c r="U127" i="21"/>
  <c r="K102" i="21"/>
  <c r="K115" i="21"/>
  <c r="K128" i="21"/>
  <c r="M101" i="21"/>
  <c r="W101" i="21" s="1"/>
  <c r="U101" i="21"/>
  <c r="K154" i="21"/>
  <c r="K89" i="21"/>
  <c r="M153" i="21"/>
  <c r="W153" i="21" s="1"/>
  <c r="U153" i="21"/>
  <c r="M88" i="21"/>
  <c r="W88" i="21" s="1"/>
  <c r="U88" i="21"/>
  <c r="M62" i="21"/>
  <c r="W62" i="21" s="1"/>
  <c r="U62" i="21"/>
  <c r="K63" i="21"/>
  <c r="O36" i="21"/>
  <c r="Y36" i="21" s="1"/>
  <c r="O37" i="21"/>
  <c r="Q35" i="21"/>
  <c r="AA35" i="21" s="1"/>
  <c r="Y35" i="21"/>
  <c r="M161" i="18"/>
  <c r="W161" i="18" s="1"/>
  <c r="U161" i="18"/>
  <c r="K162" i="18"/>
  <c r="E163" i="18"/>
  <c r="M71" i="18"/>
  <c r="W71" i="18" s="1"/>
  <c r="U71" i="18"/>
  <c r="E73" i="18"/>
  <c r="K72" i="18"/>
  <c r="G145" i="18"/>
  <c r="O144" i="18"/>
  <c r="Q143" i="18"/>
  <c r="AA143" i="18" s="1"/>
  <c r="Y143" i="18"/>
  <c r="K143" i="18"/>
  <c r="E144" i="18"/>
  <c r="M142" i="18"/>
  <c r="W142" i="18" s="1"/>
  <c r="U142" i="18"/>
  <c r="Q119" i="18"/>
  <c r="AA119" i="18" s="1"/>
  <c r="Y119" i="18"/>
  <c r="O120" i="18"/>
  <c r="K120" i="18"/>
  <c r="M119" i="18"/>
  <c r="W119" i="18" s="1"/>
  <c r="U119" i="18"/>
  <c r="K96" i="18"/>
  <c r="O96" i="18"/>
  <c r="M95" i="18"/>
  <c r="W95" i="18" s="1"/>
  <c r="U95" i="18"/>
  <c r="Q95" i="18"/>
  <c r="AA95" i="18" s="1"/>
  <c r="Y95" i="18"/>
  <c r="G80" i="18"/>
  <c r="O79" i="18"/>
  <c r="Q78" i="18"/>
  <c r="AA78" i="18" s="1"/>
  <c r="Y78" i="18"/>
  <c r="G50" i="18"/>
  <c r="O49" i="18"/>
  <c r="Q48" i="18"/>
  <c r="AA48" i="18" s="1"/>
  <c r="Y48" i="18"/>
  <c r="E50" i="18"/>
  <c r="K49" i="18"/>
  <c r="M48" i="18"/>
  <c r="W48" i="18" s="1"/>
  <c r="U48" i="18"/>
  <c r="Q37" i="1"/>
  <c r="AA37" i="1" s="1"/>
  <c r="Y37" i="1"/>
  <c r="O38" i="1"/>
  <c r="G39" i="1"/>
  <c r="Y54" i="1"/>
  <c r="Q54" i="1"/>
  <c r="AA54" i="1" s="1"/>
  <c r="O55" i="1"/>
  <c r="M54" i="1"/>
  <c r="W54" i="1" s="1"/>
  <c r="U54" i="1"/>
  <c r="K55" i="1"/>
  <c r="O168" i="1"/>
  <c r="Y103" i="1"/>
  <c r="Q103" i="1"/>
  <c r="AA103" i="1" s="1"/>
  <c r="M103" i="1"/>
  <c r="W103" i="1" s="1"/>
  <c r="U103" i="1"/>
  <c r="Q183" i="1"/>
  <c r="AA183" i="1" s="1"/>
  <c r="Y183" i="1"/>
  <c r="M183" i="1"/>
  <c r="W183" i="1" s="1"/>
  <c r="U183" i="1"/>
  <c r="M119" i="1"/>
  <c r="W119" i="1" s="1"/>
  <c r="U119" i="1"/>
  <c r="M151" i="1"/>
  <c r="W151" i="1" s="1"/>
  <c r="U151" i="1"/>
  <c r="K136" i="1"/>
  <c r="K152" i="1"/>
  <c r="O104" i="1"/>
  <c r="K104" i="1"/>
  <c r="O184" i="1"/>
  <c r="K184" i="1"/>
  <c r="K120" i="1"/>
  <c r="M135" i="1"/>
  <c r="W135" i="1" s="1"/>
  <c r="U135" i="1"/>
  <c r="Q71" i="1"/>
  <c r="AA71" i="1" s="1"/>
  <c r="Y71" i="1"/>
  <c r="U87" i="1"/>
  <c r="M87" i="1"/>
  <c r="W87" i="1" s="1"/>
  <c r="M71" i="1"/>
  <c r="W71" i="1" s="1"/>
  <c r="U71" i="1"/>
  <c r="Q119" i="1"/>
  <c r="AA119" i="1" s="1"/>
  <c r="Y119" i="1"/>
  <c r="Q167" i="1"/>
  <c r="AA167" i="1" s="1"/>
  <c r="Y167" i="1"/>
  <c r="O72" i="1"/>
  <c r="K88" i="1"/>
  <c r="K72" i="1"/>
  <c r="O120" i="1"/>
  <c r="O88" i="1"/>
  <c r="M167" i="1"/>
  <c r="W167" i="1" s="1"/>
  <c r="U167" i="1"/>
  <c r="Y135" i="1"/>
  <c r="Q135" i="1"/>
  <c r="AA135" i="1" s="1"/>
  <c r="Q151" i="1"/>
  <c r="AA151" i="1" s="1"/>
  <c r="Y151" i="1"/>
  <c r="Q87" i="1"/>
  <c r="AA87" i="1" s="1"/>
  <c r="Y87" i="1"/>
  <c r="K168" i="1"/>
  <c r="O136" i="1"/>
  <c r="O152" i="1"/>
  <c r="Q209" i="1"/>
  <c r="AA209" i="1" s="1"/>
  <c r="Y209" i="1"/>
  <c r="O210" i="1"/>
  <c r="K210" i="1"/>
  <c r="M209" i="1"/>
  <c r="W209" i="1" s="1"/>
  <c r="U209" i="1"/>
  <c r="E42" i="1"/>
  <c r="K41" i="1"/>
  <c r="M40" i="1"/>
  <c r="W40" i="1" s="1"/>
  <c r="U40" i="1"/>
  <c r="Q68" i="29"/>
  <c r="AA68" i="29" s="1"/>
  <c r="Y68" i="29"/>
  <c r="O69" i="29"/>
  <c r="G70" i="29"/>
  <c r="K69" i="29"/>
  <c r="E70" i="29"/>
  <c r="M68" i="29"/>
  <c r="W68" i="29" s="1"/>
  <c r="U68" i="29"/>
  <c r="M47" i="29"/>
  <c r="W47" i="29" s="1"/>
  <c r="U47" i="29"/>
  <c r="K48" i="29"/>
  <c r="E49" i="29"/>
  <c r="Q47" i="29"/>
  <c r="AA47" i="29" s="1"/>
  <c r="Y47" i="29"/>
  <c r="G49" i="29"/>
  <c r="O48" i="29"/>
  <c r="G167" i="19"/>
  <c r="O166" i="19"/>
  <c r="Q165" i="19"/>
  <c r="AA165" i="19" s="1"/>
  <c r="Y165" i="19"/>
  <c r="K167" i="19"/>
  <c r="E168" i="19"/>
  <c r="M166" i="19"/>
  <c r="W166" i="19" s="1"/>
  <c r="U166" i="19"/>
  <c r="Q133" i="19"/>
  <c r="AA133" i="19" s="1"/>
  <c r="Y133" i="19"/>
  <c r="O134" i="19"/>
  <c r="G135" i="19"/>
  <c r="M133" i="19"/>
  <c r="W133" i="19" s="1"/>
  <c r="U133" i="19"/>
  <c r="K134" i="19"/>
  <c r="E135" i="19"/>
  <c r="Q109" i="19"/>
  <c r="AA109" i="19" s="1"/>
  <c r="Y109" i="19"/>
  <c r="G111" i="19"/>
  <c r="O110" i="19"/>
  <c r="M109" i="19"/>
  <c r="W109" i="19" s="1"/>
  <c r="U109" i="19"/>
  <c r="K110" i="19"/>
  <c r="E111" i="19"/>
  <c r="Q87" i="19"/>
  <c r="AA87" i="19" s="1"/>
  <c r="Y87" i="19"/>
  <c r="O89" i="19"/>
  <c r="O88" i="19"/>
  <c r="M86" i="19"/>
  <c r="W86" i="19" s="1"/>
  <c r="U86" i="19"/>
  <c r="K87" i="19"/>
  <c r="Q22" i="19"/>
  <c r="AA22" i="19" s="1"/>
  <c r="Y22" i="19"/>
  <c r="G24" i="19"/>
  <c r="O24" i="19" s="1"/>
  <c r="O23" i="19"/>
  <c r="M22" i="19"/>
  <c r="W22" i="19" s="1"/>
  <c r="U22" i="19"/>
  <c r="E24" i="19"/>
  <c r="K24" i="19" s="1"/>
  <c r="K23" i="19"/>
  <c r="O69" i="19"/>
  <c r="O68" i="19"/>
  <c r="Y67" i="19"/>
  <c r="Q67" i="19"/>
  <c r="AA67" i="19" s="1"/>
  <c r="Q51" i="19"/>
  <c r="AA51" i="19" s="1"/>
  <c r="Y51" i="19"/>
  <c r="O53" i="19"/>
  <c r="O52" i="19"/>
  <c r="M51" i="19"/>
  <c r="W51" i="19" s="1"/>
  <c r="U51" i="19"/>
  <c r="K53" i="19"/>
  <c r="K52" i="19"/>
  <c r="M68" i="19"/>
  <c r="W68" i="19" s="1"/>
  <c r="U68" i="19"/>
  <c r="M69" i="19"/>
  <c r="W69" i="19" s="1"/>
  <c r="U69" i="19"/>
  <c r="Q34" i="19"/>
  <c r="AA34" i="19" s="1"/>
  <c r="Y34" i="19"/>
  <c r="G36" i="19"/>
  <c r="O35" i="19"/>
  <c r="M37" i="19"/>
  <c r="W37" i="19" s="1"/>
  <c r="U37" i="19"/>
  <c r="K38" i="19"/>
  <c r="K39" i="19"/>
  <c r="U50" i="25"/>
  <c r="U49" i="25"/>
  <c r="M49" i="25"/>
  <c r="W49" i="25" s="1"/>
  <c r="O95" i="25"/>
  <c r="K95" i="25"/>
  <c r="O86" i="25"/>
  <c r="K86" i="25"/>
  <c r="K60" i="25"/>
  <c r="U60" i="25" s="1"/>
  <c r="K59" i="25"/>
  <c r="O77" i="25"/>
  <c r="Q85" i="25"/>
  <c r="AA85" i="25" s="1"/>
  <c r="Y85" i="25"/>
  <c r="M85" i="25"/>
  <c r="W85" i="25" s="1"/>
  <c r="U85" i="25"/>
  <c r="Q49" i="25"/>
  <c r="AA49" i="25" s="1"/>
  <c r="Y49" i="25"/>
  <c r="U76" i="25"/>
  <c r="M76" i="25"/>
  <c r="W76" i="25" s="1"/>
  <c r="Q50" i="25"/>
  <c r="AA50" i="25" s="1"/>
  <c r="Y50" i="25"/>
  <c r="K77" i="25"/>
  <c r="Q94" i="25"/>
  <c r="AA94" i="25" s="1"/>
  <c r="Y94" i="25"/>
  <c r="M58" i="25"/>
  <c r="W58" i="25" s="1"/>
  <c r="U58" i="25"/>
  <c r="Q58" i="25"/>
  <c r="AA58" i="25" s="1"/>
  <c r="Y58" i="25"/>
  <c r="M67" i="25"/>
  <c r="W67" i="25" s="1"/>
  <c r="U67" i="25"/>
  <c r="Q67" i="25"/>
  <c r="AA67" i="25" s="1"/>
  <c r="Y67" i="25"/>
  <c r="M94" i="25"/>
  <c r="W94" i="25" s="1"/>
  <c r="U94" i="25"/>
  <c r="Y76" i="25"/>
  <c r="Q76" i="25"/>
  <c r="AA76" i="25" s="1"/>
  <c r="O60" i="25"/>
  <c r="O59" i="25"/>
  <c r="K68" i="25"/>
  <c r="O68" i="25"/>
  <c r="X58" i="25"/>
  <c r="L58" i="25"/>
  <c r="V58" i="25" s="1"/>
  <c r="N68" i="25"/>
  <c r="X49" i="25"/>
  <c r="L49" i="25"/>
  <c r="V49" i="25" s="1"/>
  <c r="N59" i="25"/>
  <c r="L95" i="25"/>
  <c r="V95" i="25" s="1"/>
  <c r="X95" i="25"/>
  <c r="X67" i="25"/>
  <c r="L67" i="25"/>
  <c r="V67" i="25" s="1"/>
  <c r="X40" i="25"/>
  <c r="L40" i="25"/>
  <c r="V40" i="25" s="1"/>
  <c r="X76" i="25"/>
  <c r="L76" i="25"/>
  <c r="V76" i="25" s="1"/>
  <c r="X85" i="25"/>
  <c r="L85" i="25"/>
  <c r="V85" i="25" s="1"/>
  <c r="N77" i="25"/>
  <c r="N50" i="25"/>
  <c r="N96" i="25"/>
  <c r="N86" i="25"/>
  <c r="P58" i="25"/>
  <c r="Z58" i="25" s="1"/>
  <c r="T58" i="25"/>
  <c r="J68" i="25"/>
  <c r="T76" i="25"/>
  <c r="P76" i="25"/>
  <c r="Z76" i="25" s="1"/>
  <c r="P95" i="25"/>
  <c r="Z95" i="25" s="1"/>
  <c r="T95" i="25"/>
  <c r="T67" i="25"/>
  <c r="P67" i="25"/>
  <c r="Z67" i="25" s="1"/>
  <c r="T85" i="25"/>
  <c r="P85" i="25"/>
  <c r="Z85" i="25" s="1"/>
  <c r="J77" i="25"/>
  <c r="J59" i="25"/>
  <c r="J50" i="25"/>
  <c r="J96" i="25"/>
  <c r="J86" i="25"/>
  <c r="P49" i="25"/>
  <c r="Z49" i="25" s="1"/>
  <c r="T49" i="25"/>
  <c r="P40" i="25"/>
  <c r="Z40" i="25" s="1"/>
  <c r="T40" i="25"/>
  <c r="Q23" i="39" l="1"/>
  <c r="AA23" i="39" s="1"/>
  <c r="Y23" i="39"/>
  <c r="Q24" i="39"/>
  <c r="AA24" i="39" s="1"/>
  <c r="Y24" i="39"/>
  <c r="Q32" i="38"/>
  <c r="AA32" i="38" s="1"/>
  <c r="Y32" i="38"/>
  <c r="O33" i="38"/>
  <c r="Y55" i="38"/>
  <c r="Q55" i="38"/>
  <c r="AA55" i="38" s="1"/>
  <c r="U151" i="38"/>
  <c r="M151" i="38"/>
  <c r="W151" i="38" s="1"/>
  <c r="T184" i="38"/>
  <c r="P184" i="38"/>
  <c r="Z184" i="38" s="1"/>
  <c r="M38" i="38"/>
  <c r="W38" i="38" s="1"/>
  <c r="U38" i="38"/>
  <c r="O104" i="38"/>
  <c r="K136" i="38"/>
  <c r="O56" i="38"/>
  <c r="Y87" i="38"/>
  <c r="Q87" i="38"/>
  <c r="AA87" i="38" s="1"/>
  <c r="O152" i="38"/>
  <c r="K152" i="38"/>
  <c r="K39" i="38"/>
  <c r="Y103" i="38"/>
  <c r="Q103" i="38"/>
  <c r="AA103" i="38" s="1"/>
  <c r="M135" i="38"/>
  <c r="W135" i="38" s="1"/>
  <c r="U135" i="38"/>
  <c r="M167" i="38"/>
  <c r="W167" i="38" s="1"/>
  <c r="U167" i="38"/>
  <c r="U55" i="38"/>
  <c r="M55" i="38"/>
  <c r="W55" i="38" s="1"/>
  <c r="K72" i="38"/>
  <c r="Q71" i="38"/>
  <c r="AA71" i="38" s="1"/>
  <c r="Y71" i="38"/>
  <c r="K168" i="38"/>
  <c r="K56" i="38"/>
  <c r="U71" i="38"/>
  <c r="M71" i="38"/>
  <c r="W71" i="38" s="1"/>
  <c r="O72" i="38"/>
  <c r="Y135" i="38"/>
  <c r="Q135" i="38"/>
  <c r="AA135" i="38" s="1"/>
  <c r="O184" i="38"/>
  <c r="M87" i="38"/>
  <c r="W87" i="38" s="1"/>
  <c r="U87" i="38"/>
  <c r="M103" i="38"/>
  <c r="W103" i="38" s="1"/>
  <c r="U103" i="38"/>
  <c r="U183" i="38"/>
  <c r="M183" i="38"/>
  <c r="W183" i="38" s="1"/>
  <c r="U119" i="38"/>
  <c r="M119" i="38"/>
  <c r="W119" i="38" s="1"/>
  <c r="O88" i="38"/>
  <c r="O136" i="38"/>
  <c r="Y183" i="38"/>
  <c r="Q183" i="38"/>
  <c r="AA183" i="38" s="1"/>
  <c r="K88" i="38"/>
  <c r="K104" i="38"/>
  <c r="K184" i="38"/>
  <c r="K120" i="38"/>
  <c r="Y119" i="38"/>
  <c r="Q119" i="38"/>
  <c r="AA119" i="38" s="1"/>
  <c r="O40" i="38"/>
  <c r="O168" i="38"/>
  <c r="Y151" i="38"/>
  <c r="Q151" i="38"/>
  <c r="AA151" i="38" s="1"/>
  <c r="O120" i="38"/>
  <c r="Q39" i="38"/>
  <c r="AA39" i="38" s="1"/>
  <c r="Y39" i="38"/>
  <c r="Q167" i="38"/>
  <c r="AA167" i="38" s="1"/>
  <c r="Y167" i="38"/>
  <c r="L50" i="35"/>
  <c r="V50" i="35" s="1"/>
  <c r="X50" i="35"/>
  <c r="L51" i="35"/>
  <c r="V51" i="35" s="1"/>
  <c r="X51" i="35"/>
  <c r="X53" i="35"/>
  <c r="L53" i="35"/>
  <c r="V53" i="35" s="1"/>
  <c r="L54" i="35"/>
  <c r="V54" i="35" s="1"/>
  <c r="X54" i="35"/>
  <c r="P51" i="35"/>
  <c r="Z51" i="35" s="1"/>
  <c r="T51" i="35"/>
  <c r="P54" i="35"/>
  <c r="Z54" i="35" s="1"/>
  <c r="T54" i="35"/>
  <c r="L52" i="35"/>
  <c r="V52" i="35" s="1"/>
  <c r="X52" i="35"/>
  <c r="X55" i="35"/>
  <c r="L55" i="35"/>
  <c r="V55" i="35" s="1"/>
  <c r="K168" i="28"/>
  <c r="E169" i="28"/>
  <c r="U167" i="28"/>
  <c r="M167" i="28"/>
  <c r="W167" i="28" s="1"/>
  <c r="G169" i="28"/>
  <c r="O168" i="28"/>
  <c r="Q167" i="28"/>
  <c r="AA167" i="28" s="1"/>
  <c r="Y167" i="28"/>
  <c r="Q51" i="28"/>
  <c r="AA51" i="28" s="1"/>
  <c r="Y51" i="28"/>
  <c r="G53" i="28"/>
  <c r="O52" i="28"/>
  <c r="U51" i="28"/>
  <c r="M51" i="28"/>
  <c r="W51" i="28" s="1"/>
  <c r="K52" i="28"/>
  <c r="E53" i="28"/>
  <c r="Q138" i="28"/>
  <c r="AA138" i="28" s="1"/>
  <c r="Y138" i="28"/>
  <c r="O139" i="28"/>
  <c r="M138" i="28"/>
  <c r="W138" i="28" s="1"/>
  <c r="U138" i="28"/>
  <c r="K139" i="28"/>
  <c r="Q109" i="28"/>
  <c r="AA109" i="28" s="1"/>
  <c r="Y109" i="28"/>
  <c r="O110" i="28"/>
  <c r="K110" i="28"/>
  <c r="M109" i="28"/>
  <c r="W109" i="28" s="1"/>
  <c r="U109" i="28"/>
  <c r="Q80" i="28"/>
  <c r="AA80" i="28" s="1"/>
  <c r="Y80" i="28"/>
  <c r="O81" i="28"/>
  <c r="M80" i="28"/>
  <c r="W80" i="28" s="1"/>
  <c r="U80" i="28"/>
  <c r="K81" i="28"/>
  <c r="M214" i="27"/>
  <c r="W214" i="27" s="1"/>
  <c r="U214" i="27"/>
  <c r="K215" i="27"/>
  <c r="E216" i="27"/>
  <c r="Q214" i="27"/>
  <c r="AA214" i="27" s="1"/>
  <c r="Y214" i="27"/>
  <c r="G216" i="27"/>
  <c r="O215" i="27"/>
  <c r="Q159" i="27"/>
  <c r="AA159" i="27" s="1"/>
  <c r="Y159" i="27"/>
  <c r="O145" i="27"/>
  <c r="O160" i="27"/>
  <c r="Q129" i="27"/>
  <c r="AA129" i="27" s="1"/>
  <c r="Y129" i="27"/>
  <c r="O100" i="27"/>
  <c r="O130" i="27"/>
  <c r="Q99" i="27"/>
  <c r="AA99" i="27" s="1"/>
  <c r="Y99" i="27"/>
  <c r="O175" i="27"/>
  <c r="Q114" i="27"/>
  <c r="AA114" i="27" s="1"/>
  <c r="Y114" i="27"/>
  <c r="Q144" i="27"/>
  <c r="AA144" i="27" s="1"/>
  <c r="Y144" i="27"/>
  <c r="Q174" i="27"/>
  <c r="AA174" i="27" s="1"/>
  <c r="Y174" i="27"/>
  <c r="O115" i="27"/>
  <c r="O85" i="27"/>
  <c r="Y189" i="27"/>
  <c r="Q189" i="27"/>
  <c r="AA189" i="27" s="1"/>
  <c r="Y84" i="27"/>
  <c r="Q84" i="27"/>
  <c r="AA84" i="27" s="1"/>
  <c r="O190" i="27"/>
  <c r="M84" i="27"/>
  <c r="W84" i="27" s="1"/>
  <c r="U84" i="27"/>
  <c r="K85" i="27"/>
  <c r="K190" i="27"/>
  <c r="K130" i="27"/>
  <c r="K160" i="27"/>
  <c r="M159" i="27"/>
  <c r="W159" i="27" s="1"/>
  <c r="U159" i="27"/>
  <c r="U189" i="27"/>
  <c r="M189" i="27"/>
  <c r="W189" i="27" s="1"/>
  <c r="U129" i="27"/>
  <c r="M129" i="27"/>
  <c r="W129" i="27" s="1"/>
  <c r="M114" i="27"/>
  <c r="W114" i="27" s="1"/>
  <c r="U114" i="27"/>
  <c r="K145" i="27"/>
  <c r="K115" i="27"/>
  <c r="M144" i="27"/>
  <c r="W144" i="27" s="1"/>
  <c r="U144" i="27"/>
  <c r="M174" i="27"/>
  <c r="W174" i="27" s="1"/>
  <c r="U174" i="27"/>
  <c r="K100" i="27"/>
  <c r="K175" i="27"/>
  <c r="U99" i="27"/>
  <c r="M99" i="27"/>
  <c r="W99" i="27" s="1"/>
  <c r="O69" i="27"/>
  <c r="Y68" i="27"/>
  <c r="Q68" i="27"/>
  <c r="AA68" i="27" s="1"/>
  <c r="K69" i="27"/>
  <c r="M68" i="27"/>
  <c r="W68" i="27" s="1"/>
  <c r="U68" i="27"/>
  <c r="M54" i="27"/>
  <c r="W54" i="27" s="1"/>
  <c r="U54" i="27"/>
  <c r="K55" i="27"/>
  <c r="Q54" i="27"/>
  <c r="AA54" i="27" s="1"/>
  <c r="Y54" i="27"/>
  <c r="O55" i="27"/>
  <c r="G40" i="27"/>
  <c r="O39" i="27"/>
  <c r="Q38" i="27"/>
  <c r="AA38" i="27" s="1"/>
  <c r="Y38" i="27"/>
  <c r="E40" i="27"/>
  <c r="K39" i="27"/>
  <c r="M38" i="27"/>
  <c r="W38" i="27" s="1"/>
  <c r="U38" i="27"/>
  <c r="Q67" i="24"/>
  <c r="AA67" i="24" s="1"/>
  <c r="Y67" i="24"/>
  <c r="O68" i="24"/>
  <c r="G69" i="24"/>
  <c r="M67" i="24"/>
  <c r="W67" i="24" s="1"/>
  <c r="U67" i="24"/>
  <c r="K68" i="24"/>
  <c r="E69" i="24"/>
  <c r="Q52" i="24"/>
  <c r="AA52" i="24" s="1"/>
  <c r="Y52" i="24"/>
  <c r="O53" i="24"/>
  <c r="G54" i="24"/>
  <c r="Q38" i="24"/>
  <c r="AA38" i="24" s="1"/>
  <c r="Y38" i="24"/>
  <c r="G40" i="24"/>
  <c r="O40" i="24" s="1"/>
  <c r="O39" i="24"/>
  <c r="U37" i="24"/>
  <c r="M37" i="24"/>
  <c r="W37" i="24" s="1"/>
  <c r="E39" i="24"/>
  <c r="K38" i="24"/>
  <c r="E55" i="24"/>
  <c r="K55" i="24" s="1"/>
  <c r="K54" i="24"/>
  <c r="M53" i="24"/>
  <c r="W53" i="24" s="1"/>
  <c r="U53" i="24"/>
  <c r="Q180" i="23"/>
  <c r="AA180" i="23" s="1"/>
  <c r="Y180" i="23"/>
  <c r="G182" i="23"/>
  <c r="O181" i="23"/>
  <c r="M180" i="23"/>
  <c r="W180" i="23" s="1"/>
  <c r="U180" i="23"/>
  <c r="K181" i="23"/>
  <c r="E182" i="23"/>
  <c r="M157" i="23"/>
  <c r="W157" i="23" s="1"/>
  <c r="U157" i="23"/>
  <c r="K158" i="23"/>
  <c r="E159" i="23"/>
  <c r="Q157" i="23"/>
  <c r="AA157" i="23" s="1"/>
  <c r="Y157" i="23"/>
  <c r="G159" i="23"/>
  <c r="O158" i="23"/>
  <c r="Q91" i="23"/>
  <c r="AA91" i="23" s="1"/>
  <c r="Y91" i="23"/>
  <c r="O92" i="23"/>
  <c r="M91" i="23"/>
  <c r="W91" i="23" s="1"/>
  <c r="U91" i="23"/>
  <c r="K92" i="23"/>
  <c r="K69" i="23"/>
  <c r="E70" i="23"/>
  <c r="M68" i="23"/>
  <c r="W68" i="23" s="1"/>
  <c r="U68" i="23"/>
  <c r="Q68" i="23"/>
  <c r="AA68" i="23" s="1"/>
  <c r="Y68" i="23"/>
  <c r="G70" i="23"/>
  <c r="O69" i="23"/>
  <c r="M51" i="23"/>
  <c r="W51" i="23" s="1"/>
  <c r="U51" i="23"/>
  <c r="K52" i="23"/>
  <c r="E53" i="23"/>
  <c r="G54" i="23"/>
  <c r="O53" i="23"/>
  <c r="Q52" i="23"/>
  <c r="AA52" i="23" s="1"/>
  <c r="Y52" i="23"/>
  <c r="G159" i="22"/>
  <c r="O158" i="22"/>
  <c r="Q157" i="22"/>
  <c r="AA157" i="22" s="1"/>
  <c r="Y157" i="22"/>
  <c r="M161" i="22"/>
  <c r="W161" i="22" s="1"/>
  <c r="U161" i="22"/>
  <c r="K162" i="22"/>
  <c r="E163" i="22"/>
  <c r="Q114" i="22"/>
  <c r="AA114" i="22" s="1"/>
  <c r="Y114" i="22"/>
  <c r="O115" i="22"/>
  <c r="M114" i="22"/>
  <c r="W114" i="22" s="1"/>
  <c r="U114" i="22"/>
  <c r="K115" i="22"/>
  <c r="Q91" i="22"/>
  <c r="AA91" i="22" s="1"/>
  <c r="Y91" i="22"/>
  <c r="O92" i="22"/>
  <c r="M91" i="22"/>
  <c r="W91" i="22" s="1"/>
  <c r="U91" i="22"/>
  <c r="K92" i="22"/>
  <c r="Q68" i="22"/>
  <c r="AA68" i="22" s="1"/>
  <c r="Y68" i="22"/>
  <c r="O69" i="22"/>
  <c r="M68" i="22"/>
  <c r="W68" i="22" s="1"/>
  <c r="U68" i="22"/>
  <c r="K69" i="22"/>
  <c r="Y45" i="22"/>
  <c r="Q45" i="22"/>
  <c r="AA45" i="22" s="1"/>
  <c r="O46" i="22"/>
  <c r="G47" i="22"/>
  <c r="M47" i="22"/>
  <c r="W47" i="22" s="1"/>
  <c r="U47" i="22"/>
  <c r="K48" i="22"/>
  <c r="E49" i="22"/>
  <c r="T157" i="21"/>
  <c r="P157" i="21"/>
  <c r="Z157" i="21" s="1"/>
  <c r="X154" i="21"/>
  <c r="L154" i="21"/>
  <c r="V154" i="21" s="1"/>
  <c r="T158" i="21"/>
  <c r="P158" i="21"/>
  <c r="Z158" i="21" s="1"/>
  <c r="X161" i="21"/>
  <c r="L161" i="21"/>
  <c r="V161" i="21" s="1"/>
  <c r="Y47" i="21"/>
  <c r="Q47" i="21"/>
  <c r="AA47" i="21" s="1"/>
  <c r="X158" i="21"/>
  <c r="L158" i="21"/>
  <c r="V158" i="21" s="1"/>
  <c r="T171" i="21"/>
  <c r="P171" i="21"/>
  <c r="Z171" i="21" s="1"/>
  <c r="L168" i="21"/>
  <c r="V168" i="21" s="1"/>
  <c r="X168" i="21"/>
  <c r="P172" i="21"/>
  <c r="Z172" i="21" s="1"/>
  <c r="T172" i="21"/>
  <c r="L175" i="21"/>
  <c r="V175" i="21" s="1"/>
  <c r="X175" i="21"/>
  <c r="G49" i="21"/>
  <c r="O48" i="21"/>
  <c r="P176" i="21"/>
  <c r="Z176" i="21" s="1"/>
  <c r="T176" i="21"/>
  <c r="L172" i="21"/>
  <c r="V172" i="21" s="1"/>
  <c r="X172" i="21"/>
  <c r="E48" i="21"/>
  <c r="K47" i="21"/>
  <c r="L170" i="21"/>
  <c r="V170" i="21" s="1"/>
  <c r="X170" i="21"/>
  <c r="L156" i="21"/>
  <c r="V156" i="21" s="1"/>
  <c r="X156" i="21"/>
  <c r="L155" i="21"/>
  <c r="V155" i="21" s="1"/>
  <c r="X155" i="21"/>
  <c r="X152" i="21"/>
  <c r="L152" i="21"/>
  <c r="V152" i="21" s="1"/>
  <c r="P154" i="21"/>
  <c r="Z154" i="21" s="1"/>
  <c r="T154" i="21"/>
  <c r="X160" i="21"/>
  <c r="L160" i="21"/>
  <c r="V160" i="21" s="1"/>
  <c r="T152" i="21"/>
  <c r="P152" i="21"/>
  <c r="Z152" i="21" s="1"/>
  <c r="M46" i="21"/>
  <c r="W46" i="21" s="1"/>
  <c r="U46" i="21"/>
  <c r="L169" i="21"/>
  <c r="V169" i="21" s="1"/>
  <c r="X169" i="21"/>
  <c r="L166" i="21"/>
  <c r="V166" i="21" s="1"/>
  <c r="X166" i="21"/>
  <c r="P168" i="21"/>
  <c r="Z168" i="21" s="1"/>
  <c r="T168" i="21"/>
  <c r="L174" i="21"/>
  <c r="V174" i="21" s="1"/>
  <c r="X174" i="21"/>
  <c r="P166" i="21"/>
  <c r="Z166" i="21" s="1"/>
  <c r="T166" i="21"/>
  <c r="L162" i="21"/>
  <c r="V162" i="21" s="1"/>
  <c r="X162" i="21"/>
  <c r="P156" i="21"/>
  <c r="Z156" i="21" s="1"/>
  <c r="T156" i="21"/>
  <c r="M34" i="21"/>
  <c r="W34" i="21" s="1"/>
  <c r="U34" i="21"/>
  <c r="P162" i="21"/>
  <c r="Z162" i="21" s="1"/>
  <c r="T162" i="21"/>
  <c r="L176" i="21"/>
  <c r="V176" i="21" s="1"/>
  <c r="X176" i="21"/>
  <c r="T170" i="21"/>
  <c r="P170" i="21"/>
  <c r="Z170" i="21" s="1"/>
  <c r="E36" i="21"/>
  <c r="K35" i="21"/>
  <c r="K166" i="21"/>
  <c r="M165" i="21"/>
  <c r="W165" i="21" s="1"/>
  <c r="U165" i="21"/>
  <c r="Q85" i="21"/>
  <c r="AA85" i="21" s="1"/>
  <c r="Y85" i="21"/>
  <c r="Q61" i="21"/>
  <c r="AA61" i="21" s="1"/>
  <c r="Y61" i="21"/>
  <c r="Q73" i="21"/>
  <c r="AA73" i="21" s="1"/>
  <c r="Y73" i="21"/>
  <c r="O74" i="21"/>
  <c r="Q97" i="21"/>
  <c r="AA97" i="21" s="1"/>
  <c r="Y97" i="21"/>
  <c r="O86" i="21"/>
  <c r="O62" i="21"/>
  <c r="O98" i="21"/>
  <c r="O110" i="21"/>
  <c r="O122" i="21"/>
  <c r="Y109" i="21"/>
  <c r="Q109" i="21"/>
  <c r="AA109" i="21" s="1"/>
  <c r="M75" i="21"/>
  <c r="W75" i="21" s="1"/>
  <c r="U75" i="21"/>
  <c r="K76" i="21"/>
  <c r="K90" i="21"/>
  <c r="K116" i="21"/>
  <c r="M154" i="21"/>
  <c r="W154" i="21" s="1"/>
  <c r="U154" i="21"/>
  <c r="K103" i="21"/>
  <c r="K155" i="21"/>
  <c r="M102" i="21"/>
  <c r="W102" i="21" s="1"/>
  <c r="U102" i="21"/>
  <c r="M89" i="21"/>
  <c r="W89" i="21" s="1"/>
  <c r="U89" i="21"/>
  <c r="K142" i="21"/>
  <c r="U141" i="21"/>
  <c r="M141" i="21"/>
  <c r="W141" i="21" s="1"/>
  <c r="K129" i="21"/>
  <c r="U115" i="21"/>
  <c r="M115" i="21"/>
  <c r="W115" i="21" s="1"/>
  <c r="M128" i="21"/>
  <c r="W128" i="21" s="1"/>
  <c r="U128" i="21"/>
  <c r="M63" i="21"/>
  <c r="W63" i="21" s="1"/>
  <c r="U63" i="21"/>
  <c r="K65" i="21"/>
  <c r="K64" i="21"/>
  <c r="Q36" i="21"/>
  <c r="AA36" i="21" s="1"/>
  <c r="Q37" i="21"/>
  <c r="AA37" i="21" s="1"/>
  <c r="Y37" i="21"/>
  <c r="U72" i="18"/>
  <c r="M72" i="18"/>
  <c r="W72" i="18" s="1"/>
  <c r="U162" i="18"/>
  <c r="M162" i="18"/>
  <c r="W162" i="18" s="1"/>
  <c r="K163" i="18"/>
  <c r="E164" i="18"/>
  <c r="E74" i="18"/>
  <c r="K73" i="18"/>
  <c r="Q144" i="18"/>
  <c r="AA144" i="18" s="1"/>
  <c r="Y144" i="18"/>
  <c r="G146" i="18"/>
  <c r="O145" i="18"/>
  <c r="E145" i="18"/>
  <c r="K144" i="18"/>
  <c r="M143" i="18"/>
  <c r="W143" i="18" s="1"/>
  <c r="U143" i="18"/>
  <c r="K121" i="18"/>
  <c r="M120" i="18"/>
  <c r="W120" i="18" s="1"/>
  <c r="U120" i="18"/>
  <c r="O121" i="18"/>
  <c r="Q120" i="18"/>
  <c r="AA120" i="18" s="1"/>
  <c r="Y120" i="18"/>
  <c r="O97" i="18"/>
  <c r="Q96" i="18"/>
  <c r="AA96" i="18" s="1"/>
  <c r="Y96" i="18"/>
  <c r="K97" i="18"/>
  <c r="M96" i="18"/>
  <c r="W96" i="18" s="1"/>
  <c r="U96" i="18"/>
  <c r="G81" i="18"/>
  <c r="O80" i="18"/>
  <c r="Q79" i="18"/>
  <c r="AA79" i="18" s="1"/>
  <c r="Y79" i="18"/>
  <c r="M49" i="18"/>
  <c r="W49" i="18" s="1"/>
  <c r="U49" i="18"/>
  <c r="K50" i="18"/>
  <c r="E51" i="18"/>
  <c r="Q49" i="18"/>
  <c r="AA49" i="18" s="1"/>
  <c r="Y49" i="18"/>
  <c r="G51" i="18"/>
  <c r="O50" i="18"/>
  <c r="G40" i="1"/>
  <c r="O39" i="1"/>
  <c r="Q38" i="1"/>
  <c r="AA38" i="1" s="1"/>
  <c r="Y38" i="1"/>
  <c r="Q55" i="1"/>
  <c r="AA55" i="1" s="1"/>
  <c r="Y55" i="1"/>
  <c r="O56" i="1"/>
  <c r="M55" i="1"/>
  <c r="W55" i="1" s="1"/>
  <c r="U55" i="1"/>
  <c r="K56" i="1"/>
  <c r="Q120" i="1"/>
  <c r="AA120" i="1" s="1"/>
  <c r="Y120" i="1"/>
  <c r="Q184" i="1"/>
  <c r="AA184" i="1" s="1"/>
  <c r="Y184" i="1"/>
  <c r="M136" i="1"/>
  <c r="W136" i="1" s="1"/>
  <c r="U136" i="1"/>
  <c r="O153" i="1"/>
  <c r="O121" i="1"/>
  <c r="O185" i="1"/>
  <c r="K137" i="1"/>
  <c r="Q152" i="1"/>
  <c r="AA152" i="1" s="1"/>
  <c r="Y152" i="1"/>
  <c r="O137" i="1"/>
  <c r="K73" i="1"/>
  <c r="K105" i="1"/>
  <c r="M168" i="1"/>
  <c r="W168" i="1" s="1"/>
  <c r="U168" i="1"/>
  <c r="M88" i="1"/>
  <c r="W88" i="1" s="1"/>
  <c r="U88" i="1"/>
  <c r="M120" i="1"/>
  <c r="W120" i="1" s="1"/>
  <c r="U120" i="1"/>
  <c r="Q104" i="1"/>
  <c r="AA104" i="1" s="1"/>
  <c r="Y104" i="1"/>
  <c r="Q136" i="1"/>
  <c r="AA136" i="1" s="1"/>
  <c r="Y136" i="1"/>
  <c r="U104" i="1"/>
  <c r="M104" i="1"/>
  <c r="W104" i="1" s="1"/>
  <c r="K169" i="1"/>
  <c r="K89" i="1"/>
  <c r="K121" i="1"/>
  <c r="O105" i="1"/>
  <c r="Y88" i="1"/>
  <c r="Q88" i="1"/>
  <c r="AA88" i="1" s="1"/>
  <c r="Q72" i="1"/>
  <c r="AA72" i="1" s="1"/>
  <c r="Y72" i="1"/>
  <c r="M184" i="1"/>
  <c r="W184" i="1" s="1"/>
  <c r="U184" i="1"/>
  <c r="M152" i="1"/>
  <c r="W152" i="1" s="1"/>
  <c r="U152" i="1"/>
  <c r="Q168" i="1"/>
  <c r="AA168" i="1" s="1"/>
  <c r="Y168" i="1"/>
  <c r="M72" i="1"/>
  <c r="W72" i="1" s="1"/>
  <c r="U72" i="1"/>
  <c r="O89" i="1"/>
  <c r="O73" i="1"/>
  <c r="K185" i="1"/>
  <c r="K153" i="1"/>
  <c r="O169" i="1"/>
  <c r="K211" i="1"/>
  <c r="M210" i="1"/>
  <c r="W210" i="1" s="1"/>
  <c r="U210" i="1"/>
  <c r="Q210" i="1"/>
  <c r="AA210" i="1" s="1"/>
  <c r="Y210" i="1"/>
  <c r="O211" i="1"/>
  <c r="M41" i="1"/>
  <c r="W41" i="1" s="1"/>
  <c r="U41" i="1"/>
  <c r="E43" i="1"/>
  <c r="K42" i="1"/>
  <c r="G71" i="29"/>
  <c r="O70" i="29"/>
  <c r="E71" i="29"/>
  <c r="K70" i="29"/>
  <c r="Q69" i="29"/>
  <c r="AA69" i="29" s="1"/>
  <c r="Y69" i="29"/>
  <c r="M69" i="29"/>
  <c r="W69" i="29" s="1"/>
  <c r="U69" i="29"/>
  <c r="O49" i="29"/>
  <c r="G50" i="29"/>
  <c r="K49" i="29"/>
  <c r="M49" i="29" s="1"/>
  <c r="W49" i="29" s="1"/>
  <c r="E50" i="29"/>
  <c r="Q48" i="29"/>
  <c r="AA48" i="29" s="1"/>
  <c r="Y48" i="29"/>
  <c r="Q49" i="29"/>
  <c r="AA49" i="29" s="1"/>
  <c r="Y49" i="29"/>
  <c r="U49" i="29"/>
  <c r="M48" i="29"/>
  <c r="W48" i="29" s="1"/>
  <c r="U48" i="29"/>
  <c r="M167" i="19"/>
  <c r="W167" i="19" s="1"/>
  <c r="U167" i="19"/>
  <c r="E169" i="19"/>
  <c r="K168" i="19"/>
  <c r="Q166" i="19"/>
  <c r="AA166" i="19" s="1"/>
  <c r="Y166" i="19"/>
  <c r="O167" i="19"/>
  <c r="G168" i="19"/>
  <c r="G136" i="19"/>
  <c r="O135" i="19"/>
  <c r="Q134" i="19"/>
  <c r="AA134" i="19" s="1"/>
  <c r="Y134" i="19"/>
  <c r="E136" i="19"/>
  <c r="K135" i="19"/>
  <c r="M134" i="19"/>
  <c r="W134" i="19" s="1"/>
  <c r="U134" i="19"/>
  <c r="Q110" i="19"/>
  <c r="AA110" i="19" s="1"/>
  <c r="Y110" i="19"/>
  <c r="G112" i="19"/>
  <c r="O111" i="19"/>
  <c r="E112" i="19"/>
  <c r="K111" i="19"/>
  <c r="U110" i="19"/>
  <c r="M110" i="19"/>
  <c r="W110" i="19" s="1"/>
  <c r="Y88" i="19"/>
  <c r="Q88" i="19"/>
  <c r="AA88" i="19" s="1"/>
  <c r="Q89" i="19"/>
  <c r="AA89" i="19" s="1"/>
  <c r="Y89" i="19"/>
  <c r="K89" i="19"/>
  <c r="K88" i="19"/>
  <c r="M87" i="19"/>
  <c r="W87" i="19" s="1"/>
  <c r="U87" i="19"/>
  <c r="Q23" i="19"/>
  <c r="AA23" i="19" s="1"/>
  <c r="Y23" i="19"/>
  <c r="Q24" i="19"/>
  <c r="AA24" i="19" s="1"/>
  <c r="Y24" i="19"/>
  <c r="M23" i="19"/>
  <c r="W23" i="19" s="1"/>
  <c r="U23" i="19"/>
  <c r="M24" i="19"/>
  <c r="W24" i="19" s="1"/>
  <c r="U24" i="19"/>
  <c r="Q68" i="19"/>
  <c r="AA68" i="19" s="1"/>
  <c r="Y68" i="19"/>
  <c r="Q69" i="19"/>
  <c r="AA69" i="19" s="1"/>
  <c r="Y69" i="19"/>
  <c r="M52" i="19"/>
  <c r="W52" i="19" s="1"/>
  <c r="U52" i="19"/>
  <c r="M53" i="19"/>
  <c r="W53" i="19" s="1"/>
  <c r="U53" i="19"/>
  <c r="Q52" i="19"/>
  <c r="AA52" i="19" s="1"/>
  <c r="Y52" i="19"/>
  <c r="Q53" i="19"/>
  <c r="AA53" i="19" s="1"/>
  <c r="Y53" i="19"/>
  <c r="G37" i="19"/>
  <c r="O36" i="19"/>
  <c r="Y35" i="19"/>
  <c r="Q35" i="19"/>
  <c r="AA35" i="19" s="1"/>
  <c r="M39" i="19"/>
  <c r="W39" i="19" s="1"/>
  <c r="U39" i="19"/>
  <c r="M38" i="19"/>
  <c r="W38" i="19" s="1"/>
  <c r="U38" i="19"/>
  <c r="M60" i="25"/>
  <c r="W60" i="25" s="1"/>
  <c r="O87" i="25"/>
  <c r="Q68" i="25"/>
  <c r="AA68" i="25" s="1"/>
  <c r="Y68" i="25"/>
  <c r="Q77" i="25"/>
  <c r="AA77" i="25" s="1"/>
  <c r="Y77" i="25"/>
  <c r="M95" i="25"/>
  <c r="W95" i="25" s="1"/>
  <c r="U95" i="25"/>
  <c r="O70" i="25"/>
  <c r="O69" i="25"/>
  <c r="O78" i="25"/>
  <c r="K96" i="25"/>
  <c r="M68" i="25"/>
  <c r="W68" i="25" s="1"/>
  <c r="U68" i="25"/>
  <c r="U59" i="25"/>
  <c r="M59" i="25"/>
  <c r="W59" i="25" s="1"/>
  <c r="Q95" i="25"/>
  <c r="AA95" i="25" s="1"/>
  <c r="Y95" i="25"/>
  <c r="Y86" i="25"/>
  <c r="Q86" i="25"/>
  <c r="AA86" i="25" s="1"/>
  <c r="K70" i="25"/>
  <c r="M70" i="25" s="1"/>
  <c r="W70" i="25" s="1"/>
  <c r="K69" i="25"/>
  <c r="O96" i="25"/>
  <c r="Q59" i="25"/>
  <c r="AA59" i="25" s="1"/>
  <c r="Y59" i="25"/>
  <c r="M77" i="25"/>
  <c r="W77" i="25" s="1"/>
  <c r="U77" i="25"/>
  <c r="M86" i="25"/>
  <c r="W86" i="25" s="1"/>
  <c r="U86" i="25"/>
  <c r="Y60" i="25"/>
  <c r="Q60" i="25"/>
  <c r="AA60" i="25" s="1"/>
  <c r="K78" i="25"/>
  <c r="K87" i="25"/>
  <c r="X86" i="25"/>
  <c r="L86" i="25"/>
  <c r="V86" i="25" s="1"/>
  <c r="L59" i="25"/>
  <c r="V59" i="25" s="1"/>
  <c r="X59" i="25"/>
  <c r="L96" i="25"/>
  <c r="V96" i="25" s="1"/>
  <c r="X96" i="25"/>
  <c r="N69" i="25"/>
  <c r="N60" i="25"/>
  <c r="X77" i="25"/>
  <c r="L77" i="25"/>
  <c r="V77" i="25" s="1"/>
  <c r="X68" i="25"/>
  <c r="L68" i="25"/>
  <c r="V68" i="25" s="1"/>
  <c r="L50" i="25"/>
  <c r="V50" i="25" s="1"/>
  <c r="X50" i="25"/>
  <c r="N97" i="25"/>
  <c r="N87" i="25"/>
  <c r="N78" i="25"/>
  <c r="T50" i="25"/>
  <c r="P50" i="25"/>
  <c r="Z50" i="25" s="1"/>
  <c r="J69" i="25"/>
  <c r="T59" i="25"/>
  <c r="P59" i="25"/>
  <c r="Z59" i="25" s="1"/>
  <c r="P68" i="25"/>
  <c r="Z68" i="25" s="1"/>
  <c r="T68" i="25"/>
  <c r="P77" i="25"/>
  <c r="Z77" i="25" s="1"/>
  <c r="T77" i="25"/>
  <c r="J97" i="25"/>
  <c r="J87" i="25"/>
  <c r="T86" i="25"/>
  <c r="P86" i="25"/>
  <c r="Z86" i="25" s="1"/>
  <c r="P96" i="25"/>
  <c r="Z96" i="25" s="1"/>
  <c r="T96" i="25"/>
  <c r="J78" i="25"/>
  <c r="J60" i="25"/>
  <c r="Y33" i="38" l="1"/>
  <c r="Q33" i="38"/>
  <c r="AA33" i="38" s="1"/>
  <c r="O35" i="38"/>
  <c r="O34" i="38"/>
  <c r="Y120" i="38"/>
  <c r="Q120" i="38"/>
  <c r="AA120" i="38" s="1"/>
  <c r="O121" i="38"/>
  <c r="K57" i="38"/>
  <c r="M152" i="38"/>
  <c r="W152" i="38" s="1"/>
  <c r="U152" i="38"/>
  <c r="K137" i="38"/>
  <c r="K153" i="38"/>
  <c r="K121" i="38"/>
  <c r="Q136" i="38"/>
  <c r="AA136" i="38" s="1"/>
  <c r="Y136" i="38"/>
  <c r="Y72" i="38"/>
  <c r="Q72" i="38"/>
  <c r="AA72" i="38" s="1"/>
  <c r="Y152" i="38"/>
  <c r="Q152" i="38"/>
  <c r="AA152" i="38" s="1"/>
  <c r="U56" i="38"/>
  <c r="M56" i="38"/>
  <c r="W56" i="38" s="1"/>
  <c r="M120" i="38"/>
  <c r="W120" i="38" s="1"/>
  <c r="U120" i="38"/>
  <c r="O137" i="38"/>
  <c r="O73" i="38"/>
  <c r="O153" i="38"/>
  <c r="Q168" i="38"/>
  <c r="AA168" i="38" s="1"/>
  <c r="Y168" i="38"/>
  <c r="M88" i="38"/>
  <c r="W88" i="38" s="1"/>
  <c r="U88" i="38"/>
  <c r="O89" i="38"/>
  <c r="Q184" i="38"/>
  <c r="AA184" i="38" s="1"/>
  <c r="Y184" i="38"/>
  <c r="U168" i="38"/>
  <c r="M168" i="38"/>
  <c r="W168" i="38" s="1"/>
  <c r="M39" i="38"/>
  <c r="W39" i="38" s="1"/>
  <c r="U39" i="38"/>
  <c r="O169" i="38"/>
  <c r="U184" i="38"/>
  <c r="M184" i="38"/>
  <c r="W184" i="38" s="1"/>
  <c r="K89" i="38"/>
  <c r="Q88" i="38"/>
  <c r="AA88" i="38" s="1"/>
  <c r="Y88" i="38"/>
  <c r="K169" i="38"/>
  <c r="K40" i="38"/>
  <c r="M136" i="38"/>
  <c r="W136" i="38" s="1"/>
  <c r="U136" i="38"/>
  <c r="O41" i="38"/>
  <c r="K105" i="38"/>
  <c r="M72" i="38"/>
  <c r="W72" i="38" s="1"/>
  <c r="U72" i="38"/>
  <c r="Y56" i="38"/>
  <c r="Q56" i="38"/>
  <c r="AA56" i="38" s="1"/>
  <c r="O105" i="38"/>
  <c r="Q40" i="38"/>
  <c r="AA40" i="38" s="1"/>
  <c r="Y40" i="38"/>
  <c r="U104" i="38"/>
  <c r="M104" i="38"/>
  <c r="W104" i="38" s="1"/>
  <c r="K73" i="38"/>
  <c r="O57" i="38"/>
  <c r="Q104" i="38"/>
  <c r="AA104" i="38" s="1"/>
  <c r="Y104" i="38"/>
  <c r="Y168" i="28"/>
  <c r="Q168" i="28"/>
  <c r="AA168" i="28" s="1"/>
  <c r="O169" i="28"/>
  <c r="G170" i="28"/>
  <c r="K169" i="28"/>
  <c r="E170" i="28"/>
  <c r="M168" i="28"/>
  <c r="W168" i="28" s="1"/>
  <c r="U168" i="28"/>
  <c r="Q52" i="28"/>
  <c r="AA52" i="28" s="1"/>
  <c r="Y52" i="28"/>
  <c r="G54" i="28"/>
  <c r="O53" i="28"/>
  <c r="E54" i="28"/>
  <c r="K53" i="28"/>
  <c r="M52" i="28"/>
  <c r="W52" i="28" s="1"/>
  <c r="U52" i="28"/>
  <c r="M139" i="28"/>
  <c r="W139" i="28" s="1"/>
  <c r="U139" i="28"/>
  <c r="K140" i="28"/>
  <c r="Q139" i="28"/>
  <c r="AA139" i="28" s="1"/>
  <c r="Y139" i="28"/>
  <c r="O140" i="28"/>
  <c r="K111" i="28"/>
  <c r="M110" i="28"/>
  <c r="W110" i="28" s="1"/>
  <c r="U110" i="28"/>
  <c r="O111" i="28"/>
  <c r="Q110" i="28"/>
  <c r="AA110" i="28" s="1"/>
  <c r="Y110" i="28"/>
  <c r="M81" i="28"/>
  <c r="W81" i="28" s="1"/>
  <c r="U81" i="28"/>
  <c r="Q81" i="28"/>
  <c r="AA81" i="28" s="1"/>
  <c r="Y81" i="28"/>
  <c r="O82" i="28"/>
  <c r="K82" i="28"/>
  <c r="Q215" i="27"/>
  <c r="AA215" i="27" s="1"/>
  <c r="Y215" i="27"/>
  <c r="O216" i="27"/>
  <c r="G217" i="27"/>
  <c r="K216" i="27"/>
  <c r="E217" i="27"/>
  <c r="M215" i="27"/>
  <c r="W215" i="27" s="1"/>
  <c r="U215" i="27"/>
  <c r="O191" i="27"/>
  <c r="O116" i="27"/>
  <c r="Q175" i="27"/>
  <c r="AA175" i="27" s="1"/>
  <c r="Y175" i="27"/>
  <c r="O176" i="27"/>
  <c r="O161" i="27"/>
  <c r="Q115" i="27"/>
  <c r="AA115" i="27" s="1"/>
  <c r="Y115" i="27"/>
  <c r="Q160" i="27"/>
  <c r="AA160" i="27" s="1"/>
  <c r="Y160" i="27"/>
  <c r="Q190" i="27"/>
  <c r="AA190" i="27" s="1"/>
  <c r="Y190" i="27"/>
  <c r="Y130" i="27"/>
  <c r="Q130" i="27"/>
  <c r="AA130" i="27" s="1"/>
  <c r="Q145" i="27"/>
  <c r="AA145" i="27" s="1"/>
  <c r="Y145" i="27"/>
  <c r="O131" i="27"/>
  <c r="O146" i="27"/>
  <c r="Q85" i="27"/>
  <c r="AA85" i="27" s="1"/>
  <c r="Y85" i="27"/>
  <c r="Q100" i="27"/>
  <c r="AA100" i="27" s="1"/>
  <c r="Y100" i="27"/>
  <c r="O86" i="27"/>
  <c r="O101" i="27"/>
  <c r="K176" i="27"/>
  <c r="K191" i="27"/>
  <c r="K101" i="27"/>
  <c r="M145" i="27"/>
  <c r="W145" i="27" s="1"/>
  <c r="U145" i="27"/>
  <c r="M85" i="27"/>
  <c r="W85" i="27" s="1"/>
  <c r="U85" i="27"/>
  <c r="M100" i="27"/>
  <c r="W100" i="27" s="1"/>
  <c r="U100" i="27"/>
  <c r="K146" i="27"/>
  <c r="K86" i="27"/>
  <c r="K116" i="27"/>
  <c r="M175" i="27"/>
  <c r="W175" i="27" s="1"/>
  <c r="U175" i="27"/>
  <c r="K161" i="27"/>
  <c r="K131" i="27"/>
  <c r="M130" i="27"/>
  <c r="W130" i="27" s="1"/>
  <c r="U130" i="27"/>
  <c r="U190" i="27"/>
  <c r="M190" i="27"/>
  <c r="W190" i="27" s="1"/>
  <c r="M115" i="27"/>
  <c r="W115" i="27" s="1"/>
  <c r="U115" i="27"/>
  <c r="M160" i="27"/>
  <c r="W160" i="27" s="1"/>
  <c r="U160" i="27"/>
  <c r="K70" i="27"/>
  <c r="Q69" i="27"/>
  <c r="AA69" i="27" s="1"/>
  <c r="Y69" i="27"/>
  <c r="U69" i="27"/>
  <c r="M69" i="27"/>
  <c r="W69" i="27" s="1"/>
  <c r="O70" i="27"/>
  <c r="Q55" i="27"/>
  <c r="AA55" i="27" s="1"/>
  <c r="Y55" i="27"/>
  <c r="O56" i="27"/>
  <c r="K56" i="27"/>
  <c r="M55" i="27"/>
  <c r="W55" i="27" s="1"/>
  <c r="U55" i="27"/>
  <c r="Q39" i="27"/>
  <c r="AA39" i="27" s="1"/>
  <c r="Y39" i="27"/>
  <c r="O40" i="27"/>
  <c r="G41" i="27"/>
  <c r="U39" i="27"/>
  <c r="M39" i="27"/>
  <c r="W39" i="27" s="1"/>
  <c r="K40" i="27"/>
  <c r="E41" i="27"/>
  <c r="E70" i="24"/>
  <c r="K70" i="24" s="1"/>
  <c r="K69" i="24"/>
  <c r="M68" i="24"/>
  <c r="W68" i="24" s="1"/>
  <c r="U68" i="24"/>
  <c r="G70" i="24"/>
  <c r="O70" i="24" s="1"/>
  <c r="O69" i="24"/>
  <c r="Q68" i="24"/>
  <c r="AA68" i="24" s="1"/>
  <c r="Y68" i="24"/>
  <c r="G55" i="24"/>
  <c r="O55" i="24" s="1"/>
  <c r="O54" i="24"/>
  <c r="Y53" i="24"/>
  <c r="Q53" i="24"/>
  <c r="AA53" i="24" s="1"/>
  <c r="Q39" i="24"/>
  <c r="AA39" i="24" s="1"/>
  <c r="Y39" i="24"/>
  <c r="Q40" i="24"/>
  <c r="AA40" i="24" s="1"/>
  <c r="Y40" i="24"/>
  <c r="M38" i="24"/>
  <c r="W38" i="24" s="1"/>
  <c r="U38" i="24"/>
  <c r="K39" i="24"/>
  <c r="E40" i="24"/>
  <c r="K40" i="24" s="1"/>
  <c r="M54" i="24"/>
  <c r="W54" i="24" s="1"/>
  <c r="U54" i="24"/>
  <c r="U55" i="24"/>
  <c r="M55" i="24"/>
  <c r="W55" i="24" s="1"/>
  <c r="M181" i="23"/>
  <c r="W181" i="23" s="1"/>
  <c r="U181" i="23"/>
  <c r="Q181" i="23"/>
  <c r="AA181" i="23" s="1"/>
  <c r="Y181" i="23"/>
  <c r="G183" i="23"/>
  <c r="O182" i="23"/>
  <c r="E183" i="23"/>
  <c r="K182" i="23"/>
  <c r="Q158" i="23"/>
  <c r="AA158" i="23" s="1"/>
  <c r="Y158" i="23"/>
  <c r="G160" i="23"/>
  <c r="O159" i="23"/>
  <c r="E160" i="23"/>
  <c r="K159" i="23"/>
  <c r="M158" i="23"/>
  <c r="W158" i="23" s="1"/>
  <c r="U158" i="23"/>
  <c r="K93" i="23"/>
  <c r="K94" i="23"/>
  <c r="M92" i="23"/>
  <c r="W92" i="23" s="1"/>
  <c r="U92" i="23"/>
  <c r="O94" i="23"/>
  <c r="O93" i="23"/>
  <c r="Q92" i="23"/>
  <c r="AA92" i="23" s="1"/>
  <c r="Y92" i="23"/>
  <c r="Q69" i="23"/>
  <c r="AA69" i="23" s="1"/>
  <c r="Y69" i="23"/>
  <c r="G71" i="23"/>
  <c r="O70" i="23"/>
  <c r="E71" i="23"/>
  <c r="K70" i="23"/>
  <c r="M69" i="23"/>
  <c r="W69" i="23" s="1"/>
  <c r="U69" i="23"/>
  <c r="Q53" i="23"/>
  <c r="AA53" i="23" s="1"/>
  <c r="Y53" i="23"/>
  <c r="G55" i="23"/>
  <c r="O54" i="23"/>
  <c r="E54" i="23"/>
  <c r="K53" i="23"/>
  <c r="M52" i="23"/>
  <c r="W52" i="23" s="1"/>
  <c r="U52" i="23"/>
  <c r="Q158" i="22"/>
  <c r="AA158" i="22" s="1"/>
  <c r="Y158" i="22"/>
  <c r="G160" i="22"/>
  <c r="O159" i="22"/>
  <c r="K163" i="22"/>
  <c r="E164" i="22"/>
  <c r="M162" i="22"/>
  <c r="W162" i="22" s="1"/>
  <c r="U162" i="22"/>
  <c r="K116" i="22"/>
  <c r="Q115" i="22"/>
  <c r="AA115" i="22" s="1"/>
  <c r="Y115" i="22"/>
  <c r="O116" i="22"/>
  <c r="M115" i="22"/>
  <c r="W115" i="22" s="1"/>
  <c r="U115" i="22"/>
  <c r="K93" i="22"/>
  <c r="M92" i="22"/>
  <c r="W92" i="22" s="1"/>
  <c r="U92" i="22"/>
  <c r="O93" i="22"/>
  <c r="Y92" i="22"/>
  <c r="Q92" i="22"/>
  <c r="AA92" i="22" s="1"/>
  <c r="K70" i="22"/>
  <c r="M69" i="22"/>
  <c r="W69" i="22" s="1"/>
  <c r="U69" i="22"/>
  <c r="Q69" i="22"/>
  <c r="AA69" i="22" s="1"/>
  <c r="Y69" i="22"/>
  <c r="O70" i="22"/>
  <c r="G48" i="22"/>
  <c r="O47" i="22"/>
  <c r="Q46" i="22"/>
  <c r="AA46" i="22" s="1"/>
  <c r="Y46" i="22"/>
  <c r="M48" i="22"/>
  <c r="W48" i="22" s="1"/>
  <c r="U48" i="22"/>
  <c r="E50" i="22"/>
  <c r="K49" i="22"/>
  <c r="M35" i="21"/>
  <c r="W35" i="21" s="1"/>
  <c r="U35" i="21"/>
  <c r="U47" i="21"/>
  <c r="M47" i="21"/>
  <c r="W47" i="21" s="1"/>
  <c r="E37" i="21"/>
  <c r="K37" i="21" s="1"/>
  <c r="K36" i="21"/>
  <c r="E49" i="21"/>
  <c r="K48" i="21"/>
  <c r="G50" i="21"/>
  <c r="O49" i="21"/>
  <c r="Y48" i="21"/>
  <c r="Q48" i="21"/>
  <c r="AA48" i="21" s="1"/>
  <c r="U166" i="21"/>
  <c r="M166" i="21"/>
  <c r="W166" i="21" s="1"/>
  <c r="K167" i="21"/>
  <c r="Y74" i="21"/>
  <c r="Q74" i="21"/>
  <c r="AA74" i="21" s="1"/>
  <c r="O99" i="21"/>
  <c r="O75" i="21"/>
  <c r="Q98" i="21"/>
  <c r="AA98" i="21" s="1"/>
  <c r="Y98" i="21"/>
  <c r="Q62" i="21"/>
  <c r="AA62" i="21" s="1"/>
  <c r="Y62" i="21"/>
  <c r="O63" i="21"/>
  <c r="Q122" i="21"/>
  <c r="AA122" i="21" s="1"/>
  <c r="Y122" i="21"/>
  <c r="Q86" i="21"/>
  <c r="AA86" i="21" s="1"/>
  <c r="Y86" i="21"/>
  <c r="O123" i="21"/>
  <c r="O87" i="21"/>
  <c r="Y110" i="21"/>
  <c r="Q110" i="21"/>
  <c r="AA110" i="21" s="1"/>
  <c r="O111" i="21"/>
  <c r="M76" i="21"/>
  <c r="W76" i="21" s="1"/>
  <c r="U76" i="21"/>
  <c r="K77" i="21"/>
  <c r="M142" i="21"/>
  <c r="W142" i="21" s="1"/>
  <c r="U142" i="21"/>
  <c r="K104" i="21"/>
  <c r="M103" i="21"/>
  <c r="W103" i="21" s="1"/>
  <c r="U103" i="21"/>
  <c r="K143" i="21"/>
  <c r="K130" i="21"/>
  <c r="U116" i="21"/>
  <c r="M116" i="21"/>
  <c r="W116" i="21" s="1"/>
  <c r="M129" i="21"/>
  <c r="W129" i="21" s="1"/>
  <c r="U129" i="21"/>
  <c r="K117" i="21"/>
  <c r="M155" i="21"/>
  <c r="W155" i="21" s="1"/>
  <c r="U155" i="21"/>
  <c r="K91" i="21"/>
  <c r="K156" i="21"/>
  <c r="M90" i="21"/>
  <c r="W90" i="21" s="1"/>
  <c r="U90" i="21"/>
  <c r="M64" i="21"/>
  <c r="W64" i="21" s="1"/>
  <c r="U64" i="21"/>
  <c r="U65" i="21"/>
  <c r="M65" i="21"/>
  <c r="W65" i="21" s="1"/>
  <c r="K164" i="18"/>
  <c r="E165" i="18"/>
  <c r="E75" i="18"/>
  <c r="K74" i="18"/>
  <c r="M163" i="18"/>
  <c r="W163" i="18" s="1"/>
  <c r="U163" i="18"/>
  <c r="M73" i="18"/>
  <c r="W73" i="18" s="1"/>
  <c r="U73" i="18"/>
  <c r="Y145" i="18"/>
  <c r="Q145" i="18"/>
  <c r="AA145" i="18" s="1"/>
  <c r="G147" i="18"/>
  <c r="O146" i="18"/>
  <c r="M144" i="18"/>
  <c r="W144" i="18" s="1"/>
  <c r="U144" i="18"/>
  <c r="E146" i="18"/>
  <c r="K145" i="18"/>
  <c r="Y121" i="18"/>
  <c r="Q121" i="18"/>
  <c r="AA121" i="18" s="1"/>
  <c r="O122" i="18"/>
  <c r="U121" i="18"/>
  <c r="M121" i="18"/>
  <c r="W121" i="18" s="1"/>
  <c r="K122" i="18"/>
  <c r="M97" i="18"/>
  <c r="W97" i="18" s="1"/>
  <c r="U97" i="18"/>
  <c r="K98" i="18"/>
  <c r="Q97" i="18"/>
  <c r="AA97" i="18" s="1"/>
  <c r="Y97" i="18"/>
  <c r="O98" i="18"/>
  <c r="Q80" i="18"/>
  <c r="AA80" i="18" s="1"/>
  <c r="Y80" i="18"/>
  <c r="G82" i="18"/>
  <c r="O81" i="18"/>
  <c r="Q50" i="18"/>
  <c r="AA50" i="18" s="1"/>
  <c r="Y50" i="18"/>
  <c r="G52" i="18"/>
  <c r="O51" i="18"/>
  <c r="E52" i="18"/>
  <c r="K51" i="18"/>
  <c r="M50" i="18"/>
  <c r="W50" i="18" s="1"/>
  <c r="U50" i="18"/>
  <c r="Q39" i="1"/>
  <c r="AA39" i="1" s="1"/>
  <c r="Y39" i="1"/>
  <c r="O40" i="1"/>
  <c r="G41" i="1"/>
  <c r="Q56" i="1"/>
  <c r="AA56" i="1" s="1"/>
  <c r="Y56" i="1"/>
  <c r="O57" i="1"/>
  <c r="M56" i="1"/>
  <c r="W56" i="1" s="1"/>
  <c r="U56" i="1"/>
  <c r="K57" i="1"/>
  <c r="O90" i="1"/>
  <c r="O154" i="1"/>
  <c r="U153" i="1"/>
  <c r="M153" i="1"/>
  <c r="W153" i="1" s="1"/>
  <c r="M89" i="1"/>
  <c r="W89" i="1" s="1"/>
  <c r="U89" i="1"/>
  <c r="M105" i="1"/>
  <c r="W105" i="1" s="1"/>
  <c r="U105" i="1"/>
  <c r="M137" i="1"/>
  <c r="W137" i="1" s="1"/>
  <c r="U137" i="1"/>
  <c r="Q153" i="1"/>
  <c r="AA153" i="1" s="1"/>
  <c r="Y153" i="1"/>
  <c r="O170" i="1"/>
  <c r="K154" i="1"/>
  <c r="K90" i="1"/>
  <c r="K106" i="1"/>
  <c r="K138" i="1"/>
  <c r="U121" i="1"/>
  <c r="M121" i="1"/>
  <c r="W121" i="1" s="1"/>
  <c r="M185" i="1"/>
  <c r="W185" i="1" s="1"/>
  <c r="U185" i="1"/>
  <c r="M169" i="1"/>
  <c r="W169" i="1" s="1"/>
  <c r="U169" i="1"/>
  <c r="M73" i="1"/>
  <c r="W73" i="1" s="1"/>
  <c r="U73" i="1"/>
  <c r="Q185" i="1"/>
  <c r="AA185" i="1" s="1"/>
  <c r="Y185" i="1"/>
  <c r="Q169" i="1"/>
  <c r="AA169" i="1" s="1"/>
  <c r="Y169" i="1"/>
  <c r="K186" i="1"/>
  <c r="K170" i="1"/>
  <c r="K74" i="1"/>
  <c r="O186" i="1"/>
  <c r="K122" i="1"/>
  <c r="Q73" i="1"/>
  <c r="AA73" i="1" s="1"/>
  <c r="Y73" i="1"/>
  <c r="Y105" i="1"/>
  <c r="Q105" i="1"/>
  <c r="AA105" i="1" s="1"/>
  <c r="Q137" i="1"/>
  <c r="AA137" i="1" s="1"/>
  <c r="Y137" i="1"/>
  <c r="Q121" i="1"/>
  <c r="AA121" i="1" s="1"/>
  <c r="Y121" i="1"/>
  <c r="Q89" i="1"/>
  <c r="AA89" i="1" s="1"/>
  <c r="Y89" i="1"/>
  <c r="O74" i="1"/>
  <c r="O106" i="1"/>
  <c r="O138" i="1"/>
  <c r="O122" i="1"/>
  <c r="Q211" i="1"/>
  <c r="AA211" i="1" s="1"/>
  <c r="Y211" i="1"/>
  <c r="O212" i="1"/>
  <c r="M211" i="1"/>
  <c r="W211" i="1" s="1"/>
  <c r="U211" i="1"/>
  <c r="K212" i="1"/>
  <c r="M42" i="1"/>
  <c r="W42" i="1" s="1"/>
  <c r="U42" i="1"/>
  <c r="K43" i="1"/>
  <c r="E44" i="1"/>
  <c r="K44" i="1" s="1"/>
  <c r="M70" i="29"/>
  <c r="W70" i="29" s="1"/>
  <c r="U70" i="29"/>
  <c r="K71" i="29"/>
  <c r="E72" i="29"/>
  <c r="Q70" i="29"/>
  <c r="AA70" i="29" s="1"/>
  <c r="Y70" i="29"/>
  <c r="G72" i="29"/>
  <c r="O71" i="29"/>
  <c r="E51" i="29"/>
  <c r="K50" i="29"/>
  <c r="G51" i="29"/>
  <c r="O50" i="29"/>
  <c r="G169" i="19"/>
  <c r="O168" i="19"/>
  <c r="Q167" i="19"/>
  <c r="AA167" i="19" s="1"/>
  <c r="Y167" i="19"/>
  <c r="M168" i="19"/>
  <c r="W168" i="19" s="1"/>
  <c r="U168" i="19"/>
  <c r="K169" i="19"/>
  <c r="E170" i="19"/>
  <c r="Q135" i="19"/>
  <c r="AA135" i="19" s="1"/>
  <c r="Y135" i="19"/>
  <c r="G137" i="19"/>
  <c r="O136" i="19"/>
  <c r="M135" i="19"/>
  <c r="W135" i="19" s="1"/>
  <c r="U135" i="19"/>
  <c r="K136" i="19"/>
  <c r="E137" i="19"/>
  <c r="Q111" i="19"/>
  <c r="AA111" i="19" s="1"/>
  <c r="Y111" i="19"/>
  <c r="G113" i="19"/>
  <c r="O112" i="19"/>
  <c r="M111" i="19"/>
  <c r="W111" i="19" s="1"/>
  <c r="U111" i="19"/>
  <c r="E113" i="19"/>
  <c r="K112" i="19"/>
  <c r="M88" i="19"/>
  <c r="W88" i="19" s="1"/>
  <c r="U88" i="19"/>
  <c r="M89" i="19"/>
  <c r="W89" i="19" s="1"/>
  <c r="U89" i="19"/>
  <c r="G38" i="19"/>
  <c r="O37" i="19"/>
  <c r="Y36" i="19"/>
  <c r="Q36" i="19"/>
  <c r="AA36" i="19" s="1"/>
  <c r="M87" i="25"/>
  <c r="W87" i="25" s="1"/>
  <c r="U87" i="25"/>
  <c r="M96" i="25"/>
  <c r="W96" i="25" s="1"/>
  <c r="U96" i="25"/>
  <c r="K88" i="25"/>
  <c r="K97" i="25"/>
  <c r="U78" i="25"/>
  <c r="M78" i="25"/>
  <c r="W78" i="25" s="1"/>
  <c r="Q78" i="25"/>
  <c r="AA78" i="25" s="1"/>
  <c r="Y78" i="25"/>
  <c r="K80" i="25"/>
  <c r="U80" i="25" s="1"/>
  <c r="K79" i="25"/>
  <c r="O80" i="25"/>
  <c r="O79" i="25"/>
  <c r="Q96" i="25"/>
  <c r="AA96" i="25" s="1"/>
  <c r="Y96" i="25"/>
  <c r="Q69" i="25"/>
  <c r="AA69" i="25" s="1"/>
  <c r="Y69" i="25"/>
  <c r="Q87" i="25"/>
  <c r="AA87" i="25" s="1"/>
  <c r="Y87" i="25"/>
  <c r="U69" i="25"/>
  <c r="M69" i="25"/>
  <c r="W69" i="25" s="1"/>
  <c r="U70" i="25"/>
  <c r="O97" i="25"/>
  <c r="Q70" i="25"/>
  <c r="AA70" i="25" s="1"/>
  <c r="Y70" i="25"/>
  <c r="O88" i="25"/>
  <c r="M80" i="25"/>
  <c r="W80" i="25" s="1"/>
  <c r="X69" i="25"/>
  <c r="L69" i="25"/>
  <c r="V69" i="25" s="1"/>
  <c r="N79" i="25"/>
  <c r="X78" i="25"/>
  <c r="L78" i="25"/>
  <c r="V78" i="25" s="1"/>
  <c r="N98" i="25"/>
  <c r="N88" i="25"/>
  <c r="X87" i="25"/>
  <c r="L87" i="25"/>
  <c r="V87" i="25" s="1"/>
  <c r="X60" i="25"/>
  <c r="L60" i="25"/>
  <c r="V60" i="25" s="1"/>
  <c r="L97" i="25"/>
  <c r="V97" i="25" s="1"/>
  <c r="X97" i="25"/>
  <c r="N70" i="25"/>
  <c r="J88" i="25"/>
  <c r="J98" i="25"/>
  <c r="P60" i="25"/>
  <c r="Z60" i="25" s="1"/>
  <c r="T60" i="25"/>
  <c r="P87" i="25"/>
  <c r="Z87" i="25" s="1"/>
  <c r="T87" i="25"/>
  <c r="T69" i="25"/>
  <c r="P69" i="25"/>
  <c r="Z69" i="25" s="1"/>
  <c r="J70" i="25"/>
  <c r="P97" i="25"/>
  <c r="Z97" i="25" s="1"/>
  <c r="T97" i="25"/>
  <c r="J79" i="25"/>
  <c r="P78" i="25"/>
  <c r="Z78" i="25" s="1"/>
  <c r="T78" i="25"/>
  <c r="Y34" i="38" l="1"/>
  <c r="Q34" i="38"/>
  <c r="AA34" i="38" s="1"/>
  <c r="Y35" i="38"/>
  <c r="Q35" i="38"/>
  <c r="AA35" i="38" s="1"/>
  <c r="Y73" i="38"/>
  <c r="Q73" i="38"/>
  <c r="AA73" i="38" s="1"/>
  <c r="Y57" i="38"/>
  <c r="Q57" i="38"/>
  <c r="AA57" i="38" s="1"/>
  <c r="M105" i="38"/>
  <c r="W105" i="38" s="1"/>
  <c r="U105" i="38"/>
  <c r="K41" i="38"/>
  <c r="U89" i="38"/>
  <c r="M89" i="38"/>
  <c r="W89" i="38" s="1"/>
  <c r="O138" i="38"/>
  <c r="K122" i="38"/>
  <c r="U57" i="38"/>
  <c r="M57" i="38"/>
  <c r="W57" i="38" s="1"/>
  <c r="M40" i="38"/>
  <c r="W40" i="38" s="1"/>
  <c r="U40" i="38"/>
  <c r="K58" i="38"/>
  <c r="M73" i="38"/>
  <c r="W73" i="38" s="1"/>
  <c r="U73" i="38"/>
  <c r="Q105" i="38"/>
  <c r="AA105" i="38" s="1"/>
  <c r="Y105" i="38"/>
  <c r="K170" i="38"/>
  <c r="K154" i="38"/>
  <c r="Y121" i="38"/>
  <c r="Q121" i="38"/>
  <c r="AA121" i="38" s="1"/>
  <c r="K90" i="38"/>
  <c r="M121" i="38"/>
  <c r="W121" i="38" s="1"/>
  <c r="U121" i="38"/>
  <c r="K74" i="38"/>
  <c r="O106" i="38"/>
  <c r="M169" i="38"/>
  <c r="W169" i="38" s="1"/>
  <c r="U169" i="38"/>
  <c r="M153" i="38"/>
  <c r="W153" i="38" s="1"/>
  <c r="U153" i="38"/>
  <c r="O122" i="38"/>
  <c r="O74" i="38"/>
  <c r="O42" i="38"/>
  <c r="Y169" i="38"/>
  <c r="Q169" i="38"/>
  <c r="AA169" i="38" s="1"/>
  <c r="O90" i="38"/>
  <c r="Y153" i="38"/>
  <c r="Q153" i="38"/>
  <c r="AA153" i="38" s="1"/>
  <c r="U137" i="38"/>
  <c r="M137" i="38"/>
  <c r="W137" i="38" s="1"/>
  <c r="O58" i="38"/>
  <c r="K106" i="38"/>
  <c r="Y137" i="38"/>
  <c r="Q137" i="38"/>
  <c r="AA137" i="38" s="1"/>
  <c r="Q41" i="38"/>
  <c r="AA41" i="38" s="1"/>
  <c r="Y41" i="38"/>
  <c r="O170" i="38"/>
  <c r="Q89" i="38"/>
  <c r="AA89" i="38" s="1"/>
  <c r="Y89" i="38"/>
  <c r="O154" i="38"/>
  <c r="K138" i="38"/>
  <c r="E171" i="28"/>
  <c r="K171" i="28" s="1"/>
  <c r="K170" i="28"/>
  <c r="M169" i="28"/>
  <c r="W169" i="28" s="1"/>
  <c r="U169" i="28"/>
  <c r="G171" i="28"/>
  <c r="O171" i="28" s="1"/>
  <c r="O170" i="28"/>
  <c r="Q169" i="28"/>
  <c r="AA169" i="28" s="1"/>
  <c r="Y169" i="28"/>
  <c r="Q53" i="28"/>
  <c r="AA53" i="28" s="1"/>
  <c r="Y53" i="28"/>
  <c r="O54" i="28"/>
  <c r="G55" i="28"/>
  <c r="M53" i="28"/>
  <c r="W53" i="28" s="1"/>
  <c r="U53" i="28"/>
  <c r="E55" i="28"/>
  <c r="K54" i="28"/>
  <c r="Q140" i="28"/>
  <c r="AA140" i="28" s="1"/>
  <c r="Y140" i="28"/>
  <c r="O141" i="28"/>
  <c r="K141" i="28"/>
  <c r="M140" i="28"/>
  <c r="W140" i="28" s="1"/>
  <c r="U140" i="28"/>
  <c r="Q111" i="28"/>
  <c r="AA111" i="28" s="1"/>
  <c r="Y111" i="28"/>
  <c r="O112" i="28"/>
  <c r="M111" i="28"/>
  <c r="W111" i="28" s="1"/>
  <c r="U111" i="28"/>
  <c r="K112" i="28"/>
  <c r="M82" i="28"/>
  <c r="W82" i="28" s="1"/>
  <c r="U82" i="28"/>
  <c r="K83" i="28"/>
  <c r="Q82" i="28"/>
  <c r="AA82" i="28" s="1"/>
  <c r="Y82" i="28"/>
  <c r="O83" i="28"/>
  <c r="E218" i="27"/>
  <c r="K218" i="27" s="1"/>
  <c r="K217" i="27"/>
  <c r="M216" i="27"/>
  <c r="W216" i="27" s="1"/>
  <c r="U216" i="27"/>
  <c r="G218" i="27"/>
  <c r="O218" i="27" s="1"/>
  <c r="O217" i="27"/>
  <c r="Q216" i="27"/>
  <c r="AA216" i="27" s="1"/>
  <c r="Y216" i="27"/>
  <c r="Q176" i="27"/>
  <c r="AA176" i="27" s="1"/>
  <c r="Y176" i="27"/>
  <c r="O102" i="27"/>
  <c r="Q146" i="27"/>
  <c r="AA146" i="27" s="1"/>
  <c r="Y146" i="27"/>
  <c r="O177" i="27"/>
  <c r="O147" i="27"/>
  <c r="Q86" i="27"/>
  <c r="AA86" i="27" s="1"/>
  <c r="Y86" i="27"/>
  <c r="Q131" i="27"/>
  <c r="AA131" i="27" s="1"/>
  <c r="Y131" i="27"/>
  <c r="O87" i="27"/>
  <c r="O132" i="27"/>
  <c r="O117" i="27"/>
  <c r="Q116" i="27"/>
  <c r="AA116" i="27" s="1"/>
  <c r="Y116" i="27"/>
  <c r="Q101" i="27"/>
  <c r="AA101" i="27" s="1"/>
  <c r="Y101" i="27"/>
  <c r="Y161" i="27"/>
  <c r="Q161" i="27"/>
  <c r="AA161" i="27" s="1"/>
  <c r="Y191" i="27"/>
  <c r="Q191" i="27"/>
  <c r="AA191" i="27" s="1"/>
  <c r="O162" i="27"/>
  <c r="O192" i="27"/>
  <c r="M86" i="27"/>
  <c r="W86" i="27" s="1"/>
  <c r="U86" i="27"/>
  <c r="M161" i="27"/>
  <c r="W161" i="27" s="1"/>
  <c r="U161" i="27"/>
  <c r="K147" i="27"/>
  <c r="M101" i="27"/>
  <c r="W101" i="27" s="1"/>
  <c r="U101" i="27"/>
  <c r="K162" i="27"/>
  <c r="U146" i="27"/>
  <c r="M146" i="27"/>
  <c r="W146" i="27" s="1"/>
  <c r="K102" i="27"/>
  <c r="K192" i="27"/>
  <c r="M191" i="27"/>
  <c r="W191" i="27" s="1"/>
  <c r="U191" i="27"/>
  <c r="K87" i="27"/>
  <c r="K117" i="27"/>
  <c r="K177" i="27"/>
  <c r="K132" i="27"/>
  <c r="M131" i="27"/>
  <c r="W131" i="27" s="1"/>
  <c r="U131" i="27"/>
  <c r="M116" i="27"/>
  <c r="W116" i="27" s="1"/>
  <c r="U116" i="27"/>
  <c r="M176" i="27"/>
  <c r="W176" i="27" s="1"/>
  <c r="U176" i="27"/>
  <c r="Q70" i="27"/>
  <c r="AA70" i="27" s="1"/>
  <c r="Y70" i="27"/>
  <c r="O71" i="27"/>
  <c r="K71" i="27"/>
  <c r="M70" i="27"/>
  <c r="W70" i="27" s="1"/>
  <c r="U70" i="27"/>
  <c r="K58" i="27"/>
  <c r="K57" i="27"/>
  <c r="M56" i="27"/>
  <c r="W56" i="27" s="1"/>
  <c r="U56" i="27"/>
  <c r="O58" i="27"/>
  <c r="O57" i="27"/>
  <c r="Q56" i="27"/>
  <c r="AA56" i="27" s="1"/>
  <c r="Y56" i="27"/>
  <c r="G42" i="27"/>
  <c r="O42" i="27" s="1"/>
  <c r="O41" i="27"/>
  <c r="Q40" i="27"/>
  <c r="AA40" i="27" s="1"/>
  <c r="Y40" i="27"/>
  <c r="E42" i="27"/>
  <c r="K42" i="27" s="1"/>
  <c r="K41" i="27"/>
  <c r="U40" i="27"/>
  <c r="M40" i="27"/>
  <c r="W40" i="27" s="1"/>
  <c r="Q69" i="24"/>
  <c r="AA69" i="24" s="1"/>
  <c r="Y69" i="24"/>
  <c r="Q70" i="24"/>
  <c r="AA70" i="24" s="1"/>
  <c r="Y70" i="24"/>
  <c r="M69" i="24"/>
  <c r="W69" i="24" s="1"/>
  <c r="U69" i="24"/>
  <c r="M70" i="24"/>
  <c r="W70" i="24" s="1"/>
  <c r="U70" i="24"/>
  <c r="Q54" i="24"/>
  <c r="AA54" i="24" s="1"/>
  <c r="Y54" i="24"/>
  <c r="Q55" i="24"/>
  <c r="AA55" i="24" s="1"/>
  <c r="Y55" i="24"/>
  <c r="M40" i="24"/>
  <c r="W40" i="24" s="1"/>
  <c r="U40" i="24"/>
  <c r="U39" i="24"/>
  <c r="M39" i="24"/>
  <c r="W39" i="24" s="1"/>
  <c r="E184" i="23"/>
  <c r="K183" i="23"/>
  <c r="M182" i="23"/>
  <c r="W182" i="23" s="1"/>
  <c r="U182" i="23"/>
  <c r="Q182" i="23"/>
  <c r="AA182" i="23" s="1"/>
  <c r="Y182" i="23"/>
  <c r="G184" i="23"/>
  <c r="O183" i="23"/>
  <c r="M159" i="23"/>
  <c r="W159" i="23" s="1"/>
  <c r="U159" i="23"/>
  <c r="E161" i="23"/>
  <c r="K160" i="23"/>
  <c r="O160" i="23"/>
  <c r="G161" i="23"/>
  <c r="Q159" i="23"/>
  <c r="AA159" i="23" s="1"/>
  <c r="Y159" i="23"/>
  <c r="Q93" i="23"/>
  <c r="AA93" i="23" s="1"/>
  <c r="Y93" i="23"/>
  <c r="Q94" i="23"/>
  <c r="AA94" i="23" s="1"/>
  <c r="Y94" i="23"/>
  <c r="M94" i="23"/>
  <c r="W94" i="23" s="1"/>
  <c r="U94" i="23"/>
  <c r="M93" i="23"/>
  <c r="W93" i="23" s="1"/>
  <c r="U93" i="23"/>
  <c r="E72" i="23"/>
  <c r="K71" i="23"/>
  <c r="Q70" i="23"/>
  <c r="AA70" i="23" s="1"/>
  <c r="Y70" i="23"/>
  <c r="G72" i="23"/>
  <c r="O71" i="23"/>
  <c r="M70" i="23"/>
  <c r="W70" i="23" s="1"/>
  <c r="U70" i="23"/>
  <c r="M53" i="23"/>
  <c r="W53" i="23" s="1"/>
  <c r="U53" i="23"/>
  <c r="E55" i="23"/>
  <c r="K54" i="23"/>
  <c r="Q54" i="23"/>
  <c r="AA54" i="23" s="1"/>
  <c r="Y54" i="23"/>
  <c r="G56" i="23"/>
  <c r="O56" i="23" s="1"/>
  <c r="O55" i="23"/>
  <c r="Q159" i="22"/>
  <c r="AA159" i="22" s="1"/>
  <c r="Y159" i="22"/>
  <c r="G161" i="22"/>
  <c r="O160" i="22"/>
  <c r="E165" i="22"/>
  <c r="K165" i="22" s="1"/>
  <c r="K164" i="22"/>
  <c r="M163" i="22"/>
  <c r="W163" i="22" s="1"/>
  <c r="U163" i="22"/>
  <c r="Q116" i="22"/>
  <c r="AA116" i="22" s="1"/>
  <c r="Y116" i="22"/>
  <c r="O117" i="22"/>
  <c r="M116" i="22"/>
  <c r="W116" i="22" s="1"/>
  <c r="U116" i="22"/>
  <c r="K117" i="22"/>
  <c r="O94" i="22"/>
  <c r="K94" i="22"/>
  <c r="Q93" i="22"/>
  <c r="AA93" i="22" s="1"/>
  <c r="Y93" i="22"/>
  <c r="M93" i="22"/>
  <c r="W93" i="22" s="1"/>
  <c r="U93" i="22"/>
  <c r="Y70" i="22"/>
  <c r="Q70" i="22"/>
  <c r="AA70" i="22" s="1"/>
  <c r="O71" i="22"/>
  <c r="M70" i="22"/>
  <c r="W70" i="22" s="1"/>
  <c r="U70" i="22"/>
  <c r="K71" i="22"/>
  <c r="Q47" i="22"/>
  <c r="AA47" i="22" s="1"/>
  <c r="Y47" i="22"/>
  <c r="G49" i="22"/>
  <c r="O48" i="22"/>
  <c r="E51" i="22"/>
  <c r="K50" i="22"/>
  <c r="M49" i="22"/>
  <c r="W49" i="22" s="1"/>
  <c r="U49" i="22"/>
  <c r="M48" i="21"/>
  <c r="W48" i="21" s="1"/>
  <c r="U48" i="21"/>
  <c r="E50" i="21"/>
  <c r="K49" i="21"/>
  <c r="U36" i="21"/>
  <c r="M36" i="21"/>
  <c r="W36" i="21" s="1"/>
  <c r="U37" i="21"/>
  <c r="M37" i="21"/>
  <c r="W37" i="21" s="1"/>
  <c r="Q49" i="21"/>
  <c r="AA49" i="21" s="1"/>
  <c r="Y49" i="21"/>
  <c r="G51" i="21"/>
  <c r="O51" i="21" s="1"/>
  <c r="O50" i="21"/>
  <c r="U167" i="21"/>
  <c r="M167" i="21"/>
  <c r="W167" i="21" s="1"/>
  <c r="K168" i="21"/>
  <c r="O112" i="21"/>
  <c r="Y75" i="21"/>
  <c r="Q75" i="21"/>
  <c r="AA75" i="21" s="1"/>
  <c r="Q87" i="21"/>
  <c r="AA87" i="21" s="1"/>
  <c r="Y87" i="21"/>
  <c r="O76" i="21"/>
  <c r="O88" i="21"/>
  <c r="Q63" i="21"/>
  <c r="AA63" i="21" s="1"/>
  <c r="Y63" i="21"/>
  <c r="Q99" i="21"/>
  <c r="AA99" i="21" s="1"/>
  <c r="Y99" i="21"/>
  <c r="Y123" i="21"/>
  <c r="Q123" i="21"/>
  <c r="AA123" i="21" s="1"/>
  <c r="O65" i="21"/>
  <c r="O64" i="21"/>
  <c r="O100" i="21"/>
  <c r="O136" i="21"/>
  <c r="Q111" i="21"/>
  <c r="AA111" i="21" s="1"/>
  <c r="Y111" i="21"/>
  <c r="O124" i="21"/>
  <c r="K79" i="21"/>
  <c r="K78" i="21"/>
  <c r="M77" i="21"/>
  <c r="W77" i="21" s="1"/>
  <c r="U77" i="21"/>
  <c r="M130" i="21"/>
  <c r="W130" i="21" s="1"/>
  <c r="U130" i="21"/>
  <c r="K131" i="21"/>
  <c r="K118" i="21"/>
  <c r="U104" i="21"/>
  <c r="M104" i="21"/>
  <c r="W104" i="21" s="1"/>
  <c r="K93" i="21"/>
  <c r="K92" i="21"/>
  <c r="U117" i="21"/>
  <c r="M117" i="21"/>
  <c r="W117" i="21" s="1"/>
  <c r="K105" i="21"/>
  <c r="K157" i="21"/>
  <c r="K144" i="21"/>
  <c r="M91" i="21"/>
  <c r="W91" i="21" s="1"/>
  <c r="U91" i="21"/>
  <c r="U156" i="21"/>
  <c r="M156" i="21"/>
  <c r="W156" i="21" s="1"/>
  <c r="M143" i="21"/>
  <c r="W143" i="21" s="1"/>
  <c r="U143" i="21"/>
  <c r="U74" i="18"/>
  <c r="M74" i="18"/>
  <c r="W74" i="18" s="1"/>
  <c r="E166" i="18"/>
  <c r="K165" i="18"/>
  <c r="K75" i="18"/>
  <c r="E76" i="18"/>
  <c r="M164" i="18"/>
  <c r="W164" i="18" s="1"/>
  <c r="U164" i="18"/>
  <c r="Q146" i="18"/>
  <c r="AA146" i="18" s="1"/>
  <c r="Y146" i="18"/>
  <c r="G148" i="18"/>
  <c r="O147" i="18"/>
  <c r="U145" i="18"/>
  <c r="M145" i="18"/>
  <c r="W145" i="18" s="1"/>
  <c r="E147" i="18"/>
  <c r="K146" i="18"/>
  <c r="Q122" i="18"/>
  <c r="AA122" i="18" s="1"/>
  <c r="Y122" i="18"/>
  <c r="O123" i="18"/>
  <c r="M122" i="18"/>
  <c r="W122" i="18" s="1"/>
  <c r="U122" i="18"/>
  <c r="K123" i="18"/>
  <c r="O99" i="18"/>
  <c r="Q98" i="18"/>
  <c r="AA98" i="18" s="1"/>
  <c r="Y98" i="18"/>
  <c r="K99" i="18"/>
  <c r="M98" i="18"/>
  <c r="W98" i="18" s="1"/>
  <c r="U98" i="18"/>
  <c r="Q81" i="18"/>
  <c r="AA81" i="18" s="1"/>
  <c r="Y81" i="18"/>
  <c r="O82" i="18"/>
  <c r="G83" i="18"/>
  <c r="M51" i="18"/>
  <c r="W51" i="18" s="1"/>
  <c r="U51" i="18"/>
  <c r="E53" i="18"/>
  <c r="K52" i="18"/>
  <c r="Q51" i="18"/>
  <c r="AA51" i="18" s="1"/>
  <c r="Y51" i="18"/>
  <c r="G53" i="18"/>
  <c r="O52" i="18"/>
  <c r="G42" i="1"/>
  <c r="O41" i="1"/>
  <c r="Q40" i="1"/>
  <c r="AA40" i="1" s="1"/>
  <c r="Y40" i="1"/>
  <c r="Y57" i="1"/>
  <c r="Q57" i="1"/>
  <c r="AA57" i="1" s="1"/>
  <c r="O58" i="1"/>
  <c r="U57" i="1"/>
  <c r="M57" i="1"/>
  <c r="W57" i="1" s="1"/>
  <c r="K58" i="1"/>
  <c r="M170" i="1"/>
  <c r="W170" i="1" s="1"/>
  <c r="U170" i="1"/>
  <c r="M138" i="1"/>
  <c r="W138" i="1" s="1"/>
  <c r="U138" i="1"/>
  <c r="Q170" i="1"/>
  <c r="AA170" i="1" s="1"/>
  <c r="Y170" i="1"/>
  <c r="O123" i="1"/>
  <c r="K171" i="1"/>
  <c r="K139" i="1"/>
  <c r="O171" i="1"/>
  <c r="Q138" i="1"/>
  <c r="AA138" i="1" s="1"/>
  <c r="Y138" i="1"/>
  <c r="O139" i="1"/>
  <c r="K123" i="1"/>
  <c r="K187" i="1"/>
  <c r="K107" i="1"/>
  <c r="U186" i="1"/>
  <c r="M186" i="1"/>
  <c r="W186" i="1" s="1"/>
  <c r="Y106" i="1"/>
  <c r="Q106" i="1"/>
  <c r="AA106" i="1" s="1"/>
  <c r="Q186" i="1"/>
  <c r="AA186" i="1" s="1"/>
  <c r="Y186" i="1"/>
  <c r="M90" i="1"/>
  <c r="W90" i="1" s="1"/>
  <c r="U90" i="1"/>
  <c r="Y154" i="1"/>
  <c r="Q154" i="1"/>
  <c r="AA154" i="1" s="1"/>
  <c r="Y122" i="1"/>
  <c r="Q122" i="1"/>
  <c r="AA122" i="1" s="1"/>
  <c r="M122" i="1"/>
  <c r="W122" i="1" s="1"/>
  <c r="U122" i="1"/>
  <c r="M106" i="1"/>
  <c r="W106" i="1" s="1"/>
  <c r="U106" i="1"/>
  <c r="O107" i="1"/>
  <c r="O187" i="1"/>
  <c r="K91" i="1"/>
  <c r="O155" i="1"/>
  <c r="Q74" i="1"/>
  <c r="AA74" i="1" s="1"/>
  <c r="Y74" i="1"/>
  <c r="M74" i="1"/>
  <c r="W74" i="1" s="1"/>
  <c r="U74" i="1"/>
  <c r="U154" i="1"/>
  <c r="M154" i="1"/>
  <c r="W154" i="1" s="1"/>
  <c r="Y90" i="1"/>
  <c r="Q90" i="1"/>
  <c r="AA90" i="1" s="1"/>
  <c r="O75" i="1"/>
  <c r="K75" i="1"/>
  <c r="K155" i="1"/>
  <c r="O91" i="1"/>
  <c r="M212" i="1"/>
  <c r="W212" i="1" s="1"/>
  <c r="U212" i="1"/>
  <c r="Q212" i="1"/>
  <c r="AA212" i="1" s="1"/>
  <c r="Y212" i="1"/>
  <c r="M44" i="1"/>
  <c r="W44" i="1" s="1"/>
  <c r="U44" i="1"/>
  <c r="M43" i="1"/>
  <c r="W43" i="1" s="1"/>
  <c r="U43" i="1"/>
  <c r="Q71" i="29"/>
  <c r="AA71" i="29" s="1"/>
  <c r="Y71" i="29"/>
  <c r="G73" i="29"/>
  <c r="O72" i="29"/>
  <c r="E73" i="29"/>
  <c r="K72" i="29"/>
  <c r="M71" i="29"/>
  <c r="W71" i="29" s="1"/>
  <c r="U71" i="29"/>
  <c r="Q50" i="29"/>
  <c r="AA50" i="29" s="1"/>
  <c r="Y50" i="29"/>
  <c r="G52" i="29"/>
  <c r="O51" i="29"/>
  <c r="M50" i="29"/>
  <c r="W50" i="29" s="1"/>
  <c r="U50" i="29"/>
  <c r="E52" i="29"/>
  <c r="K51" i="29"/>
  <c r="E171" i="19"/>
  <c r="K171" i="19" s="1"/>
  <c r="K170" i="19"/>
  <c r="Q168" i="19"/>
  <c r="AA168" i="19" s="1"/>
  <c r="Y168" i="19"/>
  <c r="M169" i="19"/>
  <c r="W169" i="19" s="1"/>
  <c r="U169" i="19"/>
  <c r="G170" i="19"/>
  <c r="O169" i="19"/>
  <c r="Q136" i="19"/>
  <c r="AA136" i="19" s="1"/>
  <c r="Y136" i="19"/>
  <c r="G138" i="19"/>
  <c r="O137" i="19"/>
  <c r="M136" i="19"/>
  <c r="W136" i="19" s="1"/>
  <c r="U136" i="19"/>
  <c r="K137" i="19"/>
  <c r="E138" i="19"/>
  <c r="Q112" i="19"/>
  <c r="AA112" i="19" s="1"/>
  <c r="Y112" i="19"/>
  <c r="G114" i="19"/>
  <c r="O113" i="19"/>
  <c r="M112" i="19"/>
  <c r="W112" i="19" s="1"/>
  <c r="U112" i="19"/>
  <c r="K113" i="19"/>
  <c r="E114" i="19"/>
  <c r="O39" i="19"/>
  <c r="O38" i="19"/>
  <c r="Q37" i="19"/>
  <c r="AA37" i="19" s="1"/>
  <c r="Y37" i="19"/>
  <c r="Q88" i="25"/>
  <c r="AA88" i="25" s="1"/>
  <c r="Y88" i="25"/>
  <c r="Q80" i="25"/>
  <c r="AA80" i="25" s="1"/>
  <c r="Y80" i="25"/>
  <c r="K98" i="25"/>
  <c r="U79" i="25"/>
  <c r="M79" i="25"/>
  <c r="W79" i="25" s="1"/>
  <c r="U88" i="25"/>
  <c r="M88" i="25"/>
  <c r="W88" i="25" s="1"/>
  <c r="K90" i="25"/>
  <c r="K89" i="25"/>
  <c r="M97" i="25"/>
  <c r="W97" i="25" s="1"/>
  <c r="U97" i="25"/>
  <c r="O90" i="25"/>
  <c r="O89" i="25"/>
  <c r="Y97" i="25"/>
  <c r="Q97" i="25"/>
  <c r="AA97" i="25" s="1"/>
  <c r="Q79" i="25"/>
  <c r="AA79" i="25" s="1"/>
  <c r="Y79" i="25"/>
  <c r="O98" i="25"/>
  <c r="M90" i="25"/>
  <c r="W90" i="25" s="1"/>
  <c r="U90" i="25"/>
  <c r="N80" i="25"/>
  <c r="X79" i="25"/>
  <c r="L79" i="25"/>
  <c r="V79" i="25" s="1"/>
  <c r="X70" i="25"/>
  <c r="L70" i="25"/>
  <c r="V70" i="25" s="1"/>
  <c r="X88" i="25"/>
  <c r="L88" i="25"/>
  <c r="V88" i="25" s="1"/>
  <c r="L98" i="25"/>
  <c r="V98" i="25" s="1"/>
  <c r="X98" i="25"/>
  <c r="N99" i="25"/>
  <c r="N89" i="25"/>
  <c r="P79" i="25"/>
  <c r="Z79" i="25" s="1"/>
  <c r="T79" i="25"/>
  <c r="J99" i="25"/>
  <c r="J89" i="25"/>
  <c r="P70" i="25"/>
  <c r="Z70" i="25" s="1"/>
  <c r="T70" i="25"/>
  <c r="T88" i="25"/>
  <c r="P88" i="25"/>
  <c r="Z88" i="25" s="1"/>
  <c r="J80" i="25"/>
  <c r="P98" i="25"/>
  <c r="Z98" i="25" s="1"/>
  <c r="T98" i="25"/>
  <c r="Q122" i="38" l="1"/>
  <c r="AA122" i="38" s="1"/>
  <c r="Y122" i="38"/>
  <c r="K42" i="38"/>
  <c r="Y154" i="38"/>
  <c r="Q154" i="38"/>
  <c r="AA154" i="38" s="1"/>
  <c r="O107" i="38"/>
  <c r="K91" i="38"/>
  <c r="K171" i="38"/>
  <c r="U58" i="38"/>
  <c r="M58" i="38"/>
  <c r="W58" i="38" s="1"/>
  <c r="Q138" i="38"/>
  <c r="AA138" i="38" s="1"/>
  <c r="Y138" i="38"/>
  <c r="O155" i="38"/>
  <c r="Q106" i="38"/>
  <c r="AA106" i="38" s="1"/>
  <c r="Y106" i="38"/>
  <c r="U90" i="38"/>
  <c r="M90" i="38"/>
  <c r="W90" i="38" s="1"/>
  <c r="M170" i="38"/>
  <c r="W170" i="38" s="1"/>
  <c r="U170" i="38"/>
  <c r="K59" i="38"/>
  <c r="O139" i="38"/>
  <c r="K139" i="38"/>
  <c r="O43" i="38"/>
  <c r="O44" i="38"/>
  <c r="Q42" i="38"/>
  <c r="AA42" i="38" s="1"/>
  <c r="Y42" i="38"/>
  <c r="K75" i="38"/>
  <c r="M138" i="38"/>
  <c r="W138" i="38" s="1"/>
  <c r="U138" i="38"/>
  <c r="Y58" i="38"/>
  <c r="Q58" i="38"/>
  <c r="AA58" i="38" s="1"/>
  <c r="O123" i="38"/>
  <c r="U122" i="38"/>
  <c r="M122" i="38"/>
  <c r="W122" i="38" s="1"/>
  <c r="O59" i="38"/>
  <c r="K123" i="38"/>
  <c r="O171" i="38"/>
  <c r="K107" i="38"/>
  <c r="Q90" i="38"/>
  <c r="AA90" i="38" s="1"/>
  <c r="Y90" i="38"/>
  <c r="O75" i="38"/>
  <c r="U154" i="38"/>
  <c r="M154" i="38"/>
  <c r="W154" i="38" s="1"/>
  <c r="M41" i="38"/>
  <c r="W41" i="38" s="1"/>
  <c r="U41" i="38"/>
  <c r="U74" i="38"/>
  <c r="M74" i="38"/>
  <c r="W74" i="38" s="1"/>
  <c r="Y170" i="38"/>
  <c r="Q170" i="38"/>
  <c r="AA170" i="38" s="1"/>
  <c r="U106" i="38"/>
  <c r="M106" i="38"/>
  <c r="W106" i="38" s="1"/>
  <c r="O91" i="38"/>
  <c r="Q74" i="38"/>
  <c r="AA74" i="38" s="1"/>
  <c r="Y74" i="38"/>
  <c r="K155" i="38"/>
  <c r="Q170" i="28"/>
  <c r="AA170" i="28" s="1"/>
  <c r="Y170" i="28"/>
  <c r="Q171" i="28"/>
  <c r="AA171" i="28" s="1"/>
  <c r="Y171" i="28"/>
  <c r="M170" i="28"/>
  <c r="W170" i="28" s="1"/>
  <c r="U170" i="28"/>
  <c r="M171" i="28"/>
  <c r="W171" i="28" s="1"/>
  <c r="U171" i="28"/>
  <c r="G56" i="28"/>
  <c r="O55" i="28"/>
  <c r="Q54" i="28"/>
  <c r="AA54" i="28" s="1"/>
  <c r="Y54" i="28"/>
  <c r="M54" i="28"/>
  <c r="W54" i="28" s="1"/>
  <c r="U54" i="28"/>
  <c r="K55" i="28"/>
  <c r="E56" i="28"/>
  <c r="K142" i="28"/>
  <c r="M141" i="28"/>
  <c r="W141" i="28" s="1"/>
  <c r="U141" i="28"/>
  <c r="O142" i="28"/>
  <c r="Q141" i="28"/>
  <c r="AA141" i="28" s="1"/>
  <c r="Y141" i="28"/>
  <c r="K113" i="28"/>
  <c r="M112" i="28"/>
  <c r="W112" i="28" s="1"/>
  <c r="U112" i="28"/>
  <c r="Q112" i="28"/>
  <c r="AA112" i="28" s="1"/>
  <c r="Y112" i="28"/>
  <c r="O113" i="28"/>
  <c r="O84" i="28"/>
  <c r="K84" i="28"/>
  <c r="Q83" i="28"/>
  <c r="AA83" i="28" s="1"/>
  <c r="Y83" i="28"/>
  <c r="M83" i="28"/>
  <c r="W83" i="28" s="1"/>
  <c r="U83" i="28"/>
  <c r="Q217" i="27"/>
  <c r="AA217" i="27" s="1"/>
  <c r="Y217" i="27"/>
  <c r="Q218" i="27"/>
  <c r="AA218" i="27" s="1"/>
  <c r="Y218" i="27"/>
  <c r="M217" i="27"/>
  <c r="W217" i="27" s="1"/>
  <c r="U217" i="27"/>
  <c r="M218" i="27"/>
  <c r="W218" i="27" s="1"/>
  <c r="U218" i="27"/>
  <c r="Q177" i="27"/>
  <c r="AA177" i="27" s="1"/>
  <c r="Y177" i="27"/>
  <c r="Q192" i="27"/>
  <c r="AA192" i="27" s="1"/>
  <c r="Y192" i="27"/>
  <c r="Q87" i="27"/>
  <c r="AA87" i="27" s="1"/>
  <c r="Y87" i="27"/>
  <c r="O178" i="27"/>
  <c r="O88" i="27"/>
  <c r="Y162" i="27"/>
  <c r="Q162" i="27"/>
  <c r="AA162" i="27" s="1"/>
  <c r="O163" i="27"/>
  <c r="O193" i="27"/>
  <c r="O118" i="27"/>
  <c r="O103" i="27"/>
  <c r="Q117" i="27"/>
  <c r="AA117" i="27" s="1"/>
  <c r="Y117" i="27"/>
  <c r="Q102" i="27"/>
  <c r="AA102" i="27" s="1"/>
  <c r="Y102" i="27"/>
  <c r="Q132" i="27"/>
  <c r="AA132" i="27" s="1"/>
  <c r="Y132" i="27"/>
  <c r="Q147" i="27"/>
  <c r="AA147" i="27" s="1"/>
  <c r="Y147" i="27"/>
  <c r="O133" i="27"/>
  <c r="O148" i="27"/>
  <c r="M162" i="27"/>
  <c r="W162" i="27" s="1"/>
  <c r="U162" i="27"/>
  <c r="K178" i="27"/>
  <c r="K193" i="27"/>
  <c r="M177" i="27"/>
  <c r="W177" i="27" s="1"/>
  <c r="U177" i="27"/>
  <c r="U192" i="27"/>
  <c r="M192" i="27"/>
  <c r="W192" i="27" s="1"/>
  <c r="M147" i="27"/>
  <c r="W147" i="27" s="1"/>
  <c r="U147" i="27"/>
  <c r="M117" i="27"/>
  <c r="W117" i="27" s="1"/>
  <c r="U117" i="27"/>
  <c r="M102" i="27"/>
  <c r="W102" i="27" s="1"/>
  <c r="U102" i="27"/>
  <c r="K148" i="27"/>
  <c r="M132" i="27"/>
  <c r="W132" i="27" s="1"/>
  <c r="U132" i="27"/>
  <c r="K103" i="27"/>
  <c r="U87" i="27"/>
  <c r="M87" i="27"/>
  <c r="W87" i="27" s="1"/>
  <c r="K118" i="27"/>
  <c r="K88" i="27"/>
  <c r="K133" i="27"/>
  <c r="K163" i="27"/>
  <c r="M71" i="27"/>
  <c r="W71" i="27" s="1"/>
  <c r="U71" i="27"/>
  <c r="K72" i="27"/>
  <c r="Y71" i="27"/>
  <c r="Q71" i="27"/>
  <c r="AA71" i="27" s="1"/>
  <c r="O72" i="27"/>
  <c r="Q57" i="27"/>
  <c r="AA57" i="27" s="1"/>
  <c r="Y57" i="27"/>
  <c r="Q58" i="27"/>
  <c r="AA58" i="27" s="1"/>
  <c r="Y58" i="27"/>
  <c r="M57" i="27"/>
  <c r="W57" i="27" s="1"/>
  <c r="U57" i="27"/>
  <c r="M58" i="27"/>
  <c r="W58" i="27" s="1"/>
  <c r="U58" i="27"/>
  <c r="Q41" i="27"/>
  <c r="AA41" i="27" s="1"/>
  <c r="Y41" i="27"/>
  <c r="Q42" i="27"/>
  <c r="AA42" i="27" s="1"/>
  <c r="Y42" i="27"/>
  <c r="M41" i="27"/>
  <c r="W41" i="27" s="1"/>
  <c r="U41" i="27"/>
  <c r="U42" i="27"/>
  <c r="M42" i="27"/>
  <c r="W42" i="27" s="1"/>
  <c r="G185" i="23"/>
  <c r="O184" i="23"/>
  <c r="Q183" i="23"/>
  <c r="AA183" i="23" s="1"/>
  <c r="Y183" i="23"/>
  <c r="M183" i="23"/>
  <c r="W183" i="23" s="1"/>
  <c r="U183" i="23"/>
  <c r="E185" i="23"/>
  <c r="K184" i="23"/>
  <c r="G162" i="23"/>
  <c r="O161" i="23"/>
  <c r="Q160" i="23"/>
  <c r="AA160" i="23" s="1"/>
  <c r="Y160" i="23"/>
  <c r="M160" i="23"/>
  <c r="W160" i="23" s="1"/>
  <c r="U160" i="23"/>
  <c r="E162" i="23"/>
  <c r="K161" i="23"/>
  <c r="G73" i="23"/>
  <c r="O72" i="23"/>
  <c r="M71" i="23"/>
  <c r="W71" i="23" s="1"/>
  <c r="U71" i="23"/>
  <c r="Q71" i="23"/>
  <c r="AA71" i="23" s="1"/>
  <c r="Y71" i="23"/>
  <c r="E73" i="23"/>
  <c r="K72" i="23"/>
  <c r="Q55" i="23"/>
  <c r="AA55" i="23" s="1"/>
  <c r="Y55" i="23"/>
  <c r="Q56" i="23"/>
  <c r="AA56" i="23" s="1"/>
  <c r="Y56" i="23"/>
  <c r="M54" i="23"/>
  <c r="W54" i="23" s="1"/>
  <c r="U54" i="23"/>
  <c r="E56" i="23"/>
  <c r="K56" i="23" s="1"/>
  <c r="K55" i="23"/>
  <c r="Q160" i="22"/>
  <c r="AA160" i="22" s="1"/>
  <c r="Y160" i="22"/>
  <c r="O161" i="22"/>
  <c r="G162" i="22"/>
  <c r="M164" i="22"/>
  <c r="W164" i="22" s="1"/>
  <c r="U164" i="22"/>
  <c r="M165" i="22"/>
  <c r="W165" i="22" s="1"/>
  <c r="U165" i="22"/>
  <c r="M117" i="22"/>
  <c r="W117" i="22" s="1"/>
  <c r="U117" i="22"/>
  <c r="K118" i="22"/>
  <c r="O118" i="22"/>
  <c r="Q117" i="22"/>
  <c r="AA117" i="22" s="1"/>
  <c r="Y117" i="22"/>
  <c r="K95" i="22"/>
  <c r="M94" i="22"/>
  <c r="W94" i="22" s="1"/>
  <c r="U94" i="22"/>
  <c r="O95" i="22"/>
  <c r="Q94" i="22"/>
  <c r="AA94" i="22" s="1"/>
  <c r="Y94" i="22"/>
  <c r="M71" i="22"/>
  <c r="W71" i="22" s="1"/>
  <c r="U71" i="22"/>
  <c r="Q71" i="22"/>
  <c r="AA71" i="22" s="1"/>
  <c r="Y71" i="22"/>
  <c r="O72" i="22"/>
  <c r="K72" i="22"/>
  <c r="G50" i="22"/>
  <c r="O49" i="22"/>
  <c r="Y48" i="22"/>
  <c r="Q48" i="22"/>
  <c r="AA48" i="22" s="1"/>
  <c r="M50" i="22"/>
  <c r="W50" i="22" s="1"/>
  <c r="U50" i="22"/>
  <c r="K51" i="22"/>
  <c r="E52" i="22"/>
  <c r="Q50" i="21"/>
  <c r="AA50" i="21" s="1"/>
  <c r="Y50" i="21"/>
  <c r="M49" i="21"/>
  <c r="W49" i="21" s="1"/>
  <c r="U49" i="21"/>
  <c r="Q51" i="21"/>
  <c r="AA51" i="21" s="1"/>
  <c r="Y51" i="21"/>
  <c r="E51" i="21"/>
  <c r="K51" i="21" s="1"/>
  <c r="K50" i="21"/>
  <c r="M168" i="21"/>
  <c r="W168" i="21" s="1"/>
  <c r="U168" i="21"/>
  <c r="K169" i="21"/>
  <c r="O77" i="21"/>
  <c r="Y136" i="21"/>
  <c r="Q136" i="21"/>
  <c r="AA136" i="21" s="1"/>
  <c r="O137" i="21"/>
  <c r="Q100" i="21"/>
  <c r="AA100" i="21" s="1"/>
  <c r="Y100" i="21"/>
  <c r="Q76" i="21"/>
  <c r="AA76" i="21" s="1"/>
  <c r="Y76" i="21"/>
  <c r="O101" i="21"/>
  <c r="Y124" i="21"/>
  <c r="Q124" i="21"/>
  <c r="AA124" i="21" s="1"/>
  <c r="Y64" i="21"/>
  <c r="Q64" i="21"/>
  <c r="AA64" i="21" s="1"/>
  <c r="Y88" i="21"/>
  <c r="Q88" i="21"/>
  <c r="AA88" i="21" s="1"/>
  <c r="Q112" i="21"/>
  <c r="AA112" i="21" s="1"/>
  <c r="Y112" i="21"/>
  <c r="O125" i="21"/>
  <c r="Q65" i="21"/>
  <c r="AA65" i="21" s="1"/>
  <c r="Y65" i="21"/>
  <c r="O89" i="21"/>
  <c r="O113" i="21"/>
  <c r="M78" i="21"/>
  <c r="W78" i="21" s="1"/>
  <c r="U78" i="21"/>
  <c r="U79" i="21"/>
  <c r="M79" i="21"/>
  <c r="W79" i="21" s="1"/>
  <c r="M144" i="21"/>
  <c r="W144" i="21" s="1"/>
  <c r="U144" i="21"/>
  <c r="M92" i="21"/>
  <c r="W92" i="21" s="1"/>
  <c r="U92" i="21"/>
  <c r="K132" i="21"/>
  <c r="K145" i="21"/>
  <c r="U93" i="21"/>
  <c r="M93" i="21"/>
  <c r="W93" i="21" s="1"/>
  <c r="M131" i="21"/>
  <c r="W131" i="21" s="1"/>
  <c r="U131" i="21"/>
  <c r="K158" i="21"/>
  <c r="M157" i="21"/>
  <c r="W157" i="21" s="1"/>
  <c r="U157" i="21"/>
  <c r="M105" i="21"/>
  <c r="W105" i="21" s="1"/>
  <c r="U105" i="21"/>
  <c r="M118" i="21"/>
  <c r="W118" i="21" s="1"/>
  <c r="U118" i="21"/>
  <c r="K107" i="21"/>
  <c r="K106" i="21"/>
  <c r="K119" i="21"/>
  <c r="K76" i="18"/>
  <c r="E77" i="18"/>
  <c r="M75" i="18"/>
  <c r="W75" i="18" s="1"/>
  <c r="U75" i="18"/>
  <c r="U165" i="18"/>
  <c r="M165" i="18"/>
  <c r="W165" i="18" s="1"/>
  <c r="E167" i="18"/>
  <c r="K166" i="18"/>
  <c r="Q147" i="18"/>
  <c r="AA147" i="18" s="1"/>
  <c r="Y147" i="18"/>
  <c r="G149" i="18"/>
  <c r="O148" i="18"/>
  <c r="M146" i="18"/>
  <c r="W146" i="18" s="1"/>
  <c r="U146" i="18"/>
  <c r="E148" i="18"/>
  <c r="K147" i="18"/>
  <c r="U123" i="18"/>
  <c r="M123" i="18"/>
  <c r="W123" i="18" s="1"/>
  <c r="Q123" i="18"/>
  <c r="AA123" i="18" s="1"/>
  <c r="Y123" i="18"/>
  <c r="O124" i="18"/>
  <c r="K124" i="18"/>
  <c r="K100" i="18"/>
  <c r="M99" i="18"/>
  <c r="W99" i="18" s="1"/>
  <c r="U99" i="18"/>
  <c r="Q99" i="18"/>
  <c r="AA99" i="18" s="1"/>
  <c r="Y99" i="18"/>
  <c r="O100" i="18"/>
  <c r="G84" i="18"/>
  <c r="O84" i="18" s="1"/>
  <c r="O83" i="18"/>
  <c r="Y82" i="18"/>
  <c r="Q82" i="18"/>
  <c r="AA82" i="18" s="1"/>
  <c r="G54" i="18"/>
  <c r="O53" i="18"/>
  <c r="Q52" i="18"/>
  <c r="AA52" i="18" s="1"/>
  <c r="Y52" i="18"/>
  <c r="U52" i="18"/>
  <c r="M52" i="18"/>
  <c r="W52" i="18" s="1"/>
  <c r="K53" i="18"/>
  <c r="E54" i="18"/>
  <c r="Q41" i="1"/>
  <c r="AA41" i="1" s="1"/>
  <c r="Y41" i="1"/>
  <c r="O42" i="1"/>
  <c r="G43" i="1"/>
  <c r="Q58" i="1"/>
  <c r="AA58" i="1" s="1"/>
  <c r="Y58" i="1"/>
  <c r="O59" i="1"/>
  <c r="M58" i="1"/>
  <c r="W58" i="1" s="1"/>
  <c r="U58" i="1"/>
  <c r="K59" i="1"/>
  <c r="Y155" i="1"/>
  <c r="Q155" i="1"/>
  <c r="AA155" i="1" s="1"/>
  <c r="M107" i="1"/>
  <c r="W107" i="1" s="1"/>
  <c r="U107" i="1"/>
  <c r="Q123" i="1"/>
  <c r="AA123" i="1" s="1"/>
  <c r="Y123" i="1"/>
  <c r="O92" i="1"/>
  <c r="O156" i="1"/>
  <c r="K108" i="1"/>
  <c r="O124" i="1"/>
  <c r="M155" i="1"/>
  <c r="W155" i="1" s="1"/>
  <c r="U155" i="1"/>
  <c r="K156" i="1"/>
  <c r="K92" i="1"/>
  <c r="K188" i="1"/>
  <c r="O172" i="1"/>
  <c r="M75" i="1"/>
  <c r="W75" i="1" s="1"/>
  <c r="U75" i="1"/>
  <c r="Q187" i="1"/>
  <c r="AA187" i="1" s="1"/>
  <c r="Y187" i="1"/>
  <c r="U123" i="1"/>
  <c r="M123" i="1"/>
  <c r="W123" i="1" s="1"/>
  <c r="M139" i="1"/>
  <c r="W139" i="1" s="1"/>
  <c r="U139" i="1"/>
  <c r="Q91" i="1"/>
  <c r="AA91" i="1" s="1"/>
  <c r="Y91" i="1"/>
  <c r="Q171" i="1"/>
  <c r="AA171" i="1" s="1"/>
  <c r="Y171" i="1"/>
  <c r="K76" i="1"/>
  <c r="O188" i="1"/>
  <c r="K124" i="1"/>
  <c r="K140" i="1"/>
  <c r="Q75" i="1"/>
  <c r="AA75" i="1" s="1"/>
  <c r="Y75" i="1"/>
  <c r="Y107" i="1"/>
  <c r="Q107" i="1"/>
  <c r="AA107" i="1" s="1"/>
  <c r="Q139" i="1"/>
  <c r="AA139" i="1" s="1"/>
  <c r="Y139" i="1"/>
  <c r="M171" i="1"/>
  <c r="W171" i="1" s="1"/>
  <c r="U171" i="1"/>
  <c r="M91" i="1"/>
  <c r="W91" i="1" s="1"/>
  <c r="U91" i="1"/>
  <c r="M187" i="1"/>
  <c r="W187" i="1" s="1"/>
  <c r="U187" i="1"/>
  <c r="O76" i="1"/>
  <c r="O108" i="1"/>
  <c r="O140" i="1"/>
  <c r="K172" i="1"/>
  <c r="K73" i="29"/>
  <c r="E74" i="29"/>
  <c r="Q72" i="29"/>
  <c r="AA72" i="29" s="1"/>
  <c r="Y72" i="29"/>
  <c r="G74" i="29"/>
  <c r="O73" i="29"/>
  <c r="M72" i="29"/>
  <c r="W72" i="29" s="1"/>
  <c r="U72" i="29"/>
  <c r="M51" i="29"/>
  <c r="W51" i="29" s="1"/>
  <c r="U51" i="29"/>
  <c r="Q51" i="29"/>
  <c r="AA51" i="29" s="1"/>
  <c r="Y51" i="29"/>
  <c r="G53" i="29"/>
  <c r="O52" i="29"/>
  <c r="K52" i="29"/>
  <c r="E53" i="29"/>
  <c r="Q169" i="19"/>
  <c r="AA169" i="19" s="1"/>
  <c r="Y169" i="19"/>
  <c r="M170" i="19"/>
  <c r="W170" i="19" s="1"/>
  <c r="U170" i="19"/>
  <c r="G171" i="19"/>
  <c r="O171" i="19" s="1"/>
  <c r="O170" i="19"/>
  <c r="M171" i="19"/>
  <c r="W171" i="19" s="1"/>
  <c r="U171" i="19"/>
  <c r="Q137" i="19"/>
  <c r="AA137" i="19" s="1"/>
  <c r="Y137" i="19"/>
  <c r="O138" i="19"/>
  <c r="G139" i="19"/>
  <c r="M137" i="19"/>
  <c r="W137" i="19" s="1"/>
  <c r="U137" i="19"/>
  <c r="K138" i="19"/>
  <c r="E139" i="19"/>
  <c r="Q113" i="19"/>
  <c r="AA113" i="19" s="1"/>
  <c r="Y113" i="19"/>
  <c r="O114" i="19"/>
  <c r="G115" i="19"/>
  <c r="E115" i="19"/>
  <c r="K114" i="19"/>
  <c r="U113" i="19"/>
  <c r="M113" i="19"/>
  <c r="W113" i="19" s="1"/>
  <c r="Y39" i="19"/>
  <c r="Q39" i="19"/>
  <c r="AA39" i="19" s="1"/>
  <c r="Q38" i="19"/>
  <c r="AA38" i="19" s="1"/>
  <c r="Y38" i="19"/>
  <c r="Y89" i="25"/>
  <c r="Q89" i="25"/>
  <c r="AA89" i="25" s="1"/>
  <c r="Y90" i="25"/>
  <c r="Q90" i="25"/>
  <c r="AA90" i="25" s="1"/>
  <c r="O100" i="25"/>
  <c r="O99" i="25"/>
  <c r="M89" i="25"/>
  <c r="W89" i="25" s="1"/>
  <c r="U89" i="25"/>
  <c r="U98" i="25"/>
  <c r="M98" i="25"/>
  <c r="W98" i="25" s="1"/>
  <c r="Y98" i="25"/>
  <c r="Q98" i="25"/>
  <c r="AA98" i="25" s="1"/>
  <c r="K100" i="25"/>
  <c r="K99" i="25"/>
  <c r="L99" i="25"/>
  <c r="V99" i="25" s="1"/>
  <c r="X99" i="25"/>
  <c r="X89" i="25"/>
  <c r="L89" i="25"/>
  <c r="V89" i="25" s="1"/>
  <c r="X80" i="25"/>
  <c r="L80" i="25"/>
  <c r="V80" i="25" s="1"/>
  <c r="N100" i="25"/>
  <c r="N90" i="25"/>
  <c r="J100" i="25"/>
  <c r="J90" i="25"/>
  <c r="P89" i="25"/>
  <c r="Z89" i="25" s="1"/>
  <c r="T89" i="25"/>
  <c r="T99" i="25"/>
  <c r="P99" i="25"/>
  <c r="Z99" i="25" s="1"/>
  <c r="P80" i="25"/>
  <c r="Z80" i="25" s="1"/>
  <c r="T80" i="25"/>
  <c r="K156" i="38" l="1"/>
  <c r="Q75" i="38"/>
  <c r="AA75" i="38" s="1"/>
  <c r="Y75" i="38"/>
  <c r="U123" i="38"/>
  <c r="M123" i="38"/>
  <c r="W123" i="38" s="1"/>
  <c r="U155" i="38"/>
  <c r="M155" i="38"/>
  <c r="W155" i="38" s="1"/>
  <c r="O76" i="38"/>
  <c r="K124" i="38"/>
  <c r="O140" i="38"/>
  <c r="K44" i="38"/>
  <c r="K43" i="38"/>
  <c r="Y91" i="38"/>
  <c r="Q91" i="38"/>
  <c r="AA91" i="38" s="1"/>
  <c r="M107" i="38"/>
  <c r="W107" i="38" s="1"/>
  <c r="U107" i="38"/>
  <c r="Q44" i="38"/>
  <c r="AA44" i="38" s="1"/>
  <c r="Y44" i="38"/>
  <c r="U59" i="38"/>
  <c r="M59" i="38"/>
  <c r="W59" i="38" s="1"/>
  <c r="Y155" i="38"/>
  <c r="Q155" i="38"/>
  <c r="AA155" i="38" s="1"/>
  <c r="M91" i="38"/>
  <c r="W91" i="38" s="1"/>
  <c r="U91" i="38"/>
  <c r="Y59" i="38"/>
  <c r="Q59" i="38"/>
  <c r="AA59" i="38" s="1"/>
  <c r="M171" i="38"/>
  <c r="W171" i="38" s="1"/>
  <c r="U171" i="38"/>
  <c r="O92" i="38"/>
  <c r="K108" i="38"/>
  <c r="Q43" i="38"/>
  <c r="AA43" i="38" s="1"/>
  <c r="Y43" i="38"/>
  <c r="K60" i="38"/>
  <c r="K61" i="38"/>
  <c r="O156" i="38"/>
  <c r="K92" i="38"/>
  <c r="M42" i="38"/>
  <c r="W42" i="38" s="1"/>
  <c r="U42" i="38"/>
  <c r="O61" i="38"/>
  <c r="O60" i="38"/>
  <c r="O172" i="38"/>
  <c r="Q123" i="38"/>
  <c r="AA123" i="38" s="1"/>
  <c r="Y123" i="38"/>
  <c r="K76" i="38"/>
  <c r="U139" i="38"/>
  <c r="M139" i="38"/>
  <c r="W139" i="38" s="1"/>
  <c r="Q107" i="38"/>
  <c r="AA107" i="38" s="1"/>
  <c r="Y107" i="38"/>
  <c r="K172" i="38"/>
  <c r="Y139" i="38"/>
  <c r="Q139" i="38"/>
  <c r="AA139" i="38" s="1"/>
  <c r="Q171" i="38"/>
  <c r="AA171" i="38" s="1"/>
  <c r="Y171" i="38"/>
  <c r="O124" i="38"/>
  <c r="U75" i="38"/>
  <c r="M75" i="38"/>
  <c r="W75" i="38" s="1"/>
  <c r="K140" i="38"/>
  <c r="O108" i="38"/>
  <c r="Q55" i="28"/>
  <c r="AA55" i="28" s="1"/>
  <c r="Y55" i="28"/>
  <c r="O56" i="28"/>
  <c r="G57" i="28"/>
  <c r="E57" i="28"/>
  <c r="K56" i="28"/>
  <c r="M55" i="28"/>
  <c r="W55" i="28" s="1"/>
  <c r="U55" i="28"/>
  <c r="O143" i="28"/>
  <c r="Q142" i="28"/>
  <c r="AA142" i="28" s="1"/>
  <c r="Y142" i="28"/>
  <c r="M142" i="28"/>
  <c r="W142" i="28" s="1"/>
  <c r="U142" i="28"/>
  <c r="K143" i="28"/>
  <c r="Q113" i="28"/>
  <c r="AA113" i="28" s="1"/>
  <c r="Y113" i="28"/>
  <c r="O114" i="28"/>
  <c r="M113" i="28"/>
  <c r="W113" i="28" s="1"/>
  <c r="U113" i="28"/>
  <c r="K114" i="28"/>
  <c r="K85" i="28"/>
  <c r="M84" i="28"/>
  <c r="W84" i="28" s="1"/>
  <c r="U84" i="28"/>
  <c r="Q84" i="28"/>
  <c r="AA84" i="28" s="1"/>
  <c r="Y84" i="28"/>
  <c r="O85" i="28"/>
  <c r="O179" i="27"/>
  <c r="O149" i="27"/>
  <c r="O194" i="27"/>
  <c r="Y178" i="27"/>
  <c r="Q178" i="27"/>
  <c r="AA178" i="27" s="1"/>
  <c r="Q193" i="27"/>
  <c r="AA193" i="27" s="1"/>
  <c r="Y193" i="27"/>
  <c r="Q133" i="27"/>
  <c r="AA133" i="27" s="1"/>
  <c r="Y133" i="27"/>
  <c r="Q163" i="27"/>
  <c r="AA163" i="27" s="1"/>
  <c r="Y163" i="27"/>
  <c r="O134" i="27"/>
  <c r="O164" i="27"/>
  <c r="Q148" i="27"/>
  <c r="AA148" i="27" s="1"/>
  <c r="Y148" i="27"/>
  <c r="Q103" i="27"/>
  <c r="AA103" i="27" s="1"/>
  <c r="Y103" i="27"/>
  <c r="O104" i="27"/>
  <c r="Y118" i="27"/>
  <c r="Q118" i="27"/>
  <c r="AA118" i="27" s="1"/>
  <c r="O89" i="27"/>
  <c r="O90" i="27"/>
  <c r="O119" i="27"/>
  <c r="Q88" i="27"/>
  <c r="AA88" i="27" s="1"/>
  <c r="Y88" i="27"/>
  <c r="M163" i="27"/>
  <c r="W163" i="27" s="1"/>
  <c r="U163" i="27"/>
  <c r="K164" i="27"/>
  <c r="U193" i="27"/>
  <c r="M193" i="27"/>
  <c r="W193" i="27" s="1"/>
  <c r="U133" i="27"/>
  <c r="M133" i="27"/>
  <c r="W133" i="27" s="1"/>
  <c r="K104" i="27"/>
  <c r="K194" i="27"/>
  <c r="U88" i="27"/>
  <c r="M88" i="27"/>
  <c r="W88" i="27" s="1"/>
  <c r="K179" i="27"/>
  <c r="M103" i="27"/>
  <c r="W103" i="27" s="1"/>
  <c r="U103" i="27"/>
  <c r="K89" i="27"/>
  <c r="K90" i="27"/>
  <c r="M178" i="27"/>
  <c r="W178" i="27" s="1"/>
  <c r="U178" i="27"/>
  <c r="K119" i="27"/>
  <c r="M148" i="27"/>
  <c r="W148" i="27" s="1"/>
  <c r="U148" i="27"/>
  <c r="K134" i="27"/>
  <c r="M118" i="27"/>
  <c r="W118" i="27" s="1"/>
  <c r="U118" i="27"/>
  <c r="K149" i="27"/>
  <c r="Q72" i="27"/>
  <c r="AA72" i="27" s="1"/>
  <c r="Y72" i="27"/>
  <c r="O74" i="27"/>
  <c r="O73" i="27"/>
  <c r="U72" i="27"/>
  <c r="M72" i="27"/>
  <c r="W72" i="27" s="1"/>
  <c r="K73" i="27"/>
  <c r="K74" i="27"/>
  <c r="K185" i="23"/>
  <c r="E186" i="23"/>
  <c r="M184" i="23"/>
  <c r="W184" i="23" s="1"/>
  <c r="U184" i="23"/>
  <c r="Q184" i="23"/>
  <c r="AA184" i="23" s="1"/>
  <c r="Y184" i="23"/>
  <c r="O185" i="23"/>
  <c r="G186" i="23"/>
  <c r="K162" i="23"/>
  <c r="E163" i="23"/>
  <c r="M161" i="23"/>
  <c r="W161" i="23" s="1"/>
  <c r="U161" i="23"/>
  <c r="Q161" i="23"/>
  <c r="AA161" i="23" s="1"/>
  <c r="Y161" i="23"/>
  <c r="O162" i="23"/>
  <c r="G163" i="23"/>
  <c r="M72" i="23"/>
  <c r="W72" i="23" s="1"/>
  <c r="U72" i="23"/>
  <c r="E74" i="23"/>
  <c r="K73" i="23"/>
  <c r="Q72" i="23"/>
  <c r="AA72" i="23" s="1"/>
  <c r="Y72" i="23"/>
  <c r="O73" i="23"/>
  <c r="G74" i="23"/>
  <c r="M55" i="23"/>
  <c r="W55" i="23" s="1"/>
  <c r="U55" i="23"/>
  <c r="M56" i="23"/>
  <c r="W56" i="23" s="1"/>
  <c r="U56" i="23"/>
  <c r="G163" i="22"/>
  <c r="O162" i="22"/>
  <c r="Q161" i="22"/>
  <c r="AA161" i="22" s="1"/>
  <c r="Y161" i="22"/>
  <c r="Q118" i="22"/>
  <c r="AA118" i="22" s="1"/>
  <c r="Y118" i="22"/>
  <c r="O119" i="22"/>
  <c r="M118" i="22"/>
  <c r="W118" i="22" s="1"/>
  <c r="U118" i="22"/>
  <c r="K119" i="22"/>
  <c r="O96" i="22"/>
  <c r="M95" i="22"/>
  <c r="W95" i="22" s="1"/>
  <c r="U95" i="22"/>
  <c r="Q95" i="22"/>
  <c r="AA95" i="22" s="1"/>
  <c r="Y95" i="22"/>
  <c r="K96" i="22"/>
  <c r="Q72" i="22"/>
  <c r="AA72" i="22" s="1"/>
  <c r="Y72" i="22"/>
  <c r="O73" i="22"/>
  <c r="K73" i="22"/>
  <c r="M72" i="22"/>
  <c r="W72" i="22" s="1"/>
  <c r="U72" i="22"/>
  <c r="Q49" i="22"/>
  <c r="AA49" i="22" s="1"/>
  <c r="Y49" i="22"/>
  <c r="O50" i="22"/>
  <c r="G51" i="22"/>
  <c r="M51" i="22"/>
  <c r="W51" i="22" s="1"/>
  <c r="U51" i="22"/>
  <c r="K52" i="22"/>
  <c r="E53" i="22"/>
  <c r="M50" i="21"/>
  <c r="W50" i="21" s="1"/>
  <c r="U50" i="21"/>
  <c r="M51" i="21"/>
  <c r="W51" i="21" s="1"/>
  <c r="U51" i="21"/>
  <c r="M169" i="21"/>
  <c r="W169" i="21" s="1"/>
  <c r="U169" i="21"/>
  <c r="K170" i="21"/>
  <c r="Q125" i="21"/>
  <c r="AA125" i="21" s="1"/>
  <c r="Y125" i="21"/>
  <c r="Y137" i="21"/>
  <c r="Q137" i="21"/>
  <c r="AA137" i="21" s="1"/>
  <c r="O126" i="21"/>
  <c r="O150" i="21"/>
  <c r="Q113" i="21"/>
  <c r="AA113" i="21" s="1"/>
  <c r="Y113" i="21"/>
  <c r="Q101" i="21"/>
  <c r="AA101" i="21" s="1"/>
  <c r="Y101" i="21"/>
  <c r="O138" i="21"/>
  <c r="O114" i="21"/>
  <c r="O102" i="21"/>
  <c r="Q89" i="21"/>
  <c r="AA89" i="21" s="1"/>
  <c r="Y89" i="21"/>
  <c r="O90" i="21"/>
  <c r="Y77" i="21"/>
  <c r="Q77" i="21"/>
  <c r="AA77" i="21" s="1"/>
  <c r="O79" i="21"/>
  <c r="O78" i="21"/>
  <c r="M145" i="21"/>
  <c r="W145" i="21" s="1"/>
  <c r="U145" i="21"/>
  <c r="M132" i="21"/>
  <c r="W132" i="21" s="1"/>
  <c r="U132" i="21"/>
  <c r="K159" i="21"/>
  <c r="K133" i="21"/>
  <c r="M158" i="21"/>
  <c r="W158" i="21" s="1"/>
  <c r="U158" i="21"/>
  <c r="M119" i="21"/>
  <c r="W119" i="21" s="1"/>
  <c r="U119" i="21"/>
  <c r="K146" i="21"/>
  <c r="K120" i="21"/>
  <c r="K121" i="21"/>
  <c r="U106" i="21"/>
  <c r="M106" i="21"/>
  <c r="W106" i="21" s="1"/>
  <c r="U107" i="21"/>
  <c r="M107" i="21"/>
  <c r="W107" i="21" s="1"/>
  <c r="M166" i="18"/>
  <c r="W166" i="18" s="1"/>
  <c r="U166" i="18"/>
  <c r="K167" i="18"/>
  <c r="E168" i="18"/>
  <c r="E78" i="18"/>
  <c r="K77" i="18"/>
  <c r="M76" i="18"/>
  <c r="W76" i="18" s="1"/>
  <c r="U76" i="18"/>
  <c r="Q148" i="18"/>
  <c r="AA148" i="18" s="1"/>
  <c r="Y148" i="18"/>
  <c r="O149" i="18"/>
  <c r="G150" i="18"/>
  <c r="U147" i="18"/>
  <c r="M147" i="18"/>
  <c r="W147" i="18" s="1"/>
  <c r="K148" i="18"/>
  <c r="E149" i="18"/>
  <c r="M124" i="18"/>
  <c r="W124" i="18" s="1"/>
  <c r="U124" i="18"/>
  <c r="Y124" i="18"/>
  <c r="Q124" i="18"/>
  <c r="AA124" i="18" s="1"/>
  <c r="O125" i="18"/>
  <c r="K125" i="18"/>
  <c r="Y100" i="18"/>
  <c r="Q100" i="18"/>
  <c r="AA100" i="18" s="1"/>
  <c r="O101" i="18"/>
  <c r="K101" i="18"/>
  <c r="M100" i="18"/>
  <c r="W100" i="18" s="1"/>
  <c r="U100" i="18"/>
  <c r="Q83" i="18"/>
  <c r="AA83" i="18" s="1"/>
  <c r="Y83" i="18"/>
  <c r="Q84" i="18"/>
  <c r="AA84" i="18" s="1"/>
  <c r="Y84" i="18"/>
  <c r="M53" i="18"/>
  <c r="W53" i="18" s="1"/>
  <c r="U53" i="18"/>
  <c r="K54" i="18"/>
  <c r="E55" i="18"/>
  <c r="Q53" i="18"/>
  <c r="AA53" i="18" s="1"/>
  <c r="Y53" i="18"/>
  <c r="O54" i="18"/>
  <c r="G55" i="18"/>
  <c r="G44" i="1"/>
  <c r="O44" i="1" s="1"/>
  <c r="O43" i="1"/>
  <c r="Y42" i="1"/>
  <c r="Q42" i="1"/>
  <c r="AA42" i="1" s="1"/>
  <c r="Q59" i="1"/>
  <c r="AA59" i="1" s="1"/>
  <c r="Y59" i="1"/>
  <c r="O61" i="1"/>
  <c r="O60" i="1"/>
  <c r="M59" i="1"/>
  <c r="W59" i="1" s="1"/>
  <c r="U59" i="1"/>
  <c r="K61" i="1"/>
  <c r="K60" i="1"/>
  <c r="Q188" i="1"/>
  <c r="AA188" i="1" s="1"/>
  <c r="Y188" i="1"/>
  <c r="Q172" i="1"/>
  <c r="AA172" i="1" s="1"/>
  <c r="Y172" i="1"/>
  <c r="Q92" i="1"/>
  <c r="AA92" i="1" s="1"/>
  <c r="Y92" i="1"/>
  <c r="K173" i="1"/>
  <c r="O189" i="1"/>
  <c r="O173" i="1"/>
  <c r="O93" i="1"/>
  <c r="Q140" i="1"/>
  <c r="AA140" i="1" s="1"/>
  <c r="Y140" i="1"/>
  <c r="O141" i="1"/>
  <c r="K78" i="1"/>
  <c r="K77" i="1"/>
  <c r="K189" i="1"/>
  <c r="O125" i="1"/>
  <c r="M172" i="1"/>
  <c r="W172" i="1" s="1"/>
  <c r="U172" i="1"/>
  <c r="M76" i="1"/>
  <c r="W76" i="1" s="1"/>
  <c r="U76" i="1"/>
  <c r="Q108" i="1"/>
  <c r="AA108" i="1" s="1"/>
  <c r="Y108" i="1"/>
  <c r="M140" i="1"/>
  <c r="W140" i="1" s="1"/>
  <c r="U140" i="1"/>
  <c r="M92" i="1"/>
  <c r="W92" i="1" s="1"/>
  <c r="U92" i="1"/>
  <c r="U108" i="1"/>
  <c r="M108" i="1"/>
  <c r="W108" i="1" s="1"/>
  <c r="M188" i="1"/>
  <c r="W188" i="1" s="1"/>
  <c r="U188" i="1"/>
  <c r="O109" i="1"/>
  <c r="K141" i="1"/>
  <c r="K93" i="1"/>
  <c r="K109" i="1"/>
  <c r="Y76" i="1"/>
  <c r="Q76" i="1"/>
  <c r="AA76" i="1" s="1"/>
  <c r="M124" i="1"/>
  <c r="W124" i="1" s="1"/>
  <c r="U124" i="1"/>
  <c r="U156" i="1"/>
  <c r="M156" i="1"/>
  <c r="W156" i="1" s="1"/>
  <c r="Q156" i="1"/>
  <c r="AA156" i="1" s="1"/>
  <c r="Y156" i="1"/>
  <c r="Y124" i="1"/>
  <c r="Q124" i="1"/>
  <c r="AA124" i="1" s="1"/>
  <c r="O78" i="1"/>
  <c r="O77" i="1"/>
  <c r="K125" i="1"/>
  <c r="K157" i="1"/>
  <c r="O157" i="1"/>
  <c r="Q73" i="29"/>
  <c r="AA73" i="29" s="1"/>
  <c r="Y73" i="29"/>
  <c r="G75" i="29"/>
  <c r="O74" i="29"/>
  <c r="E75" i="29"/>
  <c r="K74" i="29"/>
  <c r="M73" i="29"/>
  <c r="W73" i="29" s="1"/>
  <c r="U73" i="29"/>
  <c r="Q52" i="29"/>
  <c r="AA52" i="29" s="1"/>
  <c r="Y52" i="29"/>
  <c r="M52" i="29"/>
  <c r="W52" i="29" s="1"/>
  <c r="U52" i="29"/>
  <c r="E54" i="29"/>
  <c r="K53" i="29"/>
  <c r="G54" i="29"/>
  <c r="O53" i="29"/>
  <c r="Q171" i="19"/>
  <c r="AA171" i="19" s="1"/>
  <c r="Y171" i="19"/>
  <c r="Q170" i="19"/>
  <c r="AA170" i="19" s="1"/>
  <c r="Y170" i="19"/>
  <c r="G140" i="19"/>
  <c r="O139" i="19"/>
  <c r="Q138" i="19"/>
  <c r="AA138" i="19" s="1"/>
  <c r="Y138" i="19"/>
  <c r="M138" i="19"/>
  <c r="W138" i="19" s="1"/>
  <c r="U138" i="19"/>
  <c r="K139" i="19"/>
  <c r="E140" i="19"/>
  <c r="G116" i="19"/>
  <c r="O115" i="19"/>
  <c r="Q114" i="19"/>
  <c r="AA114" i="19" s="1"/>
  <c r="Y114" i="19"/>
  <c r="M114" i="19"/>
  <c r="W114" i="19" s="1"/>
  <c r="U114" i="19"/>
  <c r="K115" i="19"/>
  <c r="E116" i="19"/>
  <c r="Q100" i="25"/>
  <c r="AA100" i="25" s="1"/>
  <c r="Y100" i="25"/>
  <c r="Q99" i="25"/>
  <c r="AA99" i="25" s="1"/>
  <c r="Y99" i="25"/>
  <c r="U99" i="25"/>
  <c r="M99" i="25"/>
  <c r="W99" i="25" s="1"/>
  <c r="M100" i="25"/>
  <c r="W100" i="25" s="1"/>
  <c r="U100" i="25"/>
  <c r="X90" i="25"/>
  <c r="L90" i="25"/>
  <c r="V90" i="25" s="1"/>
  <c r="L100" i="25"/>
  <c r="V100" i="25" s="1"/>
  <c r="X100" i="25"/>
  <c r="T100" i="25"/>
  <c r="P100" i="25"/>
  <c r="Z100" i="25" s="1"/>
  <c r="T90" i="25"/>
  <c r="P90" i="25"/>
  <c r="Z90" i="25" s="1"/>
  <c r="J53" i="19"/>
  <c r="J69" i="19"/>
  <c r="J39" i="19"/>
  <c r="P39" i="19" s="1"/>
  <c r="Z39" i="19" s="1"/>
  <c r="O109" i="38" l="1"/>
  <c r="O173" i="38"/>
  <c r="O157" i="38"/>
  <c r="K109" i="38"/>
  <c r="Y108" i="38"/>
  <c r="Q108" i="38"/>
  <c r="AA108" i="38" s="1"/>
  <c r="Q172" i="38"/>
  <c r="AA172" i="38" s="1"/>
  <c r="Y172" i="38"/>
  <c r="Q156" i="38"/>
  <c r="AA156" i="38" s="1"/>
  <c r="Y156" i="38"/>
  <c r="U108" i="38"/>
  <c r="M108" i="38"/>
  <c r="W108" i="38" s="1"/>
  <c r="Y61" i="38"/>
  <c r="Q61" i="38"/>
  <c r="AA61" i="38" s="1"/>
  <c r="U124" i="38"/>
  <c r="M124" i="38"/>
  <c r="W124" i="38" s="1"/>
  <c r="U172" i="38"/>
  <c r="M172" i="38"/>
  <c r="W172" i="38" s="1"/>
  <c r="M76" i="38"/>
  <c r="W76" i="38" s="1"/>
  <c r="U76" i="38"/>
  <c r="O93" i="38"/>
  <c r="O77" i="38"/>
  <c r="O78" i="38"/>
  <c r="U61" i="38"/>
  <c r="M61" i="38"/>
  <c r="W61" i="38" s="1"/>
  <c r="K173" i="38"/>
  <c r="K78" i="38"/>
  <c r="K77" i="38"/>
  <c r="Y92" i="38"/>
  <c r="Q92" i="38"/>
  <c r="AA92" i="38" s="1"/>
  <c r="Y76" i="38"/>
  <c r="Q76" i="38"/>
  <c r="AA76" i="38" s="1"/>
  <c r="M140" i="38"/>
  <c r="W140" i="38" s="1"/>
  <c r="U140" i="38"/>
  <c r="Y60" i="38"/>
  <c r="Q60" i="38"/>
  <c r="AA60" i="38" s="1"/>
  <c r="K125" i="38"/>
  <c r="K141" i="38"/>
  <c r="U60" i="38"/>
  <c r="M60" i="38"/>
  <c r="W60" i="38" s="1"/>
  <c r="M44" i="38"/>
  <c r="W44" i="38" s="1"/>
  <c r="U44" i="38"/>
  <c r="Y124" i="38"/>
  <c r="Q124" i="38"/>
  <c r="AA124" i="38" s="1"/>
  <c r="M92" i="38"/>
  <c r="W92" i="38" s="1"/>
  <c r="U92" i="38"/>
  <c r="Q140" i="38"/>
  <c r="AA140" i="38" s="1"/>
  <c r="Y140" i="38"/>
  <c r="U156" i="38"/>
  <c r="M156" i="38"/>
  <c r="W156" i="38" s="1"/>
  <c r="M43" i="38"/>
  <c r="W43" i="38" s="1"/>
  <c r="U43" i="38"/>
  <c r="O125" i="38"/>
  <c r="K93" i="38"/>
  <c r="O141" i="38"/>
  <c r="K157" i="38"/>
  <c r="G58" i="28"/>
  <c r="O57" i="28"/>
  <c r="Q56" i="28"/>
  <c r="AA56" i="28" s="1"/>
  <c r="Y56" i="28"/>
  <c r="M56" i="28"/>
  <c r="W56" i="28" s="1"/>
  <c r="U56" i="28"/>
  <c r="E58" i="28"/>
  <c r="K57" i="28"/>
  <c r="K144" i="28"/>
  <c r="M143" i="28"/>
  <c r="W143" i="28" s="1"/>
  <c r="U143" i="28"/>
  <c r="O144" i="28"/>
  <c r="Q143" i="28"/>
  <c r="AA143" i="28" s="1"/>
  <c r="Y143" i="28"/>
  <c r="M114" i="28"/>
  <c r="W114" i="28" s="1"/>
  <c r="U114" i="28"/>
  <c r="K115" i="28"/>
  <c r="O115" i="28"/>
  <c r="Q114" i="28"/>
  <c r="AA114" i="28" s="1"/>
  <c r="Y114" i="28"/>
  <c r="O86" i="28"/>
  <c r="Q85" i="28"/>
  <c r="AA85" i="28" s="1"/>
  <c r="Y85" i="28"/>
  <c r="K86" i="28"/>
  <c r="M85" i="28"/>
  <c r="W85" i="28" s="1"/>
  <c r="U85" i="28"/>
  <c r="O106" i="27"/>
  <c r="O105" i="27"/>
  <c r="Q134" i="27"/>
  <c r="AA134" i="27" s="1"/>
  <c r="Y134" i="27"/>
  <c r="O135" i="27"/>
  <c r="Q119" i="27"/>
  <c r="AA119" i="27" s="1"/>
  <c r="Y119" i="27"/>
  <c r="O195" i="27"/>
  <c r="Q104" i="27"/>
  <c r="AA104" i="27" s="1"/>
  <c r="Y104" i="27"/>
  <c r="O120" i="27"/>
  <c r="Q194" i="27"/>
  <c r="AA194" i="27" s="1"/>
  <c r="Y194" i="27"/>
  <c r="Q90" i="27"/>
  <c r="AA90" i="27" s="1"/>
  <c r="Y90" i="27"/>
  <c r="O150" i="27"/>
  <c r="Y89" i="27"/>
  <c r="Q89" i="27"/>
  <c r="AA89" i="27" s="1"/>
  <c r="Y149" i="27"/>
  <c r="Q149" i="27"/>
  <c r="AA149" i="27" s="1"/>
  <c r="Q164" i="27"/>
  <c r="AA164" i="27" s="1"/>
  <c r="Y164" i="27"/>
  <c r="Y179" i="27"/>
  <c r="Q179" i="27"/>
  <c r="AA179" i="27" s="1"/>
  <c r="O165" i="27"/>
  <c r="O180" i="27"/>
  <c r="K150" i="27"/>
  <c r="M119" i="27"/>
  <c r="W119" i="27" s="1"/>
  <c r="U119" i="27"/>
  <c r="M179" i="27"/>
  <c r="W179" i="27" s="1"/>
  <c r="U179" i="27"/>
  <c r="M149" i="27"/>
  <c r="W149" i="27" s="1"/>
  <c r="U149" i="27"/>
  <c r="K120" i="27"/>
  <c r="K180" i="27"/>
  <c r="K135" i="27"/>
  <c r="M90" i="27"/>
  <c r="W90" i="27" s="1"/>
  <c r="U90" i="27"/>
  <c r="M194" i="27"/>
  <c r="W194" i="27" s="1"/>
  <c r="U194" i="27"/>
  <c r="M164" i="27"/>
  <c r="W164" i="27" s="1"/>
  <c r="U164" i="27"/>
  <c r="M134" i="27"/>
  <c r="W134" i="27" s="1"/>
  <c r="U134" i="27"/>
  <c r="M89" i="27"/>
  <c r="W89" i="27" s="1"/>
  <c r="U89" i="27"/>
  <c r="K195" i="27"/>
  <c r="K165" i="27"/>
  <c r="K105" i="27"/>
  <c r="K106" i="27"/>
  <c r="M104" i="27"/>
  <c r="W104" i="27" s="1"/>
  <c r="U104" i="27"/>
  <c r="Q73" i="27"/>
  <c r="AA73" i="27" s="1"/>
  <c r="Y73" i="27"/>
  <c r="M73" i="27"/>
  <c r="W73" i="27" s="1"/>
  <c r="U73" i="27"/>
  <c r="Y74" i="27"/>
  <c r="Q74" i="27"/>
  <c r="AA74" i="27" s="1"/>
  <c r="M74" i="27"/>
  <c r="W74" i="27" s="1"/>
  <c r="U74" i="27"/>
  <c r="Q185" i="23"/>
  <c r="AA185" i="23" s="1"/>
  <c r="Y185" i="23"/>
  <c r="G187" i="23"/>
  <c r="O186" i="23"/>
  <c r="K186" i="23"/>
  <c r="E187" i="23"/>
  <c r="M185" i="23"/>
  <c r="W185" i="23" s="1"/>
  <c r="U185" i="23"/>
  <c r="G164" i="23"/>
  <c r="O163" i="23"/>
  <c r="Q162" i="23"/>
  <c r="AA162" i="23" s="1"/>
  <c r="Y162" i="23"/>
  <c r="K163" i="23"/>
  <c r="E164" i="23"/>
  <c r="M162" i="23"/>
  <c r="W162" i="23" s="1"/>
  <c r="U162" i="23"/>
  <c r="G75" i="23"/>
  <c r="O74" i="23"/>
  <c r="Q73" i="23"/>
  <c r="AA73" i="23" s="1"/>
  <c r="Y73" i="23"/>
  <c r="M73" i="23"/>
  <c r="W73" i="23" s="1"/>
  <c r="U73" i="23"/>
  <c r="K74" i="23"/>
  <c r="E75" i="23"/>
  <c r="Q162" i="22"/>
  <c r="AA162" i="22" s="1"/>
  <c r="Y162" i="22"/>
  <c r="O163" i="22"/>
  <c r="G164" i="22"/>
  <c r="K120" i="22"/>
  <c r="M119" i="22"/>
  <c r="W119" i="22" s="1"/>
  <c r="U119" i="22"/>
  <c r="O120" i="22"/>
  <c r="Q119" i="22"/>
  <c r="AA119" i="22" s="1"/>
  <c r="Y119" i="22"/>
  <c r="K97" i="22"/>
  <c r="M96" i="22"/>
  <c r="W96" i="22" s="1"/>
  <c r="U96" i="22"/>
  <c r="Y96" i="22"/>
  <c r="Q96" i="22"/>
  <c r="AA96" i="22" s="1"/>
  <c r="O97" i="22"/>
  <c r="K74" i="22"/>
  <c r="M73" i="22"/>
  <c r="W73" i="22" s="1"/>
  <c r="U73" i="22"/>
  <c r="O74" i="22"/>
  <c r="Q73" i="22"/>
  <c r="AA73" i="22" s="1"/>
  <c r="Y73" i="22"/>
  <c r="Q50" i="22"/>
  <c r="AA50" i="22" s="1"/>
  <c r="Y50" i="22"/>
  <c r="G52" i="22"/>
  <c r="O51" i="22"/>
  <c r="E54" i="22"/>
  <c r="K53" i="22"/>
  <c r="M52" i="22"/>
  <c r="W52" i="22" s="1"/>
  <c r="U52" i="22"/>
  <c r="U170" i="21"/>
  <c r="M170" i="21"/>
  <c r="W170" i="21" s="1"/>
  <c r="K171" i="21"/>
  <c r="O91" i="21"/>
  <c r="O139" i="21"/>
  <c r="Q126" i="21"/>
  <c r="AA126" i="21" s="1"/>
  <c r="Y126" i="21"/>
  <c r="Q138" i="21"/>
  <c r="AA138" i="21" s="1"/>
  <c r="Y138" i="21"/>
  <c r="O127" i="21"/>
  <c r="O151" i="21"/>
  <c r="O115" i="21"/>
  <c r="Q78" i="21"/>
  <c r="AA78" i="21" s="1"/>
  <c r="Y78" i="21"/>
  <c r="Q102" i="21"/>
  <c r="AA102" i="21" s="1"/>
  <c r="Y102" i="21"/>
  <c r="Q90" i="21"/>
  <c r="AA90" i="21" s="1"/>
  <c r="Y90" i="21"/>
  <c r="Y79" i="21"/>
  <c r="Q79" i="21"/>
  <c r="AA79" i="21" s="1"/>
  <c r="O103" i="21"/>
  <c r="O164" i="21"/>
  <c r="Q114" i="21"/>
  <c r="AA114" i="21" s="1"/>
  <c r="Y114" i="21"/>
  <c r="Q150" i="21"/>
  <c r="AA150" i="21" s="1"/>
  <c r="Y150" i="21"/>
  <c r="K160" i="21"/>
  <c r="M121" i="21"/>
  <c r="W121" i="21" s="1"/>
  <c r="U121" i="21"/>
  <c r="M159" i="21"/>
  <c r="W159" i="21" s="1"/>
  <c r="U159" i="21"/>
  <c r="U120" i="21"/>
  <c r="M120" i="21"/>
  <c r="W120" i="21" s="1"/>
  <c r="M146" i="21"/>
  <c r="W146" i="21" s="1"/>
  <c r="U146" i="21"/>
  <c r="U133" i="21"/>
  <c r="M133" i="21"/>
  <c r="W133" i="21" s="1"/>
  <c r="K147" i="21"/>
  <c r="K134" i="21"/>
  <c r="K135" i="21"/>
  <c r="K78" i="18"/>
  <c r="E79" i="18"/>
  <c r="E169" i="18"/>
  <c r="K168" i="18"/>
  <c r="M167" i="18"/>
  <c r="W167" i="18" s="1"/>
  <c r="U167" i="18"/>
  <c r="M77" i="18"/>
  <c r="W77" i="18" s="1"/>
  <c r="U77" i="18"/>
  <c r="G151" i="18"/>
  <c r="O150" i="18"/>
  <c r="Q149" i="18"/>
  <c r="AA149" i="18" s="1"/>
  <c r="Y149" i="18"/>
  <c r="E150" i="18"/>
  <c r="K149" i="18"/>
  <c r="M148" i="18"/>
  <c r="W148" i="18" s="1"/>
  <c r="U148" i="18"/>
  <c r="Y125" i="18"/>
  <c r="Q125" i="18"/>
  <c r="AA125" i="18" s="1"/>
  <c r="K126" i="18"/>
  <c r="O126" i="18"/>
  <c r="M125" i="18"/>
  <c r="W125" i="18" s="1"/>
  <c r="U125" i="18"/>
  <c r="M101" i="18"/>
  <c r="W101" i="18" s="1"/>
  <c r="U101" i="18"/>
  <c r="Q101" i="18"/>
  <c r="AA101" i="18" s="1"/>
  <c r="Y101" i="18"/>
  <c r="O102" i="18"/>
  <c r="K102" i="18"/>
  <c r="Q54" i="18"/>
  <c r="AA54" i="18" s="1"/>
  <c r="Y54" i="18"/>
  <c r="G56" i="18"/>
  <c r="O55" i="18"/>
  <c r="E56" i="18"/>
  <c r="K55" i="18"/>
  <c r="U54" i="18"/>
  <c r="M54" i="18"/>
  <c r="W54" i="18" s="1"/>
  <c r="Q43" i="1"/>
  <c r="AA43" i="1" s="1"/>
  <c r="Y43" i="1"/>
  <c r="Q44" i="1"/>
  <c r="AA44" i="1" s="1"/>
  <c r="Y44" i="1"/>
  <c r="Q60" i="1"/>
  <c r="AA60" i="1" s="1"/>
  <c r="Y60" i="1"/>
  <c r="Q61" i="1"/>
  <c r="AA61" i="1" s="1"/>
  <c r="Y61" i="1"/>
  <c r="M60" i="1"/>
  <c r="W60" i="1" s="1"/>
  <c r="U60" i="1"/>
  <c r="U61" i="1"/>
  <c r="M61" i="1"/>
  <c r="W61" i="1" s="1"/>
  <c r="Q157" i="1"/>
  <c r="AA157" i="1" s="1"/>
  <c r="Y157" i="1"/>
  <c r="Y109" i="1"/>
  <c r="Q109" i="1"/>
  <c r="AA109" i="1" s="1"/>
  <c r="Q125" i="1"/>
  <c r="AA125" i="1" s="1"/>
  <c r="Y125" i="1"/>
  <c r="U173" i="1"/>
  <c r="M173" i="1"/>
  <c r="W173" i="1" s="1"/>
  <c r="O158" i="1"/>
  <c r="O110" i="1"/>
  <c r="O126" i="1"/>
  <c r="K174" i="1"/>
  <c r="Q93" i="1"/>
  <c r="AA93" i="1" s="1"/>
  <c r="Y93" i="1"/>
  <c r="M93" i="1"/>
  <c r="W93" i="1" s="1"/>
  <c r="U93" i="1"/>
  <c r="M77" i="1"/>
  <c r="W77" i="1" s="1"/>
  <c r="U77" i="1"/>
  <c r="Q173" i="1"/>
  <c r="AA173" i="1" s="1"/>
  <c r="Y173" i="1"/>
  <c r="M157" i="1"/>
  <c r="W157" i="1" s="1"/>
  <c r="U157" i="1"/>
  <c r="K110" i="1"/>
  <c r="O95" i="1"/>
  <c r="O94" i="1"/>
  <c r="K95" i="1"/>
  <c r="K94" i="1"/>
  <c r="M78" i="1"/>
  <c r="W78" i="1" s="1"/>
  <c r="U78" i="1"/>
  <c r="O174" i="1"/>
  <c r="M109" i="1"/>
  <c r="W109" i="1" s="1"/>
  <c r="U109" i="1"/>
  <c r="M189" i="1"/>
  <c r="W189" i="1" s="1"/>
  <c r="U189" i="1"/>
  <c r="K190" i="1"/>
  <c r="M125" i="1"/>
  <c r="W125" i="1" s="1"/>
  <c r="U125" i="1"/>
  <c r="K126" i="1"/>
  <c r="Y77" i="1"/>
  <c r="Q77" i="1"/>
  <c r="AA77" i="1" s="1"/>
  <c r="M141" i="1"/>
  <c r="W141" i="1" s="1"/>
  <c r="U141" i="1"/>
  <c r="Q141" i="1"/>
  <c r="AA141" i="1" s="1"/>
  <c r="Y141" i="1"/>
  <c r="Q189" i="1"/>
  <c r="AA189" i="1" s="1"/>
  <c r="Y189" i="1"/>
  <c r="K158" i="1"/>
  <c r="Y78" i="1"/>
  <c r="Q78" i="1"/>
  <c r="AA78" i="1" s="1"/>
  <c r="K142" i="1"/>
  <c r="O142" i="1"/>
  <c r="O190" i="1"/>
  <c r="Q74" i="29"/>
  <c r="AA74" i="29" s="1"/>
  <c r="Y74" i="29"/>
  <c r="O75" i="29"/>
  <c r="G76" i="29"/>
  <c r="M74" i="29"/>
  <c r="W74" i="29" s="1"/>
  <c r="U74" i="29"/>
  <c r="K75" i="29"/>
  <c r="E76" i="29"/>
  <c r="Q53" i="29"/>
  <c r="AA53" i="29" s="1"/>
  <c r="Y53" i="29"/>
  <c r="O54" i="29"/>
  <c r="G55" i="29"/>
  <c r="U53" i="29"/>
  <c r="M53" i="29"/>
  <c r="W53" i="29" s="1"/>
  <c r="K54" i="29"/>
  <c r="E55" i="29"/>
  <c r="Q139" i="19"/>
  <c r="AA139" i="19" s="1"/>
  <c r="Y139" i="19"/>
  <c r="O140" i="19"/>
  <c r="G141" i="19"/>
  <c r="E141" i="19"/>
  <c r="K140" i="19"/>
  <c r="M139" i="19"/>
  <c r="W139" i="19" s="1"/>
  <c r="U139" i="19"/>
  <c r="O116" i="19"/>
  <c r="G117" i="19"/>
  <c r="Q115" i="19"/>
  <c r="AA115" i="19" s="1"/>
  <c r="Y115" i="19"/>
  <c r="K116" i="19"/>
  <c r="E117" i="19"/>
  <c r="M115" i="19"/>
  <c r="W115" i="19" s="1"/>
  <c r="U115" i="19"/>
  <c r="P53" i="19"/>
  <c r="Z53" i="19" s="1"/>
  <c r="T53" i="19"/>
  <c r="P69" i="19"/>
  <c r="Z69" i="19" s="1"/>
  <c r="T69" i="19"/>
  <c r="T39" i="19"/>
  <c r="U93" i="38" l="1"/>
  <c r="M93" i="38"/>
  <c r="W93" i="38" s="1"/>
  <c r="O95" i="38"/>
  <c r="O94" i="38"/>
  <c r="M109" i="38"/>
  <c r="W109" i="38" s="1"/>
  <c r="U109" i="38"/>
  <c r="K94" i="38"/>
  <c r="K95" i="38"/>
  <c r="Q93" i="38"/>
  <c r="AA93" i="38" s="1"/>
  <c r="Y93" i="38"/>
  <c r="K110" i="38"/>
  <c r="O126" i="38"/>
  <c r="K158" i="38"/>
  <c r="U141" i="38"/>
  <c r="M141" i="38"/>
  <c r="W141" i="38" s="1"/>
  <c r="M77" i="38"/>
  <c r="W77" i="38" s="1"/>
  <c r="U77" i="38"/>
  <c r="Q78" i="38"/>
  <c r="AA78" i="38" s="1"/>
  <c r="Y78" i="38"/>
  <c r="Q173" i="38"/>
  <c r="AA173" i="38" s="1"/>
  <c r="Y173" i="38"/>
  <c r="Y125" i="38"/>
  <c r="Q125" i="38"/>
  <c r="AA125" i="38" s="1"/>
  <c r="Q157" i="38"/>
  <c r="AA157" i="38" s="1"/>
  <c r="Y157" i="38"/>
  <c r="M157" i="38"/>
  <c r="W157" i="38" s="1"/>
  <c r="U157" i="38"/>
  <c r="K142" i="38"/>
  <c r="U78" i="38"/>
  <c r="M78" i="38"/>
  <c r="W78" i="38" s="1"/>
  <c r="Q77" i="38"/>
  <c r="AA77" i="38" s="1"/>
  <c r="Y77" i="38"/>
  <c r="O174" i="38"/>
  <c r="O142" i="38"/>
  <c r="K126" i="38"/>
  <c r="K174" i="38"/>
  <c r="O110" i="38"/>
  <c r="O158" i="38"/>
  <c r="Y141" i="38"/>
  <c r="Q141" i="38"/>
  <c r="AA141" i="38" s="1"/>
  <c r="U125" i="38"/>
  <c r="M125" i="38"/>
  <c r="W125" i="38" s="1"/>
  <c r="M173" i="38"/>
  <c r="W173" i="38" s="1"/>
  <c r="U173" i="38"/>
  <c r="Q109" i="38"/>
  <c r="AA109" i="38" s="1"/>
  <c r="Y109" i="38"/>
  <c r="Q57" i="28"/>
  <c r="AA57" i="28" s="1"/>
  <c r="Y57" i="28"/>
  <c r="O58" i="28"/>
  <c r="G59" i="28"/>
  <c r="M57" i="28"/>
  <c r="W57" i="28" s="1"/>
  <c r="U57" i="28"/>
  <c r="K58" i="28"/>
  <c r="E59" i="28"/>
  <c r="Q144" i="28"/>
  <c r="AA144" i="28" s="1"/>
  <c r="Y144" i="28"/>
  <c r="O145" i="28"/>
  <c r="M144" i="28"/>
  <c r="W144" i="28" s="1"/>
  <c r="U144" i="28"/>
  <c r="K145" i="28"/>
  <c r="Q115" i="28"/>
  <c r="AA115" i="28" s="1"/>
  <c r="Y115" i="28"/>
  <c r="O116" i="28"/>
  <c r="M115" i="28"/>
  <c r="W115" i="28" s="1"/>
  <c r="U115" i="28"/>
  <c r="K116" i="28"/>
  <c r="M86" i="28"/>
  <c r="W86" i="28" s="1"/>
  <c r="U86" i="28"/>
  <c r="K87" i="28"/>
  <c r="Q86" i="28"/>
  <c r="AA86" i="28" s="1"/>
  <c r="Y86" i="28"/>
  <c r="O87" i="28"/>
  <c r="Y180" i="27"/>
  <c r="Q180" i="27"/>
  <c r="AA180" i="27" s="1"/>
  <c r="Q165" i="27"/>
  <c r="AA165" i="27" s="1"/>
  <c r="Y165" i="27"/>
  <c r="Y120" i="27"/>
  <c r="Q120" i="27"/>
  <c r="AA120" i="27" s="1"/>
  <c r="Q135" i="27"/>
  <c r="AA135" i="27" s="1"/>
  <c r="Y135" i="27"/>
  <c r="O166" i="27"/>
  <c r="O122" i="27"/>
  <c r="O121" i="27"/>
  <c r="O136" i="27"/>
  <c r="O181" i="27"/>
  <c r="O151" i="27"/>
  <c r="Y150" i="27"/>
  <c r="Q150" i="27"/>
  <c r="AA150" i="27" s="1"/>
  <c r="O196" i="27"/>
  <c r="Q105" i="27"/>
  <c r="AA105" i="27" s="1"/>
  <c r="Y105" i="27"/>
  <c r="Q195" i="27"/>
  <c r="AA195" i="27" s="1"/>
  <c r="Y195" i="27"/>
  <c r="Q106" i="27"/>
  <c r="AA106" i="27" s="1"/>
  <c r="Y106" i="27"/>
  <c r="M106" i="27"/>
  <c r="W106" i="27" s="1"/>
  <c r="U106" i="27"/>
  <c r="M135" i="27"/>
  <c r="W135" i="27" s="1"/>
  <c r="U135" i="27"/>
  <c r="M105" i="27"/>
  <c r="W105" i="27" s="1"/>
  <c r="U105" i="27"/>
  <c r="K136" i="27"/>
  <c r="M165" i="27"/>
  <c r="W165" i="27" s="1"/>
  <c r="U165" i="27"/>
  <c r="U180" i="27"/>
  <c r="M180" i="27"/>
  <c r="W180" i="27" s="1"/>
  <c r="K166" i="27"/>
  <c r="K181" i="27"/>
  <c r="M195" i="27"/>
  <c r="W195" i="27" s="1"/>
  <c r="U195" i="27"/>
  <c r="K122" i="27"/>
  <c r="K121" i="27"/>
  <c r="K151" i="27"/>
  <c r="K196" i="27"/>
  <c r="U120" i="27"/>
  <c r="M120" i="27"/>
  <c r="W120" i="27" s="1"/>
  <c r="M150" i="27"/>
  <c r="W150" i="27" s="1"/>
  <c r="U150" i="27"/>
  <c r="K187" i="23"/>
  <c r="E188" i="23"/>
  <c r="M186" i="23"/>
  <c r="W186" i="23" s="1"/>
  <c r="U186" i="23"/>
  <c r="Q186" i="23"/>
  <c r="AA186" i="23" s="1"/>
  <c r="Y186" i="23"/>
  <c r="O187" i="23"/>
  <c r="G188" i="23"/>
  <c r="K164" i="23"/>
  <c r="E165" i="23"/>
  <c r="M163" i="23"/>
  <c r="W163" i="23" s="1"/>
  <c r="U163" i="23"/>
  <c r="Q163" i="23"/>
  <c r="AA163" i="23" s="1"/>
  <c r="Y163" i="23"/>
  <c r="O164" i="23"/>
  <c r="G165" i="23"/>
  <c r="K75" i="23"/>
  <c r="E76" i="23"/>
  <c r="M74" i="23"/>
  <c r="W74" i="23" s="1"/>
  <c r="U74" i="23"/>
  <c r="Q74" i="23"/>
  <c r="AA74" i="23" s="1"/>
  <c r="Y74" i="23"/>
  <c r="O75" i="23"/>
  <c r="G76" i="23"/>
  <c r="G165" i="22"/>
  <c r="O165" i="22" s="1"/>
  <c r="O164" i="22"/>
  <c r="Q163" i="22"/>
  <c r="AA163" i="22" s="1"/>
  <c r="Y163" i="22"/>
  <c r="Q120" i="22"/>
  <c r="AA120" i="22" s="1"/>
  <c r="Y120" i="22"/>
  <c r="O121" i="22"/>
  <c r="K121" i="22"/>
  <c r="M120" i="22"/>
  <c r="W120" i="22" s="1"/>
  <c r="U120" i="22"/>
  <c r="Q97" i="22"/>
  <c r="AA97" i="22" s="1"/>
  <c r="Y97" i="22"/>
  <c r="O98" i="22"/>
  <c r="M97" i="22"/>
  <c r="W97" i="22" s="1"/>
  <c r="U97" i="22"/>
  <c r="K98" i="22"/>
  <c r="Y74" i="22"/>
  <c r="Q74" i="22"/>
  <c r="AA74" i="22" s="1"/>
  <c r="O75" i="22"/>
  <c r="K75" i="22"/>
  <c r="M74" i="22"/>
  <c r="W74" i="22" s="1"/>
  <c r="U74" i="22"/>
  <c r="Y51" i="22"/>
  <c r="Q51" i="22"/>
  <c r="AA51" i="22" s="1"/>
  <c r="G53" i="22"/>
  <c r="O52" i="22"/>
  <c r="M53" i="22"/>
  <c r="W53" i="22" s="1"/>
  <c r="U53" i="22"/>
  <c r="K54" i="22"/>
  <c r="E55" i="22"/>
  <c r="M171" i="21"/>
  <c r="W171" i="21" s="1"/>
  <c r="U171" i="21"/>
  <c r="K172" i="21"/>
  <c r="O104" i="21"/>
  <c r="Q115" i="21"/>
  <c r="AA115" i="21" s="1"/>
  <c r="Y115" i="21"/>
  <c r="Q103" i="21"/>
  <c r="AA103" i="21" s="1"/>
  <c r="Y103" i="21"/>
  <c r="O116" i="21"/>
  <c r="Q151" i="21"/>
  <c r="AA151" i="21" s="1"/>
  <c r="Y151" i="21"/>
  <c r="Q139" i="21"/>
  <c r="AA139" i="21" s="1"/>
  <c r="Y139" i="21"/>
  <c r="O152" i="21"/>
  <c r="O140" i="21"/>
  <c r="Y164" i="21"/>
  <c r="Q164" i="21"/>
  <c r="AA164" i="21" s="1"/>
  <c r="Q127" i="21"/>
  <c r="AA127" i="21" s="1"/>
  <c r="Y127" i="21"/>
  <c r="Q91" i="21"/>
  <c r="AA91" i="21" s="1"/>
  <c r="Y91" i="21"/>
  <c r="O165" i="21"/>
  <c r="O128" i="21"/>
  <c r="O93" i="21"/>
  <c r="O92" i="21"/>
  <c r="M147" i="21"/>
  <c r="W147" i="21" s="1"/>
  <c r="U147" i="21"/>
  <c r="M135" i="21"/>
  <c r="W135" i="21" s="1"/>
  <c r="U135" i="21"/>
  <c r="K161" i="21"/>
  <c r="K149" i="21"/>
  <c r="K148" i="21"/>
  <c r="M134" i="21"/>
  <c r="W134" i="21" s="1"/>
  <c r="U134" i="21"/>
  <c r="M160" i="21"/>
  <c r="W160" i="21" s="1"/>
  <c r="U160" i="21"/>
  <c r="U168" i="18"/>
  <c r="M168" i="18"/>
  <c r="W168" i="18" s="1"/>
  <c r="E170" i="18"/>
  <c r="K169" i="18"/>
  <c r="E80" i="18"/>
  <c r="K79" i="18"/>
  <c r="U78" i="18"/>
  <c r="M78" i="18"/>
  <c r="W78" i="18" s="1"/>
  <c r="Q150" i="18"/>
  <c r="AA150" i="18" s="1"/>
  <c r="Y150" i="18"/>
  <c r="G152" i="18"/>
  <c r="O151" i="18"/>
  <c r="U149" i="18"/>
  <c r="M149" i="18"/>
  <c r="W149" i="18" s="1"/>
  <c r="E151" i="18"/>
  <c r="K150" i="18"/>
  <c r="O127" i="18"/>
  <c r="Q126" i="18"/>
  <c r="AA126" i="18" s="1"/>
  <c r="Y126" i="18"/>
  <c r="K127" i="18"/>
  <c r="M126" i="18"/>
  <c r="W126" i="18" s="1"/>
  <c r="U126" i="18"/>
  <c r="M102" i="18"/>
  <c r="W102" i="18" s="1"/>
  <c r="U102" i="18"/>
  <c r="K103" i="18"/>
  <c r="Y102" i="18"/>
  <c r="Q102" i="18"/>
  <c r="AA102" i="18" s="1"/>
  <c r="O103" i="18"/>
  <c r="K56" i="18"/>
  <c r="E57" i="18"/>
  <c r="Q55" i="18"/>
  <c r="AA55" i="18" s="1"/>
  <c r="Y55" i="18"/>
  <c r="M55" i="18"/>
  <c r="W55" i="18" s="1"/>
  <c r="U55" i="18"/>
  <c r="O56" i="18"/>
  <c r="G57" i="18"/>
  <c r="Q190" i="1"/>
  <c r="AA190" i="1" s="1"/>
  <c r="Y190" i="1"/>
  <c r="U174" i="1"/>
  <c r="M174" i="1"/>
  <c r="W174" i="1" s="1"/>
  <c r="O191" i="1"/>
  <c r="K159" i="1"/>
  <c r="U95" i="1"/>
  <c r="M95" i="1"/>
  <c r="W95" i="1" s="1"/>
  <c r="K175" i="1"/>
  <c r="Q94" i="1"/>
  <c r="AA94" i="1" s="1"/>
  <c r="Y94" i="1"/>
  <c r="O127" i="1"/>
  <c r="M126" i="1"/>
  <c r="W126" i="1" s="1"/>
  <c r="U126" i="1"/>
  <c r="Q126" i="1"/>
  <c r="AA126" i="1" s="1"/>
  <c r="Y126" i="1"/>
  <c r="O143" i="1"/>
  <c r="M142" i="1"/>
  <c r="W142" i="1" s="1"/>
  <c r="U142" i="1"/>
  <c r="Q174" i="1"/>
  <c r="AA174" i="1" s="1"/>
  <c r="Y174" i="1"/>
  <c r="M110" i="1"/>
  <c r="W110" i="1" s="1"/>
  <c r="U110" i="1"/>
  <c r="Q110" i="1"/>
  <c r="AA110" i="1" s="1"/>
  <c r="Y110" i="1"/>
  <c r="Q142" i="1"/>
  <c r="AA142" i="1" s="1"/>
  <c r="Y142" i="1"/>
  <c r="K127" i="1"/>
  <c r="K143" i="1"/>
  <c r="O175" i="1"/>
  <c r="K112" i="1"/>
  <c r="K111" i="1"/>
  <c r="O112" i="1"/>
  <c r="O111" i="1"/>
  <c r="U158" i="1"/>
  <c r="M158" i="1"/>
  <c r="W158" i="1" s="1"/>
  <c r="U190" i="1"/>
  <c r="M190" i="1"/>
  <c r="W190" i="1" s="1"/>
  <c r="Q158" i="1"/>
  <c r="AA158" i="1" s="1"/>
  <c r="Y158" i="1"/>
  <c r="U94" i="1"/>
  <c r="M94" i="1"/>
  <c r="W94" i="1" s="1"/>
  <c r="Q95" i="1"/>
  <c r="AA95" i="1" s="1"/>
  <c r="Y95" i="1"/>
  <c r="K191" i="1"/>
  <c r="O159" i="1"/>
  <c r="Q75" i="29"/>
  <c r="AA75" i="29" s="1"/>
  <c r="Y75" i="29"/>
  <c r="M75" i="29"/>
  <c r="W75" i="29" s="1"/>
  <c r="U75" i="29"/>
  <c r="E77" i="29"/>
  <c r="K76" i="29"/>
  <c r="G77" i="29"/>
  <c r="O76" i="29"/>
  <c r="K55" i="29"/>
  <c r="E56" i="29"/>
  <c r="K56" i="29" s="1"/>
  <c r="G56" i="29"/>
  <c r="O56" i="29" s="1"/>
  <c r="O55" i="29"/>
  <c r="M54" i="29"/>
  <c r="W54" i="29" s="1"/>
  <c r="U54" i="29"/>
  <c r="Q54" i="29"/>
  <c r="AA54" i="29" s="1"/>
  <c r="Y54" i="29"/>
  <c r="G142" i="19"/>
  <c r="O141" i="19"/>
  <c r="Q140" i="19"/>
  <c r="AA140" i="19" s="1"/>
  <c r="Y140" i="19"/>
  <c r="U140" i="19"/>
  <c r="M140" i="19"/>
  <c r="W140" i="19" s="1"/>
  <c r="E142" i="19"/>
  <c r="K141" i="19"/>
  <c r="Q116" i="19"/>
  <c r="AA116" i="19" s="1"/>
  <c r="Y116" i="19"/>
  <c r="O117" i="19"/>
  <c r="G118" i="19"/>
  <c r="K117" i="19"/>
  <c r="E118" i="19"/>
  <c r="M116" i="19"/>
  <c r="W116" i="19" s="1"/>
  <c r="U116" i="19"/>
  <c r="O175" i="38" l="1"/>
  <c r="K159" i="38"/>
  <c r="Q94" i="38"/>
  <c r="AA94" i="38" s="1"/>
  <c r="Y94" i="38"/>
  <c r="Y174" i="38"/>
  <c r="Q174" i="38"/>
  <c r="AA174" i="38" s="1"/>
  <c r="M158" i="38"/>
  <c r="W158" i="38" s="1"/>
  <c r="U158" i="38"/>
  <c r="Y95" i="38"/>
  <c r="Q95" i="38"/>
  <c r="AA95" i="38" s="1"/>
  <c r="O159" i="38"/>
  <c r="U126" i="38"/>
  <c r="M126" i="38"/>
  <c r="W126" i="38" s="1"/>
  <c r="K112" i="38"/>
  <c r="K111" i="38"/>
  <c r="M95" i="38"/>
  <c r="W95" i="38" s="1"/>
  <c r="U95" i="38"/>
  <c r="M174" i="38"/>
  <c r="W174" i="38" s="1"/>
  <c r="U174" i="38"/>
  <c r="Q126" i="38"/>
  <c r="AA126" i="38" s="1"/>
  <c r="Y126" i="38"/>
  <c r="Q158" i="38"/>
  <c r="AA158" i="38" s="1"/>
  <c r="Y158" i="38"/>
  <c r="K127" i="38"/>
  <c r="U110" i="38"/>
  <c r="M110" i="38"/>
  <c r="W110" i="38" s="1"/>
  <c r="U94" i="38"/>
  <c r="M94" i="38"/>
  <c r="W94" i="38" s="1"/>
  <c r="K175" i="38"/>
  <c r="O111" i="38"/>
  <c r="O112" i="38"/>
  <c r="Q142" i="38"/>
  <c r="AA142" i="38" s="1"/>
  <c r="Y142" i="38"/>
  <c r="M142" i="38"/>
  <c r="W142" i="38" s="1"/>
  <c r="U142" i="38"/>
  <c r="O127" i="38"/>
  <c r="Y110" i="38"/>
  <c r="Q110" i="38"/>
  <c r="AA110" i="38" s="1"/>
  <c r="O143" i="38"/>
  <c r="K143" i="38"/>
  <c r="G60" i="28"/>
  <c r="O59" i="28"/>
  <c r="Q58" i="28"/>
  <c r="AA58" i="28" s="1"/>
  <c r="Y58" i="28"/>
  <c r="E60" i="28"/>
  <c r="K59" i="28"/>
  <c r="M58" i="28"/>
  <c r="W58" i="28" s="1"/>
  <c r="U58" i="28"/>
  <c r="M145" i="28"/>
  <c r="W145" i="28" s="1"/>
  <c r="U145" i="28"/>
  <c r="Q145" i="28"/>
  <c r="AA145" i="28" s="1"/>
  <c r="Y145" i="28"/>
  <c r="O146" i="28"/>
  <c r="K146" i="28"/>
  <c r="K117" i="28"/>
  <c r="M116" i="28"/>
  <c r="W116" i="28" s="1"/>
  <c r="U116" i="28"/>
  <c r="O117" i="28"/>
  <c r="Q116" i="28"/>
  <c r="AA116" i="28" s="1"/>
  <c r="Y116" i="28"/>
  <c r="O88" i="28"/>
  <c r="Q87" i="28"/>
  <c r="AA87" i="28" s="1"/>
  <c r="Y87" i="28"/>
  <c r="K88" i="28"/>
  <c r="M87" i="28"/>
  <c r="W87" i="28" s="1"/>
  <c r="U87" i="28"/>
  <c r="O182" i="27"/>
  <c r="O197" i="27"/>
  <c r="Q136" i="27"/>
  <c r="AA136" i="27" s="1"/>
  <c r="Y136" i="27"/>
  <c r="Q196" i="27"/>
  <c r="AA196" i="27" s="1"/>
  <c r="Y196" i="27"/>
  <c r="O138" i="27"/>
  <c r="O137" i="27"/>
  <c r="Q121" i="27"/>
  <c r="AA121" i="27" s="1"/>
  <c r="Y121" i="27"/>
  <c r="Y181" i="27"/>
  <c r="Q181" i="27"/>
  <c r="AA181" i="27" s="1"/>
  <c r="Y122" i="27"/>
  <c r="Q122" i="27"/>
  <c r="AA122" i="27" s="1"/>
  <c r="Q151" i="27"/>
  <c r="AA151" i="27" s="1"/>
  <c r="Y151" i="27"/>
  <c r="O167" i="27"/>
  <c r="O152" i="27"/>
  <c r="Q166" i="27"/>
  <c r="AA166" i="27" s="1"/>
  <c r="Y166" i="27"/>
  <c r="M136" i="27"/>
  <c r="W136" i="27" s="1"/>
  <c r="U136" i="27"/>
  <c r="M196" i="27"/>
  <c r="W196" i="27" s="1"/>
  <c r="U196" i="27"/>
  <c r="K182" i="27"/>
  <c r="K137" i="27"/>
  <c r="K138" i="27"/>
  <c r="U181" i="27"/>
  <c r="M181" i="27"/>
  <c r="W181" i="27" s="1"/>
  <c r="M151" i="27"/>
  <c r="W151" i="27" s="1"/>
  <c r="U151" i="27"/>
  <c r="K167" i="27"/>
  <c r="K197" i="27"/>
  <c r="K152" i="27"/>
  <c r="M166" i="27"/>
  <c r="W166" i="27" s="1"/>
  <c r="U166" i="27"/>
  <c r="M121" i="27"/>
  <c r="W121" i="27" s="1"/>
  <c r="U121" i="27"/>
  <c r="M122" i="27"/>
  <c r="W122" i="27" s="1"/>
  <c r="U122" i="27"/>
  <c r="G189" i="23"/>
  <c r="O188" i="23"/>
  <c r="Q187" i="23"/>
  <c r="AA187" i="23" s="1"/>
  <c r="Y187" i="23"/>
  <c r="E189" i="23"/>
  <c r="K188" i="23"/>
  <c r="M187" i="23"/>
  <c r="W187" i="23" s="1"/>
  <c r="U187" i="23"/>
  <c r="Q164" i="23"/>
  <c r="AA164" i="23" s="1"/>
  <c r="Y164" i="23"/>
  <c r="E166" i="23"/>
  <c r="K165" i="23"/>
  <c r="G166" i="23"/>
  <c r="O165" i="23"/>
  <c r="M164" i="23"/>
  <c r="W164" i="23" s="1"/>
  <c r="U164" i="23"/>
  <c r="G77" i="23"/>
  <c r="O76" i="23"/>
  <c r="Q75" i="23"/>
  <c r="AA75" i="23" s="1"/>
  <c r="Y75" i="23"/>
  <c r="E77" i="23"/>
  <c r="K76" i="23"/>
  <c r="M75" i="23"/>
  <c r="W75" i="23" s="1"/>
  <c r="U75" i="23"/>
  <c r="Y164" i="22"/>
  <c r="Q164" i="22"/>
  <c r="AA164" i="22" s="1"/>
  <c r="Y165" i="22"/>
  <c r="Q165" i="22"/>
  <c r="AA165" i="22" s="1"/>
  <c r="K122" i="22"/>
  <c r="M121" i="22"/>
  <c r="W121" i="22" s="1"/>
  <c r="U121" i="22"/>
  <c r="O122" i="22"/>
  <c r="Q121" i="22"/>
  <c r="AA121" i="22" s="1"/>
  <c r="Y121" i="22"/>
  <c r="K99" i="22"/>
  <c r="M98" i="22"/>
  <c r="W98" i="22" s="1"/>
  <c r="U98" i="22"/>
  <c r="Q98" i="22"/>
  <c r="AA98" i="22" s="1"/>
  <c r="Y98" i="22"/>
  <c r="O99" i="22"/>
  <c r="K76" i="22"/>
  <c r="M75" i="22"/>
  <c r="W75" i="22" s="1"/>
  <c r="U75" i="22"/>
  <c r="O76" i="22"/>
  <c r="Q75" i="22"/>
  <c r="AA75" i="22" s="1"/>
  <c r="Y75" i="22"/>
  <c r="Q52" i="22"/>
  <c r="AA52" i="22" s="1"/>
  <c r="Y52" i="22"/>
  <c r="G54" i="22"/>
  <c r="O53" i="22"/>
  <c r="E56" i="22"/>
  <c r="K56" i="22" s="1"/>
  <c r="K55" i="22"/>
  <c r="M54" i="22"/>
  <c r="W54" i="22" s="1"/>
  <c r="U54" i="22"/>
  <c r="M172" i="21"/>
  <c r="W172" i="21" s="1"/>
  <c r="U172" i="21"/>
  <c r="K173" i="21"/>
  <c r="O166" i="21"/>
  <c r="O141" i="21"/>
  <c r="O117" i="21"/>
  <c r="Y140" i="21"/>
  <c r="Q140" i="21"/>
  <c r="AA140" i="21" s="1"/>
  <c r="Q152" i="21"/>
  <c r="AA152" i="21" s="1"/>
  <c r="Y152" i="21"/>
  <c r="Q165" i="21"/>
  <c r="AA165" i="21" s="1"/>
  <c r="Y165" i="21"/>
  <c r="O153" i="21"/>
  <c r="Q92" i="21"/>
  <c r="AA92" i="21" s="1"/>
  <c r="Y92" i="21"/>
  <c r="Y93" i="21"/>
  <c r="Q93" i="21"/>
  <c r="AA93" i="21" s="1"/>
  <c r="Q116" i="21"/>
  <c r="AA116" i="21" s="1"/>
  <c r="Y116" i="21"/>
  <c r="Q128" i="21"/>
  <c r="AA128" i="21" s="1"/>
  <c r="Y128" i="21"/>
  <c r="Y104" i="21"/>
  <c r="Q104" i="21"/>
  <c r="AA104" i="21" s="1"/>
  <c r="O129" i="21"/>
  <c r="O105" i="21"/>
  <c r="M148" i="21"/>
  <c r="W148" i="21" s="1"/>
  <c r="U148" i="21"/>
  <c r="M149" i="21"/>
  <c r="W149" i="21" s="1"/>
  <c r="U149" i="21"/>
  <c r="K163" i="21"/>
  <c r="K162" i="21"/>
  <c r="M161" i="21"/>
  <c r="W161" i="21" s="1"/>
  <c r="U161" i="21"/>
  <c r="E81" i="18"/>
  <c r="K80" i="18"/>
  <c r="U169" i="18"/>
  <c r="M169" i="18"/>
  <c r="W169" i="18" s="1"/>
  <c r="K170" i="18"/>
  <c r="E171" i="18"/>
  <c r="M79" i="18"/>
  <c r="W79" i="18" s="1"/>
  <c r="U79" i="18"/>
  <c r="Q151" i="18"/>
  <c r="AA151" i="18" s="1"/>
  <c r="Y151" i="18"/>
  <c r="G153" i="18"/>
  <c r="O153" i="18" s="1"/>
  <c r="O152" i="18"/>
  <c r="M150" i="18"/>
  <c r="W150" i="18" s="1"/>
  <c r="U150" i="18"/>
  <c r="E152" i="18"/>
  <c r="K151" i="18"/>
  <c r="M127" i="18"/>
  <c r="W127" i="18" s="1"/>
  <c r="U127" i="18"/>
  <c r="K128" i="18"/>
  <c r="Q127" i="18"/>
  <c r="AA127" i="18" s="1"/>
  <c r="Y127" i="18"/>
  <c r="O128" i="18"/>
  <c r="Q103" i="18"/>
  <c r="AA103" i="18" s="1"/>
  <c r="Y103" i="18"/>
  <c r="O104" i="18"/>
  <c r="K104" i="18"/>
  <c r="U103" i="18"/>
  <c r="M103" i="18"/>
  <c r="W103" i="18" s="1"/>
  <c r="Y56" i="18"/>
  <c r="Q56" i="18"/>
  <c r="AA56" i="18" s="1"/>
  <c r="E58" i="18"/>
  <c r="K57" i="18"/>
  <c r="G58" i="18"/>
  <c r="O57" i="18"/>
  <c r="M56" i="18"/>
  <c r="W56" i="18" s="1"/>
  <c r="U56" i="18"/>
  <c r="Q143" i="1"/>
  <c r="AA143" i="1" s="1"/>
  <c r="Y143" i="1"/>
  <c r="Y191" i="1"/>
  <c r="Q191" i="1"/>
  <c r="AA191" i="1" s="1"/>
  <c r="U111" i="1"/>
  <c r="M111" i="1"/>
  <c r="W111" i="1" s="1"/>
  <c r="K192" i="1"/>
  <c r="O176" i="1"/>
  <c r="O144" i="1"/>
  <c r="O192" i="1"/>
  <c r="Y159" i="1"/>
  <c r="Q159" i="1"/>
  <c r="AA159" i="1" s="1"/>
  <c r="Q127" i="1"/>
  <c r="AA127" i="1" s="1"/>
  <c r="Y127" i="1"/>
  <c r="K160" i="1"/>
  <c r="M175" i="1"/>
  <c r="W175" i="1" s="1"/>
  <c r="U175" i="1"/>
  <c r="O160" i="1"/>
  <c r="O129" i="1"/>
  <c r="O128" i="1"/>
  <c r="M191" i="1"/>
  <c r="W191" i="1" s="1"/>
  <c r="U191" i="1"/>
  <c r="U143" i="1"/>
  <c r="M143" i="1"/>
  <c r="W143" i="1" s="1"/>
  <c r="K144" i="1"/>
  <c r="K176" i="1"/>
  <c r="U112" i="1"/>
  <c r="M112" i="1"/>
  <c r="W112" i="1" s="1"/>
  <c r="Q175" i="1"/>
  <c r="AA175" i="1" s="1"/>
  <c r="Y175" i="1"/>
  <c r="Q111" i="1"/>
  <c r="AA111" i="1" s="1"/>
  <c r="Y111" i="1"/>
  <c r="U127" i="1"/>
  <c r="M127" i="1"/>
  <c r="W127" i="1" s="1"/>
  <c r="M159" i="1"/>
  <c r="W159" i="1" s="1"/>
  <c r="U159" i="1"/>
  <c r="Q112" i="1"/>
  <c r="AA112" i="1" s="1"/>
  <c r="Y112" i="1"/>
  <c r="K129" i="1"/>
  <c r="K128" i="1"/>
  <c r="O77" i="29"/>
  <c r="G78" i="29"/>
  <c r="K77" i="29"/>
  <c r="E78" i="29"/>
  <c r="Q76" i="29"/>
  <c r="AA76" i="29" s="1"/>
  <c r="Y76" i="29"/>
  <c r="M76" i="29"/>
  <c r="W76" i="29" s="1"/>
  <c r="U76" i="29"/>
  <c r="Y56" i="29"/>
  <c r="Q56" i="29"/>
  <c r="AA56" i="29" s="1"/>
  <c r="Y55" i="29"/>
  <c r="Q55" i="29"/>
  <c r="AA55" i="29" s="1"/>
  <c r="M56" i="29"/>
  <c r="W56" i="29" s="1"/>
  <c r="U56" i="29"/>
  <c r="M55" i="29"/>
  <c r="W55" i="29" s="1"/>
  <c r="U55" i="29"/>
  <c r="Q141" i="19"/>
  <c r="AA141" i="19" s="1"/>
  <c r="Y141" i="19"/>
  <c r="G143" i="19"/>
  <c r="O142" i="19"/>
  <c r="U141" i="19"/>
  <c r="M141" i="19"/>
  <c r="W141" i="19" s="1"/>
  <c r="K142" i="19"/>
  <c r="E143" i="19"/>
  <c r="O118" i="19"/>
  <c r="G119" i="19"/>
  <c r="Y117" i="19"/>
  <c r="Q117" i="19"/>
  <c r="AA117" i="19" s="1"/>
  <c r="K118" i="19"/>
  <c r="E119" i="19"/>
  <c r="U117" i="19"/>
  <c r="M117" i="19"/>
  <c r="W117" i="19" s="1"/>
  <c r="U143" i="38" l="1"/>
  <c r="M143" i="38"/>
  <c r="W143" i="38" s="1"/>
  <c r="U127" i="38"/>
  <c r="M127" i="38"/>
  <c r="W127" i="38" s="1"/>
  <c r="O160" i="38"/>
  <c r="K144" i="38"/>
  <c r="K129" i="38"/>
  <c r="K128" i="38"/>
  <c r="Y159" i="38"/>
  <c r="Q159" i="38"/>
  <c r="AA159" i="38" s="1"/>
  <c r="M111" i="38"/>
  <c r="W111" i="38" s="1"/>
  <c r="U111" i="38"/>
  <c r="Y112" i="38"/>
  <c r="Q112" i="38"/>
  <c r="AA112" i="38" s="1"/>
  <c r="O176" i="38"/>
  <c r="Y143" i="38"/>
  <c r="Q143" i="38"/>
  <c r="AA143" i="38" s="1"/>
  <c r="M159" i="38"/>
  <c r="W159" i="38" s="1"/>
  <c r="U159" i="38"/>
  <c r="O144" i="38"/>
  <c r="K160" i="38"/>
  <c r="Q111" i="38"/>
  <c r="AA111" i="38" s="1"/>
  <c r="Y111" i="38"/>
  <c r="Q175" i="38"/>
  <c r="AA175" i="38" s="1"/>
  <c r="Y175" i="38"/>
  <c r="Q127" i="38"/>
  <c r="AA127" i="38" s="1"/>
  <c r="Y127" i="38"/>
  <c r="K176" i="38"/>
  <c r="M112" i="38"/>
  <c r="W112" i="38" s="1"/>
  <c r="U112" i="38"/>
  <c r="O129" i="38"/>
  <c r="O128" i="38"/>
  <c r="U175" i="38"/>
  <c r="M175" i="38"/>
  <c r="W175" i="38" s="1"/>
  <c r="Q59" i="28"/>
  <c r="AA59" i="28" s="1"/>
  <c r="Y59" i="28"/>
  <c r="G61" i="28"/>
  <c r="O60" i="28"/>
  <c r="U59" i="28"/>
  <c r="M59" i="28"/>
  <c r="W59" i="28" s="1"/>
  <c r="K60" i="28"/>
  <c r="E61" i="28"/>
  <c r="M146" i="28"/>
  <c r="W146" i="28" s="1"/>
  <c r="U146" i="28"/>
  <c r="K147" i="28"/>
  <c r="Q146" i="28"/>
  <c r="AA146" i="28" s="1"/>
  <c r="Y146" i="28"/>
  <c r="O147" i="28"/>
  <c r="Q117" i="28"/>
  <c r="AA117" i="28" s="1"/>
  <c r="Y117" i="28"/>
  <c r="O118" i="28"/>
  <c r="K118" i="28"/>
  <c r="M117" i="28"/>
  <c r="W117" i="28" s="1"/>
  <c r="U117" i="28"/>
  <c r="K89" i="28"/>
  <c r="M88" i="28"/>
  <c r="W88" i="28" s="1"/>
  <c r="U88" i="28"/>
  <c r="Q88" i="28"/>
  <c r="AA88" i="28" s="1"/>
  <c r="Y88" i="28"/>
  <c r="O89" i="28"/>
  <c r="Y152" i="27"/>
  <c r="Q152" i="27"/>
  <c r="AA152" i="27" s="1"/>
  <c r="O154" i="27"/>
  <c r="O153" i="27"/>
  <c r="Q167" i="27"/>
  <c r="AA167" i="27" s="1"/>
  <c r="Y167" i="27"/>
  <c r="Y197" i="27"/>
  <c r="Q197" i="27"/>
  <c r="AA197" i="27" s="1"/>
  <c r="O168" i="27"/>
  <c r="O198" i="27"/>
  <c r="Q137" i="27"/>
  <c r="AA137" i="27" s="1"/>
  <c r="Y137" i="27"/>
  <c r="O183" i="27"/>
  <c r="Q138" i="27"/>
  <c r="AA138" i="27" s="1"/>
  <c r="Y138" i="27"/>
  <c r="Q182" i="27"/>
  <c r="AA182" i="27" s="1"/>
  <c r="Y182" i="27"/>
  <c r="M197" i="27"/>
  <c r="W197" i="27" s="1"/>
  <c r="U197" i="27"/>
  <c r="K198" i="27"/>
  <c r="U137" i="27"/>
  <c r="M137" i="27"/>
  <c r="W137" i="27" s="1"/>
  <c r="M138" i="27"/>
  <c r="W138" i="27" s="1"/>
  <c r="U138" i="27"/>
  <c r="K168" i="27"/>
  <c r="K183" i="27"/>
  <c r="M167" i="27"/>
  <c r="W167" i="27" s="1"/>
  <c r="U167" i="27"/>
  <c r="M182" i="27"/>
  <c r="W182" i="27" s="1"/>
  <c r="U182" i="27"/>
  <c r="K153" i="27"/>
  <c r="K154" i="27"/>
  <c r="M152" i="27"/>
  <c r="W152" i="27" s="1"/>
  <c r="U152" i="27"/>
  <c r="M188" i="23"/>
  <c r="W188" i="23" s="1"/>
  <c r="U188" i="23"/>
  <c r="K189" i="23"/>
  <c r="E190" i="23"/>
  <c r="Q188" i="23"/>
  <c r="AA188" i="23" s="1"/>
  <c r="Y188" i="23"/>
  <c r="G190" i="23"/>
  <c r="O189" i="23"/>
  <c r="Q165" i="23"/>
  <c r="AA165" i="23" s="1"/>
  <c r="Y165" i="23"/>
  <c r="G167" i="23"/>
  <c r="O166" i="23"/>
  <c r="M165" i="23"/>
  <c r="W165" i="23" s="1"/>
  <c r="U165" i="23"/>
  <c r="K166" i="23"/>
  <c r="E167" i="23"/>
  <c r="K77" i="23"/>
  <c r="E78" i="23"/>
  <c r="Q76" i="23"/>
  <c r="AA76" i="23" s="1"/>
  <c r="Y76" i="23"/>
  <c r="M76" i="23"/>
  <c r="W76" i="23" s="1"/>
  <c r="U76" i="23"/>
  <c r="O77" i="23"/>
  <c r="G78" i="23"/>
  <c r="Q122" i="22"/>
  <c r="AA122" i="22" s="1"/>
  <c r="Y122" i="22"/>
  <c r="O123" i="22"/>
  <c r="M122" i="22"/>
  <c r="W122" i="22" s="1"/>
  <c r="U122" i="22"/>
  <c r="K123" i="22"/>
  <c r="Q99" i="22"/>
  <c r="AA99" i="22" s="1"/>
  <c r="Y99" i="22"/>
  <c r="O100" i="22"/>
  <c r="M99" i="22"/>
  <c r="W99" i="22" s="1"/>
  <c r="U99" i="22"/>
  <c r="K100" i="22"/>
  <c r="Q76" i="22"/>
  <c r="AA76" i="22" s="1"/>
  <c r="Y76" i="22"/>
  <c r="O77" i="22"/>
  <c r="M76" i="22"/>
  <c r="W76" i="22" s="1"/>
  <c r="U76" i="22"/>
  <c r="K77" i="22"/>
  <c r="Q53" i="22"/>
  <c r="AA53" i="22" s="1"/>
  <c r="Y53" i="22"/>
  <c r="O54" i="22"/>
  <c r="G55" i="22"/>
  <c r="M55" i="22"/>
  <c r="W55" i="22" s="1"/>
  <c r="U55" i="22"/>
  <c r="M56" i="22"/>
  <c r="W56" i="22" s="1"/>
  <c r="U56" i="22"/>
  <c r="M173" i="21"/>
  <c r="W173" i="21" s="1"/>
  <c r="U173" i="21"/>
  <c r="K174" i="21"/>
  <c r="Q153" i="21"/>
  <c r="AA153" i="21" s="1"/>
  <c r="Y153" i="21"/>
  <c r="Y117" i="21"/>
  <c r="Q117" i="21"/>
  <c r="AA117" i="21" s="1"/>
  <c r="O154" i="21"/>
  <c r="O118" i="21"/>
  <c r="Y105" i="21"/>
  <c r="Q105" i="21"/>
  <c r="AA105" i="21" s="1"/>
  <c r="Q141" i="21"/>
  <c r="AA141" i="21" s="1"/>
  <c r="Y141" i="21"/>
  <c r="O107" i="21"/>
  <c r="O106" i="21"/>
  <c r="O142" i="21"/>
  <c r="Q129" i="21"/>
  <c r="AA129" i="21" s="1"/>
  <c r="Y129" i="21"/>
  <c r="Q166" i="21"/>
  <c r="AA166" i="21" s="1"/>
  <c r="Y166" i="21"/>
  <c r="O130" i="21"/>
  <c r="O167" i="21"/>
  <c r="M163" i="21"/>
  <c r="W163" i="21" s="1"/>
  <c r="U163" i="21"/>
  <c r="M162" i="21"/>
  <c r="W162" i="21" s="1"/>
  <c r="U162" i="21"/>
  <c r="M170" i="18"/>
  <c r="W170" i="18" s="1"/>
  <c r="U170" i="18"/>
  <c r="K171" i="18"/>
  <c r="E172" i="18"/>
  <c r="M80" i="18"/>
  <c r="W80" i="18" s="1"/>
  <c r="U80" i="18"/>
  <c r="E82" i="18"/>
  <c r="K81" i="18"/>
  <c r="Q152" i="18"/>
  <c r="AA152" i="18" s="1"/>
  <c r="Y152" i="18"/>
  <c r="Q153" i="18"/>
  <c r="AA153" i="18" s="1"/>
  <c r="Y153" i="18"/>
  <c r="E153" i="18"/>
  <c r="K153" i="18" s="1"/>
  <c r="K152" i="18"/>
  <c r="M151" i="18"/>
  <c r="W151" i="18" s="1"/>
  <c r="U151" i="18"/>
  <c r="K129" i="18"/>
  <c r="O129" i="18"/>
  <c r="M128" i="18"/>
  <c r="W128" i="18" s="1"/>
  <c r="U128" i="18"/>
  <c r="Y128" i="18"/>
  <c r="Q128" i="18"/>
  <c r="AA128" i="18" s="1"/>
  <c r="M104" i="18"/>
  <c r="W104" i="18" s="1"/>
  <c r="U104" i="18"/>
  <c r="O105" i="18"/>
  <c r="Q104" i="18"/>
  <c r="AA104" i="18" s="1"/>
  <c r="Y104" i="18"/>
  <c r="K105" i="18"/>
  <c r="G59" i="18"/>
  <c r="O58" i="18"/>
  <c r="M57" i="18"/>
  <c r="W57" i="18" s="1"/>
  <c r="U57" i="18"/>
  <c r="K58" i="18"/>
  <c r="E59" i="18"/>
  <c r="Q57" i="18"/>
  <c r="AA57" i="18" s="1"/>
  <c r="Y57" i="18"/>
  <c r="M128" i="1"/>
  <c r="W128" i="1" s="1"/>
  <c r="U128" i="1"/>
  <c r="M129" i="1"/>
  <c r="W129" i="1" s="1"/>
  <c r="U129" i="1"/>
  <c r="K146" i="1"/>
  <c r="K145" i="1"/>
  <c r="O161" i="1"/>
  <c r="K193" i="1"/>
  <c r="O193" i="1"/>
  <c r="M192" i="1"/>
  <c r="W192" i="1" s="1"/>
  <c r="U192" i="1"/>
  <c r="M160" i="1"/>
  <c r="W160" i="1" s="1"/>
  <c r="U160" i="1"/>
  <c r="Y144" i="1"/>
  <c r="Q144" i="1"/>
  <c r="AA144" i="1" s="1"/>
  <c r="Q160" i="1"/>
  <c r="AA160" i="1" s="1"/>
  <c r="Y160" i="1"/>
  <c r="Y192" i="1"/>
  <c r="Q192" i="1"/>
  <c r="AA192" i="1" s="1"/>
  <c r="K161" i="1"/>
  <c r="O146" i="1"/>
  <c r="O145" i="1"/>
  <c r="M144" i="1"/>
  <c r="W144" i="1" s="1"/>
  <c r="U144" i="1"/>
  <c r="M176" i="1"/>
  <c r="W176" i="1" s="1"/>
  <c r="U176" i="1"/>
  <c r="Q128" i="1"/>
  <c r="AA128" i="1" s="1"/>
  <c r="Y128" i="1"/>
  <c r="Q176" i="1"/>
  <c r="AA176" i="1" s="1"/>
  <c r="Y176" i="1"/>
  <c r="K177" i="1"/>
  <c r="Q129" i="1"/>
  <c r="AA129" i="1" s="1"/>
  <c r="Y129" i="1"/>
  <c r="O177" i="1"/>
  <c r="M77" i="29"/>
  <c r="W77" i="29" s="1"/>
  <c r="U77" i="29"/>
  <c r="G79" i="29"/>
  <c r="O79" i="29" s="1"/>
  <c r="O78" i="29"/>
  <c r="E79" i="29"/>
  <c r="K79" i="29" s="1"/>
  <c r="K78" i="29"/>
  <c r="Q77" i="29"/>
  <c r="AA77" i="29" s="1"/>
  <c r="Y77" i="29"/>
  <c r="Q142" i="19"/>
  <c r="AA142" i="19" s="1"/>
  <c r="Y142" i="19"/>
  <c r="G144" i="19"/>
  <c r="O143" i="19"/>
  <c r="U142" i="19"/>
  <c r="M142" i="19"/>
  <c r="W142" i="19" s="1"/>
  <c r="E144" i="19"/>
  <c r="K143" i="19"/>
  <c r="Q118" i="19"/>
  <c r="AA118" i="19" s="1"/>
  <c r="Y118" i="19"/>
  <c r="O119" i="19"/>
  <c r="G120" i="19"/>
  <c r="K119" i="19"/>
  <c r="E120" i="19"/>
  <c r="M118" i="19"/>
  <c r="W118" i="19" s="1"/>
  <c r="U118" i="19"/>
  <c r="Y128" i="38" l="1"/>
  <c r="Q128" i="38"/>
  <c r="AA128" i="38" s="1"/>
  <c r="O161" i="38"/>
  <c r="Y129" i="38"/>
  <c r="Q129" i="38"/>
  <c r="AA129" i="38" s="1"/>
  <c r="Q160" i="38"/>
  <c r="AA160" i="38" s="1"/>
  <c r="Y160" i="38"/>
  <c r="U160" i="38"/>
  <c r="M160" i="38"/>
  <c r="W160" i="38" s="1"/>
  <c r="M129" i="38"/>
  <c r="W129" i="38" s="1"/>
  <c r="U129" i="38"/>
  <c r="Q144" i="38"/>
  <c r="AA144" i="38" s="1"/>
  <c r="Y144" i="38"/>
  <c r="U176" i="38"/>
  <c r="M176" i="38"/>
  <c r="W176" i="38" s="1"/>
  <c r="O177" i="38"/>
  <c r="O146" i="38"/>
  <c r="O145" i="38"/>
  <c r="K177" i="38"/>
  <c r="K161" i="38"/>
  <c r="U144" i="38"/>
  <c r="M144" i="38"/>
  <c r="W144" i="38" s="1"/>
  <c r="M128" i="38"/>
  <c r="W128" i="38" s="1"/>
  <c r="U128" i="38"/>
  <c r="Q176" i="38"/>
  <c r="AA176" i="38" s="1"/>
  <c r="Y176" i="38"/>
  <c r="K146" i="38"/>
  <c r="K145" i="38"/>
  <c r="Q60" i="28"/>
  <c r="AA60" i="28" s="1"/>
  <c r="Y60" i="28"/>
  <c r="G62" i="28"/>
  <c r="O61" i="28"/>
  <c r="E62" i="28"/>
  <c r="K61" i="28"/>
  <c r="M60" i="28"/>
  <c r="W60" i="28" s="1"/>
  <c r="U60" i="28"/>
  <c r="O148" i="28"/>
  <c r="Q147" i="28"/>
  <c r="AA147" i="28" s="1"/>
  <c r="Y147" i="28"/>
  <c r="M147" i="28"/>
  <c r="W147" i="28" s="1"/>
  <c r="U147" i="28"/>
  <c r="K148" i="28"/>
  <c r="M118" i="28"/>
  <c r="W118" i="28" s="1"/>
  <c r="U118" i="28"/>
  <c r="O119" i="28"/>
  <c r="K119" i="28"/>
  <c r="Q118" i="28"/>
  <c r="AA118" i="28" s="1"/>
  <c r="Y118" i="28"/>
  <c r="Q89" i="28"/>
  <c r="AA89" i="28" s="1"/>
  <c r="Y89" i="28"/>
  <c r="O90" i="28"/>
  <c r="K90" i="28"/>
  <c r="M89" i="28"/>
  <c r="W89" i="28" s="1"/>
  <c r="U89" i="28"/>
  <c r="Q183" i="27"/>
  <c r="AA183" i="27" s="1"/>
  <c r="Y183" i="27"/>
  <c r="O184" i="27"/>
  <c r="Y198" i="27"/>
  <c r="Q198" i="27"/>
  <c r="AA198" i="27" s="1"/>
  <c r="Q153" i="27"/>
  <c r="AA153" i="27" s="1"/>
  <c r="Y153" i="27"/>
  <c r="O199" i="27"/>
  <c r="Y154" i="27"/>
  <c r="Q154" i="27"/>
  <c r="AA154" i="27" s="1"/>
  <c r="O170" i="27"/>
  <c r="O169" i="27"/>
  <c r="Q168" i="27"/>
  <c r="AA168" i="27" s="1"/>
  <c r="Y168" i="27"/>
  <c r="U183" i="27"/>
  <c r="M183" i="27"/>
  <c r="W183" i="27" s="1"/>
  <c r="U198" i="27"/>
  <c r="M198" i="27"/>
  <c r="W198" i="27" s="1"/>
  <c r="K184" i="27"/>
  <c r="K199" i="27"/>
  <c r="M154" i="27"/>
  <c r="W154" i="27" s="1"/>
  <c r="U154" i="27"/>
  <c r="K169" i="27"/>
  <c r="K170" i="27"/>
  <c r="M153" i="27"/>
  <c r="W153" i="27" s="1"/>
  <c r="U153" i="27"/>
  <c r="U168" i="27"/>
  <c r="M168" i="27"/>
  <c r="W168" i="27" s="1"/>
  <c r="G191" i="23"/>
  <c r="O191" i="23" s="1"/>
  <c r="O190" i="23"/>
  <c r="E191" i="23"/>
  <c r="K191" i="23" s="1"/>
  <c r="K190" i="23"/>
  <c r="M189" i="23"/>
  <c r="W189" i="23" s="1"/>
  <c r="U189" i="23"/>
  <c r="Q189" i="23"/>
  <c r="AA189" i="23" s="1"/>
  <c r="Y189" i="23"/>
  <c r="E168" i="23"/>
  <c r="K168" i="23" s="1"/>
  <c r="K167" i="23"/>
  <c r="M166" i="23"/>
  <c r="W166" i="23" s="1"/>
  <c r="U166" i="23"/>
  <c r="Q166" i="23"/>
  <c r="AA166" i="23" s="1"/>
  <c r="Y166" i="23"/>
  <c r="G168" i="23"/>
  <c r="O168" i="23" s="1"/>
  <c r="O167" i="23"/>
  <c r="G79" i="23"/>
  <c r="O79" i="23" s="1"/>
  <c r="O78" i="23"/>
  <c r="Q77" i="23"/>
  <c r="AA77" i="23" s="1"/>
  <c r="Y77" i="23"/>
  <c r="E79" i="23"/>
  <c r="K79" i="23" s="1"/>
  <c r="K78" i="23"/>
  <c r="M77" i="23"/>
  <c r="W77" i="23" s="1"/>
  <c r="U77" i="23"/>
  <c r="K125" i="22"/>
  <c r="K124" i="22"/>
  <c r="M123" i="22"/>
  <c r="W123" i="22" s="1"/>
  <c r="U123" i="22"/>
  <c r="Q123" i="22"/>
  <c r="AA123" i="22" s="1"/>
  <c r="Y123" i="22"/>
  <c r="O125" i="22"/>
  <c r="O124" i="22"/>
  <c r="K101" i="22"/>
  <c r="K102" i="22"/>
  <c r="M100" i="22"/>
  <c r="W100" i="22" s="1"/>
  <c r="U100" i="22"/>
  <c r="O102" i="22"/>
  <c r="O101" i="22"/>
  <c r="Q100" i="22"/>
  <c r="AA100" i="22" s="1"/>
  <c r="Y100" i="22"/>
  <c r="K79" i="22"/>
  <c r="K78" i="22"/>
  <c r="M77" i="22"/>
  <c r="W77" i="22" s="1"/>
  <c r="U77" i="22"/>
  <c r="Q77" i="22"/>
  <c r="AA77" i="22" s="1"/>
  <c r="Y77" i="22"/>
  <c r="O79" i="22"/>
  <c r="O78" i="22"/>
  <c r="O55" i="22"/>
  <c r="G56" i="22"/>
  <c r="O56" i="22" s="1"/>
  <c r="Q54" i="22"/>
  <c r="AA54" i="22" s="1"/>
  <c r="Y54" i="22"/>
  <c r="M174" i="21"/>
  <c r="W174" i="21" s="1"/>
  <c r="U174" i="21"/>
  <c r="K176" i="21"/>
  <c r="K175" i="21"/>
  <c r="Y118" i="21"/>
  <c r="Q118" i="21"/>
  <c r="AA118" i="21" s="1"/>
  <c r="O168" i="21"/>
  <c r="O143" i="21"/>
  <c r="O119" i="21"/>
  <c r="Y130" i="21"/>
  <c r="Q130" i="21"/>
  <c r="AA130" i="21" s="1"/>
  <c r="Y106" i="21"/>
  <c r="Q106" i="21"/>
  <c r="AA106" i="21" s="1"/>
  <c r="Y154" i="21"/>
  <c r="Q154" i="21"/>
  <c r="AA154" i="21" s="1"/>
  <c r="O131" i="21"/>
  <c r="Q107" i="21"/>
  <c r="AA107" i="21" s="1"/>
  <c r="Y107" i="21"/>
  <c r="O155" i="21"/>
  <c r="Y142" i="21"/>
  <c r="Q142" i="21"/>
  <c r="AA142" i="21" s="1"/>
  <c r="Y167" i="21"/>
  <c r="Q167" i="21"/>
  <c r="AA167" i="21" s="1"/>
  <c r="M171" i="18"/>
  <c r="W171" i="18" s="1"/>
  <c r="U171" i="18"/>
  <c r="U81" i="18"/>
  <c r="M81" i="18"/>
  <c r="W81" i="18" s="1"/>
  <c r="E83" i="18"/>
  <c r="K82" i="18"/>
  <c r="E173" i="18"/>
  <c r="K172" i="18"/>
  <c r="U152" i="18"/>
  <c r="M152" i="18"/>
  <c r="W152" i="18" s="1"/>
  <c r="U153" i="18"/>
  <c r="M153" i="18"/>
  <c r="W153" i="18" s="1"/>
  <c r="Q129" i="18"/>
  <c r="AA129" i="18" s="1"/>
  <c r="Y129" i="18"/>
  <c r="O130" i="18"/>
  <c r="U129" i="18"/>
  <c r="M129" i="18"/>
  <c r="W129" i="18" s="1"/>
  <c r="K130" i="18"/>
  <c r="K106" i="18"/>
  <c r="Q105" i="18"/>
  <c r="AA105" i="18" s="1"/>
  <c r="Y105" i="18"/>
  <c r="O106" i="18"/>
  <c r="M105" i="18"/>
  <c r="W105" i="18" s="1"/>
  <c r="U105" i="18"/>
  <c r="M58" i="18"/>
  <c r="W58" i="18" s="1"/>
  <c r="U58" i="18"/>
  <c r="Q58" i="18"/>
  <c r="AA58" i="18" s="1"/>
  <c r="Y58" i="18"/>
  <c r="E60" i="18"/>
  <c r="K60" i="18" s="1"/>
  <c r="K59" i="18"/>
  <c r="G60" i="18"/>
  <c r="O60" i="18" s="1"/>
  <c r="O59" i="18"/>
  <c r="Y161" i="1"/>
  <c r="Q161" i="1"/>
  <c r="AA161" i="1" s="1"/>
  <c r="O178" i="1"/>
  <c r="K163" i="1"/>
  <c r="K162" i="1"/>
  <c r="O163" i="1"/>
  <c r="O162" i="1"/>
  <c r="M146" i="1"/>
  <c r="W146" i="1" s="1"/>
  <c r="U146" i="1"/>
  <c r="Y193" i="1"/>
  <c r="Q193" i="1"/>
  <c r="AA193" i="1" s="1"/>
  <c r="U161" i="1"/>
  <c r="M161" i="1"/>
  <c r="W161" i="1" s="1"/>
  <c r="O194" i="1"/>
  <c r="Y177" i="1"/>
  <c r="Q177" i="1"/>
  <c r="AA177" i="1" s="1"/>
  <c r="U177" i="1"/>
  <c r="M177" i="1"/>
  <c r="W177" i="1" s="1"/>
  <c r="K178" i="1"/>
  <c r="Y145" i="1"/>
  <c r="Q145" i="1"/>
  <c r="AA145" i="1" s="1"/>
  <c r="M193" i="1"/>
  <c r="W193" i="1" s="1"/>
  <c r="U193" i="1"/>
  <c r="U145" i="1"/>
  <c r="M145" i="1"/>
  <c r="W145" i="1" s="1"/>
  <c r="Q146" i="1"/>
  <c r="AA146" i="1" s="1"/>
  <c r="Y146" i="1"/>
  <c r="K194" i="1"/>
  <c r="M78" i="29"/>
  <c r="W78" i="29" s="1"/>
  <c r="U78" i="29"/>
  <c r="Q79" i="29"/>
  <c r="AA79" i="29" s="1"/>
  <c r="Y79" i="29"/>
  <c r="M79" i="29"/>
  <c r="W79" i="29" s="1"/>
  <c r="U79" i="29"/>
  <c r="Q78" i="29"/>
  <c r="AA78" i="29" s="1"/>
  <c r="Y78" i="29"/>
  <c r="Q143" i="19"/>
  <c r="AA143" i="19" s="1"/>
  <c r="Y143" i="19"/>
  <c r="G145" i="19"/>
  <c r="O144" i="19"/>
  <c r="K144" i="19"/>
  <c r="E145" i="19"/>
  <c r="M143" i="19"/>
  <c r="W143" i="19" s="1"/>
  <c r="U143" i="19"/>
  <c r="G121" i="19"/>
  <c r="O120" i="19"/>
  <c r="Y119" i="19"/>
  <c r="Q119" i="19"/>
  <c r="AA119" i="19" s="1"/>
  <c r="K120" i="19"/>
  <c r="E121" i="19"/>
  <c r="M119" i="19"/>
  <c r="W119" i="19" s="1"/>
  <c r="U119" i="19"/>
  <c r="M145" i="38" l="1"/>
  <c r="W145" i="38" s="1"/>
  <c r="U145" i="38"/>
  <c r="U161" i="38"/>
  <c r="M161" i="38"/>
  <c r="W161" i="38" s="1"/>
  <c r="Y145" i="38"/>
  <c r="Q145" i="38"/>
  <c r="AA145" i="38" s="1"/>
  <c r="O163" i="38"/>
  <c r="O162" i="38"/>
  <c r="M146" i="38"/>
  <c r="W146" i="38" s="1"/>
  <c r="U146" i="38"/>
  <c r="K162" i="38"/>
  <c r="K163" i="38"/>
  <c r="Y146" i="38"/>
  <c r="Q146" i="38"/>
  <c r="AA146" i="38" s="1"/>
  <c r="Q161" i="38"/>
  <c r="AA161" i="38" s="1"/>
  <c r="Y161" i="38"/>
  <c r="Q177" i="38"/>
  <c r="AA177" i="38" s="1"/>
  <c r="Y177" i="38"/>
  <c r="K178" i="38"/>
  <c r="M177" i="38"/>
  <c r="W177" i="38" s="1"/>
  <c r="U177" i="38"/>
  <c r="O178" i="38"/>
  <c r="Q61" i="28"/>
  <c r="AA61" i="28" s="1"/>
  <c r="Y61" i="28"/>
  <c r="O62" i="28"/>
  <c r="G63" i="28"/>
  <c r="U61" i="28"/>
  <c r="M61" i="28"/>
  <c r="W61" i="28" s="1"/>
  <c r="K62" i="28"/>
  <c r="E63" i="28"/>
  <c r="K149" i="28"/>
  <c r="M148" i="28"/>
  <c r="W148" i="28" s="1"/>
  <c r="U148" i="28"/>
  <c r="Y148" i="28"/>
  <c r="Q148" i="28"/>
  <c r="AA148" i="28" s="1"/>
  <c r="O149" i="28"/>
  <c r="K120" i="28"/>
  <c r="M119" i="28"/>
  <c r="W119" i="28" s="1"/>
  <c r="U119" i="28"/>
  <c r="Q119" i="28"/>
  <c r="AA119" i="28" s="1"/>
  <c r="Y119" i="28"/>
  <c r="O120" i="28"/>
  <c r="M90" i="28"/>
  <c r="W90" i="28" s="1"/>
  <c r="U90" i="28"/>
  <c r="K91" i="28"/>
  <c r="Q90" i="28"/>
  <c r="AA90" i="28" s="1"/>
  <c r="Y90" i="28"/>
  <c r="O91" i="28"/>
  <c r="Q169" i="27"/>
  <c r="AA169" i="27" s="1"/>
  <c r="Y169" i="27"/>
  <c r="Q170" i="27"/>
  <c r="AA170" i="27" s="1"/>
  <c r="Y170" i="27"/>
  <c r="O186" i="27"/>
  <c r="O185" i="27"/>
  <c r="Y184" i="27"/>
  <c r="Q184" i="27"/>
  <c r="AA184" i="27" s="1"/>
  <c r="Q199" i="27"/>
  <c r="AA199" i="27" s="1"/>
  <c r="Y199" i="27"/>
  <c r="O200" i="27"/>
  <c r="K200" i="27"/>
  <c r="M199" i="27"/>
  <c r="W199" i="27" s="1"/>
  <c r="U199" i="27"/>
  <c r="M184" i="27"/>
  <c r="W184" i="27" s="1"/>
  <c r="U184" i="27"/>
  <c r="K186" i="27"/>
  <c r="K185" i="27"/>
  <c r="M170" i="27"/>
  <c r="W170" i="27" s="1"/>
  <c r="U170" i="27"/>
  <c r="U169" i="27"/>
  <c r="M169" i="27"/>
  <c r="W169" i="27" s="1"/>
  <c r="M190" i="23"/>
  <c r="W190" i="23" s="1"/>
  <c r="U190" i="23"/>
  <c r="M191" i="23"/>
  <c r="W191" i="23" s="1"/>
  <c r="U191" i="23"/>
  <c r="Q190" i="23"/>
  <c r="AA190" i="23" s="1"/>
  <c r="Y190" i="23"/>
  <c r="Q191" i="23"/>
  <c r="AA191" i="23" s="1"/>
  <c r="Y191" i="23"/>
  <c r="Q168" i="23"/>
  <c r="AA168" i="23" s="1"/>
  <c r="Y168" i="23"/>
  <c r="Q167" i="23"/>
  <c r="AA167" i="23" s="1"/>
  <c r="Y167" i="23"/>
  <c r="M167" i="23"/>
  <c r="W167" i="23" s="1"/>
  <c r="U167" i="23"/>
  <c r="M168" i="23"/>
  <c r="W168" i="23" s="1"/>
  <c r="U168" i="23"/>
  <c r="M79" i="23"/>
  <c r="W79" i="23" s="1"/>
  <c r="U79" i="23"/>
  <c r="M78" i="23"/>
  <c r="W78" i="23" s="1"/>
  <c r="U78" i="23"/>
  <c r="Q78" i="23"/>
  <c r="AA78" i="23" s="1"/>
  <c r="Y78" i="23"/>
  <c r="Q79" i="23"/>
  <c r="AA79" i="23" s="1"/>
  <c r="Y79" i="23"/>
  <c r="Q124" i="22"/>
  <c r="AA124" i="22" s="1"/>
  <c r="Y124" i="22"/>
  <c r="Q125" i="22"/>
  <c r="AA125" i="22" s="1"/>
  <c r="Y125" i="22"/>
  <c r="M124" i="22"/>
  <c r="W124" i="22" s="1"/>
  <c r="U124" i="22"/>
  <c r="M125" i="22"/>
  <c r="W125" i="22" s="1"/>
  <c r="U125" i="22"/>
  <c r="Q102" i="22"/>
  <c r="AA102" i="22" s="1"/>
  <c r="Y102" i="22"/>
  <c r="M102" i="22"/>
  <c r="W102" i="22" s="1"/>
  <c r="U102" i="22"/>
  <c r="Q101" i="22"/>
  <c r="AA101" i="22" s="1"/>
  <c r="Y101" i="22"/>
  <c r="M101" i="22"/>
  <c r="W101" i="22" s="1"/>
  <c r="U101" i="22"/>
  <c r="Q78" i="22"/>
  <c r="AA78" i="22" s="1"/>
  <c r="Y78" i="22"/>
  <c r="Q79" i="22"/>
  <c r="AA79" i="22" s="1"/>
  <c r="Y79" i="22"/>
  <c r="M78" i="22"/>
  <c r="W78" i="22" s="1"/>
  <c r="U78" i="22"/>
  <c r="M79" i="22"/>
  <c r="W79" i="22" s="1"/>
  <c r="U79" i="22"/>
  <c r="Y56" i="22"/>
  <c r="Q56" i="22"/>
  <c r="AA56" i="22" s="1"/>
  <c r="Q55" i="22"/>
  <c r="AA55" i="22" s="1"/>
  <c r="Y55" i="22"/>
  <c r="M175" i="21"/>
  <c r="W175" i="21" s="1"/>
  <c r="U175" i="21"/>
  <c r="M176" i="21"/>
  <c r="W176" i="21" s="1"/>
  <c r="U176" i="21"/>
  <c r="Q119" i="21"/>
  <c r="AA119" i="21" s="1"/>
  <c r="Y119" i="21"/>
  <c r="O132" i="21"/>
  <c r="O121" i="21"/>
  <c r="O120" i="21"/>
  <c r="Y143" i="21"/>
  <c r="Q143" i="21"/>
  <c r="AA143" i="21" s="1"/>
  <c r="O144" i="21"/>
  <c r="Q155" i="21"/>
  <c r="AA155" i="21" s="1"/>
  <c r="Y155" i="21"/>
  <c r="O169" i="21"/>
  <c r="Q131" i="21"/>
  <c r="AA131" i="21" s="1"/>
  <c r="Y131" i="21"/>
  <c r="O156" i="21"/>
  <c r="Q168" i="21"/>
  <c r="AA168" i="21" s="1"/>
  <c r="Y168" i="21"/>
  <c r="K173" i="18"/>
  <c r="E174" i="18"/>
  <c r="K174" i="18" s="1"/>
  <c r="M82" i="18"/>
  <c r="W82" i="18" s="1"/>
  <c r="U82" i="18"/>
  <c r="K83" i="18"/>
  <c r="E84" i="18"/>
  <c r="K84" i="18" s="1"/>
  <c r="M172" i="18"/>
  <c r="W172" i="18" s="1"/>
  <c r="U172" i="18"/>
  <c r="M130" i="18"/>
  <c r="W130" i="18" s="1"/>
  <c r="U130" i="18"/>
  <c r="K132" i="18"/>
  <c r="K131" i="18"/>
  <c r="Q130" i="18"/>
  <c r="AA130" i="18" s="1"/>
  <c r="Y130" i="18"/>
  <c r="O132" i="18"/>
  <c r="O131" i="18"/>
  <c r="O108" i="18"/>
  <c r="O107" i="18"/>
  <c r="K108" i="18"/>
  <c r="K107" i="18"/>
  <c r="Y106" i="18"/>
  <c r="Q106" i="18"/>
  <c r="AA106" i="18" s="1"/>
  <c r="M106" i="18"/>
  <c r="W106" i="18" s="1"/>
  <c r="U106" i="18"/>
  <c r="Q60" i="18"/>
  <c r="AA60" i="18" s="1"/>
  <c r="Y60" i="18"/>
  <c r="M60" i="18"/>
  <c r="W60" i="18" s="1"/>
  <c r="U60" i="18"/>
  <c r="Q59" i="18"/>
  <c r="AA59" i="18" s="1"/>
  <c r="Y59" i="18"/>
  <c r="M59" i="18"/>
  <c r="W59" i="18" s="1"/>
  <c r="U59" i="18"/>
  <c r="Q163" i="1"/>
  <c r="AA163" i="1" s="1"/>
  <c r="Y163" i="1"/>
  <c r="K195" i="1"/>
  <c r="U178" i="1"/>
  <c r="M178" i="1"/>
  <c r="W178" i="1" s="1"/>
  <c r="Q178" i="1"/>
  <c r="AA178" i="1" s="1"/>
  <c r="Y178" i="1"/>
  <c r="Y162" i="1"/>
  <c r="Q162" i="1"/>
  <c r="AA162" i="1" s="1"/>
  <c r="U162" i="1"/>
  <c r="M162" i="1"/>
  <c r="W162" i="1" s="1"/>
  <c r="K180" i="1"/>
  <c r="K179" i="1"/>
  <c r="O180" i="1"/>
  <c r="O179" i="1"/>
  <c r="M194" i="1"/>
  <c r="W194" i="1" s="1"/>
  <c r="U194" i="1"/>
  <c r="O195" i="1"/>
  <c r="M163" i="1"/>
  <c r="W163" i="1" s="1"/>
  <c r="U163" i="1"/>
  <c r="Q194" i="1"/>
  <c r="AA194" i="1" s="1"/>
  <c r="Y194" i="1"/>
  <c r="Q144" i="19"/>
  <c r="AA144" i="19" s="1"/>
  <c r="Y144" i="19"/>
  <c r="G146" i="19"/>
  <c r="O146" i="19" s="1"/>
  <c r="O145" i="19"/>
  <c r="K145" i="19"/>
  <c r="E146" i="19"/>
  <c r="K146" i="19" s="1"/>
  <c r="U144" i="19"/>
  <c r="M144" i="19"/>
  <c r="W144" i="19" s="1"/>
  <c r="G122" i="19"/>
  <c r="O122" i="19" s="1"/>
  <c r="O121" i="19"/>
  <c r="Y120" i="19"/>
  <c r="Q120" i="19"/>
  <c r="AA120" i="19" s="1"/>
  <c r="E122" i="19"/>
  <c r="K122" i="19" s="1"/>
  <c r="K121" i="19"/>
  <c r="M120" i="19"/>
  <c r="W120" i="19" s="1"/>
  <c r="U120" i="19"/>
  <c r="O179" i="38" l="1"/>
  <c r="O180" i="38"/>
  <c r="Y162" i="38"/>
  <c r="Q162" i="38"/>
  <c r="AA162" i="38" s="1"/>
  <c r="Y178" i="38"/>
  <c r="Q178" i="38"/>
  <c r="AA178" i="38" s="1"/>
  <c r="Y163" i="38"/>
  <c r="Q163" i="38"/>
  <c r="AA163" i="38" s="1"/>
  <c r="M163" i="38"/>
  <c r="W163" i="38" s="1"/>
  <c r="U163" i="38"/>
  <c r="M178" i="38"/>
  <c r="W178" i="38" s="1"/>
  <c r="U178" i="38"/>
  <c r="M162" i="38"/>
  <c r="W162" i="38" s="1"/>
  <c r="U162" i="38"/>
  <c r="K179" i="38"/>
  <c r="K180" i="38"/>
  <c r="G64" i="28"/>
  <c r="O63" i="28"/>
  <c r="Q62" i="28"/>
  <c r="AA62" i="28" s="1"/>
  <c r="Y62" i="28"/>
  <c r="K63" i="28"/>
  <c r="E64" i="28"/>
  <c r="M62" i="28"/>
  <c r="W62" i="28" s="1"/>
  <c r="U62" i="28"/>
  <c r="Q149" i="28"/>
  <c r="AA149" i="28" s="1"/>
  <c r="Y149" i="28"/>
  <c r="O150" i="28"/>
  <c r="K150" i="28"/>
  <c r="M149" i="28"/>
  <c r="W149" i="28" s="1"/>
  <c r="U149" i="28"/>
  <c r="Q120" i="28"/>
  <c r="AA120" i="28" s="1"/>
  <c r="Y120" i="28"/>
  <c r="O121" i="28"/>
  <c r="K121" i="28"/>
  <c r="M120" i="28"/>
  <c r="W120" i="28" s="1"/>
  <c r="U120" i="28"/>
  <c r="Q91" i="28"/>
  <c r="AA91" i="28" s="1"/>
  <c r="Y91" i="28"/>
  <c r="O92" i="28"/>
  <c r="M91" i="28"/>
  <c r="W91" i="28" s="1"/>
  <c r="U91" i="28"/>
  <c r="K92" i="28"/>
  <c r="Y185" i="27"/>
  <c r="Q185" i="27"/>
  <c r="AA185" i="27" s="1"/>
  <c r="Q186" i="27"/>
  <c r="AA186" i="27" s="1"/>
  <c r="Y186" i="27"/>
  <c r="O202" i="27"/>
  <c r="O201" i="27"/>
  <c r="Q200" i="27"/>
  <c r="AA200" i="27" s="1"/>
  <c r="Y200" i="27"/>
  <c r="M185" i="27"/>
  <c r="W185" i="27" s="1"/>
  <c r="U185" i="27"/>
  <c r="U186" i="27"/>
  <c r="M186" i="27"/>
  <c r="W186" i="27" s="1"/>
  <c r="K202" i="27"/>
  <c r="K201" i="27"/>
  <c r="U200" i="27"/>
  <c r="M200" i="27"/>
  <c r="W200" i="27" s="1"/>
  <c r="Q169" i="21"/>
  <c r="AA169" i="21" s="1"/>
  <c r="Y169" i="21"/>
  <c r="Y120" i="21"/>
  <c r="Q120" i="21"/>
  <c r="AA120" i="21" s="1"/>
  <c r="O170" i="21"/>
  <c r="Y121" i="21"/>
  <c r="Q121" i="21"/>
  <c r="AA121" i="21" s="1"/>
  <c r="Q132" i="21"/>
  <c r="AA132" i="21" s="1"/>
  <c r="Y132" i="21"/>
  <c r="O133" i="21"/>
  <c r="Q156" i="21"/>
  <c r="AA156" i="21" s="1"/>
  <c r="Y156" i="21"/>
  <c r="Q144" i="21"/>
  <c r="AA144" i="21" s="1"/>
  <c r="Y144" i="21"/>
  <c r="O157" i="21"/>
  <c r="O145" i="21"/>
  <c r="M83" i="18"/>
  <c r="W83" i="18" s="1"/>
  <c r="U83" i="18"/>
  <c r="M174" i="18"/>
  <c r="W174" i="18" s="1"/>
  <c r="U174" i="18"/>
  <c r="M84" i="18"/>
  <c r="W84" i="18" s="1"/>
  <c r="U84" i="18"/>
  <c r="U173" i="18"/>
  <c r="M173" i="18"/>
  <c r="W173" i="18" s="1"/>
  <c r="Q131" i="18"/>
  <c r="AA131" i="18" s="1"/>
  <c r="Y131" i="18"/>
  <c r="M131" i="18"/>
  <c r="W131" i="18" s="1"/>
  <c r="U131" i="18"/>
  <c r="U132" i="18"/>
  <c r="M132" i="18"/>
  <c r="W132" i="18" s="1"/>
  <c r="Q132" i="18"/>
  <c r="AA132" i="18" s="1"/>
  <c r="Y132" i="18"/>
  <c r="U107" i="18"/>
  <c r="M107" i="18"/>
  <c r="W107" i="18" s="1"/>
  <c r="M108" i="18"/>
  <c r="W108" i="18" s="1"/>
  <c r="U108" i="18"/>
  <c r="Q107" i="18"/>
  <c r="AA107" i="18" s="1"/>
  <c r="Y107" i="18"/>
  <c r="Q108" i="18"/>
  <c r="AA108" i="18" s="1"/>
  <c r="Y108" i="18"/>
  <c r="Y180" i="1"/>
  <c r="Q180" i="1"/>
  <c r="AA180" i="1" s="1"/>
  <c r="M195" i="1"/>
  <c r="W195" i="1" s="1"/>
  <c r="U195" i="1"/>
  <c r="Q179" i="1"/>
  <c r="AA179" i="1" s="1"/>
  <c r="Y179" i="1"/>
  <c r="O197" i="1"/>
  <c r="O196" i="1"/>
  <c r="K197" i="1"/>
  <c r="K196" i="1"/>
  <c r="M179" i="1"/>
  <c r="W179" i="1" s="1"/>
  <c r="U179" i="1"/>
  <c r="M180" i="1"/>
  <c r="W180" i="1" s="1"/>
  <c r="U180" i="1"/>
  <c r="Q195" i="1"/>
  <c r="AA195" i="1" s="1"/>
  <c r="Y195" i="1"/>
  <c r="Q145" i="19"/>
  <c r="AA145" i="19" s="1"/>
  <c r="Y145" i="19"/>
  <c r="Q146" i="19"/>
  <c r="AA146" i="19" s="1"/>
  <c r="Y146" i="19"/>
  <c r="M146" i="19"/>
  <c r="W146" i="19" s="1"/>
  <c r="U146" i="19"/>
  <c r="U145" i="19"/>
  <c r="M145" i="19"/>
  <c r="W145" i="19" s="1"/>
  <c r="Q122" i="19"/>
  <c r="AA122" i="19" s="1"/>
  <c r="Y122" i="19"/>
  <c r="Y121" i="19"/>
  <c r="Q121" i="19"/>
  <c r="AA121" i="19" s="1"/>
  <c r="M121" i="19"/>
  <c r="W121" i="19" s="1"/>
  <c r="U121" i="19"/>
  <c r="M122" i="19"/>
  <c r="W122" i="19" s="1"/>
  <c r="U122" i="19"/>
  <c r="U180" i="38" l="1"/>
  <c r="M180" i="38"/>
  <c r="W180" i="38" s="1"/>
  <c r="U179" i="38"/>
  <c r="M179" i="38"/>
  <c r="W179" i="38" s="1"/>
  <c r="Q180" i="38"/>
  <c r="AA180" i="38" s="1"/>
  <c r="Y180" i="38"/>
  <c r="Q179" i="38"/>
  <c r="AA179" i="38" s="1"/>
  <c r="Y179" i="38"/>
  <c r="Q63" i="28"/>
  <c r="AA63" i="28" s="1"/>
  <c r="Y63" i="28"/>
  <c r="O64" i="28"/>
  <c r="G65" i="28"/>
  <c r="K64" i="28"/>
  <c r="E65" i="28"/>
  <c r="M63" i="28"/>
  <c r="W63" i="28" s="1"/>
  <c r="U63" i="28"/>
  <c r="M150" i="28"/>
  <c r="W150" i="28" s="1"/>
  <c r="U150" i="28"/>
  <c r="K151" i="28"/>
  <c r="Y150" i="28"/>
  <c r="Q150" i="28"/>
  <c r="AA150" i="28" s="1"/>
  <c r="O151" i="28"/>
  <c r="M121" i="28"/>
  <c r="W121" i="28" s="1"/>
  <c r="U121" i="28"/>
  <c r="K122" i="28"/>
  <c r="Q121" i="28"/>
  <c r="AA121" i="28" s="1"/>
  <c r="Y121" i="28"/>
  <c r="O122" i="28"/>
  <c r="K93" i="28"/>
  <c r="M92" i="28"/>
  <c r="W92" i="28" s="1"/>
  <c r="U92" i="28"/>
  <c r="Q92" i="28"/>
  <c r="AA92" i="28" s="1"/>
  <c r="Y92" i="28"/>
  <c r="O93" i="28"/>
  <c r="Q201" i="27"/>
  <c r="AA201" i="27" s="1"/>
  <c r="Y201" i="27"/>
  <c r="Q202" i="27"/>
  <c r="AA202" i="27" s="1"/>
  <c r="Y202" i="27"/>
  <c r="M201" i="27"/>
  <c r="W201" i="27" s="1"/>
  <c r="U201" i="27"/>
  <c r="M202" i="27"/>
  <c r="W202" i="27" s="1"/>
  <c r="U202" i="27"/>
  <c r="O171" i="21"/>
  <c r="Q170" i="21"/>
  <c r="AA170" i="21" s="1"/>
  <c r="Y170" i="21"/>
  <c r="Q145" i="21"/>
  <c r="AA145" i="21" s="1"/>
  <c r="Y145" i="21"/>
  <c r="Y133" i="21"/>
  <c r="Q133" i="21"/>
  <c r="AA133" i="21" s="1"/>
  <c r="O146" i="21"/>
  <c r="O135" i="21"/>
  <c r="O134" i="21"/>
  <c r="Q157" i="21"/>
  <c r="AA157" i="21" s="1"/>
  <c r="Y157" i="21"/>
  <c r="O158" i="21"/>
  <c r="Y197" i="1"/>
  <c r="Q197" i="1"/>
  <c r="AA197" i="1" s="1"/>
  <c r="Y196" i="1"/>
  <c r="Q196" i="1"/>
  <c r="AA196" i="1" s="1"/>
  <c r="M196" i="1"/>
  <c r="W196" i="1" s="1"/>
  <c r="U196" i="1"/>
  <c r="M197" i="1"/>
  <c r="W197" i="1" s="1"/>
  <c r="U197" i="1"/>
  <c r="G66" i="28" l="1"/>
  <c r="O65" i="28"/>
  <c r="Q64" i="28"/>
  <c r="AA64" i="28" s="1"/>
  <c r="Y64" i="28"/>
  <c r="E66" i="28"/>
  <c r="K65" i="28"/>
  <c r="M64" i="28"/>
  <c r="W64" i="28" s="1"/>
  <c r="U64" i="28"/>
  <c r="K152" i="28"/>
  <c r="O152" i="28"/>
  <c r="M151" i="28"/>
  <c r="W151" i="28" s="1"/>
  <c r="U151" i="28"/>
  <c r="Q151" i="28"/>
  <c r="AA151" i="28" s="1"/>
  <c r="Y151" i="28"/>
  <c r="O123" i="28"/>
  <c r="Q122" i="28"/>
  <c r="AA122" i="28" s="1"/>
  <c r="Y122" i="28"/>
  <c r="M122" i="28"/>
  <c r="W122" i="28" s="1"/>
  <c r="U122" i="28"/>
  <c r="K123" i="28"/>
  <c r="O94" i="28"/>
  <c r="K94" i="28"/>
  <c r="Q93" i="28"/>
  <c r="AA93" i="28" s="1"/>
  <c r="Y93" i="28"/>
  <c r="M93" i="28"/>
  <c r="W93" i="28" s="1"/>
  <c r="U93" i="28"/>
  <c r="Q134" i="21"/>
  <c r="AA134" i="21" s="1"/>
  <c r="Y134" i="21"/>
  <c r="Q146" i="21"/>
  <c r="AA146" i="21" s="1"/>
  <c r="Y146" i="21"/>
  <c r="Q171" i="21"/>
  <c r="AA171" i="21" s="1"/>
  <c r="Y171" i="21"/>
  <c r="Y158" i="21"/>
  <c r="Q158" i="21"/>
  <c r="AA158" i="21" s="1"/>
  <c r="O159" i="21"/>
  <c r="Q135" i="21"/>
  <c r="AA135" i="21" s="1"/>
  <c r="Y135" i="21"/>
  <c r="O147" i="21"/>
  <c r="O172" i="21"/>
  <c r="Q65" i="28" l="1"/>
  <c r="AA65" i="28" s="1"/>
  <c r="Y65" i="28"/>
  <c r="O66" i="28"/>
  <c r="G67" i="28"/>
  <c r="M65" i="28"/>
  <c r="W65" i="28" s="1"/>
  <c r="U65" i="28"/>
  <c r="E67" i="28"/>
  <c r="K66" i="28"/>
  <c r="Q152" i="28"/>
  <c r="AA152" i="28" s="1"/>
  <c r="Y152" i="28"/>
  <c r="O153" i="28"/>
  <c r="M152" i="28"/>
  <c r="W152" i="28" s="1"/>
  <c r="U152" i="28"/>
  <c r="K153" i="28"/>
  <c r="M123" i="28"/>
  <c r="W123" i="28" s="1"/>
  <c r="U123" i="28"/>
  <c r="K124" i="28"/>
  <c r="Q123" i="28"/>
  <c r="AA123" i="28" s="1"/>
  <c r="Y123" i="28"/>
  <c r="O124" i="28"/>
  <c r="M94" i="28"/>
  <c r="W94" i="28" s="1"/>
  <c r="U94" i="28"/>
  <c r="K95" i="28"/>
  <c r="Q94" i="28"/>
  <c r="AA94" i="28" s="1"/>
  <c r="Y94" i="28"/>
  <c r="O95" i="28"/>
  <c r="Q172" i="21"/>
  <c r="AA172" i="21" s="1"/>
  <c r="Y172" i="21"/>
  <c r="O149" i="21"/>
  <c r="O148" i="21"/>
  <c r="O173" i="21"/>
  <c r="Y159" i="21"/>
  <c r="Q159" i="21"/>
  <c r="AA159" i="21" s="1"/>
  <c r="Y147" i="21"/>
  <c r="Q147" i="21"/>
  <c r="AA147" i="21" s="1"/>
  <c r="O160" i="21"/>
  <c r="G68" i="28" l="1"/>
  <c r="O68" i="28" s="1"/>
  <c r="O67" i="28"/>
  <c r="Q66" i="28"/>
  <c r="AA66" i="28" s="1"/>
  <c r="Y66" i="28"/>
  <c r="M66" i="28"/>
  <c r="W66" i="28" s="1"/>
  <c r="U66" i="28"/>
  <c r="E68" i="28"/>
  <c r="K68" i="28" s="1"/>
  <c r="K67" i="28"/>
  <c r="O155" i="28"/>
  <c r="O154" i="28"/>
  <c r="M153" i="28"/>
  <c r="W153" i="28" s="1"/>
  <c r="U153" i="28"/>
  <c r="Q153" i="28"/>
  <c r="AA153" i="28" s="1"/>
  <c r="Y153" i="28"/>
  <c r="K155" i="28"/>
  <c r="K154" i="28"/>
  <c r="O126" i="28"/>
  <c r="O125" i="28"/>
  <c r="K125" i="28"/>
  <c r="K126" i="28"/>
  <c r="M124" i="28"/>
  <c r="W124" i="28" s="1"/>
  <c r="U124" i="28"/>
  <c r="Q124" i="28"/>
  <c r="AA124" i="28" s="1"/>
  <c r="Y124" i="28"/>
  <c r="Q95" i="28"/>
  <c r="AA95" i="28" s="1"/>
  <c r="Y95" i="28"/>
  <c r="K97" i="28"/>
  <c r="K96" i="28"/>
  <c r="O97" i="28"/>
  <c r="O96" i="28"/>
  <c r="M95" i="28"/>
  <c r="W95" i="28" s="1"/>
  <c r="U95" i="28"/>
  <c r="Q173" i="21"/>
  <c r="AA173" i="21" s="1"/>
  <c r="Y173" i="21"/>
  <c r="Y149" i="21"/>
  <c r="Q149" i="21"/>
  <c r="AA149" i="21" s="1"/>
  <c r="O174" i="21"/>
  <c r="Q148" i="21"/>
  <c r="AA148" i="21" s="1"/>
  <c r="Y148" i="21"/>
  <c r="Q160" i="21"/>
  <c r="AA160" i="21" s="1"/>
  <c r="Y160" i="21"/>
  <c r="O161" i="21"/>
  <c r="Q67" i="28" l="1"/>
  <c r="AA67" i="28" s="1"/>
  <c r="Y67" i="28"/>
  <c r="Y68" i="28"/>
  <c r="Q68" i="28"/>
  <c r="AA68" i="28" s="1"/>
  <c r="M68" i="28"/>
  <c r="W68" i="28" s="1"/>
  <c r="U68" i="28"/>
  <c r="U67" i="28"/>
  <c r="M67" i="28"/>
  <c r="W67" i="28" s="1"/>
  <c r="M155" i="28"/>
  <c r="W155" i="28" s="1"/>
  <c r="U155" i="28"/>
  <c r="Q154" i="28"/>
  <c r="AA154" i="28" s="1"/>
  <c r="Y154" i="28"/>
  <c r="M154" i="28"/>
  <c r="W154" i="28" s="1"/>
  <c r="U154" i="28"/>
  <c r="Q155" i="28"/>
  <c r="AA155" i="28" s="1"/>
  <c r="Y155" i="28"/>
  <c r="M126" i="28"/>
  <c r="W126" i="28" s="1"/>
  <c r="U126" i="28"/>
  <c r="M125" i="28"/>
  <c r="W125" i="28" s="1"/>
  <c r="U125" i="28"/>
  <c r="Q125" i="28"/>
  <c r="AA125" i="28" s="1"/>
  <c r="Y125" i="28"/>
  <c r="Q126" i="28"/>
  <c r="AA126" i="28" s="1"/>
  <c r="Y126" i="28"/>
  <c r="M97" i="28"/>
  <c r="W97" i="28" s="1"/>
  <c r="U97" i="28"/>
  <c r="Q96" i="28"/>
  <c r="AA96" i="28" s="1"/>
  <c r="Y96" i="28"/>
  <c r="M96" i="28"/>
  <c r="W96" i="28" s="1"/>
  <c r="U96" i="28"/>
  <c r="Q97" i="28"/>
  <c r="AA97" i="28" s="1"/>
  <c r="Y97" i="28"/>
  <c r="Q161" i="21"/>
  <c r="AA161" i="21" s="1"/>
  <c r="Y161" i="21"/>
  <c r="O176" i="21"/>
  <c r="O175" i="21"/>
  <c r="O163" i="21"/>
  <c r="O162" i="21"/>
  <c r="Y174" i="21"/>
  <c r="Q174" i="21"/>
  <c r="AA174" i="21" s="1"/>
  <c r="Q176" i="21" l="1"/>
  <c r="AA176" i="21" s="1"/>
  <c r="Y176" i="21"/>
  <c r="Q163" i="21"/>
  <c r="AA163" i="21" s="1"/>
  <c r="Y163" i="21"/>
  <c r="Y175" i="21"/>
  <c r="Q175" i="21"/>
  <c r="AA175" i="21" s="1"/>
  <c r="Q162" i="21"/>
  <c r="AA162" i="21" s="1"/>
  <c r="Y162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<sst xmlns="http://schemas.openxmlformats.org/spreadsheetml/2006/main" count="11245" uniqueCount="700">
  <si>
    <t>⇒</t>
    <phoneticPr fontId="1"/>
  </si>
  <si>
    <t>https://labs.d-s-b.jp/ImagemapGenerator/</t>
    <phoneticPr fontId="1"/>
  </si>
  <si>
    <t>墓所コード</t>
    <rPh sb="0" eb="2">
      <t>ボショ</t>
    </rPh>
    <phoneticPr fontId="1"/>
  </si>
  <si>
    <t>07-03</t>
  </si>
  <si>
    <t>01-03</t>
  </si>
  <si>
    <t>01-05</t>
  </si>
  <si>
    <t>01-06</t>
  </si>
  <si>
    <t>01-07</t>
  </si>
  <si>
    <t>01-08</t>
  </si>
  <si>
    <t>01-10</t>
  </si>
  <si>
    <t>01-11</t>
  </si>
  <si>
    <t>01-12</t>
  </si>
  <si>
    <t>左上Ｘ</t>
    <rPh sb="0" eb="1">
      <t>ヒダリ</t>
    </rPh>
    <rPh sb="1" eb="2">
      <t>ウエ</t>
    </rPh>
    <phoneticPr fontId="1"/>
  </si>
  <si>
    <t>左上Ｙ</t>
    <rPh sb="0" eb="1">
      <t>ヒダリ</t>
    </rPh>
    <rPh sb="1" eb="2">
      <t>ウエ</t>
    </rPh>
    <phoneticPr fontId="1"/>
  </si>
  <si>
    <t>右上Ｘ</t>
    <rPh sb="0" eb="2">
      <t>ミギウエ</t>
    </rPh>
    <phoneticPr fontId="1"/>
  </si>
  <si>
    <t>右上Ｙ</t>
    <rPh sb="0" eb="2">
      <t>ミギウエ</t>
    </rPh>
    <phoneticPr fontId="1"/>
  </si>
  <si>
    <t>右下Ｘ</t>
    <rPh sb="0" eb="2">
      <t>ミギシタ</t>
    </rPh>
    <phoneticPr fontId="1"/>
  </si>
  <si>
    <t>右下Ｙ</t>
    <rPh sb="0" eb="2">
      <t>ミギシタ</t>
    </rPh>
    <phoneticPr fontId="1"/>
  </si>
  <si>
    <t>左下Ｘ</t>
    <rPh sb="0" eb="2">
      <t>ヒダリシタ</t>
    </rPh>
    <phoneticPr fontId="1"/>
  </si>
  <si>
    <t>左下Ｙ</t>
    <rPh sb="0" eb="2">
      <t>ヒダリシタ</t>
    </rPh>
    <phoneticPr fontId="1"/>
  </si>
  <si>
    <t>02-01</t>
  </si>
  <si>
    <t>02-02</t>
  </si>
  <si>
    <t>02-03</t>
  </si>
  <si>
    <t>02-05</t>
  </si>
  <si>
    <t>02-06</t>
  </si>
  <si>
    <t>02-07</t>
  </si>
  <si>
    <t>02-08</t>
  </si>
  <si>
    <t>02-10</t>
  </si>
  <si>
    <t>02-11</t>
  </si>
  <si>
    <t>02-12</t>
  </si>
  <si>
    <t>03-01</t>
  </si>
  <si>
    <t>03-02</t>
  </si>
  <si>
    <t>03-03</t>
  </si>
  <si>
    <t>03-05</t>
  </si>
  <si>
    <t>03-06</t>
  </si>
  <si>
    <t>03-07</t>
  </si>
  <si>
    <t>03-08</t>
  </si>
  <si>
    <t>03-10</t>
  </si>
  <si>
    <t>03-11</t>
  </si>
  <si>
    <t>03-12</t>
  </si>
  <si>
    <t>05-01</t>
  </si>
  <si>
    <t>05-02</t>
  </si>
  <si>
    <t>05-03</t>
  </si>
  <si>
    <t>05-05</t>
  </si>
  <si>
    <t>05-06</t>
  </si>
  <si>
    <t>05-07</t>
  </si>
  <si>
    <t>05-08</t>
  </si>
  <si>
    <t>05-10</t>
  </si>
  <si>
    <t>05-11</t>
  </si>
  <si>
    <t>05-12</t>
  </si>
  <si>
    <t>06-01</t>
  </si>
  <si>
    <t>06-02</t>
  </si>
  <si>
    <t>06-03</t>
  </si>
  <si>
    <t>06-05</t>
  </si>
  <si>
    <t>06-06</t>
  </si>
  <si>
    <t>06-07</t>
  </si>
  <si>
    <t>06-08</t>
  </si>
  <si>
    <t>06-10</t>
  </si>
  <si>
    <t>06-11</t>
  </si>
  <si>
    <t>06-12</t>
  </si>
  <si>
    <t>07-01</t>
  </si>
  <si>
    <t>07-02</t>
  </si>
  <si>
    <t>07-05</t>
  </si>
  <si>
    <t>07-06</t>
  </si>
  <si>
    <t>07-07</t>
  </si>
  <si>
    <t>07-08</t>
  </si>
  <si>
    <t>07-10</t>
  </si>
  <si>
    <t>07-11</t>
  </si>
  <si>
    <t>07-12</t>
  </si>
  <si>
    <t>08-01</t>
  </si>
  <si>
    <t>08-02</t>
  </si>
  <si>
    <t>08-03</t>
  </si>
  <si>
    <t>08-05</t>
  </si>
  <si>
    <t>08-06</t>
  </si>
  <si>
    <t>08-07</t>
  </si>
  <si>
    <t>08-08</t>
  </si>
  <si>
    <t>08-10</t>
  </si>
  <si>
    <t>08-11</t>
  </si>
  <si>
    <t>08-12</t>
  </si>
  <si>
    <t>10-01</t>
  </si>
  <si>
    <t>10-02</t>
  </si>
  <si>
    <t>10-03</t>
  </si>
  <si>
    <t>10-05</t>
  </si>
  <si>
    <t>10-06</t>
  </si>
  <si>
    <t>10-07</t>
  </si>
  <si>
    <t>10-08</t>
  </si>
  <si>
    <t>10-10</t>
  </si>
  <si>
    <t>10-11</t>
  </si>
  <si>
    <t>10-12</t>
  </si>
  <si>
    <t>11-01</t>
  </si>
  <si>
    <t>11-02</t>
  </si>
  <si>
    <t>11-03</t>
  </si>
  <si>
    <t>11-05</t>
  </si>
  <si>
    <t>11-06</t>
  </si>
  <si>
    <t>11-07</t>
  </si>
  <si>
    <t>11-08</t>
  </si>
  <si>
    <t>11-10</t>
  </si>
  <si>
    <t>11-11</t>
  </si>
  <si>
    <t>11-12</t>
  </si>
  <si>
    <t>12-01</t>
  </si>
  <si>
    <t>12-02</t>
  </si>
  <si>
    <t>12-03</t>
  </si>
  <si>
    <t>12-05</t>
  </si>
  <si>
    <t>12-06</t>
  </si>
  <si>
    <t>12-07</t>
  </si>
  <si>
    <t>12-08</t>
  </si>
  <si>
    <t>12-10</t>
  </si>
  <si>
    <t>12-11</t>
  </si>
  <si>
    <t>12-12</t>
  </si>
  <si>
    <t>左上(Ｘ,Y)+右下(X,Y)
カンマ区切り</t>
    <rPh sb="0" eb="1">
      <t>ヒダリ</t>
    </rPh>
    <rPh sb="1" eb="2">
      <t>ウエ</t>
    </rPh>
    <rPh sb="8" eb="10">
      <t>ミギシタ</t>
    </rPh>
    <rPh sb="19" eb="21">
      <t>クギ</t>
    </rPh>
    <phoneticPr fontId="1"/>
  </si>
  <si>
    <t>コード</t>
    <phoneticPr fontId="1"/>
  </si>
  <si>
    <t>分類</t>
    <rPh sb="0" eb="2">
      <t>ブンルイ</t>
    </rPh>
    <phoneticPr fontId="1"/>
  </si>
  <si>
    <t>霊園</t>
    <rPh sb="0" eb="2">
      <t>レイエン</t>
    </rPh>
    <phoneticPr fontId="1"/>
  </si>
  <si>
    <t>エリア</t>
    <phoneticPr fontId="1"/>
  </si>
  <si>
    <t>区画</t>
    <rPh sb="0" eb="2">
      <t>クカク</t>
    </rPh>
    <phoneticPr fontId="1"/>
  </si>
  <si>
    <t>※jsonファイルが作成されます。（予定）</t>
    <rPh sb="10" eb="12">
      <t>サクセイ</t>
    </rPh>
    <rPh sb="18" eb="20">
      <t>ヨテイ</t>
    </rPh>
    <phoneticPr fontId="1"/>
  </si>
  <si>
    <t>※画像を元に各墓所の座標を調べてください。</t>
    <rPh sb="1" eb="3">
      <t>ガゾウ</t>
    </rPh>
    <rPh sb="4" eb="5">
      <t>モト</t>
    </rPh>
    <rPh sb="6" eb="7">
      <t>カク</t>
    </rPh>
    <rPh sb="7" eb="9">
      <t>ボショ</t>
    </rPh>
    <rPh sb="10" eb="12">
      <t>ザヒョウ</t>
    </rPh>
    <rPh sb="13" eb="14">
      <t>シラ</t>
    </rPh>
    <phoneticPr fontId="1"/>
  </si>
  <si>
    <t>分割1</t>
    <rPh sb="0" eb="2">
      <t>ブンカツ</t>
    </rPh>
    <phoneticPr fontId="1"/>
  </si>
  <si>
    <t>分割2</t>
    <rPh sb="0" eb="2">
      <t>ブンカツ</t>
    </rPh>
    <phoneticPr fontId="1"/>
  </si>
  <si>
    <t>分割3</t>
    <rPh sb="0" eb="2">
      <t>ブンカツ</t>
    </rPh>
    <phoneticPr fontId="1"/>
  </si>
  <si>
    <t>分割4</t>
    <rPh sb="0" eb="2">
      <t>ブンカツ</t>
    </rPh>
    <phoneticPr fontId="1"/>
  </si>
  <si>
    <t>②各墓所の座標を入力してください。（黄色）</t>
    <rPh sb="1" eb="2">
      <t>カク</t>
    </rPh>
    <rPh sb="2" eb="4">
      <t>ボショ</t>
    </rPh>
    <rPh sb="5" eb="7">
      <t>ザヒョウ</t>
    </rPh>
    <rPh sb="8" eb="10">
      <t>ニュウリョク</t>
    </rPh>
    <phoneticPr fontId="1"/>
  </si>
  <si>
    <t>◎４点座標（自動）</t>
    <rPh sb="2" eb="3">
      <t>テン</t>
    </rPh>
    <rPh sb="3" eb="5">
      <t>ザヒョウ</t>
    </rPh>
    <rPh sb="6" eb="8">
      <t>ジドウ</t>
    </rPh>
    <phoneticPr fontId="1"/>
  </si>
  <si>
    <t>◎カンマ分割（自動）</t>
    <rPh sb="4" eb="6">
      <t>ブンカツ</t>
    </rPh>
    <rPh sb="7" eb="9">
      <t>ジドウ</t>
    </rPh>
    <phoneticPr fontId="1"/>
  </si>
  <si>
    <t>◎左下原点変換（自動）</t>
    <rPh sb="1" eb="3">
      <t>ヒダリシタ</t>
    </rPh>
    <rPh sb="3" eb="5">
      <t>ゲンテン</t>
    </rPh>
    <rPh sb="5" eb="7">
      <t>ヘンカン</t>
    </rPh>
    <rPh sb="8" eb="10">
      <t>ジドウ</t>
    </rPh>
    <phoneticPr fontId="1"/>
  </si>
  <si>
    <t>⇒⇒⇒</t>
    <phoneticPr fontId="1"/>
  </si>
  <si>
    <t>画像(高さ)</t>
    <rPh sb="0" eb="2">
      <t>ガゾウ</t>
    </rPh>
    <rPh sb="3" eb="4">
      <t>タカ</t>
    </rPh>
    <phoneticPr fontId="1"/>
  </si>
  <si>
    <t>③「JSONファイル作成」ボタンを押下してください。</t>
    <rPh sb="10" eb="12">
      <t>サクセイ</t>
    </rPh>
    <rPh sb="17" eb="19">
      <t>オウカ</t>
    </rPh>
    <phoneticPr fontId="1"/>
  </si>
  <si>
    <t>Y補正</t>
    <rPh sb="1" eb="3">
      <t>ホセイ</t>
    </rPh>
    <phoneticPr fontId="1"/>
  </si>
  <si>
    <t>※実際の高さに対して、なぜかＹ方向下(マイナス)方向にズレるので補正する。</t>
    <rPh sb="1" eb="3">
      <t>ジッサイ</t>
    </rPh>
    <rPh sb="4" eb="5">
      <t>タカ</t>
    </rPh>
    <rPh sb="7" eb="8">
      <t>タイ</t>
    </rPh>
    <rPh sb="15" eb="17">
      <t>ホウコウ</t>
    </rPh>
    <rPh sb="17" eb="18">
      <t>シタ</t>
    </rPh>
    <rPh sb="24" eb="26">
      <t>ホウコウ</t>
    </rPh>
    <rPh sb="32" eb="34">
      <t>ホセイ</t>
    </rPh>
    <phoneticPr fontId="1"/>
  </si>
  <si>
    <t>335,274,376,305</t>
  </si>
  <si>
    <t>105,206,144,235</t>
  </si>
  <si>
    <t>①初期情報を入力してください。</t>
    <rPh sb="1" eb="3">
      <t>ショキ</t>
    </rPh>
    <rPh sb="3" eb="5">
      <t>ジョウホウ</t>
    </rPh>
    <rPh sb="6" eb="8">
      <t>ニュウリョク</t>
    </rPh>
    <phoneticPr fontId="1"/>
  </si>
  <si>
    <t>親鸞E</t>
    <rPh sb="0" eb="2">
      <t>シンラン</t>
    </rPh>
    <phoneticPr fontId="1"/>
  </si>
  <si>
    <t>日蓮C</t>
    <rPh sb="0" eb="2">
      <t>ニチレン</t>
    </rPh>
    <phoneticPr fontId="1"/>
  </si>
  <si>
    <t>05-17</t>
  </si>
  <si>
    <t>174,229,190,245</t>
  </si>
  <si>
    <t>06-17</t>
  </si>
  <si>
    <t>153,159,168,175</t>
  </si>
  <si>
    <t>釈尊D</t>
    <rPh sb="0" eb="2">
      <t>シャクソン</t>
    </rPh>
    <phoneticPr fontId="1"/>
  </si>
  <si>
    <t>461,111,481,132</t>
  </si>
  <si>
    <t>01-01</t>
  </si>
  <si>
    <t>01-02</t>
  </si>
  <si>
    <t>01-13</t>
  </si>
  <si>
    <t>01-15</t>
  </si>
  <si>
    <t>01-16</t>
  </si>
  <si>
    <t>01-17</t>
  </si>
  <si>
    <t>01-18</t>
  </si>
  <si>
    <t>02-13</t>
  </si>
  <si>
    <t>02-15</t>
  </si>
  <si>
    <t>02-16</t>
  </si>
  <si>
    <t>02-17</t>
  </si>
  <si>
    <t>02-18</t>
  </si>
  <si>
    <t>02-20</t>
  </si>
  <si>
    <t>03-13</t>
  </si>
  <si>
    <t>03-15</t>
  </si>
  <si>
    <t>03-16</t>
  </si>
  <si>
    <t>03-17</t>
  </si>
  <si>
    <t>03-18</t>
  </si>
  <si>
    <t>03-20</t>
  </si>
  <si>
    <t>03-21</t>
  </si>
  <si>
    <t>05-13</t>
  </si>
  <si>
    <t>05-15</t>
  </si>
  <si>
    <t>05-16</t>
  </si>
  <si>
    <t>05-18</t>
  </si>
  <si>
    <t>05-20</t>
  </si>
  <si>
    <t>05-21</t>
  </si>
  <si>
    <t>06-13</t>
  </si>
  <si>
    <t>06-15</t>
  </si>
  <si>
    <t>06-16</t>
  </si>
  <si>
    <t>06-18</t>
  </si>
  <si>
    <t>06-20</t>
  </si>
  <si>
    <t>06-21</t>
  </si>
  <si>
    <t>07-13</t>
  </si>
  <si>
    <t>07-15</t>
  </si>
  <si>
    <t>07-16</t>
  </si>
  <si>
    <t>07-17</t>
  </si>
  <si>
    <t>07-18</t>
  </si>
  <si>
    <t>07-20</t>
  </si>
  <si>
    <t>07-21</t>
  </si>
  <si>
    <t>08-13</t>
  </si>
  <si>
    <t>08-15</t>
  </si>
  <si>
    <t>08-16</t>
  </si>
  <si>
    <t>08-17</t>
  </si>
  <si>
    <t>08-18</t>
  </si>
  <si>
    <t>08-20</t>
  </si>
  <si>
    <t>08-21</t>
  </si>
  <si>
    <t>10-13</t>
  </si>
  <si>
    <t>10-15</t>
  </si>
  <si>
    <t>10-16</t>
  </si>
  <si>
    <t>10-17</t>
  </si>
  <si>
    <t>10-18</t>
  </si>
  <si>
    <t>10-20</t>
  </si>
  <si>
    <t>10-21</t>
  </si>
  <si>
    <t>11-13</t>
  </si>
  <si>
    <t>11-15</t>
  </si>
  <si>
    <t>11-16</t>
  </si>
  <si>
    <t>11-17</t>
  </si>
  <si>
    <t>11-18</t>
  </si>
  <si>
    <t>11-20</t>
  </si>
  <si>
    <t>11-21</t>
  </si>
  <si>
    <t>12-13</t>
  </si>
  <si>
    <t>12-15</t>
  </si>
  <si>
    <t>12-16</t>
  </si>
  <si>
    <t>12-17</t>
  </si>
  <si>
    <t>12-18</t>
  </si>
  <si>
    <t>12-21</t>
  </si>
  <si>
    <t>13-01</t>
  </si>
  <si>
    <t>13-02</t>
  </si>
  <si>
    <t>13-03</t>
  </si>
  <si>
    <t>13-05</t>
  </si>
  <si>
    <t>13-06</t>
  </si>
  <si>
    <t>13-07</t>
  </si>
  <si>
    <t>13-08</t>
  </si>
  <si>
    <t>13-10</t>
  </si>
  <si>
    <t>13-11</t>
  </si>
  <si>
    <t>13-12</t>
  </si>
  <si>
    <t>13-13</t>
  </si>
  <si>
    <t>13-15</t>
  </si>
  <si>
    <t>13-16</t>
  </si>
  <si>
    <t>13-17</t>
  </si>
  <si>
    <t>13-18</t>
  </si>
  <si>
    <t>13-20</t>
  </si>
  <si>
    <t>13-21</t>
  </si>
  <si>
    <t>15-01</t>
  </si>
  <si>
    <t>15-02</t>
  </si>
  <si>
    <t>15-03</t>
  </si>
  <si>
    <t>15-05</t>
  </si>
  <si>
    <t>15-06</t>
  </si>
  <si>
    <t>15-07</t>
  </si>
  <si>
    <t>15-08</t>
  </si>
  <si>
    <t>15-10</t>
  </si>
  <si>
    <t>15-11</t>
  </si>
  <si>
    <t>15-12</t>
  </si>
  <si>
    <t>15-13</t>
  </si>
  <si>
    <t>15-15</t>
  </si>
  <si>
    <t>15-16</t>
  </si>
  <si>
    <t>15-17</t>
  </si>
  <si>
    <t>15-18</t>
  </si>
  <si>
    <t>15-20</t>
  </si>
  <si>
    <t>15-21</t>
  </si>
  <si>
    <t>02-21</t>
  </si>
  <si>
    <t>12-20</t>
  </si>
  <si>
    <t>16-01</t>
  </si>
  <si>
    <t>16-02</t>
  </si>
  <si>
    <t>16-03</t>
  </si>
  <si>
    <t>16-05</t>
  </si>
  <si>
    <t>16-06</t>
  </si>
  <si>
    <t>16-07</t>
  </si>
  <si>
    <t>16-08</t>
  </si>
  <si>
    <t>16-10</t>
  </si>
  <si>
    <t>16-11</t>
  </si>
  <si>
    <t>16-12</t>
  </si>
  <si>
    <t>16-13</t>
  </si>
  <si>
    <t>16-15</t>
  </si>
  <si>
    <t>16-16</t>
  </si>
  <si>
    <t>16-17</t>
  </si>
  <si>
    <t>16-18</t>
  </si>
  <si>
    <t>16-20</t>
  </si>
  <si>
    <t>16-21</t>
  </si>
  <si>
    <t>16-22</t>
  </si>
  <si>
    <t>16-23</t>
  </si>
  <si>
    <t>16-25</t>
  </si>
  <si>
    <t>16-26</t>
  </si>
  <si>
    <t>17-01</t>
  </si>
  <si>
    <t>17-02</t>
  </si>
  <si>
    <t>17-03</t>
  </si>
  <si>
    <t>17-05</t>
  </si>
  <si>
    <t>17-06</t>
  </si>
  <si>
    <t>17-07</t>
  </si>
  <si>
    <t>17-08</t>
  </si>
  <si>
    <t>17-10</t>
  </si>
  <si>
    <t>17-11</t>
  </si>
  <si>
    <t>17-12</t>
  </si>
  <si>
    <t>17-13</t>
  </si>
  <si>
    <t>17-15</t>
  </si>
  <si>
    <t>17-16</t>
  </si>
  <si>
    <t>17-17</t>
  </si>
  <si>
    <t>17-18</t>
  </si>
  <si>
    <t>17-20</t>
  </si>
  <si>
    <t>17-21</t>
  </si>
  <si>
    <t>17-22</t>
  </si>
  <si>
    <t>17-23</t>
  </si>
  <si>
    <t>17-25</t>
  </si>
  <si>
    <t>17-26</t>
  </si>
  <si>
    <t>18-01</t>
  </si>
  <si>
    <t>18-02</t>
  </si>
  <si>
    <t>18-03</t>
  </si>
  <si>
    <t>18-05</t>
  </si>
  <si>
    <t>18-06</t>
  </si>
  <si>
    <t>18-07</t>
  </si>
  <si>
    <t>18-08</t>
  </si>
  <si>
    <t>18-10</t>
  </si>
  <si>
    <t>18-11</t>
  </si>
  <si>
    <t>18-12</t>
  </si>
  <si>
    <t>18-13</t>
  </si>
  <si>
    <t>18-15</t>
  </si>
  <si>
    <t>18-16</t>
  </si>
  <si>
    <t>18-17</t>
  </si>
  <si>
    <t>18-18</t>
  </si>
  <si>
    <t>18-20</t>
  </si>
  <si>
    <t>18-21</t>
  </si>
  <si>
    <t>18-22</t>
  </si>
  <si>
    <t>18-23</t>
  </si>
  <si>
    <t>18-25</t>
  </si>
  <si>
    <t>18-26</t>
  </si>
  <si>
    <t>18-27</t>
  </si>
  <si>
    <t>18-28</t>
  </si>
  <si>
    <t>18-30</t>
  </si>
  <si>
    <t>20-01</t>
  </si>
  <si>
    <t>20-02</t>
  </si>
  <si>
    <t>20-03</t>
  </si>
  <si>
    <t>20-05</t>
  </si>
  <si>
    <t>20-06</t>
  </si>
  <si>
    <t>20-07</t>
  </si>
  <si>
    <t>20-08</t>
  </si>
  <si>
    <t>20-10</t>
  </si>
  <si>
    <t>20-11</t>
  </si>
  <si>
    <t>20-12</t>
  </si>
  <si>
    <t>20-13</t>
  </si>
  <si>
    <t>20-15</t>
  </si>
  <si>
    <t>20-16</t>
  </si>
  <si>
    <t>20-17</t>
  </si>
  <si>
    <t>20-18</t>
  </si>
  <si>
    <t>20-20</t>
  </si>
  <si>
    <t>20-21</t>
  </si>
  <si>
    <t>20-22</t>
  </si>
  <si>
    <t>20-23</t>
  </si>
  <si>
    <t>20-25</t>
  </si>
  <si>
    <t>20-26</t>
  </si>
  <si>
    <t>20-27</t>
  </si>
  <si>
    <t>20-28</t>
  </si>
  <si>
    <t>20-30</t>
  </si>
  <si>
    <t>21-01</t>
  </si>
  <si>
    <t>21-02</t>
  </si>
  <si>
    <t>21-03</t>
  </si>
  <si>
    <t>21-05</t>
  </si>
  <si>
    <t>21-06</t>
  </si>
  <si>
    <t>21-07</t>
  </si>
  <si>
    <t>21-08</t>
  </si>
  <si>
    <t>21-10</t>
  </si>
  <si>
    <t>21-11</t>
  </si>
  <si>
    <t>21-12</t>
  </si>
  <si>
    <t>21-13</t>
  </si>
  <si>
    <t>21-15</t>
  </si>
  <si>
    <t>21-16</t>
  </si>
  <si>
    <t>21-17</t>
  </si>
  <si>
    <t>21-18</t>
  </si>
  <si>
    <t>21-20</t>
  </si>
  <si>
    <t>21-21</t>
  </si>
  <si>
    <t>21-22</t>
  </si>
  <si>
    <t>21-23</t>
  </si>
  <si>
    <t>21-25</t>
  </si>
  <si>
    <t>21-26</t>
  </si>
  <si>
    <t>21-27</t>
  </si>
  <si>
    <t>21-28</t>
  </si>
  <si>
    <t>21-30</t>
  </si>
  <si>
    <t>22-01</t>
  </si>
  <si>
    <t>22-02</t>
  </si>
  <si>
    <t>22-03</t>
  </si>
  <si>
    <t>22-05</t>
  </si>
  <si>
    <t>22-06</t>
  </si>
  <si>
    <t>22-07</t>
  </si>
  <si>
    <t>22-08</t>
  </si>
  <si>
    <t>22-10</t>
  </si>
  <si>
    <t>22-11</t>
  </si>
  <si>
    <t>22-12</t>
  </si>
  <si>
    <t>22-13</t>
  </si>
  <si>
    <t>22-15</t>
  </si>
  <si>
    <t>22-16</t>
  </si>
  <si>
    <t>22-17</t>
  </si>
  <si>
    <t>22-18</t>
  </si>
  <si>
    <t>22-20</t>
  </si>
  <si>
    <t>22-21</t>
  </si>
  <si>
    <t>22-22</t>
  </si>
  <si>
    <t>22-23</t>
  </si>
  <si>
    <t>22-25</t>
  </si>
  <si>
    <t>22-26</t>
  </si>
  <si>
    <t>22-27</t>
  </si>
  <si>
    <t>22-28</t>
  </si>
  <si>
    <t>22-30</t>
  </si>
  <si>
    <t>22-31</t>
  </si>
  <si>
    <t>23-01</t>
  </si>
  <si>
    <t>23-02</t>
  </si>
  <si>
    <t>23-03</t>
  </si>
  <si>
    <t>23-05</t>
  </si>
  <si>
    <t>23-06</t>
  </si>
  <si>
    <t>23-07</t>
  </si>
  <si>
    <t>23-08</t>
  </si>
  <si>
    <t>23-11</t>
  </si>
  <si>
    <t>23-12</t>
  </si>
  <si>
    <t>23-13</t>
  </si>
  <si>
    <t>23-15</t>
  </si>
  <si>
    <t>23-16</t>
  </si>
  <si>
    <t>23-17</t>
  </si>
  <si>
    <t>23-18</t>
  </si>
  <si>
    <t>23-20</t>
  </si>
  <si>
    <t>23-21</t>
  </si>
  <si>
    <t>23-22</t>
  </si>
  <si>
    <t>23-23</t>
  </si>
  <si>
    <t>23-25</t>
  </si>
  <si>
    <t>23-26</t>
  </si>
  <si>
    <t>23-27</t>
  </si>
  <si>
    <t>23-28</t>
  </si>
  <si>
    <t>23-30</t>
  </si>
  <si>
    <t>23-31</t>
  </si>
  <si>
    <t>23-10</t>
  </si>
  <si>
    <t>01-20</t>
  </si>
  <si>
    <t>01-21</t>
  </si>
  <si>
    <t>01-22</t>
  </si>
  <si>
    <t>01-23</t>
  </si>
  <si>
    <t>01-25</t>
  </si>
  <si>
    <t>01-26</t>
  </si>
  <si>
    <t>01-27</t>
  </si>
  <si>
    <t>01-28</t>
  </si>
  <si>
    <t>01-30</t>
  </si>
  <si>
    <t>01-31</t>
  </si>
  <si>
    <t>02-22</t>
  </si>
  <si>
    <t>02-23</t>
  </si>
  <si>
    <t>02-25</t>
  </si>
  <si>
    <t>02-26</t>
  </si>
  <si>
    <t>02-27</t>
  </si>
  <si>
    <t>02-28</t>
  </si>
  <si>
    <t>02-30</t>
  </si>
  <si>
    <t>03-22</t>
  </si>
  <si>
    <t>03-23</t>
  </si>
  <si>
    <t>03-25</t>
  </si>
  <si>
    <t>03-26</t>
  </si>
  <si>
    <t>03-27</t>
  </si>
  <si>
    <t>03-28</t>
  </si>
  <si>
    <t>03-30</t>
  </si>
  <si>
    <t>05-22</t>
  </si>
  <si>
    <t>05-23</t>
  </si>
  <si>
    <t>05-25</t>
  </si>
  <si>
    <t>05-26</t>
  </si>
  <si>
    <t>05-27</t>
  </si>
  <si>
    <t>05-28</t>
  </si>
  <si>
    <t>06-22</t>
  </si>
  <si>
    <t>06-23</t>
  </si>
  <si>
    <t>06-25</t>
  </si>
  <si>
    <t>07-22</t>
  </si>
  <si>
    <t>07-23</t>
  </si>
  <si>
    <t>07-25</t>
  </si>
  <si>
    <t>07-26</t>
  </si>
  <si>
    <t>07-27</t>
  </si>
  <si>
    <t>07-28</t>
  </si>
  <si>
    <t>08-22</t>
  </si>
  <si>
    <t>08-23</t>
  </si>
  <si>
    <t>08-25</t>
  </si>
  <si>
    <t>08-26</t>
  </si>
  <si>
    <t>08-27</t>
  </si>
  <si>
    <t>08-28</t>
  </si>
  <si>
    <t>10-22</t>
  </si>
  <si>
    <t>10-23</t>
  </si>
  <si>
    <t>10-25</t>
  </si>
  <si>
    <t>10-26</t>
  </si>
  <si>
    <t>10-27</t>
  </si>
  <si>
    <t>10-28</t>
  </si>
  <si>
    <t>11-22</t>
  </si>
  <si>
    <t>11-23</t>
  </si>
  <si>
    <t>11-25</t>
  </si>
  <si>
    <t>11-26</t>
  </si>
  <si>
    <t>11-27</t>
  </si>
  <si>
    <t>11-28</t>
  </si>
  <si>
    <t>11-30</t>
  </si>
  <si>
    <t>11-31</t>
  </si>
  <si>
    <t>11-32</t>
  </si>
  <si>
    <t>11-33</t>
  </si>
  <si>
    <t>11-35</t>
  </si>
  <si>
    <t>12-22</t>
  </si>
  <si>
    <t>12-23</t>
  </si>
  <si>
    <t>12-25</t>
  </si>
  <si>
    <t>12-26</t>
  </si>
  <si>
    <t>12-27</t>
  </si>
  <si>
    <t>12-28</t>
  </si>
  <si>
    <t>12-30</t>
  </si>
  <si>
    <t>12-31</t>
  </si>
  <si>
    <t>12-32</t>
  </si>
  <si>
    <t>12-33</t>
  </si>
  <si>
    <t>12-35</t>
  </si>
  <si>
    <t>12-36</t>
  </si>
  <si>
    <t>12-37</t>
  </si>
  <si>
    <t>12-38</t>
  </si>
  <si>
    <t>12-50</t>
  </si>
  <si>
    <t>13-22</t>
  </si>
  <si>
    <t>13-23</t>
  </si>
  <si>
    <t>13-25</t>
  </si>
  <si>
    <t>13-26</t>
  </si>
  <si>
    <t>13-27</t>
  </si>
  <si>
    <t>13-28</t>
  </si>
  <si>
    <t>13-30</t>
  </si>
  <si>
    <t>13-31</t>
  </si>
  <si>
    <t>13-32</t>
  </si>
  <si>
    <t>13-33</t>
  </si>
  <si>
    <t>13-35</t>
  </si>
  <si>
    <t>13-36</t>
  </si>
  <si>
    <t>13-37</t>
  </si>
  <si>
    <t>13-38</t>
  </si>
  <si>
    <t>13-50</t>
  </si>
  <si>
    <t>15-22</t>
  </si>
  <si>
    <t>15-23</t>
  </si>
  <si>
    <t>15-25</t>
  </si>
  <si>
    <t>15-26</t>
  </si>
  <si>
    <t>15-27</t>
  </si>
  <si>
    <t>15-28</t>
  </si>
  <si>
    <t>15-30</t>
  </si>
  <si>
    <t>15-31</t>
  </si>
  <si>
    <t>15-32</t>
  </si>
  <si>
    <t>15-33</t>
  </si>
  <si>
    <t>15-35</t>
  </si>
  <si>
    <t>15-36</t>
  </si>
  <si>
    <t>15-37</t>
  </si>
  <si>
    <t>15-38</t>
  </si>
  <si>
    <t>15-50</t>
  </si>
  <si>
    <t>16-27</t>
  </si>
  <si>
    <t>16-28</t>
  </si>
  <si>
    <t>16-30</t>
  </si>
  <si>
    <t>16-31</t>
  </si>
  <si>
    <t>16-32</t>
  </si>
  <si>
    <t>16-33</t>
  </si>
  <si>
    <t>16-35</t>
  </si>
  <si>
    <t>16-36</t>
  </si>
  <si>
    <t>16-37</t>
  </si>
  <si>
    <t>16-38</t>
  </si>
  <si>
    <t>16-50</t>
  </si>
  <si>
    <t>17-27</t>
  </si>
  <si>
    <t>17-28</t>
  </si>
  <si>
    <t>17-30</t>
  </si>
  <si>
    <t>17-31</t>
  </si>
  <si>
    <t>17-32</t>
  </si>
  <si>
    <t>17-33</t>
  </si>
  <si>
    <t>17-35</t>
  </si>
  <si>
    <t>17-36</t>
  </si>
  <si>
    <t>17-37</t>
  </si>
  <si>
    <t>17-38</t>
  </si>
  <si>
    <t>17-50</t>
  </si>
  <si>
    <t>18-31</t>
  </si>
  <si>
    <t>18-32</t>
  </si>
  <si>
    <t>18-33</t>
  </si>
  <si>
    <t>18-35</t>
  </si>
  <si>
    <t>18-36</t>
  </si>
  <si>
    <t>18-37</t>
  </si>
  <si>
    <t>18-38</t>
  </si>
  <si>
    <t>18-50</t>
  </si>
  <si>
    <t>20-31</t>
  </si>
  <si>
    <t>20-32</t>
  </si>
  <si>
    <t>01-32</t>
  </si>
  <si>
    <t>01-33</t>
  </si>
  <si>
    <t>01-35</t>
  </si>
  <si>
    <t>02-31</t>
  </si>
  <si>
    <t>02-32</t>
  </si>
  <si>
    <t>02-33</t>
  </si>
  <si>
    <t>02-35</t>
  </si>
  <si>
    <t>02-36</t>
  </si>
  <si>
    <t>03-31</t>
  </si>
  <si>
    <t>03-32</t>
  </si>
  <si>
    <t>03-33</t>
  </si>
  <si>
    <t>03-35</t>
  </si>
  <si>
    <t>03-36</t>
  </si>
  <si>
    <t>05-30</t>
  </si>
  <si>
    <t>05-31</t>
  </si>
  <si>
    <t>05-32</t>
  </si>
  <si>
    <t>05-33</t>
  </si>
  <si>
    <t>05-35</t>
  </si>
  <si>
    <t>05-36</t>
  </si>
  <si>
    <t>06-26</t>
  </si>
  <si>
    <t>06-27</t>
  </si>
  <si>
    <t>06-28</t>
  </si>
  <si>
    <t>06-30</t>
  </si>
  <si>
    <t>06-31</t>
  </si>
  <si>
    <t>06-32</t>
  </si>
  <si>
    <t>06-33</t>
  </si>
  <si>
    <t>06-35</t>
  </si>
  <si>
    <t>06-36</t>
  </si>
  <si>
    <t>07-30</t>
  </si>
  <si>
    <t>07-31</t>
  </si>
  <si>
    <t>07-32</t>
  </si>
  <si>
    <t>07-33</t>
  </si>
  <si>
    <t>07-35</t>
  </si>
  <si>
    <t>07-36</t>
  </si>
  <si>
    <t>01-1㎡</t>
  </si>
  <si>
    <t>02-1㎡</t>
  </si>
  <si>
    <t>03-1㎡</t>
  </si>
  <si>
    <t>05-1㎡</t>
  </si>
  <si>
    <t>06-1㎡</t>
  </si>
  <si>
    <t>07-1㎡</t>
  </si>
  <si>
    <t>08-1㎡</t>
  </si>
  <si>
    <t>10-1㎡</t>
  </si>
  <si>
    <t>11-1㎡</t>
  </si>
  <si>
    <t>12-1㎡</t>
  </si>
  <si>
    <t>13-1㎡</t>
  </si>
  <si>
    <t>15-1㎡</t>
  </si>
  <si>
    <t>16-1㎡</t>
  </si>
  <si>
    <t>17-1㎡</t>
  </si>
  <si>
    <t>18-1㎡</t>
  </si>
  <si>
    <t>20-1㎡</t>
  </si>
  <si>
    <t>21-1㎡</t>
  </si>
  <si>
    <t>22-1㎡</t>
  </si>
  <si>
    <t>23-1㎡</t>
  </si>
  <si>
    <t>25-1㎡</t>
  </si>
  <si>
    <t>26-1㎡</t>
  </si>
  <si>
    <t>27-1㎡</t>
  </si>
  <si>
    <t>28-1㎡</t>
  </si>
  <si>
    <t>30-1㎡</t>
  </si>
  <si>
    <t>31-1㎡</t>
  </si>
  <si>
    <t>32-1㎡</t>
  </si>
  <si>
    <t>33-1㎡</t>
  </si>
  <si>
    <t>35-1㎡</t>
  </si>
  <si>
    <t>36-1㎡</t>
  </si>
  <si>
    <t>37-1㎡</t>
  </si>
  <si>
    <t>38-1㎡</t>
  </si>
  <si>
    <t>50-1㎡</t>
  </si>
  <si>
    <t>51-1㎡</t>
  </si>
  <si>
    <t>52-1㎡</t>
  </si>
  <si>
    <t>53-1㎡</t>
  </si>
  <si>
    <t>55-1㎡</t>
  </si>
  <si>
    <t>56-1㎡</t>
  </si>
  <si>
    <t>57-1㎡</t>
  </si>
  <si>
    <t>58-1㎡</t>
  </si>
  <si>
    <t>60-1㎡</t>
  </si>
  <si>
    <t>61-1㎡</t>
  </si>
  <si>
    <t>62-1㎡</t>
  </si>
  <si>
    <t>63-1㎡</t>
  </si>
  <si>
    <t>65-1㎡</t>
  </si>
  <si>
    <t>01-3㎡</t>
  </si>
  <si>
    <t>02-3㎡</t>
  </si>
  <si>
    <t>03-3㎡</t>
  </si>
  <si>
    <t>05-3㎡</t>
  </si>
  <si>
    <t>06-3㎡</t>
  </si>
  <si>
    <t>07-3㎡</t>
  </si>
  <si>
    <t>08-3㎡</t>
  </si>
  <si>
    <t>10-3㎡</t>
  </si>
  <si>
    <t>11-225㎡</t>
  </si>
  <si>
    <t>12-225㎡</t>
  </si>
  <si>
    <t>13-225㎡</t>
  </si>
  <si>
    <t>15-225㎡</t>
  </si>
  <si>
    <t>16-225㎡</t>
  </si>
  <si>
    <t>17-225㎡</t>
  </si>
  <si>
    <t>18-225㎡</t>
  </si>
  <si>
    <t>20-225㎡</t>
  </si>
  <si>
    <t>21-225㎡</t>
  </si>
  <si>
    <t>22-225㎡</t>
  </si>
  <si>
    <t>23-225㎡</t>
  </si>
  <si>
    <t>25-225㎡</t>
  </si>
  <si>
    <t>26-225㎡</t>
  </si>
  <si>
    <t>27-225㎡</t>
  </si>
  <si>
    <t>28-225㎡</t>
  </si>
  <si>
    <t>30-225㎡</t>
  </si>
  <si>
    <t>01-4㎡</t>
  </si>
  <si>
    <t>02-4㎡</t>
  </si>
  <si>
    <t>03-4㎡</t>
  </si>
  <si>
    <t>05-4㎡</t>
  </si>
  <si>
    <t>06-4㎡</t>
  </si>
  <si>
    <t>07-３㎡</t>
  </si>
  <si>
    <t>11-3㎡</t>
  </si>
  <si>
    <t>12-3㎡</t>
  </si>
  <si>
    <t>13-3㎡</t>
  </si>
  <si>
    <t>15-3㎡</t>
  </si>
  <si>
    <t>16-3㎡</t>
  </si>
  <si>
    <t>17-3㎡</t>
  </si>
  <si>
    <t>18-3㎡</t>
  </si>
  <si>
    <t>07-4㎡</t>
  </si>
  <si>
    <t>08-4㎡</t>
  </si>
  <si>
    <t>10-4㎡</t>
  </si>
  <si>
    <t>11-4㎡</t>
  </si>
  <si>
    <t>12-4㎡</t>
  </si>
  <si>
    <t>13-4㎡</t>
  </si>
  <si>
    <t>15-4㎡</t>
  </si>
  <si>
    <t>16-4㎡</t>
  </si>
  <si>
    <t>17-4㎡</t>
  </si>
  <si>
    <t>18-4㎡</t>
  </si>
  <si>
    <t>20-3㎡</t>
  </si>
  <si>
    <t>21-3㎡</t>
  </si>
  <si>
    <t>22-3㎡</t>
  </si>
  <si>
    <t>23-3㎡</t>
  </si>
  <si>
    <t>25-3㎡</t>
  </si>
  <si>
    <t>26-3㎡</t>
  </si>
  <si>
    <t>27-3㎡</t>
  </si>
  <si>
    <t>28-3㎡</t>
  </si>
  <si>
    <t>30-3㎡</t>
  </si>
  <si>
    <t>31-3㎡</t>
  </si>
  <si>
    <t>32-3㎡</t>
  </si>
  <si>
    <t>33-3㎡</t>
  </si>
  <si>
    <t>35-3㎡</t>
  </si>
  <si>
    <t>36-3㎡</t>
  </si>
  <si>
    <t>37-3㎡</t>
  </si>
  <si>
    <t>05-09</t>
  </si>
  <si>
    <t>06-09</t>
  </si>
  <si>
    <t>07-09</t>
  </si>
  <si>
    <t>釈ｼﾝD</t>
    <rPh sb="0" eb="1">
      <t>シャク</t>
    </rPh>
    <phoneticPr fontId="1"/>
  </si>
  <si>
    <t>緑風</t>
    <rPh sb="0" eb="2">
      <t>リョクフウ</t>
    </rPh>
    <phoneticPr fontId="1"/>
  </si>
  <si>
    <t>250,184,276,211</t>
    <phoneticPr fontId="1"/>
  </si>
  <si>
    <t>258,423,270,432</t>
    <phoneticPr fontId="1"/>
  </si>
  <si>
    <t>05-4㎡</t>
    <phoneticPr fontId="1"/>
  </si>
  <si>
    <t>66</t>
  </si>
  <si>
    <t>67</t>
  </si>
  <si>
    <t>105</t>
  </si>
  <si>
    <t>96</t>
  </si>
  <si>
    <t>等間隔の関数で計算⇒</t>
    <rPh sb="0" eb="3">
      <t>トウカンカク</t>
    </rPh>
    <rPh sb="4" eb="6">
      <t>カンスウ</t>
    </rPh>
    <rPh sb="7" eb="9">
      <t>ケイサン</t>
    </rPh>
    <phoneticPr fontId="1"/>
  </si>
  <si>
    <t>01-06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</si>
</sst>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u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name val="Yu Gothic"/>
      <family val="2"/>
      <scheme val="minor"/>
    </font>
    <font>
      <sz val="11"/>
      <color rgb="FF0070C0"/>
      <name val="Yu Gothic"/>
      <family val="2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0070C0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49" fontId="2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3" fillId="0" borderId="0" xfId="1" applyAlignment="1">
      <alignment vertical="top"/>
    </xf>
    <xf numFmtId="49" fontId="0" fillId="3" borderId="1" xfId="0" applyNumberFormat="1" applyFill="1" applyBorder="1" applyAlignment="1">
      <alignment horizontal="center" vertical="top"/>
    </xf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horizontal="center" vertical="top"/>
    </xf>
    <xf numFmtId="49" fontId="0" fillId="2" borderId="1" xfId="0" applyNumberFormat="1" applyFill="1" applyBorder="1" applyAlignment="1">
      <alignment horizontal="center" vertical="top"/>
    </xf>
    <xf numFmtId="0" fontId="0" fillId="4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3" borderId="2" xfId="0" applyFill="1" applyBorder="1" applyAlignment="1">
      <alignment horizontal="center" vertical="top"/>
    </xf>
    <xf numFmtId="0" fontId="0" fillId="3" borderId="3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49" fontId="0" fillId="5" borderId="1" xfId="0" applyNumberFormat="1" applyFill="1" applyBorder="1" applyAlignment="1">
      <alignment horizontal="center" vertical="top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0" fillId="6" borderId="1" xfId="0" applyFill="1" applyBorder="1" applyAlignment="1">
      <alignment horizontal="center" vertical="top"/>
    </xf>
    <xf numFmtId="0" fontId="4" fillId="0" borderId="0" xfId="0" applyFont="1" applyAlignment="1">
      <alignment vertical="top"/>
    </xf>
    <xf numFmtId="0" fontId="6" fillId="6" borderId="1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49" fontId="0" fillId="8" borderId="1" xfId="0" applyNumberFormat="1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7" fillId="2" borderId="1" xfId="0" applyFont="1" applyFill="1" applyBorder="1" applyAlignment="1">
      <alignment horizontal="center" vertical="top"/>
    </xf>
    <xf numFmtId="0" fontId="4" fillId="2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49" fontId="8" fillId="2" borderId="1" xfId="0" applyNumberFormat="1" applyFont="1" applyFill="1" applyBorder="1" applyAlignment="1">
      <alignment horizontal="center" vertical="top"/>
    </xf>
    <xf numFmtId="0" fontId="9" fillId="2" borderId="1" xfId="0" applyFont="1" applyFill="1" applyBorder="1" applyAlignment="1">
      <alignment horizontal="center" vertical="top"/>
    </xf>
    <xf numFmtId="0" fontId="4" fillId="9" borderId="1" xfId="0" applyFont="1" applyFill="1" applyBorder="1" applyAlignment="1">
      <alignment horizontal="center" vertical="top"/>
    </xf>
    <xf numFmtId="0" fontId="0" fillId="9" borderId="1" xfId="0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/>
    </xf>
    <xf numFmtId="0" fontId="0" fillId="5" borderId="4" xfId="0" applyFill="1" applyBorder="1" applyAlignment="1">
      <alignment horizontal="center" vertical="top"/>
    </xf>
    <xf numFmtId="0" fontId="0" fillId="5" borderId="5" xfId="0" applyFill="1" applyBorder="1" applyAlignment="1">
      <alignment horizontal="center" vertical="top"/>
    </xf>
    <xf numFmtId="0" fontId="0" fillId="5" borderId="6" xfId="0" applyFill="1" applyBorder="1" applyAlignment="1">
      <alignment horizontal="center" vertical="top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049" name="Button 1" descr="JSONファイル作成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9937" name="Button 1" descr="JSONファイル作成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1025" name="Button 1" descr="JSONファイル作成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19457" name="Button 1" descr="JSONファイル作成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0481" name="Button 1" descr="JSONファイル作成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1505" name="Button 1" descr="JSONファイル作成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2529" name="Button 1" descr="JSONファイル作成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6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3553" name="Button 1" descr="JSONファイル作成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4577" name="Button 1" descr="JSONファイル作成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5601" name="Button 1" descr="JSONファイル作成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6625" name="Button 1" descr="JSONファイル作成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7649" name="Button 1" descr="JSONファイル作成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B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8673" name="Button 1" descr="JSONファイル作成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62465" name="Button 1" descr="JSONファイル作成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E34AA284-3B73-460C-844D-65B3029ED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9697" name="Button 1" descr="JSONファイル作成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0721" name="Button 1" descr="JSONファイル作成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1745" name="Button 1" descr="JSONファイル作成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2769" name="Button 1" descr="JSONファイル作成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3793" name="Button 1" descr="JSONファイル作成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4817" name="Button 1" descr="JSONファイル作成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5841" name="Button 1" descr="JSONファイル作成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6865" name="Button 1" descr="JSONファイル作成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7889" name="Button 1" descr="JSONファイル作成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8913" name="Button 1" descr="JSONファイル作成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3.xml"/><Relationship Id="rId4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2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0325B-3640-482A-BDB0-197965D3C3BB}">
  <sheetPr codeName="Sheet2">
    <pageSetUpPr fitToPage="1"/>
  </sheetPr>
  <dimension ref="A1:AB22"/>
  <sheetViews>
    <sheetView tabSelected="1" workbookViewId="0">
      <pane ySplit="10" topLeftCell="A11" activePane="bottomLeft" state="frozen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SEC_11_3_サンプル.json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SEC_11_3_サンプル.png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サンプル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133</v>
      </c>
      <c r="B11" s="9"/>
      <c r="C11" s="4" t="s">
        <v>0</v>
      </c>
      <c r="D11" s="10" t="str" cm="1">
        <f t="array" ref="D11">IF(B11&lt;&gt;"",_xlfn.TEXTSPLIT(B11, ","),"")</f>
        <v/>
      </c>
      <c r="E11" s="10"/>
      <c r="F11" s="10"/>
      <c r="G11" s="10"/>
      <c r="H11" s="4" t="s">
        <v>0</v>
      </c>
      <c r="I11" s="16" t="str">
        <f t="shared" ref="I11:I22" si="0">A11</f>
        <v>親鸞E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親鸞E</v>
      </c>
      <c r="T11" s="14">
        <f>IF(J11&lt;&gt;"",J11,"")</f>
        <v>0</v>
      </c>
      <c r="U11" s="18">
        <f>IF(K11&lt;&gt;"",U$6-K11,"")</f>
        <v>750</v>
      </c>
      <c r="V11" s="14">
        <f t="shared" ref="V11:Z22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3</v>
      </c>
      <c r="B12" s="9" t="s">
        <v>130</v>
      </c>
      <c r="C12" s="4" t="s">
        <v>0</v>
      </c>
      <c r="D12" s="10" t="str" cm="1">
        <f t="array" ref="D12:G12">IF(B12&lt;&gt;"",_xlfn.TEXTSPLIT(B12, ","),"")</f>
        <v>335</v>
      </c>
      <c r="E12" s="10" t="str">
        <v>274</v>
      </c>
      <c r="F12" s="10" t="str">
        <v>376</v>
      </c>
      <c r="G12" s="10" t="str">
        <v>305</v>
      </c>
      <c r="H12" s="4" t="s">
        <v>0</v>
      </c>
      <c r="I12" s="16" t="str">
        <f t="shared" si="0"/>
        <v>07-03</v>
      </c>
      <c r="J12" s="14" t="str">
        <f t="shared" ref="J12:K22" si="2">IF(D12&lt;&gt;"",D12,0)</f>
        <v>335</v>
      </c>
      <c r="K12" s="15" t="str">
        <f t="shared" si="2"/>
        <v>274</v>
      </c>
      <c r="L12" s="17" t="str">
        <f t="shared" ref="L12:L22" si="3">N12</f>
        <v>376</v>
      </c>
      <c r="M12" s="18" t="str">
        <f t="shared" ref="M12:M22" si="4">K12</f>
        <v>274</v>
      </c>
      <c r="N12" s="14" t="str">
        <f t="shared" ref="N12:O22" si="5">IF(F12&lt;&gt;"",F12,0)</f>
        <v>376</v>
      </c>
      <c r="O12" s="15" t="str">
        <f t="shared" si="5"/>
        <v>305</v>
      </c>
      <c r="P12" s="17" t="str">
        <f t="shared" ref="P12:P22" si="6">J12</f>
        <v>335</v>
      </c>
      <c r="Q12" s="18" t="str">
        <f t="shared" ref="Q12:Q22" si="7">O12</f>
        <v>305</v>
      </c>
      <c r="R12" s="4" t="s">
        <v>0</v>
      </c>
      <c r="S12" s="16" t="str">
        <f t="shared" ref="S12:S22" si="8">I12</f>
        <v>07-03</v>
      </c>
      <c r="T12" s="14" t="str">
        <f t="shared" ref="T12:T22" si="9">IF(J12&lt;&gt;"",J12,"")</f>
        <v>335</v>
      </c>
      <c r="U12" s="18">
        <f t="shared" ref="U12:U22" si="10">IF(K12&lt;&gt;"",U$6-K12,"")</f>
        <v>476</v>
      </c>
      <c r="V12" s="14" t="str">
        <f t="shared" si="1"/>
        <v>376</v>
      </c>
      <c r="W12" s="18">
        <f t="shared" ref="W12:W22" si="11">IF(M12&lt;&gt;"",W$6-M12,"")</f>
        <v>476</v>
      </c>
      <c r="X12" s="14" t="str">
        <f t="shared" si="1"/>
        <v>376</v>
      </c>
      <c r="Y12" s="18">
        <f t="shared" ref="Y12:Y22" si="12">IF(O12&lt;&gt;"",Y$6-O12,"")</f>
        <v>445</v>
      </c>
      <c r="Z12" s="14" t="str">
        <f t="shared" si="1"/>
        <v>335</v>
      </c>
      <c r="AA12" s="18">
        <f t="shared" ref="AA12:AA22" si="13">IF(Q12&lt;&gt;"",AA$6-Q12,"")</f>
        <v>445</v>
      </c>
      <c r="AB12" s="4" t="s">
        <v>0</v>
      </c>
    </row>
    <row r="13" spans="1:28">
      <c r="A13" s="9" t="s">
        <v>77</v>
      </c>
      <c r="B13" s="9" t="s">
        <v>131</v>
      </c>
      <c r="C13" s="4" t="s">
        <v>0</v>
      </c>
      <c r="D13" s="10" t="str" cm="1">
        <f t="array" ref="D13:G13">IF(B13&lt;&gt;"",_xlfn.TEXTSPLIT(B13, ","),"")</f>
        <v>105</v>
      </c>
      <c r="E13" s="10" t="str">
        <v>206</v>
      </c>
      <c r="F13" s="10" t="str">
        <v>144</v>
      </c>
      <c r="G13" s="10" t="str">
        <v>235</v>
      </c>
      <c r="H13" s="4" t="s">
        <v>0</v>
      </c>
      <c r="I13" s="16" t="str">
        <f t="shared" si="0"/>
        <v>08-11</v>
      </c>
      <c r="J13" s="14" t="str">
        <f t="shared" si="2"/>
        <v>105</v>
      </c>
      <c r="K13" s="15" t="str">
        <f t="shared" si="2"/>
        <v>206</v>
      </c>
      <c r="L13" s="17" t="str">
        <f t="shared" si="3"/>
        <v>144</v>
      </c>
      <c r="M13" s="18" t="str">
        <f t="shared" si="4"/>
        <v>206</v>
      </c>
      <c r="N13" s="14" t="str">
        <f t="shared" si="5"/>
        <v>144</v>
      </c>
      <c r="O13" s="15" t="str">
        <f t="shared" si="5"/>
        <v>235</v>
      </c>
      <c r="P13" s="17" t="str">
        <f t="shared" si="6"/>
        <v>105</v>
      </c>
      <c r="Q13" s="18" t="str">
        <f t="shared" si="7"/>
        <v>235</v>
      </c>
      <c r="R13" s="4" t="s">
        <v>0</v>
      </c>
      <c r="S13" s="16" t="str">
        <f t="shared" si="8"/>
        <v>08-11</v>
      </c>
      <c r="T13" s="14" t="str">
        <f t="shared" si="9"/>
        <v>105</v>
      </c>
      <c r="U13" s="18">
        <f t="shared" si="10"/>
        <v>544</v>
      </c>
      <c r="V13" s="14" t="str">
        <f t="shared" si="1"/>
        <v>144</v>
      </c>
      <c r="W13" s="18">
        <f t="shared" si="11"/>
        <v>544</v>
      </c>
      <c r="X13" s="14" t="str">
        <f t="shared" si="1"/>
        <v>144</v>
      </c>
      <c r="Y13" s="18">
        <f t="shared" si="12"/>
        <v>515</v>
      </c>
      <c r="Z13" s="14" t="str">
        <f t="shared" si="1"/>
        <v>105</v>
      </c>
      <c r="AA13" s="18">
        <f t="shared" si="13"/>
        <v>515</v>
      </c>
      <c r="AB13" s="4" t="s">
        <v>0</v>
      </c>
    </row>
    <row r="14" spans="1:28">
      <c r="A14" s="9" t="s">
        <v>134</v>
      </c>
      <c r="B14" s="9"/>
      <c r="C14" s="4" t="s">
        <v>0</v>
      </c>
      <c r="D14" s="10" t="str" cm="1">
        <f t="array" ref="D14">IF(B14&lt;&gt;"",_xlfn.TEXTSPLIT(B14, ","),"")</f>
        <v/>
      </c>
      <c r="E14" s="10"/>
      <c r="F14" s="10"/>
      <c r="G14" s="10"/>
      <c r="H14" s="4" t="s">
        <v>0</v>
      </c>
      <c r="I14" s="16" t="str">
        <f t="shared" si="0"/>
        <v>日蓮C</v>
      </c>
      <c r="J14" s="14">
        <f t="shared" si="2"/>
        <v>0</v>
      </c>
      <c r="K14" s="15">
        <f t="shared" si="2"/>
        <v>0</v>
      </c>
      <c r="L14" s="17">
        <f t="shared" si="3"/>
        <v>0</v>
      </c>
      <c r="M14" s="18">
        <f t="shared" si="4"/>
        <v>0</v>
      </c>
      <c r="N14" s="14">
        <f t="shared" si="5"/>
        <v>0</v>
      </c>
      <c r="O14" s="15">
        <f t="shared" si="5"/>
        <v>0</v>
      </c>
      <c r="P14" s="17">
        <f t="shared" si="6"/>
        <v>0</v>
      </c>
      <c r="Q14" s="18">
        <f t="shared" si="7"/>
        <v>0</v>
      </c>
      <c r="R14" s="4" t="s">
        <v>0</v>
      </c>
      <c r="S14" s="16" t="str">
        <f t="shared" si="8"/>
        <v>日蓮C</v>
      </c>
      <c r="T14" s="14">
        <f t="shared" si="9"/>
        <v>0</v>
      </c>
      <c r="U14" s="18">
        <f t="shared" si="10"/>
        <v>750</v>
      </c>
      <c r="V14" s="14">
        <f t="shared" si="1"/>
        <v>0</v>
      </c>
      <c r="W14" s="18">
        <f t="shared" si="11"/>
        <v>750</v>
      </c>
      <c r="X14" s="14">
        <f t="shared" si="1"/>
        <v>0</v>
      </c>
      <c r="Y14" s="18">
        <f t="shared" si="12"/>
        <v>750</v>
      </c>
      <c r="Z14" s="14">
        <f t="shared" si="1"/>
        <v>0</v>
      </c>
      <c r="AA14" s="18">
        <f t="shared" si="13"/>
        <v>750</v>
      </c>
      <c r="AB14" s="4" t="s">
        <v>0</v>
      </c>
    </row>
    <row r="15" spans="1:28">
      <c r="A15" s="9" t="s">
        <v>135</v>
      </c>
      <c r="B15" s="9" t="s">
        <v>136</v>
      </c>
      <c r="C15" s="4" t="s">
        <v>0</v>
      </c>
      <c r="D15" s="10" t="str" cm="1">
        <f t="array" ref="D15:G15">IF(B15&lt;&gt;"",_xlfn.TEXTSPLIT(B15, ","),"")</f>
        <v>174</v>
      </c>
      <c r="E15" s="10" t="str">
        <v>229</v>
      </c>
      <c r="F15" s="10" t="str">
        <v>190</v>
      </c>
      <c r="G15" s="10" t="str">
        <v>245</v>
      </c>
      <c r="H15" s="4" t="s">
        <v>0</v>
      </c>
      <c r="I15" s="11" t="str">
        <f t="shared" si="0"/>
        <v>05-17</v>
      </c>
      <c r="J15" s="14" t="str">
        <f t="shared" si="2"/>
        <v>174</v>
      </c>
      <c r="K15" s="15" t="str">
        <f t="shared" si="2"/>
        <v>229</v>
      </c>
      <c r="L15" s="17" t="str">
        <f t="shared" si="3"/>
        <v>190</v>
      </c>
      <c r="M15" s="18" t="str">
        <f t="shared" si="4"/>
        <v>229</v>
      </c>
      <c r="N15" s="14" t="str">
        <f t="shared" si="5"/>
        <v>190</v>
      </c>
      <c r="O15" s="15" t="str">
        <f t="shared" si="5"/>
        <v>245</v>
      </c>
      <c r="P15" s="17" t="str">
        <f t="shared" si="6"/>
        <v>174</v>
      </c>
      <c r="Q15" s="18" t="str">
        <f t="shared" si="7"/>
        <v>245</v>
      </c>
      <c r="R15" s="4" t="s">
        <v>0</v>
      </c>
      <c r="S15" s="16" t="str">
        <f t="shared" si="8"/>
        <v>05-17</v>
      </c>
      <c r="T15" s="14" t="str">
        <f t="shared" si="9"/>
        <v>174</v>
      </c>
      <c r="U15" s="18">
        <f t="shared" si="10"/>
        <v>521</v>
      </c>
      <c r="V15" s="14" t="str">
        <f t="shared" si="1"/>
        <v>190</v>
      </c>
      <c r="W15" s="18">
        <f t="shared" si="11"/>
        <v>521</v>
      </c>
      <c r="X15" s="14" t="str">
        <f t="shared" si="1"/>
        <v>190</v>
      </c>
      <c r="Y15" s="18">
        <f t="shared" si="12"/>
        <v>505</v>
      </c>
      <c r="Z15" s="14" t="str">
        <f t="shared" si="1"/>
        <v>174</v>
      </c>
      <c r="AA15" s="18">
        <f t="shared" si="13"/>
        <v>505</v>
      </c>
      <c r="AB15" s="4" t="s">
        <v>0</v>
      </c>
    </row>
    <row r="16" spans="1:28">
      <c r="A16" s="9" t="s">
        <v>137</v>
      </c>
      <c r="B16" s="9" t="s">
        <v>138</v>
      </c>
      <c r="C16" s="4" t="s">
        <v>0</v>
      </c>
      <c r="D16" s="10" t="str" cm="1">
        <f t="array" ref="D16:G16">IF(B16&lt;&gt;"",_xlfn.TEXTSPLIT(B16, ","),"")</f>
        <v>153</v>
      </c>
      <c r="E16" s="10" t="str">
        <v>159</v>
      </c>
      <c r="F16" s="10" t="str">
        <v>168</v>
      </c>
      <c r="G16" s="10" t="str">
        <v>175</v>
      </c>
      <c r="H16" s="4" t="s">
        <v>0</v>
      </c>
      <c r="I16" s="11" t="str">
        <f t="shared" si="0"/>
        <v>06-17</v>
      </c>
      <c r="J16" s="14" t="str">
        <f t="shared" si="2"/>
        <v>153</v>
      </c>
      <c r="K16" s="15" t="str">
        <f t="shared" si="2"/>
        <v>159</v>
      </c>
      <c r="L16" s="17" t="str">
        <f t="shared" si="3"/>
        <v>168</v>
      </c>
      <c r="M16" s="18" t="str">
        <f t="shared" si="4"/>
        <v>159</v>
      </c>
      <c r="N16" s="14" t="str">
        <f t="shared" si="5"/>
        <v>168</v>
      </c>
      <c r="O16" s="15" t="str">
        <f t="shared" si="5"/>
        <v>175</v>
      </c>
      <c r="P16" s="17" t="str">
        <f t="shared" si="6"/>
        <v>153</v>
      </c>
      <c r="Q16" s="18" t="str">
        <f t="shared" si="7"/>
        <v>175</v>
      </c>
      <c r="R16" s="4" t="s">
        <v>0</v>
      </c>
      <c r="S16" s="16" t="str">
        <f t="shared" si="8"/>
        <v>06-17</v>
      </c>
      <c r="T16" s="14" t="str">
        <f t="shared" si="9"/>
        <v>153</v>
      </c>
      <c r="U16" s="18">
        <f t="shared" si="10"/>
        <v>591</v>
      </c>
      <c r="V16" s="14" t="str">
        <f t="shared" si="1"/>
        <v>168</v>
      </c>
      <c r="W16" s="18">
        <f t="shared" si="11"/>
        <v>591</v>
      </c>
      <c r="X16" s="14" t="str">
        <f t="shared" si="1"/>
        <v>168</v>
      </c>
      <c r="Y16" s="18">
        <f t="shared" si="12"/>
        <v>575</v>
      </c>
      <c r="Z16" s="14" t="str">
        <f t="shared" si="1"/>
        <v>153</v>
      </c>
      <c r="AA16" s="18">
        <f t="shared" si="13"/>
        <v>575</v>
      </c>
      <c r="AB16" s="4" t="s">
        <v>0</v>
      </c>
    </row>
    <row r="17" spans="1:28">
      <c r="A17" s="9" t="s">
        <v>139</v>
      </c>
      <c r="B17" s="9"/>
      <c r="C17" s="4" t="s">
        <v>0</v>
      </c>
      <c r="D17" s="10" t="str" cm="1">
        <f t="array" ref="D17">IF(B17&lt;&gt;"",_xlfn.TEXTSPLIT(B17, ","),"")</f>
        <v/>
      </c>
      <c r="E17" s="10"/>
      <c r="F17" s="10"/>
      <c r="G17" s="10"/>
      <c r="H17" s="4" t="s">
        <v>0</v>
      </c>
      <c r="I17" s="11" t="str">
        <f t="shared" ref="I17:I20" si="14">A17</f>
        <v>釈尊D</v>
      </c>
      <c r="J17" s="14">
        <f t="shared" ref="J17:J20" si="15">IF(D17&lt;&gt;"",D17,0)</f>
        <v>0</v>
      </c>
      <c r="K17" s="15">
        <f t="shared" ref="K17:K20" si="16">IF(E17&lt;&gt;"",E17,0)</f>
        <v>0</v>
      </c>
      <c r="L17" s="17">
        <f t="shared" ref="L17:L20" si="17">N17</f>
        <v>0</v>
      </c>
      <c r="M17" s="18">
        <f t="shared" ref="M17:M20" si="18">K17</f>
        <v>0</v>
      </c>
      <c r="N17" s="14">
        <f t="shared" ref="N17:N20" si="19">IF(F17&lt;&gt;"",F17,0)</f>
        <v>0</v>
      </c>
      <c r="O17" s="15">
        <f t="shared" ref="O17:O20" si="20">IF(G17&lt;&gt;"",G17,0)</f>
        <v>0</v>
      </c>
      <c r="P17" s="17">
        <f t="shared" ref="P17:P20" si="21">J17</f>
        <v>0</v>
      </c>
      <c r="Q17" s="18">
        <f t="shared" ref="Q17:Q20" si="22">O17</f>
        <v>0</v>
      </c>
      <c r="R17" s="4" t="s">
        <v>0</v>
      </c>
      <c r="S17" s="16" t="str">
        <f t="shared" ref="S17:S20" si="23">I17</f>
        <v>釈尊D</v>
      </c>
      <c r="T17" s="14">
        <f t="shared" ref="T17:T20" si="24">IF(J17&lt;&gt;"",J17,"")</f>
        <v>0</v>
      </c>
      <c r="U17" s="18">
        <f t="shared" ref="U17:U20" si="25">IF(K17&lt;&gt;"",U$6-K17,"")</f>
        <v>750</v>
      </c>
      <c r="V17" s="14">
        <f t="shared" ref="V17:V20" si="26">IF(L17&lt;&gt;"",L17,"")</f>
        <v>0</v>
      </c>
      <c r="W17" s="18">
        <f t="shared" ref="W17:W20" si="27">IF(M17&lt;&gt;"",W$6-M17,"")</f>
        <v>750</v>
      </c>
      <c r="X17" s="14">
        <f t="shared" ref="X17:X20" si="28">IF(N17&lt;&gt;"",N17,"")</f>
        <v>0</v>
      </c>
      <c r="Y17" s="18">
        <f t="shared" ref="Y17:Y20" si="29">IF(O17&lt;&gt;"",Y$6-O17,"")</f>
        <v>750</v>
      </c>
      <c r="Z17" s="14">
        <f t="shared" ref="Z17:Z20" si="30">IF(P17&lt;&gt;"",P17,"")</f>
        <v>0</v>
      </c>
      <c r="AA17" s="18">
        <f t="shared" ref="AA17:AA20" si="31">IF(Q17&lt;&gt;"",AA$6-Q17,"")</f>
        <v>750</v>
      </c>
      <c r="AB17" s="4" t="s">
        <v>0</v>
      </c>
    </row>
    <row r="18" spans="1:28">
      <c r="A18" s="9" t="s">
        <v>30</v>
      </c>
      <c r="B18" s="9" t="s">
        <v>140</v>
      </c>
      <c r="C18" s="4" t="s">
        <v>0</v>
      </c>
      <c r="D18" s="10" t="str" cm="1">
        <f t="array" ref="D18:G18">IF(B18&lt;&gt;"",_xlfn.TEXTSPLIT(B18, ","),"")</f>
        <v>461</v>
      </c>
      <c r="E18" s="10" t="str">
        <v>111</v>
      </c>
      <c r="F18" s="10" t="str">
        <v>481</v>
      </c>
      <c r="G18" s="10" t="str">
        <v>132</v>
      </c>
      <c r="H18" s="4" t="s">
        <v>0</v>
      </c>
      <c r="I18" s="11" t="str">
        <f t="shared" si="14"/>
        <v>03-01</v>
      </c>
      <c r="J18" s="14" t="str">
        <f t="shared" si="15"/>
        <v>461</v>
      </c>
      <c r="K18" s="15" t="str">
        <f t="shared" si="16"/>
        <v>111</v>
      </c>
      <c r="L18" s="17" t="str">
        <f t="shared" si="17"/>
        <v>481</v>
      </c>
      <c r="M18" s="18" t="str">
        <f t="shared" si="18"/>
        <v>111</v>
      </c>
      <c r="N18" s="14" t="str">
        <f t="shared" si="19"/>
        <v>481</v>
      </c>
      <c r="O18" s="15" t="str">
        <f t="shared" si="20"/>
        <v>132</v>
      </c>
      <c r="P18" s="17" t="str">
        <f t="shared" si="21"/>
        <v>461</v>
      </c>
      <c r="Q18" s="18" t="str">
        <f t="shared" si="22"/>
        <v>132</v>
      </c>
      <c r="R18" s="4" t="s">
        <v>0</v>
      </c>
      <c r="S18" s="16" t="str">
        <f t="shared" si="23"/>
        <v>03-01</v>
      </c>
      <c r="T18" s="14" t="str">
        <f t="shared" si="24"/>
        <v>461</v>
      </c>
      <c r="U18" s="18">
        <f t="shared" si="25"/>
        <v>639</v>
      </c>
      <c r="V18" s="14" t="str">
        <f t="shared" si="26"/>
        <v>481</v>
      </c>
      <c r="W18" s="18">
        <f t="shared" si="27"/>
        <v>639</v>
      </c>
      <c r="X18" s="14" t="str">
        <f t="shared" si="28"/>
        <v>481</v>
      </c>
      <c r="Y18" s="18">
        <f t="shared" si="29"/>
        <v>618</v>
      </c>
      <c r="Z18" s="14" t="str">
        <f t="shared" si="30"/>
        <v>461</v>
      </c>
      <c r="AA18" s="18">
        <f t="shared" si="31"/>
        <v>618</v>
      </c>
      <c r="AB18" s="4" t="s">
        <v>0</v>
      </c>
    </row>
    <row r="19" spans="1:28">
      <c r="A19" s="9" t="s">
        <v>689</v>
      </c>
      <c r="B19" s="9"/>
      <c r="C19" s="4" t="s">
        <v>0</v>
      </c>
      <c r="D19" s="10" t="str" cm="1">
        <f t="array" ref="D19">IF(B19&lt;&gt;"",_xlfn.TEXTSPLIT(B19, ","),"")</f>
        <v/>
      </c>
      <c r="E19" s="10"/>
      <c r="F19" s="10"/>
      <c r="G19" s="10"/>
      <c r="H19" s="4" t="s">
        <v>0</v>
      </c>
      <c r="I19" s="11" t="str">
        <f t="shared" si="14"/>
        <v>釈ｼﾝD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釈ｼﾝD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693</v>
      </c>
      <c r="B20" s="9" t="s">
        <v>691</v>
      </c>
      <c r="C20" s="4" t="s">
        <v>0</v>
      </c>
      <c r="D20" s="10" t="str" cm="1">
        <f t="array" ref="D20:G20">IF(B20&lt;&gt;"",_xlfn.TEXTSPLIT(B20, ","),"")</f>
        <v>250</v>
      </c>
      <c r="E20" s="10" t="str">
        <v>184</v>
      </c>
      <c r="F20" s="10" t="str">
        <v>276</v>
      </c>
      <c r="G20" s="10" t="str">
        <v>211</v>
      </c>
      <c r="H20" s="4" t="s">
        <v>0</v>
      </c>
      <c r="I20" s="11" t="str">
        <f t="shared" si="14"/>
        <v>05-4㎡</v>
      </c>
      <c r="J20" s="14" t="str">
        <f t="shared" si="15"/>
        <v>250</v>
      </c>
      <c r="K20" s="15" t="str">
        <f t="shared" si="16"/>
        <v>184</v>
      </c>
      <c r="L20" s="17" t="str">
        <f t="shared" si="17"/>
        <v>276</v>
      </c>
      <c r="M20" s="18" t="str">
        <f t="shared" si="18"/>
        <v>184</v>
      </c>
      <c r="N20" s="14" t="str">
        <f t="shared" si="19"/>
        <v>276</v>
      </c>
      <c r="O20" s="15" t="str">
        <f t="shared" si="20"/>
        <v>211</v>
      </c>
      <c r="P20" s="17" t="str">
        <f t="shared" si="21"/>
        <v>250</v>
      </c>
      <c r="Q20" s="18" t="str">
        <f t="shared" si="22"/>
        <v>211</v>
      </c>
      <c r="R20" s="4" t="s">
        <v>0</v>
      </c>
      <c r="S20" s="16" t="str">
        <f t="shared" si="23"/>
        <v>05-4㎡</v>
      </c>
      <c r="T20" s="14" t="str">
        <f t="shared" si="24"/>
        <v>250</v>
      </c>
      <c r="U20" s="18">
        <f t="shared" si="25"/>
        <v>566</v>
      </c>
      <c r="V20" s="14" t="str">
        <f t="shared" si="26"/>
        <v>276</v>
      </c>
      <c r="W20" s="18">
        <f t="shared" si="27"/>
        <v>566</v>
      </c>
      <c r="X20" s="14" t="str">
        <f t="shared" si="28"/>
        <v>276</v>
      </c>
      <c r="Y20" s="18">
        <f t="shared" si="29"/>
        <v>539</v>
      </c>
      <c r="Z20" s="14" t="str">
        <f t="shared" si="30"/>
        <v>250</v>
      </c>
      <c r="AA20" s="18">
        <f t="shared" si="31"/>
        <v>539</v>
      </c>
      <c r="AB20" s="4" t="s">
        <v>0</v>
      </c>
    </row>
    <row r="21" spans="1:28">
      <c r="A21" s="9" t="s">
        <v>690</v>
      </c>
      <c r="B21" s="9"/>
      <c r="C21" s="4" t="s">
        <v>0</v>
      </c>
      <c r="D21" s="10" t="str" cm="1">
        <f t="array" ref="D21">IF(B21&lt;&gt;"",_xlfn.TEXTSPLIT(B21, ","),"")</f>
        <v/>
      </c>
      <c r="E21" s="10"/>
      <c r="F21" s="10"/>
      <c r="G21" s="10"/>
      <c r="H21" s="4" t="s">
        <v>0</v>
      </c>
      <c r="I21" s="11" t="str">
        <f t="shared" si="0"/>
        <v>緑風</v>
      </c>
      <c r="J21" s="14">
        <f t="shared" si="2"/>
        <v>0</v>
      </c>
      <c r="K21" s="15">
        <f t="shared" si="2"/>
        <v>0</v>
      </c>
      <c r="L21" s="17">
        <f t="shared" si="3"/>
        <v>0</v>
      </c>
      <c r="M21" s="18">
        <f t="shared" si="4"/>
        <v>0</v>
      </c>
      <c r="N21" s="14">
        <f t="shared" si="5"/>
        <v>0</v>
      </c>
      <c r="O21" s="15">
        <f t="shared" si="5"/>
        <v>0</v>
      </c>
      <c r="P21" s="17">
        <f t="shared" si="6"/>
        <v>0</v>
      </c>
      <c r="Q21" s="18">
        <f t="shared" si="7"/>
        <v>0</v>
      </c>
      <c r="R21" s="4" t="s">
        <v>0</v>
      </c>
      <c r="S21" s="16" t="str">
        <f t="shared" si="8"/>
        <v>緑風</v>
      </c>
      <c r="T21" s="14">
        <f t="shared" si="9"/>
        <v>0</v>
      </c>
      <c r="U21" s="18">
        <f t="shared" si="10"/>
        <v>750</v>
      </c>
      <c r="V21" s="14">
        <f t="shared" si="1"/>
        <v>0</v>
      </c>
      <c r="W21" s="18">
        <f t="shared" si="11"/>
        <v>750</v>
      </c>
      <c r="X21" s="14">
        <f t="shared" si="1"/>
        <v>0</v>
      </c>
      <c r="Y21" s="18">
        <f t="shared" si="12"/>
        <v>750</v>
      </c>
      <c r="Z21" s="14">
        <f t="shared" si="1"/>
        <v>0</v>
      </c>
      <c r="AA21" s="18">
        <f t="shared" si="13"/>
        <v>750</v>
      </c>
      <c r="AB21" s="4" t="s">
        <v>0</v>
      </c>
    </row>
    <row r="22" spans="1:28">
      <c r="A22" s="9" t="s">
        <v>141</v>
      </c>
      <c r="B22" s="9" t="s">
        <v>692</v>
      </c>
      <c r="C22" s="4" t="s">
        <v>0</v>
      </c>
      <c r="D22" s="10" t="str" cm="1">
        <f t="array" ref="D22:G22">IF(B22&lt;&gt;"",_xlfn.TEXTSPLIT(B22, ","),"")</f>
        <v>258</v>
      </c>
      <c r="E22" s="10" t="str">
        <v>423</v>
      </c>
      <c r="F22" s="10" t="str">
        <v>270</v>
      </c>
      <c r="G22" s="10" t="str">
        <v>432</v>
      </c>
      <c r="H22" s="4" t="s">
        <v>0</v>
      </c>
      <c r="I22" s="11" t="str">
        <f t="shared" si="0"/>
        <v>01-01</v>
      </c>
      <c r="J22" s="14" t="str">
        <f t="shared" si="2"/>
        <v>258</v>
      </c>
      <c r="K22" s="15" t="str">
        <f t="shared" si="2"/>
        <v>423</v>
      </c>
      <c r="L22" s="17" t="str">
        <f t="shared" si="3"/>
        <v>270</v>
      </c>
      <c r="M22" s="18" t="str">
        <f t="shared" si="4"/>
        <v>423</v>
      </c>
      <c r="N22" s="14" t="str">
        <f t="shared" si="5"/>
        <v>270</v>
      </c>
      <c r="O22" s="15" t="str">
        <f t="shared" si="5"/>
        <v>432</v>
      </c>
      <c r="P22" s="17" t="str">
        <f t="shared" si="6"/>
        <v>258</v>
      </c>
      <c r="Q22" s="18" t="str">
        <f t="shared" si="7"/>
        <v>432</v>
      </c>
      <c r="R22" s="4" t="s">
        <v>0</v>
      </c>
      <c r="S22" s="16" t="str">
        <f t="shared" si="8"/>
        <v>01-01</v>
      </c>
      <c r="T22" s="14" t="str">
        <f t="shared" si="9"/>
        <v>258</v>
      </c>
      <c r="U22" s="18">
        <f t="shared" si="10"/>
        <v>327</v>
      </c>
      <c r="V22" s="14" t="str">
        <f t="shared" si="1"/>
        <v>270</v>
      </c>
      <c r="W22" s="18">
        <f t="shared" si="11"/>
        <v>327</v>
      </c>
      <c r="X22" s="14" t="str">
        <f t="shared" si="1"/>
        <v>270</v>
      </c>
      <c r="Y22" s="18">
        <f t="shared" si="12"/>
        <v>318</v>
      </c>
      <c r="Z22" s="14" t="str">
        <f t="shared" si="1"/>
        <v>258</v>
      </c>
      <c r="AA22" s="18">
        <f t="shared" si="13"/>
        <v>318</v>
      </c>
      <c r="AB22" s="4" t="s">
        <v>0</v>
      </c>
    </row>
  </sheetData>
  <autoFilter ref="A10:AB22" xr:uid="{00000000-0001-0000-0000-000000000000}"/>
  <mergeCells count="2">
    <mergeCell ref="D3:G3"/>
    <mergeCell ref="D4:G4"/>
  </mergeCells>
  <phoneticPr fontId="1"/>
  <hyperlinks>
    <hyperlink ref="N4" r:id="rId1" xr:uid="{7EF49F52-A26C-4B44-B065-B58DED084A47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5FB9-3001-4470-BA0E-6F66A5D49AAD}">
  <sheetPr codeName="Sheet23">
    <pageSetUpPr fitToPage="1"/>
  </sheetPr>
  <dimension ref="A1:AB184"/>
  <sheetViews>
    <sheetView workbookViewId="0">
      <pane ySplit="10" topLeftCell="A11" activePane="bottomLeft" state="frozen"/>
      <selection activeCell="A70" sqref="A7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233</v>
      </c>
      <c r="B11" s="30" t="s">
        <v>698</v>
      </c>
      <c r="C11" s="4" t="s">
        <v>0</v>
      </c>
      <c r="D11" s="27">
        <v>39</v>
      </c>
      <c r="E11" s="31">
        <v>122</v>
      </c>
      <c r="F11" s="31">
        <v>66</v>
      </c>
      <c r="G11" s="31">
        <v>152</v>
      </c>
      <c r="H11" s="4" t="s">
        <v>0</v>
      </c>
      <c r="I11" s="16" t="str">
        <f t="shared" ref="I11:I184" si="0">A11</f>
        <v>15-12</v>
      </c>
      <c r="J11" s="14">
        <f>IF(D11&lt;&gt;"",D11,0)</f>
        <v>39</v>
      </c>
      <c r="K11" s="15">
        <f>IF(E11&lt;&gt;"",E11,0)</f>
        <v>122</v>
      </c>
      <c r="L11" s="17">
        <f>N11</f>
        <v>66</v>
      </c>
      <c r="M11" s="18">
        <f>K11</f>
        <v>122</v>
      </c>
      <c r="N11" s="14">
        <f>IF(F11&lt;&gt;"",F11,0)</f>
        <v>66</v>
      </c>
      <c r="O11" s="15">
        <f>IF(G11&lt;&gt;"",G11,0)</f>
        <v>152</v>
      </c>
      <c r="P11" s="17">
        <f>J11</f>
        <v>39</v>
      </c>
      <c r="Q11" s="18">
        <f>O11</f>
        <v>152</v>
      </c>
      <c r="R11" s="4" t="s">
        <v>0</v>
      </c>
      <c r="S11" s="16" t="str">
        <f>I11</f>
        <v>15-12</v>
      </c>
      <c r="T11" s="14">
        <f>IF(J11&lt;&gt;"",J11,"")</f>
        <v>39</v>
      </c>
      <c r="U11" s="18">
        <f>IF(K11&lt;&gt;"",U$6-K11,"")</f>
        <v>628</v>
      </c>
      <c r="V11" s="14">
        <f t="shared" ref="V11:Z26" si="1">IF(L11&lt;&gt;"",L11,"")</f>
        <v>66</v>
      </c>
      <c r="W11" s="18">
        <f>IF(M11&lt;&gt;"",W$6-M11,"")</f>
        <v>628</v>
      </c>
      <c r="X11" s="14">
        <f t="shared" si="1"/>
        <v>66</v>
      </c>
      <c r="Y11" s="18">
        <f>IF(O11&lt;&gt;"",Y$6-O11,"")</f>
        <v>598</v>
      </c>
      <c r="Z11" s="14">
        <f t="shared" si="1"/>
        <v>39</v>
      </c>
      <c r="AA11" s="18">
        <f>IF(Q11&lt;&gt;"",AA$6-Q11,"")</f>
        <v>598</v>
      </c>
      <c r="AB11" s="4" t="s">
        <v>0</v>
      </c>
    </row>
    <row r="12" spans="1:28">
      <c r="A12" s="9" t="s">
        <v>232</v>
      </c>
      <c r="B12" s="24"/>
      <c r="C12" s="26">
        <v>1</v>
      </c>
      <c r="D12" s="28">
        <f>ROUND(D$11+27.4*$C12, 0)</f>
        <v>66</v>
      </c>
      <c r="E12" s="29">
        <f>E$11</f>
        <v>122</v>
      </c>
      <c r="F12" s="28">
        <f>ROUND(F$11+27.4*$C12, 0)</f>
        <v>93</v>
      </c>
      <c r="G12" s="29">
        <f>G$11</f>
        <v>152</v>
      </c>
      <c r="H12" s="4" t="s">
        <v>0</v>
      </c>
      <c r="I12" s="16" t="str">
        <f t="shared" si="0"/>
        <v>15-11</v>
      </c>
      <c r="J12" s="14">
        <f t="shared" ref="J12:K139" si="2">IF(D12&lt;&gt;"",D12,0)</f>
        <v>66</v>
      </c>
      <c r="K12" s="15">
        <f t="shared" si="2"/>
        <v>122</v>
      </c>
      <c r="L12" s="17">
        <f t="shared" ref="L12:L184" si="3">N12</f>
        <v>93</v>
      </c>
      <c r="M12" s="18">
        <f t="shared" ref="M12:M184" si="4">K12</f>
        <v>122</v>
      </c>
      <c r="N12" s="14">
        <f t="shared" ref="N12:O139" si="5">IF(F12&lt;&gt;"",F12,0)</f>
        <v>93</v>
      </c>
      <c r="O12" s="15">
        <f t="shared" si="5"/>
        <v>152</v>
      </c>
      <c r="P12" s="17">
        <f t="shared" ref="P12:P184" si="6">J12</f>
        <v>66</v>
      </c>
      <c r="Q12" s="18">
        <f t="shared" ref="Q12:Q184" si="7">O12</f>
        <v>152</v>
      </c>
      <c r="R12" s="4" t="s">
        <v>0</v>
      </c>
      <c r="S12" s="16" t="str">
        <f t="shared" ref="S12:S184" si="8">I12</f>
        <v>15-11</v>
      </c>
      <c r="T12" s="14">
        <f t="shared" ref="T12:T184" si="9">IF(J12&lt;&gt;"",J12,"")</f>
        <v>66</v>
      </c>
      <c r="U12" s="18">
        <f t="shared" ref="U12:U184" si="10">IF(K12&lt;&gt;"",U$6-K12,"")</f>
        <v>628</v>
      </c>
      <c r="V12" s="14">
        <f t="shared" si="1"/>
        <v>93</v>
      </c>
      <c r="W12" s="18">
        <f t="shared" ref="W12:W184" si="11">IF(M12&lt;&gt;"",W$6-M12,"")</f>
        <v>628</v>
      </c>
      <c r="X12" s="14">
        <f t="shared" si="1"/>
        <v>93</v>
      </c>
      <c r="Y12" s="18">
        <f t="shared" ref="Y12:Y184" si="12">IF(O12&lt;&gt;"",Y$6-O12,"")</f>
        <v>598</v>
      </c>
      <c r="Z12" s="14">
        <f t="shared" si="1"/>
        <v>66</v>
      </c>
      <c r="AA12" s="18">
        <f t="shared" ref="AA12:AA184" si="13">IF(Q12&lt;&gt;"",AA$6-Q12,"")</f>
        <v>598</v>
      </c>
      <c r="AB12" s="4" t="s">
        <v>0</v>
      </c>
    </row>
    <row r="13" spans="1:28">
      <c r="A13" s="9" t="s">
        <v>231</v>
      </c>
      <c r="B13" s="24"/>
      <c r="C13" s="26">
        <v>2</v>
      </c>
      <c r="D13" s="28">
        <f>ROUND(D$11+27.4*$C13, 0)</f>
        <v>94</v>
      </c>
      <c r="E13" s="29">
        <f>E$11</f>
        <v>122</v>
      </c>
      <c r="F13" s="28">
        <f>ROUND(F$11+27.4*$C13, 0)</f>
        <v>121</v>
      </c>
      <c r="G13" s="29">
        <f>G$11</f>
        <v>152</v>
      </c>
      <c r="H13" s="4" t="s">
        <v>0</v>
      </c>
      <c r="I13" s="16" t="str">
        <f t="shared" si="0"/>
        <v>15-10</v>
      </c>
      <c r="J13" s="14">
        <f t="shared" si="2"/>
        <v>94</v>
      </c>
      <c r="K13" s="15">
        <f t="shared" si="2"/>
        <v>122</v>
      </c>
      <c r="L13" s="17">
        <f t="shared" si="3"/>
        <v>121</v>
      </c>
      <c r="M13" s="18">
        <f t="shared" si="4"/>
        <v>122</v>
      </c>
      <c r="N13" s="14">
        <f t="shared" si="5"/>
        <v>121</v>
      </c>
      <c r="O13" s="15">
        <f t="shared" si="5"/>
        <v>152</v>
      </c>
      <c r="P13" s="17">
        <f t="shared" si="6"/>
        <v>94</v>
      </c>
      <c r="Q13" s="18">
        <f t="shared" si="7"/>
        <v>152</v>
      </c>
      <c r="R13" s="4" t="s">
        <v>0</v>
      </c>
      <c r="S13" s="16" t="str">
        <f t="shared" si="8"/>
        <v>15-10</v>
      </c>
      <c r="T13" s="14">
        <f t="shared" si="9"/>
        <v>94</v>
      </c>
      <c r="U13" s="18">
        <f t="shared" si="10"/>
        <v>628</v>
      </c>
      <c r="V13" s="14">
        <f t="shared" si="1"/>
        <v>121</v>
      </c>
      <c r="W13" s="18">
        <f t="shared" si="11"/>
        <v>628</v>
      </c>
      <c r="X13" s="14">
        <f t="shared" si="1"/>
        <v>121</v>
      </c>
      <c r="Y13" s="18">
        <f t="shared" si="12"/>
        <v>598</v>
      </c>
      <c r="Z13" s="14">
        <f t="shared" si="1"/>
        <v>94</v>
      </c>
      <c r="AA13" s="18">
        <f t="shared" si="13"/>
        <v>598</v>
      </c>
      <c r="AB13" s="4" t="s">
        <v>0</v>
      </c>
    </row>
    <row r="14" spans="1:28">
      <c r="A14" s="9" t="s">
        <v>230</v>
      </c>
      <c r="B14" s="24"/>
      <c r="C14" s="26">
        <v>3</v>
      </c>
      <c r="D14" s="28">
        <f>ROUND(D$11+27.4*$C14, 0)</f>
        <v>121</v>
      </c>
      <c r="E14" s="29">
        <f>E$11</f>
        <v>122</v>
      </c>
      <c r="F14" s="28">
        <f>ROUND(F$11+27.4*$C14, 0)</f>
        <v>148</v>
      </c>
      <c r="G14" s="29">
        <f>G$11</f>
        <v>152</v>
      </c>
      <c r="H14" s="4" t="s">
        <v>0</v>
      </c>
      <c r="I14" s="16" t="str">
        <f t="shared" si="0"/>
        <v>15-08</v>
      </c>
      <c r="J14" s="14">
        <f t="shared" si="2"/>
        <v>121</v>
      </c>
      <c r="K14" s="15">
        <f t="shared" si="2"/>
        <v>122</v>
      </c>
      <c r="L14" s="17">
        <f t="shared" si="3"/>
        <v>148</v>
      </c>
      <c r="M14" s="18">
        <f t="shared" si="4"/>
        <v>122</v>
      </c>
      <c r="N14" s="14">
        <f t="shared" si="5"/>
        <v>148</v>
      </c>
      <c r="O14" s="15">
        <f t="shared" si="5"/>
        <v>152</v>
      </c>
      <c r="P14" s="17">
        <f t="shared" si="6"/>
        <v>121</v>
      </c>
      <c r="Q14" s="18">
        <f t="shared" si="7"/>
        <v>152</v>
      </c>
      <c r="R14" s="4" t="s">
        <v>0</v>
      </c>
      <c r="S14" s="16" t="str">
        <f t="shared" si="8"/>
        <v>15-08</v>
      </c>
      <c r="T14" s="14">
        <f t="shared" si="9"/>
        <v>121</v>
      </c>
      <c r="U14" s="18">
        <f t="shared" si="10"/>
        <v>628</v>
      </c>
      <c r="V14" s="14">
        <f t="shared" si="1"/>
        <v>148</v>
      </c>
      <c r="W14" s="18">
        <f t="shared" si="11"/>
        <v>628</v>
      </c>
      <c r="X14" s="14">
        <f t="shared" si="1"/>
        <v>148</v>
      </c>
      <c r="Y14" s="18">
        <f t="shared" si="12"/>
        <v>598</v>
      </c>
      <c r="Z14" s="14">
        <f t="shared" si="1"/>
        <v>121</v>
      </c>
      <c r="AA14" s="18">
        <f t="shared" si="13"/>
        <v>598</v>
      </c>
      <c r="AB14" s="4" t="s">
        <v>0</v>
      </c>
    </row>
    <row r="15" spans="1:28">
      <c r="A15" s="9" t="s">
        <v>229</v>
      </c>
      <c r="B15" s="24"/>
      <c r="C15" s="26">
        <v>4</v>
      </c>
      <c r="D15" s="28">
        <f t="shared" ref="D15:D20" si="14">ROUND(D$11+27.4*$C15, 0)</f>
        <v>149</v>
      </c>
      <c r="E15" s="29">
        <f t="shared" ref="E15:E20" si="15">E$11</f>
        <v>122</v>
      </c>
      <c r="F15" s="28">
        <f t="shared" ref="F15:F20" si="16">ROUND(F$11+27.4*$C15, 0)</f>
        <v>176</v>
      </c>
      <c r="G15" s="29">
        <f t="shared" ref="G15:G20" si="17">G$11</f>
        <v>152</v>
      </c>
      <c r="H15" s="4" t="s">
        <v>0</v>
      </c>
      <c r="I15" s="16" t="str">
        <f t="shared" si="0"/>
        <v>15-07</v>
      </c>
      <c r="J15" s="14">
        <f t="shared" si="2"/>
        <v>149</v>
      </c>
      <c r="K15" s="15">
        <f t="shared" si="2"/>
        <v>122</v>
      </c>
      <c r="L15" s="17">
        <f t="shared" si="3"/>
        <v>176</v>
      </c>
      <c r="M15" s="18">
        <f t="shared" si="4"/>
        <v>122</v>
      </c>
      <c r="N15" s="14">
        <f t="shared" si="5"/>
        <v>176</v>
      </c>
      <c r="O15" s="15">
        <f t="shared" si="5"/>
        <v>152</v>
      </c>
      <c r="P15" s="17">
        <f t="shared" si="6"/>
        <v>149</v>
      </c>
      <c r="Q15" s="18">
        <f t="shared" si="7"/>
        <v>152</v>
      </c>
      <c r="R15" s="4" t="s">
        <v>0</v>
      </c>
      <c r="S15" s="16" t="str">
        <f t="shared" si="8"/>
        <v>15-07</v>
      </c>
      <c r="T15" s="14">
        <f t="shared" si="9"/>
        <v>149</v>
      </c>
      <c r="U15" s="18">
        <f t="shared" si="10"/>
        <v>628</v>
      </c>
      <c r="V15" s="14">
        <f t="shared" si="1"/>
        <v>176</v>
      </c>
      <c r="W15" s="18">
        <f t="shared" si="11"/>
        <v>628</v>
      </c>
      <c r="X15" s="14">
        <f t="shared" si="1"/>
        <v>176</v>
      </c>
      <c r="Y15" s="18">
        <f t="shared" si="12"/>
        <v>598</v>
      </c>
      <c r="Z15" s="14">
        <f t="shared" si="1"/>
        <v>149</v>
      </c>
      <c r="AA15" s="18">
        <f t="shared" si="13"/>
        <v>598</v>
      </c>
      <c r="AB15" s="4" t="s">
        <v>0</v>
      </c>
    </row>
    <row r="16" spans="1:28">
      <c r="A16" s="9" t="s">
        <v>228</v>
      </c>
      <c r="B16" s="24"/>
      <c r="C16" s="26">
        <v>5</v>
      </c>
      <c r="D16" s="28">
        <f t="shared" si="14"/>
        <v>176</v>
      </c>
      <c r="E16" s="29">
        <f t="shared" si="15"/>
        <v>122</v>
      </c>
      <c r="F16" s="28">
        <f t="shared" si="16"/>
        <v>203</v>
      </c>
      <c r="G16" s="29">
        <f t="shared" si="17"/>
        <v>152</v>
      </c>
      <c r="H16" s="4" t="s">
        <v>0</v>
      </c>
      <c r="I16" s="16" t="str">
        <f t="shared" si="0"/>
        <v>15-06</v>
      </c>
      <c r="J16" s="14">
        <f t="shared" si="2"/>
        <v>176</v>
      </c>
      <c r="K16" s="15">
        <f t="shared" si="2"/>
        <v>122</v>
      </c>
      <c r="L16" s="17">
        <f t="shared" si="3"/>
        <v>203</v>
      </c>
      <c r="M16" s="18">
        <f t="shared" si="4"/>
        <v>122</v>
      </c>
      <c r="N16" s="14">
        <f t="shared" si="5"/>
        <v>203</v>
      </c>
      <c r="O16" s="15">
        <f t="shared" si="5"/>
        <v>152</v>
      </c>
      <c r="P16" s="17">
        <f t="shared" si="6"/>
        <v>176</v>
      </c>
      <c r="Q16" s="18">
        <f t="shared" si="7"/>
        <v>152</v>
      </c>
      <c r="R16" s="4" t="s">
        <v>0</v>
      </c>
      <c r="S16" s="16" t="str">
        <f t="shared" si="8"/>
        <v>15-06</v>
      </c>
      <c r="T16" s="14">
        <f t="shared" si="9"/>
        <v>176</v>
      </c>
      <c r="U16" s="18">
        <f t="shared" si="10"/>
        <v>628</v>
      </c>
      <c r="V16" s="14">
        <f t="shared" si="1"/>
        <v>203</v>
      </c>
      <c r="W16" s="18">
        <f t="shared" si="11"/>
        <v>628</v>
      </c>
      <c r="X16" s="14">
        <f t="shared" si="1"/>
        <v>203</v>
      </c>
      <c r="Y16" s="18">
        <f t="shared" si="12"/>
        <v>598</v>
      </c>
      <c r="Z16" s="14">
        <f t="shared" si="1"/>
        <v>176</v>
      </c>
      <c r="AA16" s="18">
        <f t="shared" si="13"/>
        <v>598</v>
      </c>
      <c r="AB16" s="4" t="s">
        <v>0</v>
      </c>
    </row>
    <row r="17" spans="1:28">
      <c r="A17" s="9" t="s">
        <v>227</v>
      </c>
      <c r="B17" s="24"/>
      <c r="C17" s="26">
        <v>6</v>
      </c>
      <c r="D17" s="28">
        <f t="shared" si="14"/>
        <v>203</v>
      </c>
      <c r="E17" s="29">
        <f t="shared" si="15"/>
        <v>122</v>
      </c>
      <c r="F17" s="28">
        <f t="shared" si="16"/>
        <v>230</v>
      </c>
      <c r="G17" s="29">
        <f t="shared" si="17"/>
        <v>152</v>
      </c>
      <c r="H17" s="4" t="s">
        <v>0</v>
      </c>
      <c r="I17" s="16" t="str">
        <f t="shared" si="0"/>
        <v>15-05</v>
      </c>
      <c r="J17" s="14">
        <f t="shared" si="2"/>
        <v>203</v>
      </c>
      <c r="K17" s="15">
        <f t="shared" si="2"/>
        <v>122</v>
      </c>
      <c r="L17" s="17">
        <f t="shared" si="3"/>
        <v>230</v>
      </c>
      <c r="M17" s="18">
        <f t="shared" si="4"/>
        <v>122</v>
      </c>
      <c r="N17" s="14">
        <f t="shared" si="5"/>
        <v>230</v>
      </c>
      <c r="O17" s="15">
        <f t="shared" si="5"/>
        <v>152</v>
      </c>
      <c r="P17" s="17">
        <f t="shared" si="6"/>
        <v>203</v>
      </c>
      <c r="Q17" s="18">
        <f t="shared" si="7"/>
        <v>152</v>
      </c>
      <c r="R17" s="4" t="s">
        <v>0</v>
      </c>
      <c r="S17" s="16" t="str">
        <f t="shared" si="8"/>
        <v>15-05</v>
      </c>
      <c r="T17" s="14">
        <f t="shared" si="9"/>
        <v>203</v>
      </c>
      <c r="U17" s="18">
        <f t="shared" si="10"/>
        <v>628</v>
      </c>
      <c r="V17" s="14">
        <f t="shared" si="1"/>
        <v>230</v>
      </c>
      <c r="W17" s="18">
        <f t="shared" si="11"/>
        <v>628</v>
      </c>
      <c r="X17" s="14">
        <f t="shared" si="1"/>
        <v>230</v>
      </c>
      <c r="Y17" s="18">
        <f t="shared" si="12"/>
        <v>598</v>
      </c>
      <c r="Z17" s="14">
        <f t="shared" si="1"/>
        <v>203</v>
      </c>
      <c r="AA17" s="18">
        <f t="shared" si="13"/>
        <v>598</v>
      </c>
      <c r="AB17" s="4" t="s">
        <v>0</v>
      </c>
    </row>
    <row r="18" spans="1:28">
      <c r="A18" s="9" t="s">
        <v>226</v>
      </c>
      <c r="B18" s="24"/>
      <c r="C18" s="26">
        <v>7</v>
      </c>
      <c r="D18" s="28">
        <f t="shared" si="14"/>
        <v>231</v>
      </c>
      <c r="E18" s="29">
        <f t="shared" si="15"/>
        <v>122</v>
      </c>
      <c r="F18" s="28">
        <f t="shared" si="16"/>
        <v>258</v>
      </c>
      <c r="G18" s="29">
        <f t="shared" si="17"/>
        <v>152</v>
      </c>
      <c r="H18" s="4" t="s">
        <v>0</v>
      </c>
      <c r="I18" s="16" t="str">
        <f t="shared" si="0"/>
        <v>15-03</v>
      </c>
      <c r="J18" s="14">
        <f t="shared" si="2"/>
        <v>231</v>
      </c>
      <c r="K18" s="15">
        <f t="shared" si="2"/>
        <v>122</v>
      </c>
      <c r="L18" s="17">
        <f t="shared" si="3"/>
        <v>258</v>
      </c>
      <c r="M18" s="18">
        <f t="shared" si="4"/>
        <v>122</v>
      </c>
      <c r="N18" s="14">
        <f t="shared" si="5"/>
        <v>258</v>
      </c>
      <c r="O18" s="15">
        <f t="shared" si="5"/>
        <v>152</v>
      </c>
      <c r="P18" s="17">
        <f t="shared" si="6"/>
        <v>231</v>
      </c>
      <c r="Q18" s="18">
        <f t="shared" si="7"/>
        <v>152</v>
      </c>
      <c r="R18" s="4" t="s">
        <v>0</v>
      </c>
      <c r="S18" s="16" t="str">
        <f t="shared" si="8"/>
        <v>15-03</v>
      </c>
      <c r="T18" s="14">
        <f t="shared" si="9"/>
        <v>231</v>
      </c>
      <c r="U18" s="18">
        <f t="shared" si="10"/>
        <v>628</v>
      </c>
      <c r="V18" s="14">
        <f t="shared" si="1"/>
        <v>258</v>
      </c>
      <c r="W18" s="18">
        <f t="shared" si="11"/>
        <v>628</v>
      </c>
      <c r="X18" s="14">
        <f t="shared" si="1"/>
        <v>258</v>
      </c>
      <c r="Y18" s="18">
        <f t="shared" si="12"/>
        <v>598</v>
      </c>
      <c r="Z18" s="14">
        <f t="shared" si="1"/>
        <v>231</v>
      </c>
      <c r="AA18" s="18">
        <f t="shared" si="13"/>
        <v>598</v>
      </c>
      <c r="AB18" s="4" t="s">
        <v>0</v>
      </c>
    </row>
    <row r="19" spans="1:28">
      <c r="A19" s="9" t="s">
        <v>225</v>
      </c>
      <c r="B19" s="24"/>
      <c r="C19" s="26">
        <v>8</v>
      </c>
      <c r="D19" s="28">
        <f t="shared" si="14"/>
        <v>258</v>
      </c>
      <c r="E19" s="29">
        <f t="shared" si="15"/>
        <v>122</v>
      </c>
      <c r="F19" s="28">
        <f t="shared" si="16"/>
        <v>285</v>
      </c>
      <c r="G19" s="29">
        <f t="shared" si="17"/>
        <v>152</v>
      </c>
      <c r="H19" s="4" t="s">
        <v>0</v>
      </c>
      <c r="I19" s="16" t="str">
        <f t="shared" si="0"/>
        <v>15-02</v>
      </c>
      <c r="J19" s="14">
        <f t="shared" si="2"/>
        <v>258</v>
      </c>
      <c r="K19" s="15">
        <f t="shared" si="2"/>
        <v>122</v>
      </c>
      <c r="L19" s="17">
        <f t="shared" si="3"/>
        <v>285</v>
      </c>
      <c r="M19" s="18">
        <f t="shared" si="4"/>
        <v>122</v>
      </c>
      <c r="N19" s="14">
        <f t="shared" si="5"/>
        <v>285</v>
      </c>
      <c r="O19" s="15">
        <f t="shared" si="5"/>
        <v>152</v>
      </c>
      <c r="P19" s="17">
        <f t="shared" si="6"/>
        <v>258</v>
      </c>
      <c r="Q19" s="18">
        <f t="shared" si="7"/>
        <v>152</v>
      </c>
      <c r="R19" s="4" t="s">
        <v>0</v>
      </c>
      <c r="S19" s="16" t="str">
        <f t="shared" si="8"/>
        <v>15-02</v>
      </c>
      <c r="T19" s="14">
        <f t="shared" si="9"/>
        <v>258</v>
      </c>
      <c r="U19" s="18">
        <f t="shared" si="10"/>
        <v>628</v>
      </c>
      <c r="V19" s="14">
        <f t="shared" si="1"/>
        <v>285</v>
      </c>
      <c r="W19" s="18">
        <f t="shared" si="11"/>
        <v>628</v>
      </c>
      <c r="X19" s="14">
        <f t="shared" si="1"/>
        <v>285</v>
      </c>
      <c r="Y19" s="18">
        <f t="shared" si="12"/>
        <v>598</v>
      </c>
      <c r="Z19" s="14">
        <f t="shared" si="1"/>
        <v>258</v>
      </c>
      <c r="AA19" s="18">
        <f t="shared" si="13"/>
        <v>598</v>
      </c>
      <c r="AB19" s="4" t="s">
        <v>0</v>
      </c>
    </row>
    <row r="20" spans="1:28">
      <c r="A20" s="9" t="s">
        <v>224</v>
      </c>
      <c r="B20" s="24"/>
      <c r="C20" s="26">
        <v>9</v>
      </c>
      <c r="D20" s="28">
        <f t="shared" si="14"/>
        <v>286</v>
      </c>
      <c r="E20" s="29">
        <f t="shared" si="15"/>
        <v>122</v>
      </c>
      <c r="F20" s="28">
        <f t="shared" si="16"/>
        <v>313</v>
      </c>
      <c r="G20" s="29">
        <f t="shared" si="17"/>
        <v>152</v>
      </c>
      <c r="H20" s="4" t="s">
        <v>0</v>
      </c>
      <c r="I20" s="16" t="str">
        <f t="shared" si="0"/>
        <v>15-01</v>
      </c>
      <c r="J20" s="14">
        <f t="shared" si="2"/>
        <v>286</v>
      </c>
      <c r="K20" s="15">
        <f t="shared" si="2"/>
        <v>122</v>
      </c>
      <c r="L20" s="17">
        <f t="shared" si="3"/>
        <v>313</v>
      </c>
      <c r="M20" s="18">
        <f t="shared" si="4"/>
        <v>122</v>
      </c>
      <c r="N20" s="14">
        <f t="shared" si="5"/>
        <v>313</v>
      </c>
      <c r="O20" s="15">
        <f t="shared" si="5"/>
        <v>152</v>
      </c>
      <c r="P20" s="17">
        <f t="shared" si="6"/>
        <v>286</v>
      </c>
      <c r="Q20" s="18">
        <f t="shared" si="7"/>
        <v>152</v>
      </c>
      <c r="R20" s="4" t="s">
        <v>0</v>
      </c>
      <c r="S20" s="16" t="str">
        <f t="shared" si="8"/>
        <v>15-01</v>
      </c>
      <c r="T20" s="14">
        <f t="shared" si="9"/>
        <v>286</v>
      </c>
      <c r="U20" s="18">
        <f t="shared" si="10"/>
        <v>628</v>
      </c>
      <c r="V20" s="14">
        <f t="shared" si="1"/>
        <v>313</v>
      </c>
      <c r="W20" s="18">
        <f t="shared" si="11"/>
        <v>628</v>
      </c>
      <c r="X20" s="14">
        <f t="shared" si="1"/>
        <v>313</v>
      </c>
      <c r="Y20" s="18">
        <f t="shared" si="12"/>
        <v>598</v>
      </c>
      <c r="Z20" s="14">
        <f t="shared" si="1"/>
        <v>286</v>
      </c>
      <c r="AA20" s="18">
        <f t="shared" si="13"/>
        <v>598</v>
      </c>
      <c r="AB20" s="4" t="s">
        <v>0</v>
      </c>
    </row>
    <row r="21" spans="1:28">
      <c r="A21" s="9" t="s">
        <v>221</v>
      </c>
      <c r="B21" s="24"/>
      <c r="C21" s="4" t="s">
        <v>0</v>
      </c>
      <c r="D21" s="27">
        <v>39</v>
      </c>
      <c r="E21" s="31">
        <v>162</v>
      </c>
      <c r="F21" s="31">
        <v>66</v>
      </c>
      <c r="G21" s="31">
        <v>194</v>
      </c>
      <c r="H21" s="4" t="s">
        <v>0</v>
      </c>
      <c r="I21" s="16" t="str">
        <f t="shared" si="0"/>
        <v>13-18</v>
      </c>
      <c r="J21" s="14">
        <f t="shared" si="2"/>
        <v>39</v>
      </c>
      <c r="K21" s="15">
        <f t="shared" si="2"/>
        <v>162</v>
      </c>
      <c r="L21" s="17">
        <f t="shared" si="3"/>
        <v>66</v>
      </c>
      <c r="M21" s="18">
        <f t="shared" si="4"/>
        <v>162</v>
      </c>
      <c r="N21" s="14">
        <f t="shared" si="5"/>
        <v>66</v>
      </c>
      <c r="O21" s="15">
        <f t="shared" si="5"/>
        <v>194</v>
      </c>
      <c r="P21" s="17">
        <f t="shared" si="6"/>
        <v>39</v>
      </c>
      <c r="Q21" s="18">
        <f t="shared" si="7"/>
        <v>194</v>
      </c>
      <c r="R21" s="4" t="s">
        <v>0</v>
      </c>
      <c r="S21" s="16" t="str">
        <f t="shared" si="8"/>
        <v>13-18</v>
      </c>
      <c r="T21" s="14">
        <f t="shared" si="9"/>
        <v>39</v>
      </c>
      <c r="U21" s="18">
        <f t="shared" si="10"/>
        <v>588</v>
      </c>
      <c r="V21" s="14">
        <f t="shared" si="1"/>
        <v>66</v>
      </c>
      <c r="W21" s="18">
        <f t="shared" si="11"/>
        <v>588</v>
      </c>
      <c r="X21" s="14">
        <f t="shared" si="1"/>
        <v>66</v>
      </c>
      <c r="Y21" s="18">
        <f t="shared" si="12"/>
        <v>556</v>
      </c>
      <c r="Z21" s="14">
        <f t="shared" si="1"/>
        <v>39</v>
      </c>
      <c r="AA21" s="18">
        <f t="shared" si="13"/>
        <v>556</v>
      </c>
      <c r="AB21" s="4" t="s">
        <v>0</v>
      </c>
    </row>
    <row r="22" spans="1:28">
      <c r="A22" s="9" t="s">
        <v>220</v>
      </c>
      <c r="B22" s="24"/>
      <c r="C22" s="26">
        <v>1</v>
      </c>
      <c r="D22" s="28">
        <f>ROUND(D$21+27.4*$C22, 0)</f>
        <v>66</v>
      </c>
      <c r="E22" s="29">
        <f>E21</f>
        <v>162</v>
      </c>
      <c r="F22" s="28">
        <f>ROUND(F$21+27.4*$C22, 0)</f>
        <v>93</v>
      </c>
      <c r="G22" s="29">
        <f t="shared" ref="G22:G30" si="18">G21</f>
        <v>194</v>
      </c>
      <c r="H22" s="4" t="s">
        <v>0</v>
      </c>
      <c r="I22" s="16" t="str">
        <f t="shared" si="0"/>
        <v>13-17</v>
      </c>
      <c r="J22" s="14">
        <f t="shared" si="2"/>
        <v>66</v>
      </c>
      <c r="K22" s="15">
        <f t="shared" si="2"/>
        <v>162</v>
      </c>
      <c r="L22" s="17">
        <f t="shared" si="3"/>
        <v>93</v>
      </c>
      <c r="M22" s="18">
        <f t="shared" si="4"/>
        <v>162</v>
      </c>
      <c r="N22" s="14">
        <f t="shared" si="5"/>
        <v>93</v>
      </c>
      <c r="O22" s="15">
        <f t="shared" si="5"/>
        <v>194</v>
      </c>
      <c r="P22" s="17">
        <f t="shared" si="6"/>
        <v>66</v>
      </c>
      <c r="Q22" s="18">
        <f t="shared" si="7"/>
        <v>194</v>
      </c>
      <c r="R22" s="4" t="s">
        <v>0</v>
      </c>
      <c r="S22" s="16" t="str">
        <f t="shared" si="8"/>
        <v>13-17</v>
      </c>
      <c r="T22" s="14">
        <f t="shared" si="9"/>
        <v>66</v>
      </c>
      <c r="U22" s="18">
        <f t="shared" si="10"/>
        <v>588</v>
      </c>
      <c r="V22" s="14">
        <f t="shared" si="1"/>
        <v>93</v>
      </c>
      <c r="W22" s="18">
        <f t="shared" si="11"/>
        <v>588</v>
      </c>
      <c r="X22" s="14">
        <f t="shared" si="1"/>
        <v>93</v>
      </c>
      <c r="Y22" s="18">
        <f t="shared" si="12"/>
        <v>556</v>
      </c>
      <c r="Z22" s="14">
        <f t="shared" si="1"/>
        <v>66</v>
      </c>
      <c r="AA22" s="18">
        <f t="shared" si="13"/>
        <v>556</v>
      </c>
      <c r="AB22" s="4" t="s">
        <v>0</v>
      </c>
    </row>
    <row r="23" spans="1:28">
      <c r="A23" s="9" t="s">
        <v>219</v>
      </c>
      <c r="B23" s="24"/>
      <c r="C23" s="26">
        <v>2</v>
      </c>
      <c r="D23" s="28">
        <f t="shared" ref="D23:D30" si="19">ROUND(D$21+27.4*$C23, 0)</f>
        <v>94</v>
      </c>
      <c r="E23" s="29">
        <f t="shared" ref="E23:E30" si="20">E22</f>
        <v>162</v>
      </c>
      <c r="F23" s="28">
        <f t="shared" ref="F23:F30" si="21">ROUND(F$21+27.4*$C23, 0)</f>
        <v>121</v>
      </c>
      <c r="G23" s="29">
        <f t="shared" si="18"/>
        <v>194</v>
      </c>
      <c r="H23" s="4" t="s">
        <v>0</v>
      </c>
      <c r="I23" s="16" t="str">
        <f t="shared" si="0"/>
        <v>13-16</v>
      </c>
      <c r="J23" s="14">
        <f t="shared" si="2"/>
        <v>94</v>
      </c>
      <c r="K23" s="15">
        <f t="shared" si="2"/>
        <v>162</v>
      </c>
      <c r="L23" s="17">
        <f t="shared" si="3"/>
        <v>121</v>
      </c>
      <c r="M23" s="18">
        <f t="shared" si="4"/>
        <v>162</v>
      </c>
      <c r="N23" s="14">
        <f t="shared" si="5"/>
        <v>121</v>
      </c>
      <c r="O23" s="15">
        <f t="shared" si="5"/>
        <v>194</v>
      </c>
      <c r="P23" s="17">
        <f t="shared" si="6"/>
        <v>94</v>
      </c>
      <c r="Q23" s="18">
        <f t="shared" si="7"/>
        <v>194</v>
      </c>
      <c r="R23" s="4" t="s">
        <v>0</v>
      </c>
      <c r="S23" s="16" t="str">
        <f t="shared" si="8"/>
        <v>13-16</v>
      </c>
      <c r="T23" s="14">
        <f t="shared" si="9"/>
        <v>94</v>
      </c>
      <c r="U23" s="18">
        <f t="shared" si="10"/>
        <v>588</v>
      </c>
      <c r="V23" s="14">
        <f t="shared" si="1"/>
        <v>121</v>
      </c>
      <c r="W23" s="18">
        <f t="shared" si="11"/>
        <v>588</v>
      </c>
      <c r="X23" s="14">
        <f t="shared" si="1"/>
        <v>121</v>
      </c>
      <c r="Y23" s="18">
        <f t="shared" si="12"/>
        <v>556</v>
      </c>
      <c r="Z23" s="14">
        <f t="shared" si="1"/>
        <v>94</v>
      </c>
      <c r="AA23" s="18">
        <f t="shared" si="13"/>
        <v>556</v>
      </c>
      <c r="AB23" s="4" t="s">
        <v>0</v>
      </c>
    </row>
    <row r="24" spans="1:28">
      <c r="A24" s="9" t="s">
        <v>218</v>
      </c>
      <c r="B24" s="24"/>
      <c r="C24" s="26">
        <v>3</v>
      </c>
      <c r="D24" s="28">
        <f t="shared" si="19"/>
        <v>121</v>
      </c>
      <c r="E24" s="29">
        <f t="shared" si="20"/>
        <v>162</v>
      </c>
      <c r="F24" s="28">
        <f t="shared" si="21"/>
        <v>148</v>
      </c>
      <c r="G24" s="29">
        <f t="shared" si="18"/>
        <v>194</v>
      </c>
      <c r="H24" s="4" t="s">
        <v>0</v>
      </c>
      <c r="I24" s="16" t="str">
        <f t="shared" si="0"/>
        <v>13-15</v>
      </c>
      <c r="J24" s="14">
        <f t="shared" si="2"/>
        <v>121</v>
      </c>
      <c r="K24" s="15">
        <f t="shared" si="2"/>
        <v>162</v>
      </c>
      <c r="L24" s="17">
        <f t="shared" si="3"/>
        <v>148</v>
      </c>
      <c r="M24" s="18">
        <f t="shared" si="4"/>
        <v>162</v>
      </c>
      <c r="N24" s="14">
        <f t="shared" si="5"/>
        <v>148</v>
      </c>
      <c r="O24" s="15">
        <f t="shared" si="5"/>
        <v>194</v>
      </c>
      <c r="P24" s="17">
        <f t="shared" si="6"/>
        <v>121</v>
      </c>
      <c r="Q24" s="18">
        <f t="shared" si="7"/>
        <v>194</v>
      </c>
      <c r="R24" s="4" t="s">
        <v>0</v>
      </c>
      <c r="S24" s="16" t="str">
        <f t="shared" si="8"/>
        <v>13-15</v>
      </c>
      <c r="T24" s="14">
        <f t="shared" si="9"/>
        <v>121</v>
      </c>
      <c r="U24" s="18">
        <f t="shared" si="10"/>
        <v>588</v>
      </c>
      <c r="V24" s="14">
        <f t="shared" si="1"/>
        <v>148</v>
      </c>
      <c r="W24" s="18">
        <f t="shared" si="11"/>
        <v>588</v>
      </c>
      <c r="X24" s="14">
        <f t="shared" si="1"/>
        <v>148</v>
      </c>
      <c r="Y24" s="18">
        <f t="shared" si="12"/>
        <v>556</v>
      </c>
      <c r="Z24" s="14">
        <f t="shared" si="1"/>
        <v>121</v>
      </c>
      <c r="AA24" s="18">
        <f t="shared" si="13"/>
        <v>556</v>
      </c>
      <c r="AB24" s="4" t="s">
        <v>0</v>
      </c>
    </row>
    <row r="25" spans="1:28">
      <c r="A25" s="9" t="s">
        <v>217</v>
      </c>
      <c r="B25" s="24"/>
      <c r="C25" s="26">
        <v>4</v>
      </c>
      <c r="D25" s="28">
        <f t="shared" si="19"/>
        <v>149</v>
      </c>
      <c r="E25" s="29">
        <f t="shared" si="20"/>
        <v>162</v>
      </c>
      <c r="F25" s="28">
        <f t="shared" si="21"/>
        <v>176</v>
      </c>
      <c r="G25" s="29">
        <f t="shared" si="18"/>
        <v>194</v>
      </c>
      <c r="H25" s="4" t="s">
        <v>0</v>
      </c>
      <c r="I25" s="16" t="str">
        <f t="shared" si="0"/>
        <v>13-13</v>
      </c>
      <c r="J25" s="14">
        <f t="shared" si="2"/>
        <v>149</v>
      </c>
      <c r="K25" s="15">
        <f t="shared" si="2"/>
        <v>162</v>
      </c>
      <c r="L25" s="17">
        <f t="shared" si="3"/>
        <v>176</v>
      </c>
      <c r="M25" s="18">
        <f t="shared" si="4"/>
        <v>162</v>
      </c>
      <c r="N25" s="14">
        <f t="shared" si="5"/>
        <v>176</v>
      </c>
      <c r="O25" s="15">
        <f t="shared" si="5"/>
        <v>194</v>
      </c>
      <c r="P25" s="17">
        <f t="shared" si="6"/>
        <v>149</v>
      </c>
      <c r="Q25" s="18">
        <f t="shared" si="7"/>
        <v>194</v>
      </c>
      <c r="R25" s="4" t="s">
        <v>0</v>
      </c>
      <c r="S25" s="16" t="str">
        <f t="shared" si="8"/>
        <v>13-13</v>
      </c>
      <c r="T25" s="14">
        <f t="shared" si="9"/>
        <v>149</v>
      </c>
      <c r="U25" s="18">
        <f t="shared" si="10"/>
        <v>588</v>
      </c>
      <c r="V25" s="14">
        <f t="shared" si="1"/>
        <v>176</v>
      </c>
      <c r="W25" s="18">
        <f t="shared" si="11"/>
        <v>588</v>
      </c>
      <c r="X25" s="14">
        <f t="shared" si="1"/>
        <v>176</v>
      </c>
      <c r="Y25" s="18">
        <f t="shared" si="12"/>
        <v>556</v>
      </c>
      <c r="Z25" s="14">
        <f t="shared" si="1"/>
        <v>149</v>
      </c>
      <c r="AA25" s="18">
        <f t="shared" si="13"/>
        <v>556</v>
      </c>
      <c r="AB25" s="4" t="s">
        <v>0</v>
      </c>
    </row>
    <row r="26" spans="1:28">
      <c r="A26" s="9" t="s">
        <v>216</v>
      </c>
      <c r="B26" s="24"/>
      <c r="C26" s="26">
        <v>5</v>
      </c>
      <c r="D26" s="28">
        <f t="shared" si="19"/>
        <v>176</v>
      </c>
      <c r="E26" s="29">
        <f t="shared" si="20"/>
        <v>162</v>
      </c>
      <c r="F26" s="28">
        <f t="shared" si="21"/>
        <v>203</v>
      </c>
      <c r="G26" s="29">
        <f t="shared" si="18"/>
        <v>194</v>
      </c>
      <c r="H26" s="4" t="s">
        <v>0</v>
      </c>
      <c r="I26" s="16" t="str">
        <f t="shared" si="0"/>
        <v>13-12</v>
      </c>
      <c r="J26" s="14">
        <f t="shared" si="2"/>
        <v>176</v>
      </c>
      <c r="K26" s="15">
        <f t="shared" si="2"/>
        <v>162</v>
      </c>
      <c r="L26" s="17">
        <f t="shared" si="3"/>
        <v>203</v>
      </c>
      <c r="M26" s="18">
        <f t="shared" si="4"/>
        <v>162</v>
      </c>
      <c r="N26" s="14">
        <f t="shared" si="5"/>
        <v>203</v>
      </c>
      <c r="O26" s="15">
        <f t="shared" si="5"/>
        <v>194</v>
      </c>
      <c r="P26" s="17">
        <f t="shared" si="6"/>
        <v>176</v>
      </c>
      <c r="Q26" s="18">
        <f t="shared" si="7"/>
        <v>194</v>
      </c>
      <c r="R26" s="4" t="s">
        <v>0</v>
      </c>
      <c r="S26" s="16" t="str">
        <f t="shared" si="8"/>
        <v>13-12</v>
      </c>
      <c r="T26" s="14">
        <f t="shared" si="9"/>
        <v>176</v>
      </c>
      <c r="U26" s="18">
        <f t="shared" si="10"/>
        <v>588</v>
      </c>
      <c r="V26" s="14">
        <f t="shared" si="1"/>
        <v>203</v>
      </c>
      <c r="W26" s="18">
        <f t="shared" si="11"/>
        <v>588</v>
      </c>
      <c r="X26" s="14">
        <f t="shared" si="1"/>
        <v>203</v>
      </c>
      <c r="Y26" s="18">
        <f t="shared" si="12"/>
        <v>556</v>
      </c>
      <c r="Z26" s="14">
        <f t="shared" si="1"/>
        <v>176</v>
      </c>
      <c r="AA26" s="18">
        <f t="shared" si="13"/>
        <v>556</v>
      </c>
      <c r="AB26" s="4" t="s">
        <v>0</v>
      </c>
    </row>
    <row r="27" spans="1:28">
      <c r="A27" s="9" t="s">
        <v>215</v>
      </c>
      <c r="B27" s="24"/>
      <c r="C27" s="26">
        <v>6</v>
      </c>
      <c r="D27" s="28">
        <f t="shared" si="19"/>
        <v>203</v>
      </c>
      <c r="E27" s="29">
        <f t="shared" si="20"/>
        <v>162</v>
      </c>
      <c r="F27" s="28">
        <f t="shared" si="21"/>
        <v>230</v>
      </c>
      <c r="G27" s="29">
        <f t="shared" si="18"/>
        <v>194</v>
      </c>
      <c r="H27" s="4" t="s">
        <v>0</v>
      </c>
      <c r="I27" s="16" t="str">
        <f t="shared" si="0"/>
        <v>13-11</v>
      </c>
      <c r="J27" s="14">
        <f t="shared" si="2"/>
        <v>203</v>
      </c>
      <c r="K27" s="15">
        <f t="shared" si="2"/>
        <v>162</v>
      </c>
      <c r="L27" s="17">
        <f t="shared" si="3"/>
        <v>230</v>
      </c>
      <c r="M27" s="18">
        <f t="shared" si="4"/>
        <v>162</v>
      </c>
      <c r="N27" s="14">
        <f t="shared" si="5"/>
        <v>230</v>
      </c>
      <c r="O27" s="15">
        <f t="shared" si="5"/>
        <v>194</v>
      </c>
      <c r="P27" s="17">
        <f t="shared" si="6"/>
        <v>203</v>
      </c>
      <c r="Q27" s="18">
        <f t="shared" si="7"/>
        <v>194</v>
      </c>
      <c r="R27" s="4" t="s">
        <v>0</v>
      </c>
      <c r="S27" s="16" t="str">
        <f t="shared" si="8"/>
        <v>13-11</v>
      </c>
      <c r="T27" s="14">
        <f t="shared" si="9"/>
        <v>203</v>
      </c>
      <c r="U27" s="18">
        <f t="shared" si="10"/>
        <v>588</v>
      </c>
      <c r="V27" s="14">
        <f t="shared" ref="V27:V90" si="22">IF(L27&lt;&gt;"",L27,"")</f>
        <v>230</v>
      </c>
      <c r="W27" s="18">
        <f t="shared" si="11"/>
        <v>588</v>
      </c>
      <c r="X27" s="14">
        <f t="shared" ref="X27:X90" si="23">IF(N27&lt;&gt;"",N27,"")</f>
        <v>230</v>
      </c>
      <c r="Y27" s="18">
        <f t="shared" si="12"/>
        <v>556</v>
      </c>
      <c r="Z27" s="14">
        <f t="shared" ref="Z27:Z90" si="24">IF(P27&lt;&gt;"",P27,"")</f>
        <v>203</v>
      </c>
      <c r="AA27" s="18">
        <f t="shared" si="13"/>
        <v>556</v>
      </c>
      <c r="AB27" s="4" t="s">
        <v>0</v>
      </c>
    </row>
    <row r="28" spans="1:28">
      <c r="A28" s="9" t="s">
        <v>214</v>
      </c>
      <c r="B28" s="24"/>
      <c r="C28" s="26">
        <v>7</v>
      </c>
      <c r="D28" s="28">
        <f t="shared" si="19"/>
        <v>231</v>
      </c>
      <c r="E28" s="29">
        <f t="shared" si="20"/>
        <v>162</v>
      </c>
      <c r="F28" s="28">
        <f t="shared" si="21"/>
        <v>258</v>
      </c>
      <c r="G28" s="29">
        <f t="shared" si="18"/>
        <v>194</v>
      </c>
      <c r="H28" s="4" t="s">
        <v>0</v>
      </c>
      <c r="I28" s="16" t="str">
        <f t="shared" si="0"/>
        <v>13-10</v>
      </c>
      <c r="J28" s="14">
        <f t="shared" si="2"/>
        <v>231</v>
      </c>
      <c r="K28" s="15">
        <f t="shared" si="2"/>
        <v>162</v>
      </c>
      <c r="L28" s="17">
        <f t="shared" si="3"/>
        <v>258</v>
      </c>
      <c r="M28" s="18">
        <f t="shared" si="4"/>
        <v>162</v>
      </c>
      <c r="N28" s="14">
        <f t="shared" si="5"/>
        <v>258</v>
      </c>
      <c r="O28" s="15">
        <f t="shared" si="5"/>
        <v>194</v>
      </c>
      <c r="P28" s="17">
        <f t="shared" si="6"/>
        <v>231</v>
      </c>
      <c r="Q28" s="18">
        <f t="shared" si="7"/>
        <v>194</v>
      </c>
      <c r="R28" s="4" t="s">
        <v>0</v>
      </c>
      <c r="S28" s="16" t="str">
        <f t="shared" si="8"/>
        <v>13-10</v>
      </c>
      <c r="T28" s="14">
        <f t="shared" si="9"/>
        <v>231</v>
      </c>
      <c r="U28" s="18">
        <f t="shared" si="10"/>
        <v>588</v>
      </c>
      <c r="V28" s="14">
        <f t="shared" si="22"/>
        <v>258</v>
      </c>
      <c r="W28" s="18">
        <f t="shared" si="11"/>
        <v>588</v>
      </c>
      <c r="X28" s="14">
        <f t="shared" si="23"/>
        <v>258</v>
      </c>
      <c r="Y28" s="18">
        <f t="shared" si="12"/>
        <v>556</v>
      </c>
      <c r="Z28" s="14">
        <f t="shared" si="24"/>
        <v>231</v>
      </c>
      <c r="AA28" s="18">
        <f t="shared" si="13"/>
        <v>556</v>
      </c>
      <c r="AB28" s="4" t="s">
        <v>0</v>
      </c>
    </row>
    <row r="29" spans="1:28">
      <c r="A29" s="9" t="s">
        <v>213</v>
      </c>
      <c r="B29" s="24"/>
      <c r="C29" s="26">
        <v>8</v>
      </c>
      <c r="D29" s="28">
        <f t="shared" si="19"/>
        <v>258</v>
      </c>
      <c r="E29" s="29">
        <f t="shared" si="20"/>
        <v>162</v>
      </c>
      <c r="F29" s="28">
        <f t="shared" si="21"/>
        <v>285</v>
      </c>
      <c r="G29" s="29">
        <f t="shared" si="18"/>
        <v>194</v>
      </c>
      <c r="H29" s="4" t="s">
        <v>0</v>
      </c>
      <c r="I29" s="16" t="str">
        <f t="shared" si="0"/>
        <v>13-08</v>
      </c>
      <c r="J29" s="14">
        <f t="shared" si="2"/>
        <v>258</v>
      </c>
      <c r="K29" s="15">
        <f t="shared" si="2"/>
        <v>162</v>
      </c>
      <c r="L29" s="17">
        <f t="shared" si="3"/>
        <v>285</v>
      </c>
      <c r="M29" s="18">
        <f t="shared" si="4"/>
        <v>162</v>
      </c>
      <c r="N29" s="14">
        <f t="shared" si="5"/>
        <v>285</v>
      </c>
      <c r="O29" s="15">
        <f t="shared" si="5"/>
        <v>194</v>
      </c>
      <c r="P29" s="17">
        <f t="shared" si="6"/>
        <v>258</v>
      </c>
      <c r="Q29" s="18">
        <f t="shared" si="7"/>
        <v>194</v>
      </c>
      <c r="R29" s="4" t="s">
        <v>0</v>
      </c>
      <c r="S29" s="16" t="str">
        <f t="shared" si="8"/>
        <v>13-08</v>
      </c>
      <c r="T29" s="14">
        <f t="shared" si="9"/>
        <v>258</v>
      </c>
      <c r="U29" s="18">
        <f t="shared" si="10"/>
        <v>588</v>
      </c>
      <c r="V29" s="14">
        <f t="shared" si="22"/>
        <v>285</v>
      </c>
      <c r="W29" s="18">
        <f t="shared" si="11"/>
        <v>588</v>
      </c>
      <c r="X29" s="14">
        <f t="shared" si="23"/>
        <v>285</v>
      </c>
      <c r="Y29" s="18">
        <f t="shared" si="12"/>
        <v>556</v>
      </c>
      <c r="Z29" s="14">
        <f t="shared" si="24"/>
        <v>258</v>
      </c>
      <c r="AA29" s="18">
        <f t="shared" si="13"/>
        <v>556</v>
      </c>
      <c r="AB29" s="4" t="s">
        <v>0</v>
      </c>
    </row>
    <row r="30" spans="1:28">
      <c r="A30" s="9" t="s">
        <v>212</v>
      </c>
      <c r="B30" s="24"/>
      <c r="C30" s="26">
        <v>9</v>
      </c>
      <c r="D30" s="28">
        <f t="shared" si="19"/>
        <v>286</v>
      </c>
      <c r="E30" s="29">
        <f t="shared" si="20"/>
        <v>162</v>
      </c>
      <c r="F30" s="28">
        <f t="shared" si="21"/>
        <v>313</v>
      </c>
      <c r="G30" s="29">
        <f t="shared" si="18"/>
        <v>194</v>
      </c>
      <c r="H30" s="4" t="s">
        <v>0</v>
      </c>
      <c r="I30" s="16" t="str">
        <f t="shared" si="0"/>
        <v>13-07</v>
      </c>
      <c r="J30" s="14">
        <f t="shared" si="2"/>
        <v>286</v>
      </c>
      <c r="K30" s="15">
        <f t="shared" si="2"/>
        <v>162</v>
      </c>
      <c r="L30" s="17">
        <f t="shared" si="3"/>
        <v>313</v>
      </c>
      <c r="M30" s="18">
        <f t="shared" si="4"/>
        <v>162</v>
      </c>
      <c r="N30" s="14">
        <f t="shared" si="5"/>
        <v>313</v>
      </c>
      <c r="O30" s="15">
        <f t="shared" si="5"/>
        <v>194</v>
      </c>
      <c r="P30" s="17">
        <f t="shared" si="6"/>
        <v>286</v>
      </c>
      <c r="Q30" s="18">
        <f t="shared" si="7"/>
        <v>194</v>
      </c>
      <c r="R30" s="4" t="s">
        <v>0</v>
      </c>
      <c r="S30" s="16" t="str">
        <f t="shared" si="8"/>
        <v>13-07</v>
      </c>
      <c r="T30" s="14">
        <f t="shared" si="9"/>
        <v>286</v>
      </c>
      <c r="U30" s="18">
        <f t="shared" si="10"/>
        <v>588</v>
      </c>
      <c r="V30" s="14">
        <f t="shared" si="22"/>
        <v>313</v>
      </c>
      <c r="W30" s="18">
        <f t="shared" si="11"/>
        <v>588</v>
      </c>
      <c r="X30" s="14">
        <f t="shared" si="23"/>
        <v>313</v>
      </c>
      <c r="Y30" s="18">
        <f t="shared" si="12"/>
        <v>556</v>
      </c>
      <c r="Z30" s="14">
        <f t="shared" si="24"/>
        <v>286</v>
      </c>
      <c r="AA30" s="18">
        <f t="shared" si="13"/>
        <v>556</v>
      </c>
      <c r="AB30" s="4" t="s">
        <v>0</v>
      </c>
    </row>
    <row r="31" spans="1:28">
      <c r="A31" s="9" t="s">
        <v>211</v>
      </c>
      <c r="B31" s="24"/>
      <c r="C31" s="4" t="s">
        <v>0</v>
      </c>
      <c r="D31" s="27">
        <v>313</v>
      </c>
      <c r="E31" s="31">
        <v>162</v>
      </c>
      <c r="F31" s="31">
        <v>341</v>
      </c>
      <c r="G31" s="31">
        <v>194</v>
      </c>
      <c r="H31" s="4" t="s">
        <v>0</v>
      </c>
      <c r="I31" s="16" t="str">
        <f t="shared" si="0"/>
        <v>13-06</v>
      </c>
      <c r="J31" s="14">
        <f t="shared" si="2"/>
        <v>313</v>
      </c>
      <c r="K31" s="15">
        <f t="shared" si="2"/>
        <v>162</v>
      </c>
      <c r="L31" s="17">
        <f t="shared" si="3"/>
        <v>341</v>
      </c>
      <c r="M31" s="18">
        <f t="shared" si="4"/>
        <v>162</v>
      </c>
      <c r="N31" s="14">
        <f t="shared" si="5"/>
        <v>341</v>
      </c>
      <c r="O31" s="15">
        <f t="shared" si="5"/>
        <v>194</v>
      </c>
      <c r="P31" s="17">
        <f t="shared" si="6"/>
        <v>313</v>
      </c>
      <c r="Q31" s="18">
        <f t="shared" si="7"/>
        <v>194</v>
      </c>
      <c r="R31" s="4" t="s">
        <v>0</v>
      </c>
      <c r="S31" s="16" t="str">
        <f t="shared" si="8"/>
        <v>13-06</v>
      </c>
      <c r="T31" s="14">
        <f t="shared" si="9"/>
        <v>313</v>
      </c>
      <c r="U31" s="18">
        <f t="shared" si="10"/>
        <v>588</v>
      </c>
      <c r="V31" s="14">
        <f t="shared" si="22"/>
        <v>341</v>
      </c>
      <c r="W31" s="18">
        <f t="shared" si="11"/>
        <v>588</v>
      </c>
      <c r="X31" s="14">
        <f t="shared" si="23"/>
        <v>341</v>
      </c>
      <c r="Y31" s="18">
        <f t="shared" si="12"/>
        <v>556</v>
      </c>
      <c r="Z31" s="14">
        <f t="shared" si="24"/>
        <v>313</v>
      </c>
      <c r="AA31" s="18">
        <f t="shared" si="13"/>
        <v>556</v>
      </c>
      <c r="AB31" s="4" t="s">
        <v>0</v>
      </c>
    </row>
    <row r="32" spans="1:28">
      <c r="A32" s="9" t="s">
        <v>210</v>
      </c>
      <c r="B32" s="24"/>
      <c r="C32" s="26">
        <v>1</v>
      </c>
      <c r="D32" s="28">
        <f>ROUND(D$31+27.8*$C32, 0)</f>
        <v>341</v>
      </c>
      <c r="E32" s="29">
        <f t="shared" ref="E32" si="25">E31</f>
        <v>162</v>
      </c>
      <c r="F32" s="28">
        <f>ROUND(F$31+27.8*$C32, 0)</f>
        <v>369</v>
      </c>
      <c r="G32" s="29">
        <f t="shared" ref="G32" si="26">G31</f>
        <v>194</v>
      </c>
      <c r="H32" s="4" t="s">
        <v>0</v>
      </c>
      <c r="I32" s="16" t="str">
        <f t="shared" si="0"/>
        <v>13-05</v>
      </c>
      <c r="J32" s="14">
        <f t="shared" si="2"/>
        <v>341</v>
      </c>
      <c r="K32" s="15">
        <f t="shared" si="2"/>
        <v>162</v>
      </c>
      <c r="L32" s="17">
        <f t="shared" si="3"/>
        <v>369</v>
      </c>
      <c r="M32" s="18">
        <f t="shared" si="4"/>
        <v>162</v>
      </c>
      <c r="N32" s="14">
        <f t="shared" si="5"/>
        <v>369</v>
      </c>
      <c r="O32" s="15">
        <f t="shared" si="5"/>
        <v>194</v>
      </c>
      <c r="P32" s="17">
        <f t="shared" si="6"/>
        <v>341</v>
      </c>
      <c r="Q32" s="18">
        <f t="shared" si="7"/>
        <v>194</v>
      </c>
      <c r="R32" s="4" t="s">
        <v>0</v>
      </c>
      <c r="S32" s="16" t="str">
        <f t="shared" si="8"/>
        <v>13-05</v>
      </c>
      <c r="T32" s="14">
        <f t="shared" si="9"/>
        <v>341</v>
      </c>
      <c r="U32" s="18">
        <f t="shared" si="10"/>
        <v>588</v>
      </c>
      <c r="V32" s="14">
        <f t="shared" si="22"/>
        <v>369</v>
      </c>
      <c r="W32" s="18">
        <f t="shared" si="11"/>
        <v>588</v>
      </c>
      <c r="X32" s="14">
        <f t="shared" si="23"/>
        <v>369</v>
      </c>
      <c r="Y32" s="18">
        <f t="shared" si="12"/>
        <v>556</v>
      </c>
      <c r="Z32" s="14">
        <f t="shared" si="24"/>
        <v>341</v>
      </c>
      <c r="AA32" s="18">
        <f t="shared" si="13"/>
        <v>556</v>
      </c>
      <c r="AB32" s="4" t="s">
        <v>0</v>
      </c>
    </row>
    <row r="33" spans="1:28">
      <c r="A33" s="9" t="s">
        <v>209</v>
      </c>
      <c r="B33" s="24"/>
      <c r="C33" s="26">
        <v>2</v>
      </c>
      <c r="D33" s="28">
        <f t="shared" ref="D33:D35" si="27">ROUND(D$31+27.8*$C33, 0)</f>
        <v>369</v>
      </c>
      <c r="E33" s="29">
        <f t="shared" ref="E33:E35" si="28">E32</f>
        <v>162</v>
      </c>
      <c r="F33" s="28">
        <f t="shared" ref="F33:F35" si="29">ROUND(F$31+27.8*$C33, 0)</f>
        <v>397</v>
      </c>
      <c r="G33" s="29">
        <f t="shared" ref="G33:G35" si="30">G32</f>
        <v>194</v>
      </c>
      <c r="H33" s="4" t="s">
        <v>0</v>
      </c>
      <c r="I33" s="16" t="str">
        <f t="shared" si="0"/>
        <v>13-03</v>
      </c>
      <c r="J33" s="14">
        <f t="shared" si="2"/>
        <v>369</v>
      </c>
      <c r="K33" s="15">
        <f t="shared" si="2"/>
        <v>162</v>
      </c>
      <c r="L33" s="17">
        <f t="shared" si="3"/>
        <v>397</v>
      </c>
      <c r="M33" s="18">
        <f t="shared" si="4"/>
        <v>162</v>
      </c>
      <c r="N33" s="14">
        <f t="shared" si="5"/>
        <v>397</v>
      </c>
      <c r="O33" s="15">
        <f t="shared" si="5"/>
        <v>194</v>
      </c>
      <c r="P33" s="17">
        <f t="shared" si="6"/>
        <v>369</v>
      </c>
      <c r="Q33" s="18">
        <f t="shared" si="7"/>
        <v>194</v>
      </c>
      <c r="R33" s="4" t="s">
        <v>0</v>
      </c>
      <c r="S33" s="16" t="str">
        <f t="shared" si="8"/>
        <v>13-03</v>
      </c>
      <c r="T33" s="14">
        <f t="shared" si="9"/>
        <v>369</v>
      </c>
      <c r="U33" s="18">
        <f t="shared" si="10"/>
        <v>588</v>
      </c>
      <c r="V33" s="14">
        <f t="shared" si="22"/>
        <v>397</v>
      </c>
      <c r="W33" s="18">
        <f t="shared" si="11"/>
        <v>588</v>
      </c>
      <c r="X33" s="14">
        <f t="shared" si="23"/>
        <v>397</v>
      </c>
      <c r="Y33" s="18">
        <f t="shared" si="12"/>
        <v>556</v>
      </c>
      <c r="Z33" s="14">
        <f t="shared" si="24"/>
        <v>369</v>
      </c>
      <c r="AA33" s="18">
        <f t="shared" si="13"/>
        <v>556</v>
      </c>
      <c r="AB33" s="4" t="s">
        <v>0</v>
      </c>
    </row>
    <row r="34" spans="1:28">
      <c r="A34" s="9" t="s">
        <v>208</v>
      </c>
      <c r="B34" s="24"/>
      <c r="C34" s="26">
        <v>3</v>
      </c>
      <c r="D34" s="28">
        <f t="shared" si="27"/>
        <v>396</v>
      </c>
      <c r="E34" s="29">
        <f t="shared" si="28"/>
        <v>162</v>
      </c>
      <c r="F34" s="28">
        <f t="shared" si="29"/>
        <v>424</v>
      </c>
      <c r="G34" s="29">
        <f t="shared" si="30"/>
        <v>194</v>
      </c>
      <c r="H34" s="4" t="s">
        <v>0</v>
      </c>
      <c r="I34" s="16" t="str">
        <f t="shared" si="0"/>
        <v>13-02</v>
      </c>
      <c r="J34" s="14">
        <f t="shared" si="2"/>
        <v>396</v>
      </c>
      <c r="K34" s="15">
        <f t="shared" si="2"/>
        <v>162</v>
      </c>
      <c r="L34" s="17">
        <f t="shared" si="3"/>
        <v>424</v>
      </c>
      <c r="M34" s="18">
        <f t="shared" si="4"/>
        <v>162</v>
      </c>
      <c r="N34" s="14">
        <f t="shared" si="5"/>
        <v>424</v>
      </c>
      <c r="O34" s="15">
        <f t="shared" si="5"/>
        <v>194</v>
      </c>
      <c r="P34" s="17">
        <f t="shared" si="6"/>
        <v>396</v>
      </c>
      <c r="Q34" s="18">
        <f t="shared" si="7"/>
        <v>194</v>
      </c>
      <c r="R34" s="4" t="s">
        <v>0</v>
      </c>
      <c r="S34" s="16" t="str">
        <f t="shared" si="8"/>
        <v>13-02</v>
      </c>
      <c r="T34" s="14">
        <f t="shared" si="9"/>
        <v>396</v>
      </c>
      <c r="U34" s="18">
        <f t="shared" si="10"/>
        <v>588</v>
      </c>
      <c r="V34" s="14">
        <f t="shared" si="22"/>
        <v>424</v>
      </c>
      <c r="W34" s="18">
        <f t="shared" si="11"/>
        <v>588</v>
      </c>
      <c r="X34" s="14">
        <f t="shared" si="23"/>
        <v>424</v>
      </c>
      <c r="Y34" s="18">
        <f t="shared" si="12"/>
        <v>556</v>
      </c>
      <c r="Z34" s="14">
        <f t="shared" si="24"/>
        <v>396</v>
      </c>
      <c r="AA34" s="18">
        <f t="shared" si="13"/>
        <v>556</v>
      </c>
      <c r="AB34" s="4" t="s">
        <v>0</v>
      </c>
    </row>
    <row r="35" spans="1:28">
      <c r="A35" s="9" t="s">
        <v>207</v>
      </c>
      <c r="B35" s="24"/>
      <c r="C35" s="26">
        <v>4</v>
      </c>
      <c r="D35" s="28">
        <f t="shared" si="27"/>
        <v>424</v>
      </c>
      <c r="E35" s="29">
        <f t="shared" si="28"/>
        <v>162</v>
      </c>
      <c r="F35" s="28">
        <f t="shared" si="29"/>
        <v>452</v>
      </c>
      <c r="G35" s="29">
        <f t="shared" si="30"/>
        <v>194</v>
      </c>
      <c r="H35" s="4" t="s">
        <v>0</v>
      </c>
      <c r="I35" s="16" t="str">
        <f t="shared" si="0"/>
        <v>13-01</v>
      </c>
      <c r="J35" s="14">
        <f t="shared" si="2"/>
        <v>424</v>
      </c>
      <c r="K35" s="15">
        <f t="shared" si="2"/>
        <v>162</v>
      </c>
      <c r="L35" s="17">
        <f t="shared" si="3"/>
        <v>452</v>
      </c>
      <c r="M35" s="18">
        <f t="shared" si="4"/>
        <v>162</v>
      </c>
      <c r="N35" s="14">
        <f t="shared" si="5"/>
        <v>452</v>
      </c>
      <c r="O35" s="15">
        <f t="shared" si="5"/>
        <v>194</v>
      </c>
      <c r="P35" s="17">
        <f t="shared" si="6"/>
        <v>424</v>
      </c>
      <c r="Q35" s="18">
        <f t="shared" si="7"/>
        <v>194</v>
      </c>
      <c r="R35" s="4" t="s">
        <v>0</v>
      </c>
      <c r="S35" s="16" t="str">
        <f t="shared" si="8"/>
        <v>13-01</v>
      </c>
      <c r="T35" s="14">
        <f t="shared" si="9"/>
        <v>424</v>
      </c>
      <c r="U35" s="18">
        <f t="shared" si="10"/>
        <v>588</v>
      </c>
      <c r="V35" s="14">
        <f t="shared" si="22"/>
        <v>452</v>
      </c>
      <c r="W35" s="18">
        <f t="shared" si="11"/>
        <v>588</v>
      </c>
      <c r="X35" s="14">
        <f t="shared" si="23"/>
        <v>452</v>
      </c>
      <c r="Y35" s="18">
        <f t="shared" si="12"/>
        <v>556</v>
      </c>
      <c r="Z35" s="14">
        <f t="shared" si="24"/>
        <v>424</v>
      </c>
      <c r="AA35" s="18">
        <f t="shared" si="13"/>
        <v>556</v>
      </c>
      <c r="AB35" s="4" t="s">
        <v>0</v>
      </c>
    </row>
    <row r="36" spans="1:28">
      <c r="A36" s="9" t="s">
        <v>205</v>
      </c>
      <c r="B36" s="24"/>
      <c r="C36" s="26">
        <v>1</v>
      </c>
      <c r="D36" s="25">
        <f>D21</f>
        <v>39</v>
      </c>
      <c r="E36" s="28">
        <f>ROUND(E$21+41.2*$C36, 0)</f>
        <v>203</v>
      </c>
      <c r="F36" s="25">
        <f>F21</f>
        <v>66</v>
      </c>
      <c r="G36" s="28">
        <f>ROUND(G$21+41.2*$C36, 0)</f>
        <v>235</v>
      </c>
      <c r="H36" s="4" t="s">
        <v>0</v>
      </c>
      <c r="I36" s="16" t="str">
        <f t="shared" si="0"/>
        <v>12-18</v>
      </c>
      <c r="J36" s="14">
        <f>IF(D36&lt;&gt;"",D36,0)</f>
        <v>39</v>
      </c>
      <c r="K36" s="15">
        <f t="shared" si="2"/>
        <v>203</v>
      </c>
      <c r="L36" s="17">
        <f t="shared" si="3"/>
        <v>66</v>
      </c>
      <c r="M36" s="18">
        <f t="shared" si="4"/>
        <v>203</v>
      </c>
      <c r="N36" s="14">
        <f>IF(F36&lt;&gt;"",F36,0)</f>
        <v>66</v>
      </c>
      <c r="O36" s="15">
        <f t="shared" si="5"/>
        <v>235</v>
      </c>
      <c r="P36" s="17">
        <f t="shared" si="6"/>
        <v>39</v>
      </c>
      <c r="Q36" s="18">
        <f t="shared" si="7"/>
        <v>235</v>
      </c>
      <c r="R36" s="4" t="s">
        <v>0</v>
      </c>
      <c r="S36" s="16" t="str">
        <f t="shared" si="8"/>
        <v>12-18</v>
      </c>
      <c r="T36" s="14">
        <f t="shared" si="9"/>
        <v>39</v>
      </c>
      <c r="U36" s="18">
        <f t="shared" si="10"/>
        <v>547</v>
      </c>
      <c r="V36" s="14">
        <f t="shared" si="22"/>
        <v>66</v>
      </c>
      <c r="W36" s="18">
        <f t="shared" si="11"/>
        <v>547</v>
      </c>
      <c r="X36" s="14">
        <f t="shared" si="23"/>
        <v>66</v>
      </c>
      <c r="Y36" s="18">
        <f t="shared" si="12"/>
        <v>515</v>
      </c>
      <c r="Z36" s="14">
        <f t="shared" si="24"/>
        <v>39</v>
      </c>
      <c r="AA36" s="18">
        <f t="shared" si="13"/>
        <v>515</v>
      </c>
      <c r="AB36" s="4" t="s">
        <v>0</v>
      </c>
    </row>
    <row r="37" spans="1:28">
      <c r="A37" s="9" t="s">
        <v>204</v>
      </c>
      <c r="B37" s="24"/>
      <c r="C37" s="26"/>
      <c r="D37" s="25">
        <f t="shared" ref="D37:F50" si="31">D22</f>
        <v>66</v>
      </c>
      <c r="E37" s="29">
        <f t="shared" ref="E37:G37" si="32">E36</f>
        <v>203</v>
      </c>
      <c r="F37" s="25">
        <f t="shared" si="31"/>
        <v>93</v>
      </c>
      <c r="G37" s="29">
        <f t="shared" si="32"/>
        <v>235</v>
      </c>
      <c r="H37" s="4" t="s">
        <v>0</v>
      </c>
      <c r="I37" s="16" t="str">
        <f t="shared" si="0"/>
        <v>12-17</v>
      </c>
      <c r="J37" s="14">
        <f>IF(D37&lt;&gt;"",D37,0)</f>
        <v>66</v>
      </c>
      <c r="K37" s="15">
        <f t="shared" si="2"/>
        <v>203</v>
      </c>
      <c r="L37" s="17">
        <f t="shared" si="3"/>
        <v>93</v>
      </c>
      <c r="M37" s="18">
        <f t="shared" si="4"/>
        <v>203</v>
      </c>
      <c r="N37" s="14">
        <f>IF(F37&lt;&gt;"",F37,0)</f>
        <v>93</v>
      </c>
      <c r="O37" s="15">
        <f t="shared" si="5"/>
        <v>235</v>
      </c>
      <c r="P37" s="17">
        <f t="shared" si="6"/>
        <v>66</v>
      </c>
      <c r="Q37" s="18">
        <f t="shared" si="7"/>
        <v>235</v>
      </c>
      <c r="R37" s="4" t="s">
        <v>0</v>
      </c>
      <c r="S37" s="16" t="str">
        <f t="shared" si="8"/>
        <v>12-17</v>
      </c>
      <c r="T37" s="14">
        <f t="shared" si="9"/>
        <v>66</v>
      </c>
      <c r="U37" s="18">
        <f t="shared" si="10"/>
        <v>547</v>
      </c>
      <c r="V37" s="14">
        <f t="shared" si="22"/>
        <v>93</v>
      </c>
      <c r="W37" s="18">
        <f t="shared" si="11"/>
        <v>547</v>
      </c>
      <c r="X37" s="14">
        <f t="shared" si="23"/>
        <v>93</v>
      </c>
      <c r="Y37" s="18">
        <f t="shared" si="12"/>
        <v>515</v>
      </c>
      <c r="Z37" s="14">
        <f t="shared" si="24"/>
        <v>66</v>
      </c>
      <c r="AA37" s="18">
        <f t="shared" si="13"/>
        <v>515</v>
      </c>
      <c r="AB37" s="4" t="s">
        <v>0</v>
      </c>
    </row>
    <row r="38" spans="1:28">
      <c r="A38" s="9" t="s">
        <v>203</v>
      </c>
      <c r="B38" s="24"/>
      <c r="C38" s="4"/>
      <c r="D38" s="25">
        <f t="shared" si="31"/>
        <v>94</v>
      </c>
      <c r="E38" s="29">
        <f t="shared" ref="E38" si="33">E37</f>
        <v>203</v>
      </c>
      <c r="F38" s="25">
        <f t="shared" si="31"/>
        <v>121</v>
      </c>
      <c r="G38" s="29">
        <f t="shared" ref="G38" si="34">G37</f>
        <v>235</v>
      </c>
      <c r="H38" s="4" t="s">
        <v>0</v>
      </c>
      <c r="I38" s="16" t="str">
        <f t="shared" si="0"/>
        <v>12-16</v>
      </c>
      <c r="J38" s="14">
        <f t="shared" si="2"/>
        <v>94</v>
      </c>
      <c r="K38" s="15">
        <f t="shared" si="2"/>
        <v>203</v>
      </c>
      <c r="L38" s="17">
        <f t="shared" si="3"/>
        <v>121</v>
      </c>
      <c r="M38" s="18">
        <f t="shared" si="4"/>
        <v>203</v>
      </c>
      <c r="N38" s="14">
        <f t="shared" si="5"/>
        <v>121</v>
      </c>
      <c r="O38" s="15">
        <f t="shared" si="5"/>
        <v>235</v>
      </c>
      <c r="P38" s="17">
        <f t="shared" si="6"/>
        <v>94</v>
      </c>
      <c r="Q38" s="18">
        <f t="shared" si="7"/>
        <v>235</v>
      </c>
      <c r="R38" s="4" t="s">
        <v>0</v>
      </c>
      <c r="S38" s="16" t="str">
        <f t="shared" si="8"/>
        <v>12-16</v>
      </c>
      <c r="T38" s="14">
        <f t="shared" si="9"/>
        <v>94</v>
      </c>
      <c r="U38" s="18">
        <f t="shared" si="10"/>
        <v>547</v>
      </c>
      <c r="V38" s="14">
        <f t="shared" si="22"/>
        <v>121</v>
      </c>
      <c r="W38" s="18">
        <f t="shared" si="11"/>
        <v>547</v>
      </c>
      <c r="X38" s="14">
        <f t="shared" si="23"/>
        <v>121</v>
      </c>
      <c r="Y38" s="18">
        <f t="shared" si="12"/>
        <v>515</v>
      </c>
      <c r="Z38" s="14">
        <f t="shared" si="24"/>
        <v>94</v>
      </c>
      <c r="AA38" s="18">
        <f t="shared" si="13"/>
        <v>515</v>
      </c>
      <c r="AB38" s="4" t="s">
        <v>0</v>
      </c>
    </row>
    <row r="39" spans="1:28">
      <c r="A39" s="9" t="s">
        <v>202</v>
      </c>
      <c r="B39" s="24"/>
      <c r="C39" s="4"/>
      <c r="D39" s="25">
        <f t="shared" si="31"/>
        <v>121</v>
      </c>
      <c r="E39" s="29">
        <f t="shared" ref="E39" si="35">E38</f>
        <v>203</v>
      </c>
      <c r="F39" s="25">
        <f t="shared" si="31"/>
        <v>148</v>
      </c>
      <c r="G39" s="29">
        <f t="shared" ref="G39" si="36">G38</f>
        <v>235</v>
      </c>
      <c r="H39" s="4" t="s">
        <v>0</v>
      </c>
      <c r="I39" s="16" t="str">
        <f t="shared" si="0"/>
        <v>12-15</v>
      </c>
      <c r="J39" s="14">
        <f t="shared" si="2"/>
        <v>121</v>
      </c>
      <c r="K39" s="15">
        <f t="shared" si="2"/>
        <v>203</v>
      </c>
      <c r="L39" s="17">
        <f t="shared" si="3"/>
        <v>148</v>
      </c>
      <c r="M39" s="18">
        <f t="shared" si="4"/>
        <v>203</v>
      </c>
      <c r="N39" s="14">
        <f t="shared" si="5"/>
        <v>148</v>
      </c>
      <c r="O39" s="15">
        <f t="shared" si="5"/>
        <v>235</v>
      </c>
      <c r="P39" s="17">
        <f t="shared" si="6"/>
        <v>121</v>
      </c>
      <c r="Q39" s="18">
        <f t="shared" si="7"/>
        <v>235</v>
      </c>
      <c r="R39" s="4" t="s">
        <v>0</v>
      </c>
      <c r="S39" s="16" t="str">
        <f t="shared" si="8"/>
        <v>12-15</v>
      </c>
      <c r="T39" s="14">
        <f t="shared" si="9"/>
        <v>121</v>
      </c>
      <c r="U39" s="18">
        <f t="shared" si="10"/>
        <v>547</v>
      </c>
      <c r="V39" s="14">
        <f t="shared" si="22"/>
        <v>148</v>
      </c>
      <c r="W39" s="18">
        <f t="shared" si="11"/>
        <v>547</v>
      </c>
      <c r="X39" s="14">
        <f t="shared" si="23"/>
        <v>148</v>
      </c>
      <c r="Y39" s="18">
        <f t="shared" si="12"/>
        <v>515</v>
      </c>
      <c r="Z39" s="14">
        <f t="shared" si="24"/>
        <v>121</v>
      </c>
      <c r="AA39" s="18">
        <f t="shared" si="13"/>
        <v>515</v>
      </c>
      <c r="AB39" s="4" t="s">
        <v>0</v>
      </c>
    </row>
    <row r="40" spans="1:28">
      <c r="A40" s="9" t="s">
        <v>201</v>
      </c>
      <c r="B40" s="24"/>
      <c r="C40" s="4"/>
      <c r="D40" s="25">
        <f t="shared" si="31"/>
        <v>149</v>
      </c>
      <c r="E40" s="29">
        <f t="shared" ref="E40" si="37">E39</f>
        <v>203</v>
      </c>
      <c r="F40" s="25">
        <f t="shared" si="31"/>
        <v>176</v>
      </c>
      <c r="G40" s="29">
        <f t="shared" ref="G40" si="38">G39</f>
        <v>235</v>
      </c>
      <c r="H40" s="4" t="s">
        <v>0</v>
      </c>
      <c r="I40" s="16" t="str">
        <f t="shared" si="0"/>
        <v>12-13</v>
      </c>
      <c r="J40" s="14">
        <f t="shared" si="2"/>
        <v>149</v>
      </c>
      <c r="K40" s="15">
        <f t="shared" si="2"/>
        <v>203</v>
      </c>
      <c r="L40" s="17">
        <f t="shared" si="3"/>
        <v>176</v>
      </c>
      <c r="M40" s="18">
        <f t="shared" si="4"/>
        <v>203</v>
      </c>
      <c r="N40" s="14">
        <f t="shared" si="5"/>
        <v>176</v>
      </c>
      <c r="O40" s="15">
        <f t="shared" si="5"/>
        <v>235</v>
      </c>
      <c r="P40" s="17">
        <f t="shared" si="6"/>
        <v>149</v>
      </c>
      <c r="Q40" s="18">
        <f t="shared" si="7"/>
        <v>235</v>
      </c>
      <c r="R40" s="4" t="s">
        <v>0</v>
      </c>
      <c r="S40" s="16" t="str">
        <f t="shared" si="8"/>
        <v>12-13</v>
      </c>
      <c r="T40" s="14">
        <f t="shared" si="9"/>
        <v>149</v>
      </c>
      <c r="U40" s="18">
        <f t="shared" si="10"/>
        <v>547</v>
      </c>
      <c r="V40" s="14">
        <f t="shared" si="22"/>
        <v>176</v>
      </c>
      <c r="W40" s="18">
        <f t="shared" si="11"/>
        <v>547</v>
      </c>
      <c r="X40" s="14">
        <f t="shared" si="23"/>
        <v>176</v>
      </c>
      <c r="Y40" s="18">
        <f t="shared" si="12"/>
        <v>515</v>
      </c>
      <c r="Z40" s="14">
        <f t="shared" si="24"/>
        <v>149</v>
      </c>
      <c r="AA40" s="18">
        <f t="shared" si="13"/>
        <v>515</v>
      </c>
      <c r="AB40" s="4" t="s">
        <v>0</v>
      </c>
    </row>
    <row r="41" spans="1:28">
      <c r="A41" s="9" t="s">
        <v>108</v>
      </c>
      <c r="B41" s="24"/>
      <c r="C41" s="4"/>
      <c r="D41" s="25">
        <f t="shared" si="31"/>
        <v>176</v>
      </c>
      <c r="E41" s="29">
        <f t="shared" ref="E41" si="39">E40</f>
        <v>203</v>
      </c>
      <c r="F41" s="25">
        <f t="shared" si="31"/>
        <v>203</v>
      </c>
      <c r="G41" s="29">
        <f t="shared" ref="G41" si="40">G40</f>
        <v>235</v>
      </c>
      <c r="H41" s="4" t="s">
        <v>0</v>
      </c>
      <c r="I41" s="16" t="str">
        <f t="shared" si="0"/>
        <v>12-12</v>
      </c>
      <c r="J41" s="14">
        <f t="shared" si="2"/>
        <v>176</v>
      </c>
      <c r="K41" s="15">
        <f t="shared" si="2"/>
        <v>203</v>
      </c>
      <c r="L41" s="17">
        <f t="shared" si="3"/>
        <v>203</v>
      </c>
      <c r="M41" s="18">
        <f t="shared" si="4"/>
        <v>203</v>
      </c>
      <c r="N41" s="14">
        <f t="shared" si="5"/>
        <v>203</v>
      </c>
      <c r="O41" s="15">
        <f t="shared" si="5"/>
        <v>235</v>
      </c>
      <c r="P41" s="17">
        <f t="shared" si="6"/>
        <v>176</v>
      </c>
      <c r="Q41" s="18">
        <f t="shared" si="7"/>
        <v>235</v>
      </c>
      <c r="R41" s="4" t="s">
        <v>0</v>
      </c>
      <c r="S41" s="16" t="str">
        <f t="shared" si="8"/>
        <v>12-12</v>
      </c>
      <c r="T41" s="14">
        <f t="shared" si="9"/>
        <v>176</v>
      </c>
      <c r="U41" s="18">
        <f t="shared" si="10"/>
        <v>547</v>
      </c>
      <c r="V41" s="14">
        <f t="shared" si="22"/>
        <v>203</v>
      </c>
      <c r="W41" s="18">
        <f t="shared" si="11"/>
        <v>547</v>
      </c>
      <c r="X41" s="14">
        <f t="shared" si="23"/>
        <v>203</v>
      </c>
      <c r="Y41" s="18">
        <f t="shared" si="12"/>
        <v>515</v>
      </c>
      <c r="Z41" s="14">
        <f t="shared" si="24"/>
        <v>176</v>
      </c>
      <c r="AA41" s="18">
        <f t="shared" si="13"/>
        <v>515</v>
      </c>
      <c r="AB41" s="4" t="s">
        <v>0</v>
      </c>
    </row>
    <row r="42" spans="1:28">
      <c r="A42" s="9" t="s">
        <v>107</v>
      </c>
      <c r="B42" s="24"/>
      <c r="C42" s="4"/>
      <c r="D42" s="25">
        <f t="shared" si="31"/>
        <v>203</v>
      </c>
      <c r="E42" s="29">
        <f t="shared" ref="E42" si="41">E41</f>
        <v>203</v>
      </c>
      <c r="F42" s="25">
        <f t="shared" si="31"/>
        <v>230</v>
      </c>
      <c r="G42" s="29">
        <f t="shared" ref="G42" si="42">G41</f>
        <v>235</v>
      </c>
      <c r="H42" s="4" t="s">
        <v>0</v>
      </c>
      <c r="I42" s="16" t="str">
        <f t="shared" si="0"/>
        <v>12-11</v>
      </c>
      <c r="J42" s="14">
        <f t="shared" si="2"/>
        <v>203</v>
      </c>
      <c r="K42" s="15">
        <f t="shared" si="2"/>
        <v>203</v>
      </c>
      <c r="L42" s="17">
        <f t="shared" si="3"/>
        <v>230</v>
      </c>
      <c r="M42" s="18">
        <f t="shared" si="4"/>
        <v>203</v>
      </c>
      <c r="N42" s="14">
        <f t="shared" si="5"/>
        <v>230</v>
      </c>
      <c r="O42" s="15">
        <f t="shared" si="5"/>
        <v>235</v>
      </c>
      <c r="P42" s="17">
        <f t="shared" si="6"/>
        <v>203</v>
      </c>
      <c r="Q42" s="18">
        <f t="shared" si="7"/>
        <v>235</v>
      </c>
      <c r="R42" s="4" t="s">
        <v>0</v>
      </c>
      <c r="S42" s="16" t="str">
        <f t="shared" si="8"/>
        <v>12-11</v>
      </c>
      <c r="T42" s="14">
        <f t="shared" si="9"/>
        <v>203</v>
      </c>
      <c r="U42" s="18">
        <f t="shared" si="10"/>
        <v>547</v>
      </c>
      <c r="V42" s="14">
        <f t="shared" si="22"/>
        <v>230</v>
      </c>
      <c r="W42" s="18">
        <f t="shared" si="11"/>
        <v>547</v>
      </c>
      <c r="X42" s="14">
        <f t="shared" si="23"/>
        <v>230</v>
      </c>
      <c r="Y42" s="18">
        <f t="shared" si="12"/>
        <v>515</v>
      </c>
      <c r="Z42" s="14">
        <f t="shared" si="24"/>
        <v>203</v>
      </c>
      <c r="AA42" s="18">
        <f t="shared" si="13"/>
        <v>515</v>
      </c>
      <c r="AB42" s="4" t="s">
        <v>0</v>
      </c>
    </row>
    <row r="43" spans="1:28">
      <c r="A43" s="9" t="s">
        <v>106</v>
      </c>
      <c r="B43" s="24"/>
      <c r="C43" s="4"/>
      <c r="D43" s="25">
        <f t="shared" si="31"/>
        <v>231</v>
      </c>
      <c r="E43" s="29">
        <f t="shared" ref="E43" si="43">E42</f>
        <v>203</v>
      </c>
      <c r="F43" s="25">
        <f t="shared" si="31"/>
        <v>258</v>
      </c>
      <c r="G43" s="29">
        <f t="shared" ref="G43" si="44">G42</f>
        <v>235</v>
      </c>
      <c r="H43" s="4" t="s">
        <v>0</v>
      </c>
      <c r="I43" s="16" t="str">
        <f t="shared" si="0"/>
        <v>12-10</v>
      </c>
      <c r="J43" s="14">
        <f t="shared" si="2"/>
        <v>231</v>
      </c>
      <c r="K43" s="15">
        <f t="shared" si="2"/>
        <v>203</v>
      </c>
      <c r="L43" s="17">
        <f t="shared" si="3"/>
        <v>258</v>
      </c>
      <c r="M43" s="18">
        <f t="shared" si="4"/>
        <v>203</v>
      </c>
      <c r="N43" s="14">
        <f t="shared" si="5"/>
        <v>258</v>
      </c>
      <c r="O43" s="15">
        <f t="shared" si="5"/>
        <v>235</v>
      </c>
      <c r="P43" s="17">
        <f t="shared" si="6"/>
        <v>231</v>
      </c>
      <c r="Q43" s="18">
        <f t="shared" si="7"/>
        <v>235</v>
      </c>
      <c r="R43" s="4" t="s">
        <v>0</v>
      </c>
      <c r="S43" s="16" t="str">
        <f t="shared" si="8"/>
        <v>12-10</v>
      </c>
      <c r="T43" s="14">
        <f t="shared" si="9"/>
        <v>231</v>
      </c>
      <c r="U43" s="18">
        <f t="shared" si="10"/>
        <v>547</v>
      </c>
      <c r="V43" s="14">
        <f t="shared" si="22"/>
        <v>258</v>
      </c>
      <c r="W43" s="18">
        <f t="shared" si="11"/>
        <v>547</v>
      </c>
      <c r="X43" s="14">
        <f t="shared" si="23"/>
        <v>258</v>
      </c>
      <c r="Y43" s="18">
        <f t="shared" si="12"/>
        <v>515</v>
      </c>
      <c r="Z43" s="14">
        <f t="shared" si="24"/>
        <v>231</v>
      </c>
      <c r="AA43" s="18">
        <f t="shared" si="13"/>
        <v>515</v>
      </c>
      <c r="AB43" s="4" t="s">
        <v>0</v>
      </c>
    </row>
    <row r="44" spans="1:28">
      <c r="A44" s="9" t="s">
        <v>105</v>
      </c>
      <c r="B44" s="24"/>
      <c r="C44" s="4"/>
      <c r="D44" s="25">
        <f t="shared" si="31"/>
        <v>258</v>
      </c>
      <c r="E44" s="29">
        <f t="shared" ref="E44" si="45">E43</f>
        <v>203</v>
      </c>
      <c r="F44" s="25">
        <f t="shared" si="31"/>
        <v>285</v>
      </c>
      <c r="G44" s="29">
        <f t="shared" ref="G44" si="46">G43</f>
        <v>235</v>
      </c>
      <c r="H44" s="4" t="s">
        <v>0</v>
      </c>
      <c r="I44" s="16" t="str">
        <f t="shared" si="0"/>
        <v>12-08</v>
      </c>
      <c r="J44" s="14">
        <f t="shared" si="2"/>
        <v>258</v>
      </c>
      <c r="K44" s="15">
        <f t="shared" si="2"/>
        <v>203</v>
      </c>
      <c r="L44" s="17">
        <f t="shared" si="3"/>
        <v>285</v>
      </c>
      <c r="M44" s="18">
        <f t="shared" si="4"/>
        <v>203</v>
      </c>
      <c r="N44" s="14">
        <f t="shared" si="5"/>
        <v>285</v>
      </c>
      <c r="O44" s="15">
        <f t="shared" si="5"/>
        <v>235</v>
      </c>
      <c r="P44" s="17">
        <f t="shared" si="6"/>
        <v>258</v>
      </c>
      <c r="Q44" s="18">
        <f t="shared" si="7"/>
        <v>235</v>
      </c>
      <c r="R44" s="4" t="s">
        <v>0</v>
      </c>
      <c r="S44" s="16" t="str">
        <f t="shared" si="8"/>
        <v>12-08</v>
      </c>
      <c r="T44" s="14">
        <f t="shared" si="9"/>
        <v>258</v>
      </c>
      <c r="U44" s="18">
        <f t="shared" si="10"/>
        <v>547</v>
      </c>
      <c r="V44" s="14">
        <f t="shared" si="22"/>
        <v>285</v>
      </c>
      <c r="W44" s="18">
        <f t="shared" si="11"/>
        <v>547</v>
      </c>
      <c r="X44" s="14">
        <f t="shared" si="23"/>
        <v>285</v>
      </c>
      <c r="Y44" s="18">
        <f t="shared" si="12"/>
        <v>515</v>
      </c>
      <c r="Z44" s="14">
        <f t="shared" si="24"/>
        <v>258</v>
      </c>
      <c r="AA44" s="18">
        <f t="shared" si="13"/>
        <v>515</v>
      </c>
      <c r="AB44" s="4" t="s">
        <v>0</v>
      </c>
    </row>
    <row r="45" spans="1:28">
      <c r="A45" s="9" t="s">
        <v>104</v>
      </c>
      <c r="B45" s="24"/>
      <c r="C45" s="4"/>
      <c r="D45" s="25">
        <f t="shared" si="31"/>
        <v>286</v>
      </c>
      <c r="E45" s="29">
        <f t="shared" ref="E45" si="47">E44</f>
        <v>203</v>
      </c>
      <c r="F45" s="25">
        <f t="shared" si="31"/>
        <v>313</v>
      </c>
      <c r="G45" s="29">
        <f t="shared" ref="G45" si="48">G44</f>
        <v>235</v>
      </c>
      <c r="H45" s="4" t="s">
        <v>0</v>
      </c>
      <c r="I45" s="16" t="str">
        <f t="shared" si="0"/>
        <v>12-07</v>
      </c>
      <c r="J45" s="14">
        <f t="shared" si="2"/>
        <v>286</v>
      </c>
      <c r="K45" s="15">
        <f t="shared" si="2"/>
        <v>203</v>
      </c>
      <c r="L45" s="17">
        <f t="shared" si="3"/>
        <v>313</v>
      </c>
      <c r="M45" s="18">
        <f t="shared" si="4"/>
        <v>203</v>
      </c>
      <c r="N45" s="14">
        <f t="shared" si="5"/>
        <v>313</v>
      </c>
      <c r="O45" s="15">
        <f t="shared" si="5"/>
        <v>235</v>
      </c>
      <c r="P45" s="17">
        <f t="shared" si="6"/>
        <v>286</v>
      </c>
      <c r="Q45" s="18">
        <f t="shared" si="7"/>
        <v>235</v>
      </c>
      <c r="R45" s="4" t="s">
        <v>0</v>
      </c>
      <c r="S45" s="16" t="str">
        <f t="shared" si="8"/>
        <v>12-07</v>
      </c>
      <c r="T45" s="14">
        <f t="shared" si="9"/>
        <v>286</v>
      </c>
      <c r="U45" s="18">
        <f t="shared" si="10"/>
        <v>547</v>
      </c>
      <c r="V45" s="14">
        <f t="shared" si="22"/>
        <v>313</v>
      </c>
      <c r="W45" s="18">
        <f t="shared" si="11"/>
        <v>547</v>
      </c>
      <c r="X45" s="14">
        <f t="shared" si="23"/>
        <v>313</v>
      </c>
      <c r="Y45" s="18">
        <f t="shared" si="12"/>
        <v>515</v>
      </c>
      <c r="Z45" s="14">
        <f t="shared" si="24"/>
        <v>286</v>
      </c>
      <c r="AA45" s="18">
        <f t="shared" si="13"/>
        <v>515</v>
      </c>
      <c r="AB45" s="4" t="s">
        <v>0</v>
      </c>
    </row>
    <row r="46" spans="1:28">
      <c r="A46" s="9" t="s">
        <v>103</v>
      </c>
      <c r="B46" s="24"/>
      <c r="C46" s="4"/>
      <c r="D46" s="25">
        <f t="shared" si="31"/>
        <v>313</v>
      </c>
      <c r="E46" s="29">
        <f t="shared" ref="E46" si="49">E45</f>
        <v>203</v>
      </c>
      <c r="F46" s="25">
        <f t="shared" si="31"/>
        <v>341</v>
      </c>
      <c r="G46" s="29">
        <f t="shared" ref="G46" si="50">G45</f>
        <v>235</v>
      </c>
      <c r="H46" s="4" t="s">
        <v>0</v>
      </c>
      <c r="I46" s="16" t="str">
        <f t="shared" si="0"/>
        <v>12-06</v>
      </c>
      <c r="J46" s="14">
        <f t="shared" si="2"/>
        <v>313</v>
      </c>
      <c r="K46" s="15">
        <f t="shared" si="2"/>
        <v>203</v>
      </c>
      <c r="L46" s="17">
        <f t="shared" si="3"/>
        <v>341</v>
      </c>
      <c r="M46" s="18">
        <f t="shared" si="4"/>
        <v>203</v>
      </c>
      <c r="N46" s="14">
        <f t="shared" si="5"/>
        <v>341</v>
      </c>
      <c r="O46" s="15">
        <f t="shared" si="5"/>
        <v>235</v>
      </c>
      <c r="P46" s="17">
        <f t="shared" si="6"/>
        <v>313</v>
      </c>
      <c r="Q46" s="18">
        <f t="shared" si="7"/>
        <v>235</v>
      </c>
      <c r="R46" s="4" t="s">
        <v>0</v>
      </c>
      <c r="S46" s="16" t="str">
        <f t="shared" si="8"/>
        <v>12-06</v>
      </c>
      <c r="T46" s="14">
        <f t="shared" si="9"/>
        <v>313</v>
      </c>
      <c r="U46" s="18">
        <f t="shared" si="10"/>
        <v>547</v>
      </c>
      <c r="V46" s="14">
        <f t="shared" si="22"/>
        <v>341</v>
      </c>
      <c r="W46" s="18">
        <f t="shared" si="11"/>
        <v>547</v>
      </c>
      <c r="X46" s="14">
        <f t="shared" si="23"/>
        <v>341</v>
      </c>
      <c r="Y46" s="18">
        <f t="shared" si="12"/>
        <v>515</v>
      </c>
      <c r="Z46" s="14">
        <f t="shared" si="24"/>
        <v>313</v>
      </c>
      <c r="AA46" s="18">
        <f t="shared" si="13"/>
        <v>515</v>
      </c>
      <c r="AB46" s="4" t="s">
        <v>0</v>
      </c>
    </row>
    <row r="47" spans="1:28">
      <c r="A47" s="9" t="s">
        <v>102</v>
      </c>
      <c r="B47" s="24"/>
      <c r="C47" s="4"/>
      <c r="D47" s="25">
        <f t="shared" si="31"/>
        <v>341</v>
      </c>
      <c r="E47" s="29">
        <f t="shared" ref="E47" si="51">E46</f>
        <v>203</v>
      </c>
      <c r="F47" s="25">
        <f t="shared" si="31"/>
        <v>369</v>
      </c>
      <c r="G47" s="29">
        <f t="shared" ref="G47" si="52">G46</f>
        <v>235</v>
      </c>
      <c r="H47" s="4" t="s">
        <v>0</v>
      </c>
      <c r="I47" s="16" t="str">
        <f t="shared" si="0"/>
        <v>12-05</v>
      </c>
      <c r="J47" s="14">
        <f t="shared" si="2"/>
        <v>341</v>
      </c>
      <c r="K47" s="15">
        <f t="shared" si="2"/>
        <v>203</v>
      </c>
      <c r="L47" s="17">
        <f t="shared" si="3"/>
        <v>369</v>
      </c>
      <c r="M47" s="18">
        <f t="shared" si="4"/>
        <v>203</v>
      </c>
      <c r="N47" s="14">
        <f t="shared" si="5"/>
        <v>369</v>
      </c>
      <c r="O47" s="15">
        <f t="shared" si="5"/>
        <v>235</v>
      </c>
      <c r="P47" s="17">
        <f t="shared" si="6"/>
        <v>341</v>
      </c>
      <c r="Q47" s="18">
        <f t="shared" si="7"/>
        <v>235</v>
      </c>
      <c r="R47" s="4" t="s">
        <v>0</v>
      </c>
      <c r="S47" s="16" t="str">
        <f t="shared" si="8"/>
        <v>12-05</v>
      </c>
      <c r="T47" s="14">
        <f t="shared" si="9"/>
        <v>341</v>
      </c>
      <c r="U47" s="18">
        <f t="shared" si="10"/>
        <v>547</v>
      </c>
      <c r="V47" s="14">
        <f t="shared" si="22"/>
        <v>369</v>
      </c>
      <c r="W47" s="18">
        <f t="shared" si="11"/>
        <v>547</v>
      </c>
      <c r="X47" s="14">
        <f t="shared" si="23"/>
        <v>369</v>
      </c>
      <c r="Y47" s="18">
        <f t="shared" si="12"/>
        <v>515</v>
      </c>
      <c r="Z47" s="14">
        <f t="shared" si="24"/>
        <v>341</v>
      </c>
      <c r="AA47" s="18">
        <f t="shared" si="13"/>
        <v>515</v>
      </c>
      <c r="AB47" s="4" t="s">
        <v>0</v>
      </c>
    </row>
    <row r="48" spans="1:28">
      <c r="A48" s="9" t="s">
        <v>101</v>
      </c>
      <c r="B48" s="24"/>
      <c r="C48" s="4"/>
      <c r="D48" s="25">
        <f t="shared" si="31"/>
        <v>369</v>
      </c>
      <c r="E48" s="29">
        <f t="shared" ref="E48" si="53">E47</f>
        <v>203</v>
      </c>
      <c r="F48" s="25">
        <f t="shared" si="31"/>
        <v>397</v>
      </c>
      <c r="G48" s="29">
        <f t="shared" ref="G48" si="54">G47</f>
        <v>235</v>
      </c>
      <c r="H48" s="4" t="s">
        <v>0</v>
      </c>
      <c r="I48" s="16" t="str">
        <f t="shared" si="0"/>
        <v>12-03</v>
      </c>
      <c r="J48" s="14">
        <f t="shared" si="2"/>
        <v>369</v>
      </c>
      <c r="K48" s="15">
        <f t="shared" si="2"/>
        <v>203</v>
      </c>
      <c r="L48" s="17">
        <f t="shared" si="3"/>
        <v>397</v>
      </c>
      <c r="M48" s="18">
        <f t="shared" si="4"/>
        <v>203</v>
      </c>
      <c r="N48" s="14">
        <f t="shared" si="5"/>
        <v>397</v>
      </c>
      <c r="O48" s="15">
        <f t="shared" si="5"/>
        <v>235</v>
      </c>
      <c r="P48" s="17">
        <f t="shared" si="6"/>
        <v>369</v>
      </c>
      <c r="Q48" s="18">
        <f t="shared" si="7"/>
        <v>235</v>
      </c>
      <c r="R48" s="4" t="s">
        <v>0</v>
      </c>
      <c r="S48" s="16" t="str">
        <f t="shared" si="8"/>
        <v>12-03</v>
      </c>
      <c r="T48" s="14">
        <f t="shared" si="9"/>
        <v>369</v>
      </c>
      <c r="U48" s="18">
        <f t="shared" si="10"/>
        <v>547</v>
      </c>
      <c r="V48" s="14">
        <f t="shared" si="22"/>
        <v>397</v>
      </c>
      <c r="W48" s="18">
        <f t="shared" si="11"/>
        <v>547</v>
      </c>
      <c r="X48" s="14">
        <f t="shared" si="23"/>
        <v>397</v>
      </c>
      <c r="Y48" s="18">
        <f t="shared" si="12"/>
        <v>515</v>
      </c>
      <c r="Z48" s="14">
        <f t="shared" si="24"/>
        <v>369</v>
      </c>
      <c r="AA48" s="18">
        <f t="shared" si="13"/>
        <v>515</v>
      </c>
      <c r="AB48" s="4" t="s">
        <v>0</v>
      </c>
    </row>
    <row r="49" spans="1:28">
      <c r="A49" s="9" t="s">
        <v>100</v>
      </c>
      <c r="B49" s="24"/>
      <c r="C49" s="4"/>
      <c r="D49" s="25">
        <f t="shared" si="31"/>
        <v>396</v>
      </c>
      <c r="E49" s="29">
        <f t="shared" ref="E49" si="55">E48</f>
        <v>203</v>
      </c>
      <c r="F49" s="25">
        <f t="shared" si="31"/>
        <v>424</v>
      </c>
      <c r="G49" s="29">
        <f t="shared" ref="G49" si="56">G48</f>
        <v>235</v>
      </c>
      <c r="H49" s="4" t="s">
        <v>0</v>
      </c>
      <c r="I49" s="16" t="str">
        <f t="shared" si="0"/>
        <v>12-02</v>
      </c>
      <c r="J49" s="14">
        <f t="shared" si="2"/>
        <v>396</v>
      </c>
      <c r="K49" s="15">
        <f t="shared" si="2"/>
        <v>203</v>
      </c>
      <c r="L49" s="17">
        <f t="shared" si="3"/>
        <v>424</v>
      </c>
      <c r="M49" s="18">
        <f t="shared" si="4"/>
        <v>203</v>
      </c>
      <c r="N49" s="14">
        <f t="shared" si="5"/>
        <v>424</v>
      </c>
      <c r="O49" s="15">
        <f t="shared" si="5"/>
        <v>235</v>
      </c>
      <c r="P49" s="17">
        <f t="shared" si="6"/>
        <v>396</v>
      </c>
      <c r="Q49" s="18">
        <f t="shared" si="7"/>
        <v>235</v>
      </c>
      <c r="R49" s="4" t="s">
        <v>0</v>
      </c>
      <c r="S49" s="16" t="str">
        <f t="shared" si="8"/>
        <v>12-02</v>
      </c>
      <c r="T49" s="14">
        <f t="shared" si="9"/>
        <v>396</v>
      </c>
      <c r="U49" s="18">
        <f t="shared" si="10"/>
        <v>547</v>
      </c>
      <c r="V49" s="14">
        <f t="shared" si="22"/>
        <v>424</v>
      </c>
      <c r="W49" s="18">
        <f t="shared" si="11"/>
        <v>547</v>
      </c>
      <c r="X49" s="14">
        <f t="shared" si="23"/>
        <v>424</v>
      </c>
      <c r="Y49" s="18">
        <f t="shared" si="12"/>
        <v>515</v>
      </c>
      <c r="Z49" s="14">
        <f t="shared" si="24"/>
        <v>396</v>
      </c>
      <c r="AA49" s="18">
        <f t="shared" si="13"/>
        <v>515</v>
      </c>
      <c r="AB49" s="4" t="s">
        <v>0</v>
      </c>
    </row>
    <row r="50" spans="1:28">
      <c r="A50" s="9" t="s">
        <v>99</v>
      </c>
      <c r="B50" s="24"/>
      <c r="C50" s="4"/>
      <c r="D50" s="25">
        <f t="shared" si="31"/>
        <v>424</v>
      </c>
      <c r="E50" s="29">
        <f t="shared" ref="E50" si="57">E49</f>
        <v>203</v>
      </c>
      <c r="F50" s="25">
        <f t="shared" si="31"/>
        <v>452</v>
      </c>
      <c r="G50" s="29">
        <f t="shared" ref="G50" si="58">G49</f>
        <v>235</v>
      </c>
      <c r="H50" s="4" t="s">
        <v>0</v>
      </c>
      <c r="I50" s="16" t="str">
        <f t="shared" si="0"/>
        <v>12-01</v>
      </c>
      <c r="J50" s="14">
        <f t="shared" si="2"/>
        <v>424</v>
      </c>
      <c r="K50" s="15">
        <f t="shared" si="2"/>
        <v>203</v>
      </c>
      <c r="L50" s="17">
        <f t="shared" si="3"/>
        <v>452</v>
      </c>
      <c r="M50" s="18">
        <f t="shared" si="4"/>
        <v>203</v>
      </c>
      <c r="N50" s="14">
        <f t="shared" si="5"/>
        <v>452</v>
      </c>
      <c r="O50" s="15">
        <f t="shared" si="5"/>
        <v>235</v>
      </c>
      <c r="P50" s="17">
        <f t="shared" si="6"/>
        <v>424</v>
      </c>
      <c r="Q50" s="18">
        <f t="shared" si="7"/>
        <v>235</v>
      </c>
      <c r="R50" s="4" t="s">
        <v>0</v>
      </c>
      <c r="S50" s="16" t="str">
        <f t="shared" si="8"/>
        <v>12-01</v>
      </c>
      <c r="T50" s="14">
        <f t="shared" si="9"/>
        <v>424</v>
      </c>
      <c r="U50" s="18">
        <f t="shared" si="10"/>
        <v>547</v>
      </c>
      <c r="V50" s="14">
        <f t="shared" si="22"/>
        <v>452</v>
      </c>
      <c r="W50" s="18">
        <f t="shared" si="11"/>
        <v>547</v>
      </c>
      <c r="X50" s="14">
        <f t="shared" si="23"/>
        <v>452</v>
      </c>
      <c r="Y50" s="18">
        <f t="shared" si="12"/>
        <v>515</v>
      </c>
      <c r="Z50" s="14">
        <f t="shared" si="24"/>
        <v>424</v>
      </c>
      <c r="AA50" s="18">
        <f t="shared" si="13"/>
        <v>515</v>
      </c>
      <c r="AB50" s="4" t="s">
        <v>0</v>
      </c>
    </row>
    <row r="51" spans="1:28">
      <c r="A51" s="9" t="s">
        <v>198</v>
      </c>
      <c r="B51" s="24"/>
      <c r="C51" s="26">
        <v>2</v>
      </c>
      <c r="D51" s="25">
        <f t="shared" ref="D51" si="59">D36</f>
        <v>39</v>
      </c>
      <c r="E51" s="28">
        <f t="shared" ref="E51" si="60">ROUND(E$21+41.2*$C51, 0)</f>
        <v>244</v>
      </c>
      <c r="F51" s="25">
        <f t="shared" ref="F51" si="61">F36</f>
        <v>66</v>
      </c>
      <c r="G51" s="28">
        <f t="shared" ref="G51" si="62">ROUND(G$21+41.2*$C51, 0)</f>
        <v>276</v>
      </c>
      <c r="H51" s="4" t="s">
        <v>0</v>
      </c>
      <c r="I51" s="16" t="str">
        <f t="shared" si="0"/>
        <v>11-18</v>
      </c>
      <c r="J51" s="14">
        <f t="shared" si="2"/>
        <v>39</v>
      </c>
      <c r="K51" s="15">
        <f t="shared" si="2"/>
        <v>244</v>
      </c>
      <c r="L51" s="17">
        <f t="shared" si="3"/>
        <v>66</v>
      </c>
      <c r="M51" s="18">
        <f t="shared" si="4"/>
        <v>244</v>
      </c>
      <c r="N51" s="14">
        <f t="shared" si="5"/>
        <v>66</v>
      </c>
      <c r="O51" s="15">
        <f t="shared" si="5"/>
        <v>276</v>
      </c>
      <c r="P51" s="17">
        <f t="shared" si="6"/>
        <v>39</v>
      </c>
      <c r="Q51" s="18">
        <f t="shared" si="7"/>
        <v>276</v>
      </c>
      <c r="R51" s="4" t="s">
        <v>0</v>
      </c>
      <c r="S51" s="16" t="str">
        <f t="shared" si="8"/>
        <v>11-18</v>
      </c>
      <c r="T51" s="14">
        <f t="shared" si="9"/>
        <v>39</v>
      </c>
      <c r="U51" s="18">
        <f t="shared" si="10"/>
        <v>506</v>
      </c>
      <c r="V51" s="14">
        <f t="shared" si="22"/>
        <v>66</v>
      </c>
      <c r="W51" s="18">
        <f t="shared" si="11"/>
        <v>506</v>
      </c>
      <c r="X51" s="14">
        <f t="shared" si="23"/>
        <v>66</v>
      </c>
      <c r="Y51" s="18">
        <f t="shared" si="12"/>
        <v>474</v>
      </c>
      <c r="Z51" s="14">
        <f t="shared" si="24"/>
        <v>39</v>
      </c>
      <c r="AA51" s="18">
        <f t="shared" si="13"/>
        <v>474</v>
      </c>
      <c r="AB51" s="4" t="s">
        <v>0</v>
      </c>
    </row>
    <row r="52" spans="1:28">
      <c r="A52" s="9" t="s">
        <v>197</v>
      </c>
      <c r="B52" s="24"/>
      <c r="C52" s="26"/>
      <c r="D52" s="25">
        <f t="shared" ref="D52" si="63">D37</f>
        <v>66</v>
      </c>
      <c r="E52" s="29">
        <f t="shared" ref="E52" si="64">E51</f>
        <v>244</v>
      </c>
      <c r="F52" s="25">
        <f t="shared" ref="F52" si="65">F37</f>
        <v>93</v>
      </c>
      <c r="G52" s="29">
        <f t="shared" ref="G52:G115" si="66">G51</f>
        <v>276</v>
      </c>
      <c r="H52" s="4" t="s">
        <v>0</v>
      </c>
      <c r="I52" s="16" t="str">
        <f t="shared" si="0"/>
        <v>11-17</v>
      </c>
      <c r="J52" s="14">
        <f t="shared" si="2"/>
        <v>66</v>
      </c>
      <c r="K52" s="15">
        <f t="shared" si="2"/>
        <v>244</v>
      </c>
      <c r="L52" s="17">
        <f t="shared" si="3"/>
        <v>93</v>
      </c>
      <c r="M52" s="18">
        <f t="shared" si="4"/>
        <v>244</v>
      </c>
      <c r="N52" s="14">
        <f t="shared" si="5"/>
        <v>93</v>
      </c>
      <c r="O52" s="15">
        <f t="shared" si="5"/>
        <v>276</v>
      </c>
      <c r="P52" s="17">
        <f t="shared" si="6"/>
        <v>66</v>
      </c>
      <c r="Q52" s="18">
        <f t="shared" si="7"/>
        <v>276</v>
      </c>
      <c r="R52" s="4" t="s">
        <v>0</v>
      </c>
      <c r="S52" s="16" t="str">
        <f t="shared" si="8"/>
        <v>11-17</v>
      </c>
      <c r="T52" s="14">
        <f t="shared" si="9"/>
        <v>66</v>
      </c>
      <c r="U52" s="18">
        <f t="shared" si="10"/>
        <v>506</v>
      </c>
      <c r="V52" s="14">
        <f t="shared" si="22"/>
        <v>93</v>
      </c>
      <c r="W52" s="18">
        <f t="shared" si="11"/>
        <v>506</v>
      </c>
      <c r="X52" s="14">
        <f t="shared" si="23"/>
        <v>93</v>
      </c>
      <c r="Y52" s="18">
        <f t="shared" si="12"/>
        <v>474</v>
      </c>
      <c r="Z52" s="14">
        <f t="shared" si="24"/>
        <v>66</v>
      </c>
      <c r="AA52" s="18">
        <f t="shared" si="13"/>
        <v>474</v>
      </c>
      <c r="AB52" s="4" t="s">
        <v>0</v>
      </c>
    </row>
    <row r="53" spans="1:28">
      <c r="A53" s="9" t="s">
        <v>196</v>
      </c>
      <c r="B53" s="24"/>
      <c r="C53" s="4"/>
      <c r="D53" s="25">
        <f t="shared" ref="D53" si="67">D38</f>
        <v>94</v>
      </c>
      <c r="E53" s="29">
        <f t="shared" ref="E53" si="68">E52</f>
        <v>244</v>
      </c>
      <c r="F53" s="25">
        <f t="shared" ref="F53" si="69">F38</f>
        <v>121</v>
      </c>
      <c r="G53" s="29">
        <f t="shared" si="66"/>
        <v>276</v>
      </c>
      <c r="H53" s="4" t="s">
        <v>0</v>
      </c>
      <c r="I53" s="16" t="str">
        <f t="shared" si="0"/>
        <v>11-16</v>
      </c>
      <c r="J53" s="14">
        <f t="shared" si="2"/>
        <v>94</v>
      </c>
      <c r="K53" s="15">
        <f t="shared" si="2"/>
        <v>244</v>
      </c>
      <c r="L53" s="17">
        <f t="shared" si="3"/>
        <v>121</v>
      </c>
      <c r="M53" s="18">
        <f t="shared" si="4"/>
        <v>244</v>
      </c>
      <c r="N53" s="14">
        <f t="shared" si="5"/>
        <v>121</v>
      </c>
      <c r="O53" s="15">
        <f t="shared" si="5"/>
        <v>276</v>
      </c>
      <c r="P53" s="17">
        <f t="shared" si="6"/>
        <v>94</v>
      </c>
      <c r="Q53" s="18">
        <f t="shared" si="7"/>
        <v>276</v>
      </c>
      <c r="R53" s="4" t="s">
        <v>0</v>
      </c>
      <c r="S53" s="16" t="str">
        <f t="shared" si="8"/>
        <v>11-16</v>
      </c>
      <c r="T53" s="14">
        <f t="shared" si="9"/>
        <v>94</v>
      </c>
      <c r="U53" s="18">
        <f t="shared" si="10"/>
        <v>506</v>
      </c>
      <c r="V53" s="14">
        <f t="shared" si="22"/>
        <v>121</v>
      </c>
      <c r="W53" s="18">
        <f t="shared" si="11"/>
        <v>506</v>
      </c>
      <c r="X53" s="14">
        <f t="shared" si="23"/>
        <v>121</v>
      </c>
      <c r="Y53" s="18">
        <f t="shared" si="12"/>
        <v>474</v>
      </c>
      <c r="Z53" s="14">
        <f t="shared" si="24"/>
        <v>94</v>
      </c>
      <c r="AA53" s="18">
        <f t="shared" si="13"/>
        <v>474</v>
      </c>
      <c r="AB53" s="4" t="s">
        <v>0</v>
      </c>
    </row>
    <row r="54" spans="1:28">
      <c r="A54" s="9" t="s">
        <v>195</v>
      </c>
      <c r="B54" s="24"/>
      <c r="C54" s="4"/>
      <c r="D54" s="25">
        <f t="shared" ref="D54" si="70">D39</f>
        <v>121</v>
      </c>
      <c r="E54" s="29">
        <f t="shared" ref="E54" si="71">E53</f>
        <v>244</v>
      </c>
      <c r="F54" s="25">
        <f t="shared" ref="F54" si="72">F39</f>
        <v>148</v>
      </c>
      <c r="G54" s="29">
        <f t="shared" si="66"/>
        <v>276</v>
      </c>
      <c r="H54" s="4" t="s">
        <v>0</v>
      </c>
      <c r="I54" s="16" t="str">
        <f t="shared" si="0"/>
        <v>11-15</v>
      </c>
      <c r="J54" s="14">
        <f t="shared" si="2"/>
        <v>121</v>
      </c>
      <c r="K54" s="15">
        <f t="shared" si="2"/>
        <v>244</v>
      </c>
      <c r="L54" s="17">
        <f t="shared" si="3"/>
        <v>148</v>
      </c>
      <c r="M54" s="18">
        <f t="shared" si="4"/>
        <v>244</v>
      </c>
      <c r="N54" s="14">
        <f t="shared" si="5"/>
        <v>148</v>
      </c>
      <c r="O54" s="15">
        <f t="shared" si="5"/>
        <v>276</v>
      </c>
      <c r="P54" s="17">
        <f t="shared" si="6"/>
        <v>121</v>
      </c>
      <c r="Q54" s="18">
        <f t="shared" si="7"/>
        <v>276</v>
      </c>
      <c r="R54" s="4" t="s">
        <v>0</v>
      </c>
      <c r="S54" s="16" t="str">
        <f t="shared" si="8"/>
        <v>11-15</v>
      </c>
      <c r="T54" s="14">
        <f t="shared" si="9"/>
        <v>121</v>
      </c>
      <c r="U54" s="18">
        <f t="shared" si="10"/>
        <v>506</v>
      </c>
      <c r="V54" s="14">
        <f t="shared" si="22"/>
        <v>148</v>
      </c>
      <c r="W54" s="18">
        <f t="shared" si="11"/>
        <v>506</v>
      </c>
      <c r="X54" s="14">
        <f t="shared" si="23"/>
        <v>148</v>
      </c>
      <c r="Y54" s="18">
        <f t="shared" si="12"/>
        <v>474</v>
      </c>
      <c r="Z54" s="14">
        <f t="shared" si="24"/>
        <v>121</v>
      </c>
      <c r="AA54" s="18">
        <f t="shared" si="13"/>
        <v>474</v>
      </c>
      <c r="AB54" s="4" t="s">
        <v>0</v>
      </c>
    </row>
    <row r="55" spans="1:28">
      <c r="A55" s="9" t="s">
        <v>194</v>
      </c>
      <c r="B55" s="24"/>
      <c r="C55" s="4"/>
      <c r="D55" s="25">
        <f t="shared" ref="D55" si="73">D40</f>
        <v>149</v>
      </c>
      <c r="E55" s="29">
        <f t="shared" ref="E55" si="74">E54</f>
        <v>244</v>
      </c>
      <c r="F55" s="25">
        <f t="shared" ref="F55" si="75">F40</f>
        <v>176</v>
      </c>
      <c r="G55" s="29">
        <f t="shared" si="66"/>
        <v>276</v>
      </c>
      <c r="H55" s="4" t="s">
        <v>0</v>
      </c>
      <c r="I55" s="16" t="str">
        <f t="shared" si="0"/>
        <v>11-13</v>
      </c>
      <c r="J55" s="14">
        <f t="shared" si="2"/>
        <v>149</v>
      </c>
      <c r="K55" s="15">
        <f t="shared" si="2"/>
        <v>244</v>
      </c>
      <c r="L55" s="17">
        <f t="shared" si="3"/>
        <v>176</v>
      </c>
      <c r="M55" s="18">
        <f t="shared" si="4"/>
        <v>244</v>
      </c>
      <c r="N55" s="14">
        <f t="shared" si="5"/>
        <v>176</v>
      </c>
      <c r="O55" s="15">
        <f t="shared" si="5"/>
        <v>276</v>
      </c>
      <c r="P55" s="17">
        <f t="shared" si="6"/>
        <v>149</v>
      </c>
      <c r="Q55" s="18">
        <f t="shared" si="7"/>
        <v>276</v>
      </c>
      <c r="R55" s="4" t="s">
        <v>0</v>
      </c>
      <c r="S55" s="16" t="str">
        <f t="shared" si="8"/>
        <v>11-13</v>
      </c>
      <c r="T55" s="14">
        <f t="shared" si="9"/>
        <v>149</v>
      </c>
      <c r="U55" s="18">
        <f t="shared" si="10"/>
        <v>506</v>
      </c>
      <c r="V55" s="14">
        <f t="shared" si="22"/>
        <v>176</v>
      </c>
      <c r="W55" s="18">
        <f t="shared" si="11"/>
        <v>506</v>
      </c>
      <c r="X55" s="14">
        <f t="shared" si="23"/>
        <v>176</v>
      </c>
      <c r="Y55" s="18">
        <f t="shared" si="12"/>
        <v>474</v>
      </c>
      <c r="Z55" s="14">
        <f t="shared" si="24"/>
        <v>149</v>
      </c>
      <c r="AA55" s="18">
        <f t="shared" si="13"/>
        <v>474</v>
      </c>
      <c r="AB55" s="4" t="s">
        <v>0</v>
      </c>
    </row>
    <row r="56" spans="1:28">
      <c r="A56" s="9" t="s">
        <v>98</v>
      </c>
      <c r="B56" s="24"/>
      <c r="C56" s="4"/>
      <c r="D56" s="25">
        <f t="shared" ref="D56" si="76">D41</f>
        <v>176</v>
      </c>
      <c r="E56" s="29">
        <f t="shared" ref="E56" si="77">E55</f>
        <v>244</v>
      </c>
      <c r="F56" s="25">
        <f t="shared" ref="F56" si="78">F41</f>
        <v>203</v>
      </c>
      <c r="G56" s="29">
        <f t="shared" si="66"/>
        <v>276</v>
      </c>
      <c r="H56" s="4" t="s">
        <v>0</v>
      </c>
      <c r="I56" s="16" t="str">
        <f t="shared" si="0"/>
        <v>11-12</v>
      </c>
      <c r="J56" s="14">
        <f t="shared" si="2"/>
        <v>176</v>
      </c>
      <c r="K56" s="15">
        <f t="shared" si="2"/>
        <v>244</v>
      </c>
      <c r="L56" s="17">
        <f t="shared" si="3"/>
        <v>203</v>
      </c>
      <c r="M56" s="18">
        <f t="shared" si="4"/>
        <v>244</v>
      </c>
      <c r="N56" s="14">
        <f t="shared" si="5"/>
        <v>203</v>
      </c>
      <c r="O56" s="15">
        <f t="shared" si="5"/>
        <v>276</v>
      </c>
      <c r="P56" s="17">
        <f t="shared" si="6"/>
        <v>176</v>
      </c>
      <c r="Q56" s="18">
        <f t="shared" si="7"/>
        <v>276</v>
      </c>
      <c r="R56" s="4" t="s">
        <v>0</v>
      </c>
      <c r="S56" s="16" t="str">
        <f t="shared" si="8"/>
        <v>11-12</v>
      </c>
      <c r="T56" s="14">
        <f t="shared" si="9"/>
        <v>176</v>
      </c>
      <c r="U56" s="18">
        <f t="shared" si="10"/>
        <v>506</v>
      </c>
      <c r="V56" s="14">
        <f t="shared" si="22"/>
        <v>203</v>
      </c>
      <c r="W56" s="18">
        <f t="shared" si="11"/>
        <v>506</v>
      </c>
      <c r="X56" s="14">
        <f t="shared" si="23"/>
        <v>203</v>
      </c>
      <c r="Y56" s="18">
        <f t="shared" si="12"/>
        <v>474</v>
      </c>
      <c r="Z56" s="14">
        <f t="shared" si="24"/>
        <v>176</v>
      </c>
      <c r="AA56" s="18">
        <f t="shared" si="13"/>
        <v>474</v>
      </c>
      <c r="AB56" s="4" t="s">
        <v>0</v>
      </c>
    </row>
    <row r="57" spans="1:28">
      <c r="A57" s="9" t="s">
        <v>97</v>
      </c>
      <c r="B57" s="24"/>
      <c r="C57" s="4"/>
      <c r="D57" s="25">
        <f t="shared" ref="D57" si="79">D42</f>
        <v>203</v>
      </c>
      <c r="E57" s="29">
        <f t="shared" ref="E57" si="80">E56</f>
        <v>244</v>
      </c>
      <c r="F57" s="25">
        <f t="shared" ref="F57" si="81">F42</f>
        <v>230</v>
      </c>
      <c r="G57" s="29">
        <f t="shared" si="66"/>
        <v>276</v>
      </c>
      <c r="H57" s="4" t="s">
        <v>0</v>
      </c>
      <c r="I57" s="16" t="str">
        <f t="shared" si="0"/>
        <v>11-11</v>
      </c>
      <c r="J57" s="14">
        <f t="shared" si="2"/>
        <v>203</v>
      </c>
      <c r="K57" s="15">
        <f t="shared" si="2"/>
        <v>244</v>
      </c>
      <c r="L57" s="17">
        <f t="shared" si="3"/>
        <v>230</v>
      </c>
      <c r="M57" s="18">
        <f t="shared" si="4"/>
        <v>244</v>
      </c>
      <c r="N57" s="14">
        <f t="shared" si="5"/>
        <v>230</v>
      </c>
      <c r="O57" s="15">
        <f t="shared" si="5"/>
        <v>276</v>
      </c>
      <c r="P57" s="17">
        <f t="shared" si="6"/>
        <v>203</v>
      </c>
      <c r="Q57" s="18">
        <f t="shared" si="7"/>
        <v>276</v>
      </c>
      <c r="R57" s="4" t="s">
        <v>0</v>
      </c>
      <c r="S57" s="16" t="str">
        <f t="shared" si="8"/>
        <v>11-11</v>
      </c>
      <c r="T57" s="14">
        <f t="shared" si="9"/>
        <v>203</v>
      </c>
      <c r="U57" s="18">
        <f t="shared" si="10"/>
        <v>506</v>
      </c>
      <c r="V57" s="14">
        <f t="shared" si="22"/>
        <v>230</v>
      </c>
      <c r="W57" s="18">
        <f t="shared" si="11"/>
        <v>506</v>
      </c>
      <c r="X57" s="14">
        <f t="shared" si="23"/>
        <v>230</v>
      </c>
      <c r="Y57" s="18">
        <f t="shared" si="12"/>
        <v>474</v>
      </c>
      <c r="Z57" s="14">
        <f t="shared" si="24"/>
        <v>203</v>
      </c>
      <c r="AA57" s="18">
        <f t="shared" si="13"/>
        <v>474</v>
      </c>
      <c r="AB57" s="4" t="s">
        <v>0</v>
      </c>
    </row>
    <row r="58" spans="1:28">
      <c r="A58" s="9" t="s">
        <v>96</v>
      </c>
      <c r="B58" s="24"/>
      <c r="C58" s="4"/>
      <c r="D58" s="25">
        <f t="shared" ref="D58" si="82">D43</f>
        <v>231</v>
      </c>
      <c r="E58" s="29">
        <f t="shared" ref="E58" si="83">E57</f>
        <v>244</v>
      </c>
      <c r="F58" s="25">
        <f t="shared" ref="F58" si="84">F43</f>
        <v>258</v>
      </c>
      <c r="G58" s="29">
        <f t="shared" si="66"/>
        <v>276</v>
      </c>
      <c r="H58" s="4" t="s">
        <v>0</v>
      </c>
      <c r="I58" s="16" t="str">
        <f t="shared" si="0"/>
        <v>11-10</v>
      </c>
      <c r="J58" s="14">
        <f t="shared" si="2"/>
        <v>231</v>
      </c>
      <c r="K58" s="15">
        <f t="shared" si="2"/>
        <v>244</v>
      </c>
      <c r="L58" s="17">
        <f t="shared" si="3"/>
        <v>258</v>
      </c>
      <c r="M58" s="18">
        <f t="shared" si="4"/>
        <v>244</v>
      </c>
      <c r="N58" s="14">
        <f t="shared" si="5"/>
        <v>258</v>
      </c>
      <c r="O58" s="15">
        <f t="shared" si="5"/>
        <v>276</v>
      </c>
      <c r="P58" s="17">
        <f t="shared" si="6"/>
        <v>231</v>
      </c>
      <c r="Q58" s="18">
        <f t="shared" si="7"/>
        <v>276</v>
      </c>
      <c r="R58" s="4" t="s">
        <v>0</v>
      </c>
      <c r="S58" s="16" t="str">
        <f t="shared" si="8"/>
        <v>11-10</v>
      </c>
      <c r="T58" s="14">
        <f t="shared" si="9"/>
        <v>231</v>
      </c>
      <c r="U58" s="18">
        <f t="shared" si="10"/>
        <v>506</v>
      </c>
      <c r="V58" s="14">
        <f t="shared" si="22"/>
        <v>258</v>
      </c>
      <c r="W58" s="18">
        <f t="shared" si="11"/>
        <v>506</v>
      </c>
      <c r="X58" s="14">
        <f t="shared" si="23"/>
        <v>258</v>
      </c>
      <c r="Y58" s="18">
        <f t="shared" si="12"/>
        <v>474</v>
      </c>
      <c r="Z58" s="14">
        <f t="shared" si="24"/>
        <v>231</v>
      </c>
      <c r="AA58" s="18">
        <f t="shared" si="13"/>
        <v>474</v>
      </c>
      <c r="AB58" s="4" t="s">
        <v>0</v>
      </c>
    </row>
    <row r="59" spans="1:28">
      <c r="A59" s="9" t="s">
        <v>95</v>
      </c>
      <c r="B59" s="24"/>
      <c r="C59" s="4"/>
      <c r="D59" s="25">
        <f t="shared" ref="D59" si="85">D44</f>
        <v>258</v>
      </c>
      <c r="E59" s="29">
        <f t="shared" ref="E59" si="86">E58</f>
        <v>244</v>
      </c>
      <c r="F59" s="25">
        <f t="shared" ref="F59" si="87">F44</f>
        <v>285</v>
      </c>
      <c r="G59" s="29">
        <f t="shared" si="66"/>
        <v>276</v>
      </c>
      <c r="H59" s="4" t="s">
        <v>0</v>
      </c>
      <c r="I59" s="16" t="str">
        <f t="shared" si="0"/>
        <v>11-08</v>
      </c>
      <c r="J59" s="14">
        <f t="shared" si="2"/>
        <v>258</v>
      </c>
      <c r="K59" s="15">
        <f t="shared" si="2"/>
        <v>244</v>
      </c>
      <c r="L59" s="17">
        <f t="shared" si="3"/>
        <v>285</v>
      </c>
      <c r="M59" s="18">
        <f t="shared" si="4"/>
        <v>244</v>
      </c>
      <c r="N59" s="14">
        <f t="shared" si="5"/>
        <v>285</v>
      </c>
      <c r="O59" s="15">
        <f t="shared" si="5"/>
        <v>276</v>
      </c>
      <c r="P59" s="17">
        <f t="shared" si="6"/>
        <v>258</v>
      </c>
      <c r="Q59" s="18">
        <f t="shared" si="7"/>
        <v>276</v>
      </c>
      <c r="R59" s="4" t="s">
        <v>0</v>
      </c>
      <c r="S59" s="16" t="str">
        <f t="shared" si="8"/>
        <v>11-08</v>
      </c>
      <c r="T59" s="14">
        <f t="shared" si="9"/>
        <v>258</v>
      </c>
      <c r="U59" s="18">
        <f t="shared" si="10"/>
        <v>506</v>
      </c>
      <c r="V59" s="14">
        <f t="shared" si="22"/>
        <v>285</v>
      </c>
      <c r="W59" s="18">
        <f t="shared" si="11"/>
        <v>506</v>
      </c>
      <c r="X59" s="14">
        <f t="shared" si="23"/>
        <v>285</v>
      </c>
      <c r="Y59" s="18">
        <f t="shared" si="12"/>
        <v>474</v>
      </c>
      <c r="Z59" s="14">
        <f t="shared" si="24"/>
        <v>258</v>
      </c>
      <c r="AA59" s="18">
        <f t="shared" si="13"/>
        <v>474</v>
      </c>
      <c r="AB59" s="4" t="s">
        <v>0</v>
      </c>
    </row>
    <row r="60" spans="1:28">
      <c r="A60" s="9" t="s">
        <v>94</v>
      </c>
      <c r="B60" s="24"/>
      <c r="C60" s="4"/>
      <c r="D60" s="25">
        <f t="shared" ref="D60" si="88">D45</f>
        <v>286</v>
      </c>
      <c r="E60" s="29">
        <f t="shared" ref="E60" si="89">E59</f>
        <v>244</v>
      </c>
      <c r="F60" s="25">
        <f t="shared" ref="F60" si="90">F45</f>
        <v>313</v>
      </c>
      <c r="G60" s="29">
        <f t="shared" si="66"/>
        <v>276</v>
      </c>
      <c r="H60" s="4" t="s">
        <v>0</v>
      </c>
      <c r="I60" s="16" t="str">
        <f t="shared" si="0"/>
        <v>11-07</v>
      </c>
      <c r="J60" s="14">
        <f t="shared" si="2"/>
        <v>286</v>
      </c>
      <c r="K60" s="15">
        <f t="shared" si="2"/>
        <v>244</v>
      </c>
      <c r="L60" s="17">
        <f t="shared" si="3"/>
        <v>313</v>
      </c>
      <c r="M60" s="18">
        <f t="shared" si="4"/>
        <v>244</v>
      </c>
      <c r="N60" s="14">
        <f t="shared" si="5"/>
        <v>313</v>
      </c>
      <c r="O60" s="15">
        <f t="shared" si="5"/>
        <v>276</v>
      </c>
      <c r="P60" s="17">
        <f t="shared" si="6"/>
        <v>286</v>
      </c>
      <c r="Q60" s="18">
        <f t="shared" si="7"/>
        <v>276</v>
      </c>
      <c r="R60" s="4" t="s">
        <v>0</v>
      </c>
      <c r="S60" s="16" t="str">
        <f t="shared" si="8"/>
        <v>11-07</v>
      </c>
      <c r="T60" s="14">
        <f t="shared" si="9"/>
        <v>286</v>
      </c>
      <c r="U60" s="18">
        <f t="shared" si="10"/>
        <v>506</v>
      </c>
      <c r="V60" s="14">
        <f t="shared" si="22"/>
        <v>313</v>
      </c>
      <c r="W60" s="18">
        <f t="shared" si="11"/>
        <v>506</v>
      </c>
      <c r="X60" s="14">
        <f t="shared" si="23"/>
        <v>313</v>
      </c>
      <c r="Y60" s="18">
        <f t="shared" si="12"/>
        <v>474</v>
      </c>
      <c r="Z60" s="14">
        <f t="shared" si="24"/>
        <v>286</v>
      </c>
      <c r="AA60" s="18">
        <f t="shared" si="13"/>
        <v>474</v>
      </c>
      <c r="AB60" s="4" t="s">
        <v>0</v>
      </c>
    </row>
    <row r="61" spans="1:28">
      <c r="A61" s="9" t="s">
        <v>93</v>
      </c>
      <c r="B61" s="24"/>
      <c r="C61" s="4"/>
      <c r="D61" s="25">
        <f t="shared" ref="D61" si="91">D46</f>
        <v>313</v>
      </c>
      <c r="E61" s="29">
        <f t="shared" ref="E61" si="92">E60</f>
        <v>244</v>
      </c>
      <c r="F61" s="25">
        <f t="shared" ref="F61" si="93">F46</f>
        <v>341</v>
      </c>
      <c r="G61" s="29">
        <f t="shared" si="66"/>
        <v>276</v>
      </c>
      <c r="H61" s="4" t="s">
        <v>0</v>
      </c>
      <c r="I61" s="16" t="str">
        <f t="shared" si="0"/>
        <v>11-06</v>
      </c>
      <c r="J61" s="14">
        <f t="shared" si="2"/>
        <v>313</v>
      </c>
      <c r="K61" s="15">
        <f t="shared" si="2"/>
        <v>244</v>
      </c>
      <c r="L61" s="17">
        <f t="shared" si="3"/>
        <v>341</v>
      </c>
      <c r="M61" s="18">
        <f t="shared" si="4"/>
        <v>244</v>
      </c>
      <c r="N61" s="14">
        <f t="shared" si="5"/>
        <v>341</v>
      </c>
      <c r="O61" s="15">
        <f t="shared" si="5"/>
        <v>276</v>
      </c>
      <c r="P61" s="17">
        <f t="shared" si="6"/>
        <v>313</v>
      </c>
      <c r="Q61" s="18">
        <f t="shared" si="7"/>
        <v>276</v>
      </c>
      <c r="R61" s="4" t="s">
        <v>0</v>
      </c>
      <c r="S61" s="16" t="str">
        <f t="shared" si="8"/>
        <v>11-06</v>
      </c>
      <c r="T61" s="14">
        <f t="shared" si="9"/>
        <v>313</v>
      </c>
      <c r="U61" s="18">
        <f t="shared" si="10"/>
        <v>506</v>
      </c>
      <c r="V61" s="14">
        <f t="shared" si="22"/>
        <v>341</v>
      </c>
      <c r="W61" s="18">
        <f t="shared" si="11"/>
        <v>506</v>
      </c>
      <c r="X61" s="14">
        <f t="shared" si="23"/>
        <v>341</v>
      </c>
      <c r="Y61" s="18">
        <f t="shared" si="12"/>
        <v>474</v>
      </c>
      <c r="Z61" s="14">
        <f t="shared" si="24"/>
        <v>313</v>
      </c>
      <c r="AA61" s="18">
        <f t="shared" si="13"/>
        <v>474</v>
      </c>
      <c r="AB61" s="4" t="s">
        <v>0</v>
      </c>
    </row>
    <row r="62" spans="1:28">
      <c r="A62" s="9" t="s">
        <v>92</v>
      </c>
      <c r="B62" s="24"/>
      <c r="C62" s="4"/>
      <c r="D62" s="25">
        <f t="shared" ref="D62" si="94">D47</f>
        <v>341</v>
      </c>
      <c r="E62" s="29">
        <f t="shared" ref="E62" si="95">E61</f>
        <v>244</v>
      </c>
      <c r="F62" s="25">
        <f t="shared" ref="F62" si="96">F47</f>
        <v>369</v>
      </c>
      <c r="G62" s="29">
        <f t="shared" si="66"/>
        <v>276</v>
      </c>
      <c r="H62" s="4" t="s">
        <v>0</v>
      </c>
      <c r="I62" s="16" t="str">
        <f t="shared" si="0"/>
        <v>11-05</v>
      </c>
      <c r="J62" s="14">
        <f t="shared" si="2"/>
        <v>341</v>
      </c>
      <c r="K62" s="15">
        <f t="shared" si="2"/>
        <v>244</v>
      </c>
      <c r="L62" s="17">
        <f t="shared" si="3"/>
        <v>369</v>
      </c>
      <c r="M62" s="18">
        <f t="shared" si="4"/>
        <v>244</v>
      </c>
      <c r="N62" s="14">
        <f t="shared" si="5"/>
        <v>369</v>
      </c>
      <c r="O62" s="15">
        <f t="shared" si="5"/>
        <v>276</v>
      </c>
      <c r="P62" s="17">
        <f t="shared" si="6"/>
        <v>341</v>
      </c>
      <c r="Q62" s="18">
        <f t="shared" si="7"/>
        <v>276</v>
      </c>
      <c r="R62" s="4" t="s">
        <v>0</v>
      </c>
      <c r="S62" s="16" t="str">
        <f t="shared" si="8"/>
        <v>11-05</v>
      </c>
      <c r="T62" s="14">
        <f t="shared" si="9"/>
        <v>341</v>
      </c>
      <c r="U62" s="18">
        <f t="shared" si="10"/>
        <v>506</v>
      </c>
      <c r="V62" s="14">
        <f t="shared" si="22"/>
        <v>369</v>
      </c>
      <c r="W62" s="18">
        <f t="shared" si="11"/>
        <v>506</v>
      </c>
      <c r="X62" s="14">
        <f t="shared" si="23"/>
        <v>369</v>
      </c>
      <c r="Y62" s="18">
        <f t="shared" si="12"/>
        <v>474</v>
      </c>
      <c r="Z62" s="14">
        <f t="shared" si="24"/>
        <v>341</v>
      </c>
      <c r="AA62" s="18">
        <f t="shared" si="13"/>
        <v>474</v>
      </c>
      <c r="AB62" s="4" t="s">
        <v>0</v>
      </c>
    </row>
    <row r="63" spans="1:28">
      <c r="A63" s="9" t="s">
        <v>91</v>
      </c>
      <c r="B63" s="24"/>
      <c r="C63" s="4"/>
      <c r="D63" s="25">
        <f t="shared" ref="D63" si="97">D48</f>
        <v>369</v>
      </c>
      <c r="E63" s="29">
        <f t="shared" ref="E63" si="98">E62</f>
        <v>244</v>
      </c>
      <c r="F63" s="25">
        <f t="shared" ref="F63" si="99">F48</f>
        <v>397</v>
      </c>
      <c r="G63" s="29">
        <f t="shared" si="66"/>
        <v>276</v>
      </c>
      <c r="H63" s="4" t="s">
        <v>0</v>
      </c>
      <c r="I63" s="16" t="str">
        <f t="shared" si="0"/>
        <v>11-03</v>
      </c>
      <c r="J63" s="14">
        <f t="shared" si="2"/>
        <v>369</v>
      </c>
      <c r="K63" s="15">
        <f t="shared" si="2"/>
        <v>244</v>
      </c>
      <c r="L63" s="17">
        <f t="shared" si="3"/>
        <v>397</v>
      </c>
      <c r="M63" s="18">
        <f t="shared" si="4"/>
        <v>244</v>
      </c>
      <c r="N63" s="14">
        <f t="shared" si="5"/>
        <v>397</v>
      </c>
      <c r="O63" s="15">
        <f t="shared" si="5"/>
        <v>276</v>
      </c>
      <c r="P63" s="17">
        <f t="shared" si="6"/>
        <v>369</v>
      </c>
      <c r="Q63" s="18">
        <f t="shared" si="7"/>
        <v>276</v>
      </c>
      <c r="R63" s="4" t="s">
        <v>0</v>
      </c>
      <c r="S63" s="16" t="str">
        <f t="shared" si="8"/>
        <v>11-03</v>
      </c>
      <c r="T63" s="14">
        <f t="shared" si="9"/>
        <v>369</v>
      </c>
      <c r="U63" s="18">
        <f t="shared" si="10"/>
        <v>506</v>
      </c>
      <c r="V63" s="14">
        <f t="shared" si="22"/>
        <v>397</v>
      </c>
      <c r="W63" s="18">
        <f t="shared" si="11"/>
        <v>506</v>
      </c>
      <c r="X63" s="14">
        <f t="shared" si="23"/>
        <v>397</v>
      </c>
      <c r="Y63" s="18">
        <f t="shared" si="12"/>
        <v>474</v>
      </c>
      <c r="Z63" s="14">
        <f t="shared" si="24"/>
        <v>369</v>
      </c>
      <c r="AA63" s="18">
        <f t="shared" si="13"/>
        <v>474</v>
      </c>
      <c r="AB63" s="4" t="s">
        <v>0</v>
      </c>
    </row>
    <row r="64" spans="1:28">
      <c r="A64" s="9" t="s">
        <v>90</v>
      </c>
      <c r="B64" s="24"/>
      <c r="C64" s="4"/>
      <c r="D64" s="25">
        <f t="shared" ref="D64" si="100">D49</f>
        <v>396</v>
      </c>
      <c r="E64" s="29">
        <f t="shared" ref="E64" si="101">E63</f>
        <v>244</v>
      </c>
      <c r="F64" s="25">
        <f t="shared" ref="F64" si="102">F49</f>
        <v>424</v>
      </c>
      <c r="G64" s="29">
        <f t="shared" si="66"/>
        <v>276</v>
      </c>
      <c r="H64" s="4" t="s">
        <v>0</v>
      </c>
      <c r="I64" s="16" t="str">
        <f t="shared" si="0"/>
        <v>11-02</v>
      </c>
      <c r="J64" s="14">
        <f t="shared" si="2"/>
        <v>396</v>
      </c>
      <c r="K64" s="15">
        <f t="shared" si="2"/>
        <v>244</v>
      </c>
      <c r="L64" s="17">
        <f t="shared" si="3"/>
        <v>424</v>
      </c>
      <c r="M64" s="18">
        <f t="shared" si="4"/>
        <v>244</v>
      </c>
      <c r="N64" s="14">
        <f t="shared" si="5"/>
        <v>424</v>
      </c>
      <c r="O64" s="15">
        <f t="shared" si="5"/>
        <v>276</v>
      </c>
      <c r="P64" s="17">
        <f t="shared" si="6"/>
        <v>396</v>
      </c>
      <c r="Q64" s="18">
        <f t="shared" si="7"/>
        <v>276</v>
      </c>
      <c r="R64" s="4" t="s">
        <v>0</v>
      </c>
      <c r="S64" s="16" t="str">
        <f t="shared" si="8"/>
        <v>11-02</v>
      </c>
      <c r="T64" s="14">
        <f t="shared" si="9"/>
        <v>396</v>
      </c>
      <c r="U64" s="18">
        <f t="shared" si="10"/>
        <v>506</v>
      </c>
      <c r="V64" s="14">
        <f t="shared" si="22"/>
        <v>424</v>
      </c>
      <c r="W64" s="18">
        <f t="shared" si="11"/>
        <v>506</v>
      </c>
      <c r="X64" s="14">
        <f t="shared" si="23"/>
        <v>424</v>
      </c>
      <c r="Y64" s="18">
        <f t="shared" si="12"/>
        <v>474</v>
      </c>
      <c r="Z64" s="14">
        <f t="shared" si="24"/>
        <v>396</v>
      </c>
      <c r="AA64" s="18">
        <f t="shared" si="13"/>
        <v>474</v>
      </c>
      <c r="AB64" s="4" t="s">
        <v>0</v>
      </c>
    </row>
    <row r="65" spans="1:28">
      <c r="A65" s="9" t="s">
        <v>89</v>
      </c>
      <c r="B65" s="24"/>
      <c r="C65" s="4"/>
      <c r="D65" s="25">
        <f t="shared" ref="D65" si="103">D50</f>
        <v>424</v>
      </c>
      <c r="E65" s="29">
        <f t="shared" ref="E65" si="104">E64</f>
        <v>244</v>
      </c>
      <c r="F65" s="25">
        <f t="shared" ref="F65" si="105">F50</f>
        <v>452</v>
      </c>
      <c r="G65" s="29">
        <f t="shared" si="66"/>
        <v>276</v>
      </c>
      <c r="H65" s="4" t="s">
        <v>0</v>
      </c>
      <c r="I65" s="16" t="str">
        <f t="shared" si="0"/>
        <v>11-01</v>
      </c>
      <c r="J65" s="14">
        <f t="shared" si="2"/>
        <v>424</v>
      </c>
      <c r="K65" s="15">
        <f t="shared" si="2"/>
        <v>244</v>
      </c>
      <c r="L65" s="17">
        <f t="shared" si="3"/>
        <v>452</v>
      </c>
      <c r="M65" s="18">
        <f t="shared" si="4"/>
        <v>244</v>
      </c>
      <c r="N65" s="14">
        <f t="shared" si="5"/>
        <v>452</v>
      </c>
      <c r="O65" s="15">
        <f t="shared" si="5"/>
        <v>276</v>
      </c>
      <c r="P65" s="17">
        <f t="shared" si="6"/>
        <v>424</v>
      </c>
      <c r="Q65" s="18">
        <f t="shared" si="7"/>
        <v>276</v>
      </c>
      <c r="R65" s="4" t="s">
        <v>0</v>
      </c>
      <c r="S65" s="16" t="str">
        <f t="shared" si="8"/>
        <v>11-01</v>
      </c>
      <c r="T65" s="14">
        <f t="shared" si="9"/>
        <v>424</v>
      </c>
      <c r="U65" s="18">
        <f t="shared" si="10"/>
        <v>506</v>
      </c>
      <c r="V65" s="14">
        <f t="shared" si="22"/>
        <v>452</v>
      </c>
      <c r="W65" s="18">
        <f t="shared" si="11"/>
        <v>506</v>
      </c>
      <c r="X65" s="14">
        <f t="shared" si="23"/>
        <v>452</v>
      </c>
      <c r="Y65" s="18">
        <f t="shared" si="12"/>
        <v>474</v>
      </c>
      <c r="Z65" s="14">
        <f t="shared" si="24"/>
        <v>424</v>
      </c>
      <c r="AA65" s="18">
        <f t="shared" si="13"/>
        <v>474</v>
      </c>
      <c r="AB65" s="4" t="s">
        <v>0</v>
      </c>
    </row>
    <row r="66" spans="1:28">
      <c r="A66" s="9" t="s">
        <v>191</v>
      </c>
      <c r="B66" s="24"/>
      <c r="C66" s="26">
        <v>3</v>
      </c>
      <c r="D66" s="25">
        <f t="shared" ref="D66" si="106">D51</f>
        <v>39</v>
      </c>
      <c r="E66" s="28">
        <f t="shared" ref="E66" si="107">ROUND(E$21+41.2*$C66, 0)</f>
        <v>286</v>
      </c>
      <c r="F66" s="25">
        <f t="shared" ref="F66" si="108">F51</f>
        <v>66</v>
      </c>
      <c r="G66" s="28">
        <f t="shared" ref="G66" si="109">ROUND(G$21+41.2*$C66, 0)</f>
        <v>318</v>
      </c>
      <c r="H66" s="4" t="s">
        <v>0</v>
      </c>
      <c r="I66" s="16" t="str">
        <f t="shared" si="0"/>
        <v>10-18</v>
      </c>
      <c r="J66" s="14">
        <f t="shared" si="2"/>
        <v>39</v>
      </c>
      <c r="K66" s="15">
        <f t="shared" si="2"/>
        <v>286</v>
      </c>
      <c r="L66" s="17">
        <f t="shared" si="3"/>
        <v>66</v>
      </c>
      <c r="M66" s="18">
        <f t="shared" si="4"/>
        <v>286</v>
      </c>
      <c r="N66" s="14">
        <f t="shared" si="5"/>
        <v>66</v>
      </c>
      <c r="O66" s="15">
        <f t="shared" si="5"/>
        <v>318</v>
      </c>
      <c r="P66" s="17">
        <f t="shared" si="6"/>
        <v>39</v>
      </c>
      <c r="Q66" s="18">
        <f t="shared" si="7"/>
        <v>318</v>
      </c>
      <c r="R66" s="4" t="s">
        <v>0</v>
      </c>
      <c r="S66" s="16" t="str">
        <f t="shared" si="8"/>
        <v>10-18</v>
      </c>
      <c r="T66" s="14">
        <f t="shared" si="9"/>
        <v>39</v>
      </c>
      <c r="U66" s="18">
        <f t="shared" si="10"/>
        <v>464</v>
      </c>
      <c r="V66" s="14">
        <f t="shared" si="22"/>
        <v>66</v>
      </c>
      <c r="W66" s="18">
        <f t="shared" si="11"/>
        <v>464</v>
      </c>
      <c r="X66" s="14">
        <f t="shared" si="23"/>
        <v>66</v>
      </c>
      <c r="Y66" s="18">
        <f t="shared" si="12"/>
        <v>432</v>
      </c>
      <c r="Z66" s="14">
        <f t="shared" si="24"/>
        <v>39</v>
      </c>
      <c r="AA66" s="18">
        <f t="shared" si="13"/>
        <v>432</v>
      </c>
      <c r="AB66" s="4" t="s">
        <v>0</v>
      </c>
    </row>
    <row r="67" spans="1:28">
      <c r="A67" s="9" t="s">
        <v>190</v>
      </c>
      <c r="B67" s="24"/>
      <c r="C67" s="26"/>
      <c r="D67" s="25">
        <f t="shared" ref="D67" si="110">D52</f>
        <v>66</v>
      </c>
      <c r="E67" s="29">
        <f t="shared" ref="E67" si="111">E66</f>
        <v>286</v>
      </c>
      <c r="F67" s="25">
        <f t="shared" ref="F67" si="112">F52</f>
        <v>93</v>
      </c>
      <c r="G67" s="29">
        <f t="shared" ref="G67" si="113">G66</f>
        <v>318</v>
      </c>
      <c r="H67" s="4" t="s">
        <v>0</v>
      </c>
      <c r="I67" s="16" t="str">
        <f t="shared" si="0"/>
        <v>10-17</v>
      </c>
      <c r="J67" s="14">
        <f t="shared" si="2"/>
        <v>66</v>
      </c>
      <c r="K67" s="15">
        <f t="shared" si="2"/>
        <v>286</v>
      </c>
      <c r="L67" s="17">
        <f t="shared" si="3"/>
        <v>93</v>
      </c>
      <c r="M67" s="18">
        <f t="shared" si="4"/>
        <v>286</v>
      </c>
      <c r="N67" s="14">
        <f t="shared" si="5"/>
        <v>93</v>
      </c>
      <c r="O67" s="15">
        <f t="shared" si="5"/>
        <v>318</v>
      </c>
      <c r="P67" s="17">
        <f t="shared" si="6"/>
        <v>66</v>
      </c>
      <c r="Q67" s="18">
        <f t="shared" si="7"/>
        <v>318</v>
      </c>
      <c r="R67" s="4" t="s">
        <v>0</v>
      </c>
      <c r="S67" s="16" t="str">
        <f t="shared" si="8"/>
        <v>10-17</v>
      </c>
      <c r="T67" s="14">
        <f t="shared" si="9"/>
        <v>66</v>
      </c>
      <c r="U67" s="18">
        <f t="shared" si="10"/>
        <v>464</v>
      </c>
      <c r="V67" s="14">
        <f t="shared" si="22"/>
        <v>93</v>
      </c>
      <c r="W67" s="18">
        <f t="shared" si="11"/>
        <v>464</v>
      </c>
      <c r="X67" s="14">
        <f t="shared" si="23"/>
        <v>93</v>
      </c>
      <c r="Y67" s="18">
        <f t="shared" si="12"/>
        <v>432</v>
      </c>
      <c r="Z67" s="14">
        <f t="shared" si="24"/>
        <v>66</v>
      </c>
      <c r="AA67" s="18">
        <f t="shared" si="13"/>
        <v>432</v>
      </c>
      <c r="AB67" s="4" t="s">
        <v>0</v>
      </c>
    </row>
    <row r="68" spans="1:28">
      <c r="A68" s="9" t="s">
        <v>189</v>
      </c>
      <c r="B68" s="24"/>
      <c r="C68" s="4"/>
      <c r="D68" s="25">
        <f t="shared" ref="D68" si="114">D53</f>
        <v>94</v>
      </c>
      <c r="E68" s="29">
        <f t="shared" ref="E68" si="115">E67</f>
        <v>286</v>
      </c>
      <c r="F68" s="25">
        <f t="shared" ref="F68" si="116">F53</f>
        <v>121</v>
      </c>
      <c r="G68" s="29">
        <f t="shared" si="66"/>
        <v>318</v>
      </c>
      <c r="H68" s="4" t="s">
        <v>0</v>
      </c>
      <c r="I68" s="16" t="str">
        <f t="shared" si="0"/>
        <v>10-16</v>
      </c>
      <c r="J68" s="14">
        <f t="shared" si="2"/>
        <v>94</v>
      </c>
      <c r="K68" s="15">
        <f t="shared" si="2"/>
        <v>286</v>
      </c>
      <c r="L68" s="17">
        <f t="shared" si="3"/>
        <v>121</v>
      </c>
      <c r="M68" s="18">
        <f t="shared" si="4"/>
        <v>286</v>
      </c>
      <c r="N68" s="14">
        <f t="shared" si="5"/>
        <v>121</v>
      </c>
      <c r="O68" s="15">
        <f t="shared" si="5"/>
        <v>318</v>
      </c>
      <c r="P68" s="17">
        <f t="shared" si="6"/>
        <v>94</v>
      </c>
      <c r="Q68" s="18">
        <f t="shared" si="7"/>
        <v>318</v>
      </c>
      <c r="R68" s="4" t="s">
        <v>0</v>
      </c>
      <c r="S68" s="16" t="str">
        <f t="shared" si="8"/>
        <v>10-16</v>
      </c>
      <c r="T68" s="14">
        <f t="shared" si="9"/>
        <v>94</v>
      </c>
      <c r="U68" s="18">
        <f t="shared" si="10"/>
        <v>464</v>
      </c>
      <c r="V68" s="14">
        <f t="shared" si="22"/>
        <v>121</v>
      </c>
      <c r="W68" s="18">
        <f t="shared" si="11"/>
        <v>464</v>
      </c>
      <c r="X68" s="14">
        <f t="shared" si="23"/>
        <v>121</v>
      </c>
      <c r="Y68" s="18">
        <f t="shared" si="12"/>
        <v>432</v>
      </c>
      <c r="Z68" s="14">
        <f t="shared" si="24"/>
        <v>94</v>
      </c>
      <c r="AA68" s="18">
        <f t="shared" si="13"/>
        <v>432</v>
      </c>
      <c r="AB68" s="4" t="s">
        <v>0</v>
      </c>
    </row>
    <row r="69" spans="1:28">
      <c r="A69" s="9" t="s">
        <v>188</v>
      </c>
      <c r="B69" s="24"/>
      <c r="C69" s="4"/>
      <c r="D69" s="25">
        <f t="shared" ref="D69" si="117">D54</f>
        <v>121</v>
      </c>
      <c r="E69" s="29">
        <f t="shared" ref="E69" si="118">E68</f>
        <v>286</v>
      </c>
      <c r="F69" s="25">
        <f t="shared" ref="F69" si="119">F54</f>
        <v>148</v>
      </c>
      <c r="G69" s="29">
        <f t="shared" si="66"/>
        <v>318</v>
      </c>
      <c r="H69" s="4" t="s">
        <v>0</v>
      </c>
      <c r="I69" s="16" t="str">
        <f t="shared" si="0"/>
        <v>10-15</v>
      </c>
      <c r="J69" s="14">
        <f t="shared" si="2"/>
        <v>121</v>
      </c>
      <c r="K69" s="15">
        <f t="shared" si="2"/>
        <v>286</v>
      </c>
      <c r="L69" s="17">
        <f t="shared" si="3"/>
        <v>148</v>
      </c>
      <c r="M69" s="18">
        <f t="shared" si="4"/>
        <v>286</v>
      </c>
      <c r="N69" s="14">
        <f t="shared" si="5"/>
        <v>148</v>
      </c>
      <c r="O69" s="15">
        <f t="shared" si="5"/>
        <v>318</v>
      </c>
      <c r="P69" s="17">
        <f t="shared" si="6"/>
        <v>121</v>
      </c>
      <c r="Q69" s="18">
        <f t="shared" si="7"/>
        <v>318</v>
      </c>
      <c r="R69" s="4" t="s">
        <v>0</v>
      </c>
      <c r="S69" s="16" t="str">
        <f t="shared" si="8"/>
        <v>10-15</v>
      </c>
      <c r="T69" s="14">
        <f t="shared" si="9"/>
        <v>121</v>
      </c>
      <c r="U69" s="18">
        <f t="shared" si="10"/>
        <v>464</v>
      </c>
      <c r="V69" s="14">
        <f t="shared" si="22"/>
        <v>148</v>
      </c>
      <c r="W69" s="18">
        <f t="shared" si="11"/>
        <v>464</v>
      </c>
      <c r="X69" s="14">
        <f t="shared" si="23"/>
        <v>148</v>
      </c>
      <c r="Y69" s="18">
        <f t="shared" si="12"/>
        <v>432</v>
      </c>
      <c r="Z69" s="14">
        <f t="shared" si="24"/>
        <v>121</v>
      </c>
      <c r="AA69" s="18">
        <f t="shared" si="13"/>
        <v>432</v>
      </c>
      <c r="AB69" s="4" t="s">
        <v>0</v>
      </c>
    </row>
    <row r="70" spans="1:28">
      <c r="A70" s="9" t="s">
        <v>187</v>
      </c>
      <c r="B70" s="24"/>
      <c r="C70" s="4"/>
      <c r="D70" s="25">
        <f t="shared" ref="D70" si="120">D55</f>
        <v>149</v>
      </c>
      <c r="E70" s="29">
        <f t="shared" ref="E70" si="121">E69</f>
        <v>286</v>
      </c>
      <c r="F70" s="25">
        <f t="shared" ref="F70" si="122">F55</f>
        <v>176</v>
      </c>
      <c r="G70" s="29">
        <f t="shared" si="66"/>
        <v>318</v>
      </c>
      <c r="H70" s="4" t="s">
        <v>0</v>
      </c>
      <c r="I70" s="16" t="str">
        <f t="shared" si="0"/>
        <v>10-13</v>
      </c>
      <c r="J70" s="14">
        <f t="shared" si="2"/>
        <v>149</v>
      </c>
      <c r="K70" s="15">
        <f t="shared" si="2"/>
        <v>286</v>
      </c>
      <c r="L70" s="17">
        <f t="shared" si="3"/>
        <v>176</v>
      </c>
      <c r="M70" s="18">
        <f t="shared" si="4"/>
        <v>286</v>
      </c>
      <c r="N70" s="14">
        <f t="shared" si="5"/>
        <v>176</v>
      </c>
      <c r="O70" s="15">
        <f t="shared" si="5"/>
        <v>318</v>
      </c>
      <c r="P70" s="17">
        <f t="shared" si="6"/>
        <v>149</v>
      </c>
      <c r="Q70" s="18">
        <f t="shared" si="7"/>
        <v>318</v>
      </c>
      <c r="R70" s="4" t="s">
        <v>0</v>
      </c>
      <c r="S70" s="16" t="str">
        <f t="shared" si="8"/>
        <v>10-13</v>
      </c>
      <c r="T70" s="14">
        <f t="shared" si="9"/>
        <v>149</v>
      </c>
      <c r="U70" s="18">
        <f t="shared" si="10"/>
        <v>464</v>
      </c>
      <c r="V70" s="14">
        <f t="shared" si="22"/>
        <v>176</v>
      </c>
      <c r="W70" s="18">
        <f t="shared" si="11"/>
        <v>464</v>
      </c>
      <c r="X70" s="14">
        <f t="shared" si="23"/>
        <v>176</v>
      </c>
      <c r="Y70" s="18">
        <f t="shared" si="12"/>
        <v>432</v>
      </c>
      <c r="Z70" s="14">
        <f t="shared" si="24"/>
        <v>149</v>
      </c>
      <c r="AA70" s="18">
        <f t="shared" si="13"/>
        <v>432</v>
      </c>
      <c r="AB70" s="4" t="s">
        <v>0</v>
      </c>
    </row>
    <row r="71" spans="1:28">
      <c r="A71" s="9" t="s">
        <v>88</v>
      </c>
      <c r="B71" s="24"/>
      <c r="C71" s="4"/>
      <c r="D71" s="25">
        <f t="shared" ref="D71" si="123">D56</f>
        <v>176</v>
      </c>
      <c r="E71" s="29">
        <f t="shared" ref="E71" si="124">E70</f>
        <v>286</v>
      </c>
      <c r="F71" s="25">
        <f t="shared" ref="F71" si="125">F56</f>
        <v>203</v>
      </c>
      <c r="G71" s="29">
        <f t="shared" si="66"/>
        <v>318</v>
      </c>
      <c r="H71" s="4" t="s">
        <v>0</v>
      </c>
      <c r="I71" s="16" t="str">
        <f t="shared" si="0"/>
        <v>10-12</v>
      </c>
      <c r="J71" s="14">
        <f t="shared" si="2"/>
        <v>176</v>
      </c>
      <c r="K71" s="15">
        <f t="shared" si="2"/>
        <v>286</v>
      </c>
      <c r="L71" s="17">
        <f t="shared" si="3"/>
        <v>203</v>
      </c>
      <c r="M71" s="18">
        <f t="shared" si="4"/>
        <v>286</v>
      </c>
      <c r="N71" s="14">
        <f t="shared" si="5"/>
        <v>203</v>
      </c>
      <c r="O71" s="15">
        <f t="shared" si="5"/>
        <v>318</v>
      </c>
      <c r="P71" s="17">
        <f t="shared" si="6"/>
        <v>176</v>
      </c>
      <c r="Q71" s="18">
        <f t="shared" si="7"/>
        <v>318</v>
      </c>
      <c r="R71" s="4" t="s">
        <v>0</v>
      </c>
      <c r="S71" s="16" t="str">
        <f t="shared" si="8"/>
        <v>10-12</v>
      </c>
      <c r="T71" s="14">
        <f t="shared" si="9"/>
        <v>176</v>
      </c>
      <c r="U71" s="18">
        <f t="shared" si="10"/>
        <v>464</v>
      </c>
      <c r="V71" s="14">
        <f t="shared" si="22"/>
        <v>203</v>
      </c>
      <c r="W71" s="18">
        <f t="shared" si="11"/>
        <v>464</v>
      </c>
      <c r="X71" s="14">
        <f t="shared" si="23"/>
        <v>203</v>
      </c>
      <c r="Y71" s="18">
        <f t="shared" si="12"/>
        <v>432</v>
      </c>
      <c r="Z71" s="14">
        <f t="shared" si="24"/>
        <v>176</v>
      </c>
      <c r="AA71" s="18">
        <f t="shared" si="13"/>
        <v>432</v>
      </c>
      <c r="AB71" s="4" t="s">
        <v>0</v>
      </c>
    </row>
    <row r="72" spans="1:28">
      <c r="A72" s="9" t="s">
        <v>87</v>
      </c>
      <c r="B72" s="24"/>
      <c r="C72" s="4"/>
      <c r="D72" s="25">
        <f t="shared" ref="D72" si="126">D57</f>
        <v>203</v>
      </c>
      <c r="E72" s="29">
        <f t="shared" ref="E72" si="127">E71</f>
        <v>286</v>
      </c>
      <c r="F72" s="25">
        <f t="shared" ref="F72" si="128">F57</f>
        <v>230</v>
      </c>
      <c r="G72" s="29">
        <f t="shared" si="66"/>
        <v>318</v>
      </c>
      <c r="H72" s="4" t="s">
        <v>0</v>
      </c>
      <c r="I72" s="16" t="str">
        <f t="shared" si="0"/>
        <v>10-11</v>
      </c>
      <c r="J72" s="14">
        <f t="shared" si="2"/>
        <v>203</v>
      </c>
      <c r="K72" s="15">
        <f t="shared" si="2"/>
        <v>286</v>
      </c>
      <c r="L72" s="17">
        <f t="shared" si="3"/>
        <v>230</v>
      </c>
      <c r="M72" s="18">
        <f t="shared" si="4"/>
        <v>286</v>
      </c>
      <c r="N72" s="14">
        <f t="shared" si="5"/>
        <v>230</v>
      </c>
      <c r="O72" s="15">
        <f t="shared" si="5"/>
        <v>318</v>
      </c>
      <c r="P72" s="17">
        <f t="shared" si="6"/>
        <v>203</v>
      </c>
      <c r="Q72" s="18">
        <f t="shared" si="7"/>
        <v>318</v>
      </c>
      <c r="R72" s="4" t="s">
        <v>0</v>
      </c>
      <c r="S72" s="16" t="str">
        <f t="shared" si="8"/>
        <v>10-11</v>
      </c>
      <c r="T72" s="14">
        <f t="shared" si="9"/>
        <v>203</v>
      </c>
      <c r="U72" s="18">
        <f t="shared" si="10"/>
        <v>464</v>
      </c>
      <c r="V72" s="14">
        <f t="shared" si="22"/>
        <v>230</v>
      </c>
      <c r="W72" s="18">
        <f t="shared" si="11"/>
        <v>464</v>
      </c>
      <c r="X72" s="14">
        <f t="shared" si="23"/>
        <v>230</v>
      </c>
      <c r="Y72" s="18">
        <f t="shared" si="12"/>
        <v>432</v>
      </c>
      <c r="Z72" s="14">
        <f t="shared" si="24"/>
        <v>203</v>
      </c>
      <c r="AA72" s="18">
        <f t="shared" si="13"/>
        <v>432</v>
      </c>
      <c r="AB72" s="4" t="s">
        <v>0</v>
      </c>
    </row>
    <row r="73" spans="1:28">
      <c r="A73" s="9" t="s">
        <v>86</v>
      </c>
      <c r="B73" s="24"/>
      <c r="C73" s="4"/>
      <c r="D73" s="25">
        <f t="shared" ref="D73" si="129">D58</f>
        <v>231</v>
      </c>
      <c r="E73" s="29">
        <f t="shared" ref="E73" si="130">E72</f>
        <v>286</v>
      </c>
      <c r="F73" s="25">
        <f t="shared" ref="F73" si="131">F58</f>
        <v>258</v>
      </c>
      <c r="G73" s="29">
        <f t="shared" si="66"/>
        <v>318</v>
      </c>
      <c r="H73" s="4" t="s">
        <v>0</v>
      </c>
      <c r="I73" s="16" t="str">
        <f t="shared" si="0"/>
        <v>10-10</v>
      </c>
      <c r="J73" s="14">
        <f t="shared" si="2"/>
        <v>231</v>
      </c>
      <c r="K73" s="15">
        <f t="shared" si="2"/>
        <v>286</v>
      </c>
      <c r="L73" s="17">
        <f t="shared" si="3"/>
        <v>258</v>
      </c>
      <c r="M73" s="18">
        <f t="shared" si="4"/>
        <v>286</v>
      </c>
      <c r="N73" s="14">
        <f t="shared" si="5"/>
        <v>258</v>
      </c>
      <c r="O73" s="15">
        <f t="shared" si="5"/>
        <v>318</v>
      </c>
      <c r="P73" s="17">
        <f t="shared" si="6"/>
        <v>231</v>
      </c>
      <c r="Q73" s="18">
        <f t="shared" si="7"/>
        <v>318</v>
      </c>
      <c r="R73" s="4" t="s">
        <v>0</v>
      </c>
      <c r="S73" s="16" t="str">
        <f t="shared" si="8"/>
        <v>10-10</v>
      </c>
      <c r="T73" s="14">
        <f t="shared" si="9"/>
        <v>231</v>
      </c>
      <c r="U73" s="18">
        <f t="shared" si="10"/>
        <v>464</v>
      </c>
      <c r="V73" s="14">
        <f t="shared" si="22"/>
        <v>258</v>
      </c>
      <c r="W73" s="18">
        <f t="shared" si="11"/>
        <v>464</v>
      </c>
      <c r="X73" s="14">
        <f t="shared" si="23"/>
        <v>258</v>
      </c>
      <c r="Y73" s="18">
        <f t="shared" si="12"/>
        <v>432</v>
      </c>
      <c r="Z73" s="14">
        <f t="shared" si="24"/>
        <v>231</v>
      </c>
      <c r="AA73" s="18">
        <f t="shared" si="13"/>
        <v>432</v>
      </c>
      <c r="AB73" s="4" t="s">
        <v>0</v>
      </c>
    </row>
    <row r="74" spans="1:28">
      <c r="A74" s="9" t="s">
        <v>85</v>
      </c>
      <c r="B74" s="24"/>
      <c r="C74" s="4"/>
      <c r="D74" s="25">
        <f t="shared" ref="D74" si="132">D59</f>
        <v>258</v>
      </c>
      <c r="E74" s="29">
        <f t="shared" ref="E74" si="133">E73</f>
        <v>286</v>
      </c>
      <c r="F74" s="25">
        <f t="shared" ref="F74" si="134">F59</f>
        <v>285</v>
      </c>
      <c r="G74" s="29">
        <f t="shared" si="66"/>
        <v>318</v>
      </c>
      <c r="H74" s="4" t="s">
        <v>0</v>
      </c>
      <c r="I74" s="16" t="str">
        <f t="shared" si="0"/>
        <v>10-08</v>
      </c>
      <c r="J74" s="14">
        <f t="shared" si="2"/>
        <v>258</v>
      </c>
      <c r="K74" s="15">
        <f t="shared" si="2"/>
        <v>286</v>
      </c>
      <c r="L74" s="17">
        <f t="shared" si="3"/>
        <v>285</v>
      </c>
      <c r="M74" s="18">
        <f t="shared" si="4"/>
        <v>286</v>
      </c>
      <c r="N74" s="14">
        <f t="shared" si="5"/>
        <v>285</v>
      </c>
      <c r="O74" s="15">
        <f t="shared" si="5"/>
        <v>318</v>
      </c>
      <c r="P74" s="17">
        <f t="shared" si="6"/>
        <v>258</v>
      </c>
      <c r="Q74" s="18">
        <f t="shared" si="7"/>
        <v>318</v>
      </c>
      <c r="R74" s="4" t="s">
        <v>0</v>
      </c>
      <c r="S74" s="16" t="str">
        <f t="shared" si="8"/>
        <v>10-08</v>
      </c>
      <c r="T74" s="14">
        <f t="shared" si="9"/>
        <v>258</v>
      </c>
      <c r="U74" s="18">
        <f t="shared" si="10"/>
        <v>464</v>
      </c>
      <c r="V74" s="14">
        <f t="shared" si="22"/>
        <v>285</v>
      </c>
      <c r="W74" s="18">
        <f t="shared" si="11"/>
        <v>464</v>
      </c>
      <c r="X74" s="14">
        <f t="shared" si="23"/>
        <v>285</v>
      </c>
      <c r="Y74" s="18">
        <f t="shared" si="12"/>
        <v>432</v>
      </c>
      <c r="Z74" s="14">
        <f t="shared" si="24"/>
        <v>258</v>
      </c>
      <c r="AA74" s="18">
        <f t="shared" si="13"/>
        <v>432</v>
      </c>
      <c r="AB74" s="4" t="s">
        <v>0</v>
      </c>
    </row>
    <row r="75" spans="1:28">
      <c r="A75" s="9" t="s">
        <v>84</v>
      </c>
      <c r="B75" s="24"/>
      <c r="C75" s="4"/>
      <c r="D75" s="25">
        <f t="shared" ref="D75" si="135">D60</f>
        <v>286</v>
      </c>
      <c r="E75" s="29">
        <f t="shared" ref="E75" si="136">E74</f>
        <v>286</v>
      </c>
      <c r="F75" s="25">
        <f t="shared" ref="F75" si="137">F60</f>
        <v>313</v>
      </c>
      <c r="G75" s="29">
        <f t="shared" si="66"/>
        <v>318</v>
      </c>
      <c r="H75" s="4" t="s">
        <v>0</v>
      </c>
      <c r="I75" s="16" t="str">
        <f t="shared" si="0"/>
        <v>10-07</v>
      </c>
      <c r="J75" s="14">
        <f t="shared" si="2"/>
        <v>286</v>
      </c>
      <c r="K75" s="15">
        <f t="shared" si="2"/>
        <v>286</v>
      </c>
      <c r="L75" s="17">
        <f t="shared" si="3"/>
        <v>313</v>
      </c>
      <c r="M75" s="18">
        <f t="shared" si="4"/>
        <v>286</v>
      </c>
      <c r="N75" s="14">
        <f t="shared" si="5"/>
        <v>313</v>
      </c>
      <c r="O75" s="15">
        <f t="shared" si="5"/>
        <v>318</v>
      </c>
      <c r="P75" s="17">
        <f t="shared" si="6"/>
        <v>286</v>
      </c>
      <c r="Q75" s="18">
        <f t="shared" si="7"/>
        <v>318</v>
      </c>
      <c r="R75" s="4" t="s">
        <v>0</v>
      </c>
      <c r="S75" s="16" t="str">
        <f t="shared" si="8"/>
        <v>10-07</v>
      </c>
      <c r="T75" s="14">
        <f t="shared" si="9"/>
        <v>286</v>
      </c>
      <c r="U75" s="18">
        <f t="shared" si="10"/>
        <v>464</v>
      </c>
      <c r="V75" s="14">
        <f t="shared" si="22"/>
        <v>313</v>
      </c>
      <c r="W75" s="18">
        <f t="shared" si="11"/>
        <v>464</v>
      </c>
      <c r="X75" s="14">
        <f t="shared" si="23"/>
        <v>313</v>
      </c>
      <c r="Y75" s="18">
        <f t="shared" si="12"/>
        <v>432</v>
      </c>
      <c r="Z75" s="14">
        <f t="shared" si="24"/>
        <v>286</v>
      </c>
      <c r="AA75" s="18">
        <f t="shared" si="13"/>
        <v>432</v>
      </c>
      <c r="AB75" s="4" t="s">
        <v>0</v>
      </c>
    </row>
    <row r="76" spans="1:28">
      <c r="A76" s="9" t="s">
        <v>83</v>
      </c>
      <c r="B76" s="24"/>
      <c r="C76" s="4"/>
      <c r="D76" s="25">
        <f t="shared" ref="D76" si="138">D61</f>
        <v>313</v>
      </c>
      <c r="E76" s="29">
        <f t="shared" ref="E76" si="139">E75</f>
        <v>286</v>
      </c>
      <c r="F76" s="25">
        <f t="shared" ref="F76" si="140">F61</f>
        <v>341</v>
      </c>
      <c r="G76" s="29">
        <f t="shared" si="66"/>
        <v>318</v>
      </c>
      <c r="H76" s="4" t="s">
        <v>0</v>
      </c>
      <c r="I76" s="16" t="str">
        <f t="shared" si="0"/>
        <v>10-06</v>
      </c>
      <c r="J76" s="14">
        <f t="shared" si="2"/>
        <v>313</v>
      </c>
      <c r="K76" s="15">
        <f t="shared" si="2"/>
        <v>286</v>
      </c>
      <c r="L76" s="17">
        <f t="shared" si="3"/>
        <v>341</v>
      </c>
      <c r="M76" s="18">
        <f t="shared" si="4"/>
        <v>286</v>
      </c>
      <c r="N76" s="14">
        <f t="shared" si="5"/>
        <v>341</v>
      </c>
      <c r="O76" s="15">
        <f t="shared" si="5"/>
        <v>318</v>
      </c>
      <c r="P76" s="17">
        <f t="shared" si="6"/>
        <v>313</v>
      </c>
      <c r="Q76" s="18">
        <f t="shared" si="7"/>
        <v>318</v>
      </c>
      <c r="R76" s="4" t="s">
        <v>0</v>
      </c>
      <c r="S76" s="16" t="str">
        <f t="shared" si="8"/>
        <v>10-06</v>
      </c>
      <c r="T76" s="14">
        <f t="shared" si="9"/>
        <v>313</v>
      </c>
      <c r="U76" s="18">
        <f t="shared" si="10"/>
        <v>464</v>
      </c>
      <c r="V76" s="14">
        <f t="shared" si="22"/>
        <v>341</v>
      </c>
      <c r="W76" s="18">
        <f t="shared" si="11"/>
        <v>464</v>
      </c>
      <c r="X76" s="14">
        <f t="shared" si="23"/>
        <v>341</v>
      </c>
      <c r="Y76" s="18">
        <f t="shared" si="12"/>
        <v>432</v>
      </c>
      <c r="Z76" s="14">
        <f t="shared" si="24"/>
        <v>313</v>
      </c>
      <c r="AA76" s="18">
        <f t="shared" si="13"/>
        <v>432</v>
      </c>
      <c r="AB76" s="4" t="s">
        <v>0</v>
      </c>
    </row>
    <row r="77" spans="1:28">
      <c r="A77" s="9" t="s">
        <v>82</v>
      </c>
      <c r="B77" s="24"/>
      <c r="C77" s="4"/>
      <c r="D77" s="25">
        <f t="shared" ref="D77" si="141">D62</f>
        <v>341</v>
      </c>
      <c r="E77" s="29">
        <f t="shared" ref="E77" si="142">E76</f>
        <v>286</v>
      </c>
      <c r="F77" s="25">
        <f t="shared" ref="F77" si="143">F62</f>
        <v>369</v>
      </c>
      <c r="G77" s="29">
        <f t="shared" si="66"/>
        <v>318</v>
      </c>
      <c r="H77" s="4" t="s">
        <v>0</v>
      </c>
      <c r="I77" s="16" t="str">
        <f t="shared" si="0"/>
        <v>10-05</v>
      </c>
      <c r="J77" s="14">
        <f t="shared" si="2"/>
        <v>341</v>
      </c>
      <c r="K77" s="15">
        <f t="shared" si="2"/>
        <v>286</v>
      </c>
      <c r="L77" s="17">
        <f t="shared" si="3"/>
        <v>369</v>
      </c>
      <c r="M77" s="18">
        <f t="shared" si="4"/>
        <v>286</v>
      </c>
      <c r="N77" s="14">
        <f t="shared" si="5"/>
        <v>369</v>
      </c>
      <c r="O77" s="15">
        <f t="shared" si="5"/>
        <v>318</v>
      </c>
      <c r="P77" s="17">
        <f t="shared" si="6"/>
        <v>341</v>
      </c>
      <c r="Q77" s="18">
        <f t="shared" si="7"/>
        <v>318</v>
      </c>
      <c r="R77" s="4" t="s">
        <v>0</v>
      </c>
      <c r="S77" s="16" t="str">
        <f t="shared" si="8"/>
        <v>10-05</v>
      </c>
      <c r="T77" s="14">
        <f t="shared" si="9"/>
        <v>341</v>
      </c>
      <c r="U77" s="18">
        <f t="shared" si="10"/>
        <v>464</v>
      </c>
      <c r="V77" s="14">
        <f t="shared" si="22"/>
        <v>369</v>
      </c>
      <c r="W77" s="18">
        <f t="shared" si="11"/>
        <v>464</v>
      </c>
      <c r="X77" s="14">
        <f t="shared" si="23"/>
        <v>369</v>
      </c>
      <c r="Y77" s="18">
        <f t="shared" si="12"/>
        <v>432</v>
      </c>
      <c r="Z77" s="14">
        <f t="shared" si="24"/>
        <v>341</v>
      </c>
      <c r="AA77" s="18">
        <f t="shared" si="13"/>
        <v>432</v>
      </c>
      <c r="AB77" s="4" t="s">
        <v>0</v>
      </c>
    </row>
    <row r="78" spans="1:28">
      <c r="A78" s="9" t="s">
        <v>81</v>
      </c>
      <c r="B78" s="24"/>
      <c r="C78" s="4"/>
      <c r="D78" s="25">
        <f t="shared" ref="D78" si="144">D63</f>
        <v>369</v>
      </c>
      <c r="E78" s="29">
        <f t="shared" ref="E78" si="145">E77</f>
        <v>286</v>
      </c>
      <c r="F78" s="25">
        <f t="shared" ref="F78" si="146">F63</f>
        <v>397</v>
      </c>
      <c r="G78" s="29">
        <f t="shared" si="66"/>
        <v>318</v>
      </c>
      <c r="H78" s="4" t="s">
        <v>0</v>
      </c>
      <c r="I78" s="16" t="str">
        <f t="shared" si="0"/>
        <v>10-03</v>
      </c>
      <c r="J78" s="14">
        <f t="shared" si="2"/>
        <v>369</v>
      </c>
      <c r="K78" s="15">
        <f t="shared" si="2"/>
        <v>286</v>
      </c>
      <c r="L78" s="17">
        <f t="shared" si="3"/>
        <v>397</v>
      </c>
      <c r="M78" s="18">
        <f t="shared" si="4"/>
        <v>286</v>
      </c>
      <c r="N78" s="14">
        <f t="shared" si="5"/>
        <v>397</v>
      </c>
      <c r="O78" s="15">
        <f t="shared" si="5"/>
        <v>318</v>
      </c>
      <c r="P78" s="17">
        <f t="shared" si="6"/>
        <v>369</v>
      </c>
      <c r="Q78" s="18">
        <f t="shared" si="7"/>
        <v>318</v>
      </c>
      <c r="R78" s="4" t="s">
        <v>0</v>
      </c>
      <c r="S78" s="16" t="str">
        <f t="shared" si="8"/>
        <v>10-03</v>
      </c>
      <c r="T78" s="14">
        <f t="shared" si="9"/>
        <v>369</v>
      </c>
      <c r="U78" s="18">
        <f t="shared" si="10"/>
        <v>464</v>
      </c>
      <c r="V78" s="14">
        <f t="shared" si="22"/>
        <v>397</v>
      </c>
      <c r="W78" s="18">
        <f t="shared" si="11"/>
        <v>464</v>
      </c>
      <c r="X78" s="14">
        <f t="shared" si="23"/>
        <v>397</v>
      </c>
      <c r="Y78" s="18">
        <f t="shared" si="12"/>
        <v>432</v>
      </c>
      <c r="Z78" s="14">
        <f t="shared" si="24"/>
        <v>369</v>
      </c>
      <c r="AA78" s="18">
        <f t="shared" si="13"/>
        <v>432</v>
      </c>
      <c r="AB78" s="4" t="s">
        <v>0</v>
      </c>
    </row>
    <row r="79" spans="1:28">
      <c r="A79" s="9" t="s">
        <v>80</v>
      </c>
      <c r="B79" s="24"/>
      <c r="C79" s="4"/>
      <c r="D79" s="25">
        <f t="shared" ref="D79" si="147">D64</f>
        <v>396</v>
      </c>
      <c r="E79" s="29">
        <f t="shared" ref="E79" si="148">E78</f>
        <v>286</v>
      </c>
      <c r="F79" s="25">
        <f t="shared" ref="F79" si="149">F64</f>
        <v>424</v>
      </c>
      <c r="G79" s="29">
        <f t="shared" si="66"/>
        <v>318</v>
      </c>
      <c r="H79" s="4" t="s">
        <v>0</v>
      </c>
      <c r="I79" s="16" t="str">
        <f t="shared" si="0"/>
        <v>10-02</v>
      </c>
      <c r="J79" s="14">
        <f t="shared" si="2"/>
        <v>396</v>
      </c>
      <c r="K79" s="15">
        <f t="shared" si="2"/>
        <v>286</v>
      </c>
      <c r="L79" s="17">
        <f t="shared" si="3"/>
        <v>424</v>
      </c>
      <c r="M79" s="18">
        <f t="shared" si="4"/>
        <v>286</v>
      </c>
      <c r="N79" s="14">
        <f t="shared" si="5"/>
        <v>424</v>
      </c>
      <c r="O79" s="15">
        <f t="shared" si="5"/>
        <v>318</v>
      </c>
      <c r="P79" s="17">
        <f t="shared" si="6"/>
        <v>396</v>
      </c>
      <c r="Q79" s="18">
        <f t="shared" si="7"/>
        <v>318</v>
      </c>
      <c r="R79" s="4" t="s">
        <v>0</v>
      </c>
      <c r="S79" s="16" t="str">
        <f t="shared" si="8"/>
        <v>10-02</v>
      </c>
      <c r="T79" s="14">
        <f t="shared" si="9"/>
        <v>396</v>
      </c>
      <c r="U79" s="18">
        <f t="shared" si="10"/>
        <v>464</v>
      </c>
      <c r="V79" s="14">
        <f t="shared" si="22"/>
        <v>424</v>
      </c>
      <c r="W79" s="18">
        <f t="shared" si="11"/>
        <v>464</v>
      </c>
      <c r="X79" s="14">
        <f t="shared" si="23"/>
        <v>424</v>
      </c>
      <c r="Y79" s="18">
        <f t="shared" si="12"/>
        <v>432</v>
      </c>
      <c r="Z79" s="14">
        <f t="shared" si="24"/>
        <v>396</v>
      </c>
      <c r="AA79" s="18">
        <f t="shared" si="13"/>
        <v>432</v>
      </c>
      <c r="AB79" s="4" t="s">
        <v>0</v>
      </c>
    </row>
    <row r="80" spans="1:28">
      <c r="A80" s="9" t="s">
        <v>79</v>
      </c>
      <c r="B80" s="24"/>
      <c r="C80" s="4"/>
      <c r="D80" s="25">
        <f t="shared" ref="D80" si="150">D65</f>
        <v>424</v>
      </c>
      <c r="E80" s="29">
        <f t="shared" ref="E80" si="151">E79</f>
        <v>286</v>
      </c>
      <c r="F80" s="25">
        <f t="shared" ref="F80" si="152">F65</f>
        <v>452</v>
      </c>
      <c r="G80" s="29">
        <f t="shared" si="66"/>
        <v>318</v>
      </c>
      <c r="H80" s="4" t="s">
        <v>0</v>
      </c>
      <c r="I80" s="16" t="str">
        <f t="shared" si="0"/>
        <v>10-01</v>
      </c>
      <c r="J80" s="14">
        <f t="shared" si="2"/>
        <v>424</v>
      </c>
      <c r="K80" s="15">
        <f t="shared" si="2"/>
        <v>286</v>
      </c>
      <c r="L80" s="17">
        <f t="shared" si="3"/>
        <v>452</v>
      </c>
      <c r="M80" s="18">
        <f t="shared" si="4"/>
        <v>286</v>
      </c>
      <c r="N80" s="14">
        <f t="shared" si="5"/>
        <v>452</v>
      </c>
      <c r="O80" s="15">
        <f t="shared" si="5"/>
        <v>318</v>
      </c>
      <c r="P80" s="17">
        <f t="shared" si="6"/>
        <v>424</v>
      </c>
      <c r="Q80" s="18">
        <f t="shared" si="7"/>
        <v>318</v>
      </c>
      <c r="R80" s="4" t="s">
        <v>0</v>
      </c>
      <c r="S80" s="16" t="str">
        <f t="shared" si="8"/>
        <v>10-01</v>
      </c>
      <c r="T80" s="14">
        <f t="shared" si="9"/>
        <v>424</v>
      </c>
      <c r="U80" s="18">
        <f t="shared" si="10"/>
        <v>464</v>
      </c>
      <c r="V80" s="14">
        <f t="shared" si="22"/>
        <v>452</v>
      </c>
      <c r="W80" s="18">
        <f t="shared" si="11"/>
        <v>464</v>
      </c>
      <c r="X80" s="14">
        <f t="shared" si="23"/>
        <v>452</v>
      </c>
      <c r="Y80" s="18">
        <f t="shared" si="12"/>
        <v>432</v>
      </c>
      <c r="Z80" s="14">
        <f t="shared" si="24"/>
        <v>424</v>
      </c>
      <c r="AA80" s="18">
        <f t="shared" si="13"/>
        <v>432</v>
      </c>
      <c r="AB80" s="4" t="s">
        <v>0</v>
      </c>
    </row>
    <row r="81" spans="1:28">
      <c r="A81" s="9" t="s">
        <v>184</v>
      </c>
      <c r="B81" s="24"/>
      <c r="C81" s="26">
        <v>4</v>
      </c>
      <c r="D81" s="25">
        <f t="shared" ref="D81" si="153">D66</f>
        <v>39</v>
      </c>
      <c r="E81" s="28">
        <f t="shared" ref="E81" si="154">ROUND(E$21+41.2*$C81, 0)</f>
        <v>327</v>
      </c>
      <c r="F81" s="25">
        <f t="shared" ref="F81" si="155">F66</f>
        <v>66</v>
      </c>
      <c r="G81" s="28">
        <f t="shared" ref="G81" si="156">ROUND(G$21+41.2*$C81, 0)</f>
        <v>359</v>
      </c>
      <c r="H81" s="4" t="s">
        <v>0</v>
      </c>
      <c r="I81" s="16" t="str">
        <f t="shared" si="0"/>
        <v>08-18</v>
      </c>
      <c r="J81" s="14">
        <f t="shared" si="2"/>
        <v>39</v>
      </c>
      <c r="K81" s="15">
        <f t="shared" si="2"/>
        <v>327</v>
      </c>
      <c r="L81" s="17">
        <f t="shared" si="3"/>
        <v>66</v>
      </c>
      <c r="M81" s="18">
        <f t="shared" si="4"/>
        <v>327</v>
      </c>
      <c r="N81" s="14">
        <f t="shared" si="5"/>
        <v>66</v>
      </c>
      <c r="O81" s="15">
        <f t="shared" si="5"/>
        <v>359</v>
      </c>
      <c r="P81" s="17">
        <f t="shared" si="6"/>
        <v>39</v>
      </c>
      <c r="Q81" s="18">
        <f t="shared" si="7"/>
        <v>359</v>
      </c>
      <c r="R81" s="4" t="s">
        <v>0</v>
      </c>
      <c r="S81" s="16" t="str">
        <f t="shared" si="8"/>
        <v>08-18</v>
      </c>
      <c r="T81" s="14">
        <f t="shared" si="9"/>
        <v>39</v>
      </c>
      <c r="U81" s="18">
        <f t="shared" si="10"/>
        <v>423</v>
      </c>
      <c r="V81" s="14">
        <f t="shared" si="22"/>
        <v>66</v>
      </c>
      <c r="W81" s="18">
        <f t="shared" si="11"/>
        <v>423</v>
      </c>
      <c r="X81" s="14">
        <f t="shared" si="23"/>
        <v>66</v>
      </c>
      <c r="Y81" s="18">
        <f t="shared" si="12"/>
        <v>391</v>
      </c>
      <c r="Z81" s="14">
        <f t="shared" si="24"/>
        <v>39</v>
      </c>
      <c r="AA81" s="18">
        <f t="shared" si="13"/>
        <v>391</v>
      </c>
      <c r="AB81" s="4" t="s">
        <v>0</v>
      </c>
    </row>
    <row r="82" spans="1:28">
      <c r="A82" s="9" t="s">
        <v>183</v>
      </c>
      <c r="B82" s="24"/>
      <c r="C82" s="26"/>
      <c r="D82" s="25">
        <f t="shared" ref="D82" si="157">D67</f>
        <v>66</v>
      </c>
      <c r="E82" s="29">
        <f t="shared" ref="E82" si="158">E81</f>
        <v>327</v>
      </c>
      <c r="F82" s="25">
        <f t="shared" ref="F82" si="159">F67</f>
        <v>93</v>
      </c>
      <c r="G82" s="29">
        <f t="shared" ref="G82" si="160">G81</f>
        <v>359</v>
      </c>
      <c r="H82" s="4" t="s">
        <v>0</v>
      </c>
      <c r="I82" s="16" t="str">
        <f t="shared" si="0"/>
        <v>08-17</v>
      </c>
      <c r="J82" s="14">
        <f t="shared" si="2"/>
        <v>66</v>
      </c>
      <c r="K82" s="15">
        <f t="shared" si="2"/>
        <v>327</v>
      </c>
      <c r="L82" s="17">
        <f t="shared" si="3"/>
        <v>93</v>
      </c>
      <c r="M82" s="18">
        <f t="shared" si="4"/>
        <v>327</v>
      </c>
      <c r="N82" s="14">
        <f t="shared" si="5"/>
        <v>93</v>
      </c>
      <c r="O82" s="15">
        <f t="shared" si="5"/>
        <v>359</v>
      </c>
      <c r="P82" s="17">
        <f t="shared" si="6"/>
        <v>66</v>
      </c>
      <c r="Q82" s="18">
        <f t="shared" si="7"/>
        <v>359</v>
      </c>
      <c r="R82" s="4" t="s">
        <v>0</v>
      </c>
      <c r="S82" s="16" t="str">
        <f t="shared" si="8"/>
        <v>08-17</v>
      </c>
      <c r="T82" s="14">
        <f t="shared" si="9"/>
        <v>66</v>
      </c>
      <c r="U82" s="18">
        <f t="shared" si="10"/>
        <v>423</v>
      </c>
      <c r="V82" s="14">
        <f t="shared" si="22"/>
        <v>93</v>
      </c>
      <c r="W82" s="18">
        <f t="shared" si="11"/>
        <v>423</v>
      </c>
      <c r="X82" s="14">
        <f t="shared" si="23"/>
        <v>93</v>
      </c>
      <c r="Y82" s="18">
        <f t="shared" si="12"/>
        <v>391</v>
      </c>
      <c r="Z82" s="14">
        <f t="shared" si="24"/>
        <v>66</v>
      </c>
      <c r="AA82" s="18">
        <f t="shared" si="13"/>
        <v>391</v>
      </c>
      <c r="AB82" s="4" t="s">
        <v>0</v>
      </c>
    </row>
    <row r="83" spans="1:28">
      <c r="A83" s="9" t="s">
        <v>182</v>
      </c>
      <c r="B83" s="24"/>
      <c r="C83" s="4"/>
      <c r="D83" s="25">
        <f t="shared" ref="D83" si="161">D68</f>
        <v>94</v>
      </c>
      <c r="E83" s="29">
        <f t="shared" ref="E83" si="162">E82</f>
        <v>327</v>
      </c>
      <c r="F83" s="25">
        <f t="shared" ref="F83" si="163">F68</f>
        <v>121</v>
      </c>
      <c r="G83" s="29">
        <f t="shared" si="66"/>
        <v>359</v>
      </c>
      <c r="H83" s="4" t="s">
        <v>0</v>
      </c>
      <c r="I83" s="16" t="str">
        <f t="shared" si="0"/>
        <v>08-16</v>
      </c>
      <c r="J83" s="14">
        <f t="shared" si="2"/>
        <v>94</v>
      </c>
      <c r="K83" s="15">
        <f t="shared" si="2"/>
        <v>327</v>
      </c>
      <c r="L83" s="17">
        <f t="shared" si="3"/>
        <v>121</v>
      </c>
      <c r="M83" s="18">
        <f t="shared" si="4"/>
        <v>327</v>
      </c>
      <c r="N83" s="14">
        <f t="shared" si="5"/>
        <v>121</v>
      </c>
      <c r="O83" s="15">
        <f t="shared" si="5"/>
        <v>359</v>
      </c>
      <c r="P83" s="17">
        <f t="shared" si="6"/>
        <v>94</v>
      </c>
      <c r="Q83" s="18">
        <f t="shared" si="7"/>
        <v>359</v>
      </c>
      <c r="R83" s="4" t="s">
        <v>0</v>
      </c>
      <c r="S83" s="16" t="str">
        <f t="shared" si="8"/>
        <v>08-16</v>
      </c>
      <c r="T83" s="14">
        <f t="shared" si="9"/>
        <v>94</v>
      </c>
      <c r="U83" s="18">
        <f t="shared" si="10"/>
        <v>423</v>
      </c>
      <c r="V83" s="14">
        <f t="shared" si="22"/>
        <v>121</v>
      </c>
      <c r="W83" s="18">
        <f t="shared" si="11"/>
        <v>423</v>
      </c>
      <c r="X83" s="14">
        <f t="shared" si="23"/>
        <v>121</v>
      </c>
      <c r="Y83" s="18">
        <f t="shared" si="12"/>
        <v>391</v>
      </c>
      <c r="Z83" s="14">
        <f t="shared" si="24"/>
        <v>94</v>
      </c>
      <c r="AA83" s="18">
        <f t="shared" si="13"/>
        <v>391</v>
      </c>
      <c r="AB83" s="4" t="s">
        <v>0</v>
      </c>
    </row>
    <row r="84" spans="1:28">
      <c r="A84" s="9" t="s">
        <v>181</v>
      </c>
      <c r="B84" s="24"/>
      <c r="C84" s="4"/>
      <c r="D84" s="25">
        <f t="shared" ref="D84" si="164">D69</f>
        <v>121</v>
      </c>
      <c r="E84" s="29">
        <f t="shared" ref="E84" si="165">E83</f>
        <v>327</v>
      </c>
      <c r="F84" s="25">
        <f t="shared" ref="F84" si="166">F69</f>
        <v>148</v>
      </c>
      <c r="G84" s="29">
        <f t="shared" si="66"/>
        <v>359</v>
      </c>
      <c r="H84" s="4" t="s">
        <v>0</v>
      </c>
      <c r="I84" s="16" t="str">
        <f t="shared" si="0"/>
        <v>08-15</v>
      </c>
      <c r="J84" s="14">
        <f t="shared" si="2"/>
        <v>121</v>
      </c>
      <c r="K84" s="15">
        <f t="shared" si="2"/>
        <v>327</v>
      </c>
      <c r="L84" s="17">
        <f t="shared" si="3"/>
        <v>148</v>
      </c>
      <c r="M84" s="18">
        <f t="shared" si="4"/>
        <v>327</v>
      </c>
      <c r="N84" s="14">
        <f t="shared" si="5"/>
        <v>148</v>
      </c>
      <c r="O84" s="15">
        <f t="shared" si="5"/>
        <v>359</v>
      </c>
      <c r="P84" s="17">
        <f t="shared" si="6"/>
        <v>121</v>
      </c>
      <c r="Q84" s="18">
        <f t="shared" si="7"/>
        <v>359</v>
      </c>
      <c r="R84" s="4" t="s">
        <v>0</v>
      </c>
      <c r="S84" s="16" t="str">
        <f t="shared" si="8"/>
        <v>08-15</v>
      </c>
      <c r="T84" s="14">
        <f t="shared" si="9"/>
        <v>121</v>
      </c>
      <c r="U84" s="18">
        <f t="shared" si="10"/>
        <v>423</v>
      </c>
      <c r="V84" s="14">
        <f t="shared" si="22"/>
        <v>148</v>
      </c>
      <c r="W84" s="18">
        <f t="shared" si="11"/>
        <v>423</v>
      </c>
      <c r="X84" s="14">
        <f t="shared" si="23"/>
        <v>148</v>
      </c>
      <c r="Y84" s="18">
        <f t="shared" si="12"/>
        <v>391</v>
      </c>
      <c r="Z84" s="14">
        <f t="shared" si="24"/>
        <v>121</v>
      </c>
      <c r="AA84" s="18">
        <f t="shared" si="13"/>
        <v>391</v>
      </c>
      <c r="AB84" s="4" t="s">
        <v>0</v>
      </c>
    </row>
    <row r="85" spans="1:28">
      <c r="A85" s="9" t="s">
        <v>180</v>
      </c>
      <c r="B85" s="24"/>
      <c r="C85" s="4"/>
      <c r="D85" s="25">
        <f t="shared" ref="D85" si="167">D70</f>
        <v>149</v>
      </c>
      <c r="E85" s="29">
        <f t="shared" ref="E85" si="168">E84</f>
        <v>327</v>
      </c>
      <c r="F85" s="25">
        <f t="shared" ref="F85" si="169">F70</f>
        <v>176</v>
      </c>
      <c r="G85" s="29">
        <f t="shared" si="66"/>
        <v>359</v>
      </c>
      <c r="H85" s="4" t="s">
        <v>0</v>
      </c>
      <c r="I85" s="16" t="str">
        <f t="shared" si="0"/>
        <v>08-13</v>
      </c>
      <c r="J85" s="14">
        <f t="shared" si="2"/>
        <v>149</v>
      </c>
      <c r="K85" s="15">
        <f t="shared" si="2"/>
        <v>327</v>
      </c>
      <c r="L85" s="17">
        <f t="shared" si="3"/>
        <v>176</v>
      </c>
      <c r="M85" s="18">
        <f t="shared" si="4"/>
        <v>327</v>
      </c>
      <c r="N85" s="14">
        <f t="shared" si="5"/>
        <v>176</v>
      </c>
      <c r="O85" s="15">
        <f t="shared" si="5"/>
        <v>359</v>
      </c>
      <c r="P85" s="17">
        <f t="shared" si="6"/>
        <v>149</v>
      </c>
      <c r="Q85" s="18">
        <f t="shared" si="7"/>
        <v>359</v>
      </c>
      <c r="R85" s="4" t="s">
        <v>0</v>
      </c>
      <c r="S85" s="16" t="str">
        <f t="shared" si="8"/>
        <v>08-13</v>
      </c>
      <c r="T85" s="14">
        <f t="shared" si="9"/>
        <v>149</v>
      </c>
      <c r="U85" s="18">
        <f t="shared" si="10"/>
        <v>423</v>
      </c>
      <c r="V85" s="14">
        <f t="shared" si="22"/>
        <v>176</v>
      </c>
      <c r="W85" s="18">
        <f t="shared" si="11"/>
        <v>423</v>
      </c>
      <c r="X85" s="14">
        <f t="shared" si="23"/>
        <v>176</v>
      </c>
      <c r="Y85" s="18">
        <f t="shared" si="12"/>
        <v>391</v>
      </c>
      <c r="Z85" s="14">
        <f t="shared" si="24"/>
        <v>149</v>
      </c>
      <c r="AA85" s="18">
        <f t="shared" si="13"/>
        <v>391</v>
      </c>
      <c r="AB85" s="4" t="s">
        <v>0</v>
      </c>
    </row>
    <row r="86" spans="1:28">
      <c r="A86" s="9" t="s">
        <v>78</v>
      </c>
      <c r="B86" s="24"/>
      <c r="C86" s="4"/>
      <c r="D86" s="25">
        <f t="shared" ref="D86" si="170">D71</f>
        <v>176</v>
      </c>
      <c r="E86" s="29">
        <f t="shared" ref="E86" si="171">E85</f>
        <v>327</v>
      </c>
      <c r="F86" s="25">
        <f t="shared" ref="F86" si="172">F71</f>
        <v>203</v>
      </c>
      <c r="G86" s="29">
        <f t="shared" si="66"/>
        <v>359</v>
      </c>
      <c r="H86" s="4" t="s">
        <v>0</v>
      </c>
      <c r="I86" s="16" t="str">
        <f t="shared" si="0"/>
        <v>08-12</v>
      </c>
      <c r="J86" s="14">
        <f t="shared" si="2"/>
        <v>176</v>
      </c>
      <c r="K86" s="15">
        <f t="shared" si="2"/>
        <v>327</v>
      </c>
      <c r="L86" s="17">
        <f t="shared" si="3"/>
        <v>203</v>
      </c>
      <c r="M86" s="18">
        <f t="shared" si="4"/>
        <v>327</v>
      </c>
      <c r="N86" s="14">
        <f t="shared" si="5"/>
        <v>203</v>
      </c>
      <c r="O86" s="15">
        <f t="shared" si="5"/>
        <v>359</v>
      </c>
      <c r="P86" s="17">
        <f t="shared" si="6"/>
        <v>176</v>
      </c>
      <c r="Q86" s="18">
        <f t="shared" si="7"/>
        <v>359</v>
      </c>
      <c r="R86" s="4" t="s">
        <v>0</v>
      </c>
      <c r="S86" s="16" t="str">
        <f t="shared" si="8"/>
        <v>08-12</v>
      </c>
      <c r="T86" s="14">
        <f t="shared" si="9"/>
        <v>176</v>
      </c>
      <c r="U86" s="18">
        <f t="shared" si="10"/>
        <v>423</v>
      </c>
      <c r="V86" s="14">
        <f t="shared" si="22"/>
        <v>203</v>
      </c>
      <c r="W86" s="18">
        <f t="shared" si="11"/>
        <v>423</v>
      </c>
      <c r="X86" s="14">
        <f t="shared" si="23"/>
        <v>203</v>
      </c>
      <c r="Y86" s="18">
        <f t="shared" si="12"/>
        <v>391</v>
      </c>
      <c r="Z86" s="14">
        <f t="shared" si="24"/>
        <v>176</v>
      </c>
      <c r="AA86" s="18">
        <f t="shared" si="13"/>
        <v>391</v>
      </c>
      <c r="AB86" s="4" t="s">
        <v>0</v>
      </c>
    </row>
    <row r="87" spans="1:28">
      <c r="A87" s="9" t="s">
        <v>77</v>
      </c>
      <c r="B87" s="24"/>
      <c r="C87" s="4"/>
      <c r="D87" s="25">
        <f t="shared" ref="D87" si="173">D72</f>
        <v>203</v>
      </c>
      <c r="E87" s="29">
        <f t="shared" ref="E87" si="174">E86</f>
        <v>327</v>
      </c>
      <c r="F87" s="25">
        <f t="shared" ref="F87" si="175">F72</f>
        <v>230</v>
      </c>
      <c r="G87" s="29">
        <f t="shared" si="66"/>
        <v>359</v>
      </c>
      <c r="H87" s="4" t="s">
        <v>0</v>
      </c>
      <c r="I87" s="16" t="str">
        <f t="shared" si="0"/>
        <v>08-11</v>
      </c>
      <c r="J87" s="14">
        <f t="shared" si="2"/>
        <v>203</v>
      </c>
      <c r="K87" s="15">
        <f t="shared" si="2"/>
        <v>327</v>
      </c>
      <c r="L87" s="17">
        <f t="shared" si="3"/>
        <v>230</v>
      </c>
      <c r="M87" s="18">
        <f t="shared" si="4"/>
        <v>327</v>
      </c>
      <c r="N87" s="14">
        <f t="shared" si="5"/>
        <v>230</v>
      </c>
      <c r="O87" s="15">
        <f t="shared" si="5"/>
        <v>359</v>
      </c>
      <c r="P87" s="17">
        <f t="shared" si="6"/>
        <v>203</v>
      </c>
      <c r="Q87" s="18">
        <f t="shared" si="7"/>
        <v>359</v>
      </c>
      <c r="R87" s="4" t="s">
        <v>0</v>
      </c>
      <c r="S87" s="16" t="str">
        <f t="shared" si="8"/>
        <v>08-11</v>
      </c>
      <c r="T87" s="14">
        <f t="shared" si="9"/>
        <v>203</v>
      </c>
      <c r="U87" s="18">
        <f t="shared" si="10"/>
        <v>423</v>
      </c>
      <c r="V87" s="14">
        <f t="shared" si="22"/>
        <v>230</v>
      </c>
      <c r="W87" s="18">
        <f t="shared" si="11"/>
        <v>423</v>
      </c>
      <c r="X87" s="14">
        <f t="shared" si="23"/>
        <v>230</v>
      </c>
      <c r="Y87" s="18">
        <f t="shared" si="12"/>
        <v>391</v>
      </c>
      <c r="Z87" s="14">
        <f t="shared" si="24"/>
        <v>203</v>
      </c>
      <c r="AA87" s="18">
        <f t="shared" si="13"/>
        <v>391</v>
      </c>
      <c r="AB87" s="4" t="s">
        <v>0</v>
      </c>
    </row>
    <row r="88" spans="1:28">
      <c r="A88" s="9" t="s">
        <v>76</v>
      </c>
      <c r="B88" s="24"/>
      <c r="C88" s="4"/>
      <c r="D88" s="25">
        <f t="shared" ref="D88" si="176">D73</f>
        <v>231</v>
      </c>
      <c r="E88" s="29">
        <f t="shared" ref="E88" si="177">E87</f>
        <v>327</v>
      </c>
      <c r="F88" s="25">
        <f t="shared" ref="F88" si="178">F73</f>
        <v>258</v>
      </c>
      <c r="G88" s="29">
        <f t="shared" si="66"/>
        <v>359</v>
      </c>
      <c r="H88" s="4" t="s">
        <v>0</v>
      </c>
      <c r="I88" s="16" t="str">
        <f t="shared" si="0"/>
        <v>08-10</v>
      </c>
      <c r="J88" s="14">
        <f t="shared" si="2"/>
        <v>231</v>
      </c>
      <c r="K88" s="15">
        <f t="shared" si="2"/>
        <v>327</v>
      </c>
      <c r="L88" s="17">
        <f t="shared" si="3"/>
        <v>258</v>
      </c>
      <c r="M88" s="18">
        <f t="shared" si="4"/>
        <v>327</v>
      </c>
      <c r="N88" s="14">
        <f t="shared" si="5"/>
        <v>258</v>
      </c>
      <c r="O88" s="15">
        <f t="shared" si="5"/>
        <v>359</v>
      </c>
      <c r="P88" s="17">
        <f t="shared" si="6"/>
        <v>231</v>
      </c>
      <c r="Q88" s="18">
        <f t="shared" si="7"/>
        <v>359</v>
      </c>
      <c r="R88" s="4" t="s">
        <v>0</v>
      </c>
      <c r="S88" s="16" t="str">
        <f t="shared" si="8"/>
        <v>08-10</v>
      </c>
      <c r="T88" s="14">
        <f t="shared" si="9"/>
        <v>231</v>
      </c>
      <c r="U88" s="18">
        <f t="shared" si="10"/>
        <v>423</v>
      </c>
      <c r="V88" s="14">
        <f t="shared" si="22"/>
        <v>258</v>
      </c>
      <c r="W88" s="18">
        <f t="shared" si="11"/>
        <v>423</v>
      </c>
      <c r="X88" s="14">
        <f t="shared" si="23"/>
        <v>258</v>
      </c>
      <c r="Y88" s="18">
        <f t="shared" si="12"/>
        <v>391</v>
      </c>
      <c r="Z88" s="14">
        <f t="shared" si="24"/>
        <v>231</v>
      </c>
      <c r="AA88" s="18">
        <f t="shared" si="13"/>
        <v>391</v>
      </c>
      <c r="AB88" s="4" t="s">
        <v>0</v>
      </c>
    </row>
    <row r="89" spans="1:28">
      <c r="A89" s="9" t="s">
        <v>75</v>
      </c>
      <c r="B89" s="24"/>
      <c r="C89" s="4"/>
      <c r="D89" s="25">
        <f t="shared" ref="D89" si="179">D74</f>
        <v>258</v>
      </c>
      <c r="E89" s="29">
        <f t="shared" ref="E89" si="180">E88</f>
        <v>327</v>
      </c>
      <c r="F89" s="25">
        <f t="shared" ref="F89" si="181">F74</f>
        <v>285</v>
      </c>
      <c r="G89" s="29">
        <f t="shared" si="66"/>
        <v>359</v>
      </c>
      <c r="H89" s="4" t="s">
        <v>0</v>
      </c>
      <c r="I89" s="16" t="str">
        <f t="shared" si="0"/>
        <v>08-08</v>
      </c>
      <c r="J89" s="14">
        <f t="shared" si="2"/>
        <v>258</v>
      </c>
      <c r="K89" s="15">
        <f t="shared" si="2"/>
        <v>327</v>
      </c>
      <c r="L89" s="17">
        <f t="shared" si="3"/>
        <v>285</v>
      </c>
      <c r="M89" s="18">
        <f t="shared" si="4"/>
        <v>327</v>
      </c>
      <c r="N89" s="14">
        <f t="shared" si="5"/>
        <v>285</v>
      </c>
      <c r="O89" s="15">
        <f t="shared" si="5"/>
        <v>359</v>
      </c>
      <c r="P89" s="17">
        <f t="shared" si="6"/>
        <v>258</v>
      </c>
      <c r="Q89" s="18">
        <f t="shared" si="7"/>
        <v>359</v>
      </c>
      <c r="R89" s="4" t="s">
        <v>0</v>
      </c>
      <c r="S89" s="16" t="str">
        <f t="shared" si="8"/>
        <v>08-08</v>
      </c>
      <c r="T89" s="14">
        <f t="shared" si="9"/>
        <v>258</v>
      </c>
      <c r="U89" s="18">
        <f t="shared" si="10"/>
        <v>423</v>
      </c>
      <c r="V89" s="14">
        <f t="shared" si="22"/>
        <v>285</v>
      </c>
      <c r="W89" s="18">
        <f t="shared" si="11"/>
        <v>423</v>
      </c>
      <c r="X89" s="14">
        <f t="shared" si="23"/>
        <v>285</v>
      </c>
      <c r="Y89" s="18">
        <f t="shared" si="12"/>
        <v>391</v>
      </c>
      <c r="Z89" s="14">
        <f t="shared" si="24"/>
        <v>258</v>
      </c>
      <c r="AA89" s="18">
        <f t="shared" si="13"/>
        <v>391</v>
      </c>
      <c r="AB89" s="4" t="s">
        <v>0</v>
      </c>
    </row>
    <row r="90" spans="1:28">
      <c r="A90" s="9" t="s">
        <v>74</v>
      </c>
      <c r="B90" s="24"/>
      <c r="C90" s="4"/>
      <c r="D90" s="25">
        <f t="shared" ref="D90" si="182">D75</f>
        <v>286</v>
      </c>
      <c r="E90" s="29">
        <f t="shared" ref="E90" si="183">E89</f>
        <v>327</v>
      </c>
      <c r="F90" s="25">
        <f t="shared" ref="F90" si="184">F75</f>
        <v>313</v>
      </c>
      <c r="G90" s="29">
        <f t="shared" si="66"/>
        <v>359</v>
      </c>
      <c r="H90" s="4" t="s">
        <v>0</v>
      </c>
      <c r="I90" s="16" t="str">
        <f t="shared" si="0"/>
        <v>08-07</v>
      </c>
      <c r="J90" s="14">
        <f t="shared" si="2"/>
        <v>286</v>
      </c>
      <c r="K90" s="15">
        <f t="shared" si="2"/>
        <v>327</v>
      </c>
      <c r="L90" s="17">
        <f t="shared" si="3"/>
        <v>313</v>
      </c>
      <c r="M90" s="18">
        <f t="shared" si="4"/>
        <v>327</v>
      </c>
      <c r="N90" s="14">
        <f t="shared" si="5"/>
        <v>313</v>
      </c>
      <c r="O90" s="15">
        <f t="shared" si="5"/>
        <v>359</v>
      </c>
      <c r="P90" s="17">
        <f t="shared" si="6"/>
        <v>286</v>
      </c>
      <c r="Q90" s="18">
        <f t="shared" si="7"/>
        <v>359</v>
      </c>
      <c r="R90" s="4" t="s">
        <v>0</v>
      </c>
      <c r="S90" s="16" t="str">
        <f t="shared" si="8"/>
        <v>08-07</v>
      </c>
      <c r="T90" s="14">
        <f t="shared" si="9"/>
        <v>286</v>
      </c>
      <c r="U90" s="18">
        <f t="shared" si="10"/>
        <v>423</v>
      </c>
      <c r="V90" s="14">
        <f t="shared" si="22"/>
        <v>313</v>
      </c>
      <c r="W90" s="18">
        <f t="shared" si="11"/>
        <v>423</v>
      </c>
      <c r="X90" s="14">
        <f t="shared" si="23"/>
        <v>313</v>
      </c>
      <c r="Y90" s="18">
        <f t="shared" si="12"/>
        <v>391</v>
      </c>
      <c r="Z90" s="14">
        <f t="shared" si="24"/>
        <v>286</v>
      </c>
      <c r="AA90" s="18">
        <f t="shared" si="13"/>
        <v>391</v>
      </c>
      <c r="AB90" s="4" t="s">
        <v>0</v>
      </c>
    </row>
    <row r="91" spans="1:28">
      <c r="A91" s="9" t="s">
        <v>73</v>
      </c>
      <c r="B91" s="24"/>
      <c r="C91" s="4"/>
      <c r="D91" s="25">
        <f t="shared" ref="D91" si="185">D76</f>
        <v>313</v>
      </c>
      <c r="E91" s="29">
        <f t="shared" ref="E91" si="186">E90</f>
        <v>327</v>
      </c>
      <c r="F91" s="25">
        <f t="shared" ref="F91" si="187">F76</f>
        <v>341</v>
      </c>
      <c r="G91" s="29">
        <f t="shared" si="66"/>
        <v>359</v>
      </c>
      <c r="H91" s="4" t="s">
        <v>0</v>
      </c>
      <c r="I91" s="16" t="str">
        <f t="shared" si="0"/>
        <v>08-06</v>
      </c>
      <c r="J91" s="14">
        <f t="shared" si="2"/>
        <v>313</v>
      </c>
      <c r="K91" s="15">
        <f t="shared" si="2"/>
        <v>327</v>
      </c>
      <c r="L91" s="17">
        <f t="shared" si="3"/>
        <v>341</v>
      </c>
      <c r="M91" s="18">
        <f t="shared" si="4"/>
        <v>327</v>
      </c>
      <c r="N91" s="14">
        <f t="shared" si="5"/>
        <v>341</v>
      </c>
      <c r="O91" s="15">
        <f t="shared" si="5"/>
        <v>359</v>
      </c>
      <c r="P91" s="17">
        <f t="shared" si="6"/>
        <v>313</v>
      </c>
      <c r="Q91" s="18">
        <f t="shared" si="7"/>
        <v>359</v>
      </c>
      <c r="R91" s="4" t="s">
        <v>0</v>
      </c>
      <c r="S91" s="16" t="str">
        <f t="shared" si="8"/>
        <v>08-06</v>
      </c>
      <c r="T91" s="14">
        <f t="shared" si="9"/>
        <v>313</v>
      </c>
      <c r="U91" s="18">
        <f t="shared" si="10"/>
        <v>423</v>
      </c>
      <c r="V91" s="14">
        <f t="shared" ref="V91:V154" si="188">IF(L91&lt;&gt;"",L91,"")</f>
        <v>341</v>
      </c>
      <c r="W91" s="18">
        <f t="shared" si="11"/>
        <v>423</v>
      </c>
      <c r="X91" s="14">
        <f t="shared" ref="X91:X154" si="189">IF(N91&lt;&gt;"",N91,"")</f>
        <v>341</v>
      </c>
      <c r="Y91" s="18">
        <f t="shared" si="12"/>
        <v>391</v>
      </c>
      <c r="Z91" s="14">
        <f t="shared" ref="Z91:Z154" si="190">IF(P91&lt;&gt;"",P91,"")</f>
        <v>313</v>
      </c>
      <c r="AA91" s="18">
        <f t="shared" si="13"/>
        <v>391</v>
      </c>
      <c r="AB91" s="4" t="s">
        <v>0</v>
      </c>
    </row>
    <row r="92" spans="1:28">
      <c r="A92" s="9" t="s">
        <v>72</v>
      </c>
      <c r="B92" s="24"/>
      <c r="C92" s="4"/>
      <c r="D92" s="25">
        <f t="shared" ref="D92" si="191">D77</f>
        <v>341</v>
      </c>
      <c r="E92" s="29">
        <f t="shared" ref="E92" si="192">E91</f>
        <v>327</v>
      </c>
      <c r="F92" s="25">
        <f t="shared" ref="F92" si="193">F77</f>
        <v>369</v>
      </c>
      <c r="G92" s="29">
        <f t="shared" si="66"/>
        <v>359</v>
      </c>
      <c r="H92" s="4" t="s">
        <v>0</v>
      </c>
      <c r="I92" s="16" t="str">
        <f t="shared" si="0"/>
        <v>08-05</v>
      </c>
      <c r="J92" s="14">
        <f t="shared" si="2"/>
        <v>341</v>
      </c>
      <c r="K92" s="15">
        <f t="shared" si="2"/>
        <v>327</v>
      </c>
      <c r="L92" s="17">
        <f t="shared" si="3"/>
        <v>369</v>
      </c>
      <c r="M92" s="18">
        <f t="shared" si="4"/>
        <v>327</v>
      </c>
      <c r="N92" s="14">
        <f t="shared" si="5"/>
        <v>369</v>
      </c>
      <c r="O92" s="15">
        <f t="shared" si="5"/>
        <v>359</v>
      </c>
      <c r="P92" s="17">
        <f t="shared" si="6"/>
        <v>341</v>
      </c>
      <c r="Q92" s="18">
        <f t="shared" si="7"/>
        <v>359</v>
      </c>
      <c r="R92" s="4" t="s">
        <v>0</v>
      </c>
      <c r="S92" s="16" t="str">
        <f t="shared" si="8"/>
        <v>08-05</v>
      </c>
      <c r="T92" s="14">
        <f t="shared" si="9"/>
        <v>341</v>
      </c>
      <c r="U92" s="18">
        <f t="shared" si="10"/>
        <v>423</v>
      </c>
      <c r="V92" s="14">
        <f t="shared" si="188"/>
        <v>369</v>
      </c>
      <c r="W92" s="18">
        <f t="shared" si="11"/>
        <v>423</v>
      </c>
      <c r="X92" s="14">
        <f t="shared" si="189"/>
        <v>369</v>
      </c>
      <c r="Y92" s="18">
        <f t="shared" si="12"/>
        <v>391</v>
      </c>
      <c r="Z92" s="14">
        <f t="shared" si="190"/>
        <v>341</v>
      </c>
      <c r="AA92" s="18">
        <f t="shared" si="13"/>
        <v>391</v>
      </c>
      <c r="AB92" s="4" t="s">
        <v>0</v>
      </c>
    </row>
    <row r="93" spans="1:28">
      <c r="A93" s="9" t="s">
        <v>71</v>
      </c>
      <c r="B93" s="24"/>
      <c r="C93" s="4"/>
      <c r="D93" s="25">
        <f t="shared" ref="D93" si="194">D78</f>
        <v>369</v>
      </c>
      <c r="E93" s="29">
        <f t="shared" ref="E93" si="195">E92</f>
        <v>327</v>
      </c>
      <c r="F93" s="25">
        <f t="shared" ref="F93" si="196">F78</f>
        <v>397</v>
      </c>
      <c r="G93" s="29">
        <f t="shared" si="66"/>
        <v>359</v>
      </c>
      <c r="H93" s="4" t="s">
        <v>0</v>
      </c>
      <c r="I93" s="16" t="str">
        <f t="shared" si="0"/>
        <v>08-03</v>
      </c>
      <c r="J93" s="14">
        <f t="shared" si="2"/>
        <v>369</v>
      </c>
      <c r="K93" s="15">
        <f t="shared" si="2"/>
        <v>327</v>
      </c>
      <c r="L93" s="17">
        <f t="shared" si="3"/>
        <v>397</v>
      </c>
      <c r="M93" s="18">
        <f t="shared" si="4"/>
        <v>327</v>
      </c>
      <c r="N93" s="14">
        <f t="shared" si="5"/>
        <v>397</v>
      </c>
      <c r="O93" s="15">
        <f t="shared" si="5"/>
        <v>359</v>
      </c>
      <c r="P93" s="17">
        <f t="shared" si="6"/>
        <v>369</v>
      </c>
      <c r="Q93" s="18">
        <f t="shared" si="7"/>
        <v>359</v>
      </c>
      <c r="R93" s="4" t="s">
        <v>0</v>
      </c>
      <c r="S93" s="16" t="str">
        <f t="shared" si="8"/>
        <v>08-03</v>
      </c>
      <c r="T93" s="14">
        <f t="shared" si="9"/>
        <v>369</v>
      </c>
      <c r="U93" s="18">
        <f t="shared" si="10"/>
        <v>423</v>
      </c>
      <c r="V93" s="14">
        <f t="shared" si="188"/>
        <v>397</v>
      </c>
      <c r="W93" s="18">
        <f t="shared" si="11"/>
        <v>423</v>
      </c>
      <c r="X93" s="14">
        <f t="shared" si="189"/>
        <v>397</v>
      </c>
      <c r="Y93" s="18">
        <f t="shared" si="12"/>
        <v>391</v>
      </c>
      <c r="Z93" s="14">
        <f t="shared" si="190"/>
        <v>369</v>
      </c>
      <c r="AA93" s="18">
        <f t="shared" si="13"/>
        <v>391</v>
      </c>
      <c r="AB93" s="4" t="s">
        <v>0</v>
      </c>
    </row>
    <row r="94" spans="1:28">
      <c r="A94" s="9" t="s">
        <v>70</v>
      </c>
      <c r="B94" s="24"/>
      <c r="C94" s="4"/>
      <c r="D94" s="25">
        <f t="shared" ref="D94" si="197">D79</f>
        <v>396</v>
      </c>
      <c r="E94" s="29">
        <f t="shared" ref="E94" si="198">E93</f>
        <v>327</v>
      </c>
      <c r="F94" s="25">
        <f t="shared" ref="F94" si="199">F79</f>
        <v>424</v>
      </c>
      <c r="G94" s="29">
        <f t="shared" si="66"/>
        <v>359</v>
      </c>
      <c r="H94" s="4" t="s">
        <v>0</v>
      </c>
      <c r="I94" s="16" t="str">
        <f t="shared" si="0"/>
        <v>08-02</v>
      </c>
      <c r="J94" s="14">
        <f t="shared" si="2"/>
        <v>396</v>
      </c>
      <c r="K94" s="15">
        <f t="shared" si="2"/>
        <v>327</v>
      </c>
      <c r="L94" s="17">
        <f t="shared" si="3"/>
        <v>424</v>
      </c>
      <c r="M94" s="18">
        <f t="shared" si="4"/>
        <v>327</v>
      </c>
      <c r="N94" s="14">
        <f t="shared" si="5"/>
        <v>424</v>
      </c>
      <c r="O94" s="15">
        <f t="shared" si="5"/>
        <v>359</v>
      </c>
      <c r="P94" s="17">
        <f t="shared" si="6"/>
        <v>396</v>
      </c>
      <c r="Q94" s="18">
        <f t="shared" si="7"/>
        <v>359</v>
      </c>
      <c r="R94" s="4" t="s">
        <v>0</v>
      </c>
      <c r="S94" s="16" t="str">
        <f t="shared" si="8"/>
        <v>08-02</v>
      </c>
      <c r="T94" s="14">
        <f t="shared" si="9"/>
        <v>396</v>
      </c>
      <c r="U94" s="18">
        <f t="shared" si="10"/>
        <v>423</v>
      </c>
      <c r="V94" s="14">
        <f t="shared" si="188"/>
        <v>424</v>
      </c>
      <c r="W94" s="18">
        <f t="shared" si="11"/>
        <v>423</v>
      </c>
      <c r="X94" s="14">
        <f t="shared" si="189"/>
        <v>424</v>
      </c>
      <c r="Y94" s="18">
        <f t="shared" si="12"/>
        <v>391</v>
      </c>
      <c r="Z94" s="14">
        <f t="shared" si="190"/>
        <v>396</v>
      </c>
      <c r="AA94" s="18">
        <f t="shared" si="13"/>
        <v>391</v>
      </c>
      <c r="AB94" s="4" t="s">
        <v>0</v>
      </c>
    </row>
    <row r="95" spans="1:28">
      <c r="A95" s="9" t="s">
        <v>69</v>
      </c>
      <c r="B95" s="24"/>
      <c r="C95" s="4"/>
      <c r="D95" s="25">
        <f t="shared" ref="D95" si="200">D80</f>
        <v>424</v>
      </c>
      <c r="E95" s="29">
        <f t="shared" ref="E95" si="201">E94</f>
        <v>327</v>
      </c>
      <c r="F95" s="25">
        <f t="shared" ref="F95" si="202">F80</f>
        <v>452</v>
      </c>
      <c r="G95" s="29">
        <f t="shared" si="66"/>
        <v>359</v>
      </c>
      <c r="H95" s="4" t="s">
        <v>0</v>
      </c>
      <c r="I95" s="16" t="str">
        <f t="shared" si="0"/>
        <v>08-01</v>
      </c>
      <c r="J95" s="14">
        <f t="shared" si="2"/>
        <v>424</v>
      </c>
      <c r="K95" s="15">
        <f t="shared" si="2"/>
        <v>327</v>
      </c>
      <c r="L95" s="17">
        <f t="shared" si="3"/>
        <v>452</v>
      </c>
      <c r="M95" s="18">
        <f t="shared" si="4"/>
        <v>327</v>
      </c>
      <c r="N95" s="14">
        <f t="shared" si="5"/>
        <v>452</v>
      </c>
      <c r="O95" s="15">
        <f t="shared" si="5"/>
        <v>359</v>
      </c>
      <c r="P95" s="17">
        <f t="shared" si="6"/>
        <v>424</v>
      </c>
      <c r="Q95" s="18">
        <f t="shared" si="7"/>
        <v>359</v>
      </c>
      <c r="R95" s="4" t="s">
        <v>0</v>
      </c>
      <c r="S95" s="16" t="str">
        <f t="shared" si="8"/>
        <v>08-01</v>
      </c>
      <c r="T95" s="14">
        <f t="shared" si="9"/>
        <v>424</v>
      </c>
      <c r="U95" s="18">
        <f t="shared" si="10"/>
        <v>423</v>
      </c>
      <c r="V95" s="14">
        <f t="shared" si="188"/>
        <v>452</v>
      </c>
      <c r="W95" s="18">
        <f t="shared" si="11"/>
        <v>423</v>
      </c>
      <c r="X95" s="14">
        <f t="shared" si="189"/>
        <v>452</v>
      </c>
      <c r="Y95" s="18">
        <f t="shared" si="12"/>
        <v>391</v>
      </c>
      <c r="Z95" s="14">
        <f t="shared" si="190"/>
        <v>424</v>
      </c>
      <c r="AA95" s="18">
        <f t="shared" si="13"/>
        <v>391</v>
      </c>
      <c r="AB95" s="4" t="s">
        <v>0</v>
      </c>
    </row>
    <row r="96" spans="1:28">
      <c r="A96" s="9" t="s">
        <v>177</v>
      </c>
      <c r="B96" s="24"/>
      <c r="C96" s="26">
        <v>5</v>
      </c>
      <c r="D96" s="25">
        <f t="shared" ref="D96" si="203">D81</f>
        <v>39</v>
      </c>
      <c r="E96" s="28">
        <f t="shared" ref="E96" si="204">ROUND(E$21+41.2*$C96, 0)</f>
        <v>368</v>
      </c>
      <c r="F96" s="25">
        <f t="shared" ref="F96" si="205">F81</f>
        <v>66</v>
      </c>
      <c r="G96" s="28">
        <f t="shared" ref="G96" si="206">ROUND(G$21+41.2*$C96, 0)</f>
        <v>400</v>
      </c>
      <c r="H96" s="4" t="s">
        <v>0</v>
      </c>
      <c r="I96" s="16" t="str">
        <f t="shared" si="0"/>
        <v>07-18</v>
      </c>
      <c r="J96" s="14">
        <f t="shared" si="2"/>
        <v>39</v>
      </c>
      <c r="K96" s="15">
        <f t="shared" si="2"/>
        <v>368</v>
      </c>
      <c r="L96" s="17">
        <f t="shared" si="3"/>
        <v>66</v>
      </c>
      <c r="M96" s="18">
        <f t="shared" si="4"/>
        <v>368</v>
      </c>
      <c r="N96" s="14">
        <f t="shared" si="5"/>
        <v>66</v>
      </c>
      <c r="O96" s="15">
        <f t="shared" si="5"/>
        <v>400</v>
      </c>
      <c r="P96" s="17">
        <f t="shared" si="6"/>
        <v>39</v>
      </c>
      <c r="Q96" s="18">
        <f t="shared" si="7"/>
        <v>400</v>
      </c>
      <c r="R96" s="4" t="s">
        <v>0</v>
      </c>
      <c r="S96" s="16" t="str">
        <f t="shared" si="8"/>
        <v>07-18</v>
      </c>
      <c r="T96" s="14">
        <f t="shared" si="9"/>
        <v>39</v>
      </c>
      <c r="U96" s="18">
        <f t="shared" si="10"/>
        <v>382</v>
      </c>
      <c r="V96" s="14">
        <f t="shared" si="188"/>
        <v>66</v>
      </c>
      <c r="W96" s="18">
        <f t="shared" si="11"/>
        <v>382</v>
      </c>
      <c r="X96" s="14">
        <f t="shared" si="189"/>
        <v>66</v>
      </c>
      <c r="Y96" s="18">
        <f t="shared" si="12"/>
        <v>350</v>
      </c>
      <c r="Z96" s="14">
        <f t="shared" si="190"/>
        <v>39</v>
      </c>
      <c r="AA96" s="18">
        <f t="shared" si="13"/>
        <v>350</v>
      </c>
      <c r="AB96" s="4" t="s">
        <v>0</v>
      </c>
    </row>
    <row r="97" spans="1:28">
      <c r="A97" s="9" t="s">
        <v>176</v>
      </c>
      <c r="B97" s="24"/>
      <c r="C97" s="26"/>
      <c r="D97" s="25">
        <f t="shared" ref="D97" si="207">D82</f>
        <v>66</v>
      </c>
      <c r="E97" s="29">
        <f t="shared" ref="E97" si="208">E96</f>
        <v>368</v>
      </c>
      <c r="F97" s="25">
        <f t="shared" ref="F97" si="209">F82</f>
        <v>93</v>
      </c>
      <c r="G97" s="29">
        <f t="shared" ref="G97" si="210">G96</f>
        <v>400</v>
      </c>
      <c r="H97" s="4" t="s">
        <v>0</v>
      </c>
      <c r="I97" s="16" t="str">
        <f t="shared" si="0"/>
        <v>07-17</v>
      </c>
      <c r="J97" s="14">
        <f t="shared" si="2"/>
        <v>66</v>
      </c>
      <c r="K97" s="15">
        <f t="shared" si="2"/>
        <v>368</v>
      </c>
      <c r="L97" s="17">
        <f t="shared" si="3"/>
        <v>93</v>
      </c>
      <c r="M97" s="18">
        <f t="shared" si="4"/>
        <v>368</v>
      </c>
      <c r="N97" s="14">
        <f t="shared" si="5"/>
        <v>93</v>
      </c>
      <c r="O97" s="15">
        <f t="shared" si="5"/>
        <v>400</v>
      </c>
      <c r="P97" s="17">
        <f t="shared" si="6"/>
        <v>66</v>
      </c>
      <c r="Q97" s="18">
        <f t="shared" si="7"/>
        <v>400</v>
      </c>
      <c r="R97" s="4" t="s">
        <v>0</v>
      </c>
      <c r="S97" s="16" t="str">
        <f t="shared" si="8"/>
        <v>07-17</v>
      </c>
      <c r="T97" s="14">
        <f t="shared" si="9"/>
        <v>66</v>
      </c>
      <c r="U97" s="18">
        <f t="shared" si="10"/>
        <v>382</v>
      </c>
      <c r="V97" s="14">
        <f t="shared" si="188"/>
        <v>93</v>
      </c>
      <c r="W97" s="18">
        <f t="shared" si="11"/>
        <v>382</v>
      </c>
      <c r="X97" s="14">
        <f t="shared" si="189"/>
        <v>93</v>
      </c>
      <c r="Y97" s="18">
        <f t="shared" si="12"/>
        <v>350</v>
      </c>
      <c r="Z97" s="14">
        <f t="shared" si="190"/>
        <v>66</v>
      </c>
      <c r="AA97" s="18">
        <f t="shared" si="13"/>
        <v>350</v>
      </c>
      <c r="AB97" s="4" t="s">
        <v>0</v>
      </c>
    </row>
    <row r="98" spans="1:28">
      <c r="A98" s="9" t="s">
        <v>175</v>
      </c>
      <c r="B98" s="24"/>
      <c r="C98" s="4"/>
      <c r="D98" s="25">
        <f t="shared" ref="D98" si="211">D83</f>
        <v>94</v>
      </c>
      <c r="E98" s="29">
        <f t="shared" ref="E98" si="212">E97</f>
        <v>368</v>
      </c>
      <c r="F98" s="25">
        <f t="shared" ref="F98" si="213">F83</f>
        <v>121</v>
      </c>
      <c r="G98" s="29">
        <f t="shared" si="66"/>
        <v>400</v>
      </c>
      <c r="H98" s="4" t="s">
        <v>0</v>
      </c>
      <c r="I98" s="16" t="str">
        <f t="shared" si="0"/>
        <v>07-16</v>
      </c>
      <c r="J98" s="14">
        <f t="shared" si="2"/>
        <v>94</v>
      </c>
      <c r="K98" s="15">
        <f t="shared" si="2"/>
        <v>368</v>
      </c>
      <c r="L98" s="17">
        <f t="shared" si="3"/>
        <v>121</v>
      </c>
      <c r="M98" s="18">
        <f t="shared" si="4"/>
        <v>368</v>
      </c>
      <c r="N98" s="14">
        <f t="shared" si="5"/>
        <v>121</v>
      </c>
      <c r="O98" s="15">
        <f t="shared" si="5"/>
        <v>400</v>
      </c>
      <c r="P98" s="17">
        <f t="shared" si="6"/>
        <v>94</v>
      </c>
      <c r="Q98" s="18">
        <f t="shared" si="7"/>
        <v>400</v>
      </c>
      <c r="R98" s="4" t="s">
        <v>0</v>
      </c>
      <c r="S98" s="16" t="str">
        <f t="shared" si="8"/>
        <v>07-16</v>
      </c>
      <c r="T98" s="14">
        <f t="shared" si="9"/>
        <v>94</v>
      </c>
      <c r="U98" s="18">
        <f t="shared" si="10"/>
        <v>382</v>
      </c>
      <c r="V98" s="14">
        <f t="shared" si="188"/>
        <v>121</v>
      </c>
      <c r="W98" s="18">
        <f t="shared" si="11"/>
        <v>382</v>
      </c>
      <c r="X98" s="14">
        <f t="shared" si="189"/>
        <v>121</v>
      </c>
      <c r="Y98" s="18">
        <f t="shared" si="12"/>
        <v>350</v>
      </c>
      <c r="Z98" s="14">
        <f t="shared" si="190"/>
        <v>94</v>
      </c>
      <c r="AA98" s="18">
        <f t="shared" si="13"/>
        <v>350</v>
      </c>
      <c r="AB98" s="4" t="s">
        <v>0</v>
      </c>
    </row>
    <row r="99" spans="1:28">
      <c r="A99" s="9" t="s">
        <v>174</v>
      </c>
      <c r="B99" s="24"/>
      <c r="C99" s="4"/>
      <c r="D99" s="25">
        <f t="shared" ref="D99" si="214">D84</f>
        <v>121</v>
      </c>
      <c r="E99" s="29">
        <f t="shared" ref="E99" si="215">E98</f>
        <v>368</v>
      </c>
      <c r="F99" s="25">
        <f t="shared" ref="F99" si="216">F84</f>
        <v>148</v>
      </c>
      <c r="G99" s="29">
        <f t="shared" si="66"/>
        <v>400</v>
      </c>
      <c r="H99" s="4" t="s">
        <v>0</v>
      </c>
      <c r="I99" s="16" t="str">
        <f t="shared" si="0"/>
        <v>07-15</v>
      </c>
      <c r="J99" s="14">
        <f t="shared" si="2"/>
        <v>121</v>
      </c>
      <c r="K99" s="15">
        <f t="shared" si="2"/>
        <v>368</v>
      </c>
      <c r="L99" s="17">
        <f t="shared" si="3"/>
        <v>148</v>
      </c>
      <c r="M99" s="18">
        <f t="shared" si="4"/>
        <v>368</v>
      </c>
      <c r="N99" s="14">
        <f t="shared" si="5"/>
        <v>148</v>
      </c>
      <c r="O99" s="15">
        <f t="shared" si="5"/>
        <v>400</v>
      </c>
      <c r="P99" s="17">
        <f t="shared" si="6"/>
        <v>121</v>
      </c>
      <c r="Q99" s="18">
        <f t="shared" si="7"/>
        <v>400</v>
      </c>
      <c r="R99" s="4" t="s">
        <v>0</v>
      </c>
      <c r="S99" s="16" t="str">
        <f t="shared" si="8"/>
        <v>07-15</v>
      </c>
      <c r="T99" s="14">
        <f t="shared" si="9"/>
        <v>121</v>
      </c>
      <c r="U99" s="18">
        <f t="shared" si="10"/>
        <v>382</v>
      </c>
      <c r="V99" s="14">
        <f t="shared" si="188"/>
        <v>148</v>
      </c>
      <c r="W99" s="18">
        <f t="shared" si="11"/>
        <v>382</v>
      </c>
      <c r="X99" s="14">
        <f t="shared" si="189"/>
        <v>148</v>
      </c>
      <c r="Y99" s="18">
        <f t="shared" si="12"/>
        <v>350</v>
      </c>
      <c r="Z99" s="14">
        <f t="shared" si="190"/>
        <v>121</v>
      </c>
      <c r="AA99" s="18">
        <f t="shared" si="13"/>
        <v>350</v>
      </c>
      <c r="AB99" s="4" t="s">
        <v>0</v>
      </c>
    </row>
    <row r="100" spans="1:28">
      <c r="A100" s="9" t="s">
        <v>173</v>
      </c>
      <c r="B100" s="24"/>
      <c r="C100" s="4"/>
      <c r="D100" s="25">
        <f t="shared" ref="D100" si="217">D85</f>
        <v>149</v>
      </c>
      <c r="E100" s="29">
        <f t="shared" ref="E100" si="218">E99</f>
        <v>368</v>
      </c>
      <c r="F100" s="25">
        <f t="shared" ref="F100" si="219">F85</f>
        <v>176</v>
      </c>
      <c r="G100" s="29">
        <f t="shared" si="66"/>
        <v>400</v>
      </c>
      <c r="H100" s="4" t="s">
        <v>0</v>
      </c>
      <c r="I100" s="16" t="str">
        <f t="shared" si="0"/>
        <v>07-13</v>
      </c>
      <c r="J100" s="14">
        <f t="shared" si="2"/>
        <v>149</v>
      </c>
      <c r="K100" s="15">
        <f t="shared" si="2"/>
        <v>368</v>
      </c>
      <c r="L100" s="17">
        <f t="shared" si="3"/>
        <v>176</v>
      </c>
      <c r="M100" s="18">
        <f t="shared" si="4"/>
        <v>368</v>
      </c>
      <c r="N100" s="14">
        <f t="shared" si="5"/>
        <v>176</v>
      </c>
      <c r="O100" s="15">
        <f t="shared" si="5"/>
        <v>400</v>
      </c>
      <c r="P100" s="17">
        <f t="shared" si="6"/>
        <v>149</v>
      </c>
      <c r="Q100" s="18">
        <f t="shared" si="7"/>
        <v>400</v>
      </c>
      <c r="R100" s="4" t="s">
        <v>0</v>
      </c>
      <c r="S100" s="16" t="str">
        <f t="shared" si="8"/>
        <v>07-13</v>
      </c>
      <c r="T100" s="14">
        <f t="shared" si="9"/>
        <v>149</v>
      </c>
      <c r="U100" s="18">
        <f t="shared" si="10"/>
        <v>382</v>
      </c>
      <c r="V100" s="14">
        <f t="shared" si="188"/>
        <v>176</v>
      </c>
      <c r="W100" s="18">
        <f t="shared" si="11"/>
        <v>382</v>
      </c>
      <c r="X100" s="14">
        <f t="shared" si="189"/>
        <v>176</v>
      </c>
      <c r="Y100" s="18">
        <f t="shared" si="12"/>
        <v>350</v>
      </c>
      <c r="Z100" s="14">
        <f t="shared" si="190"/>
        <v>149</v>
      </c>
      <c r="AA100" s="18">
        <f t="shared" si="13"/>
        <v>350</v>
      </c>
      <c r="AB100" s="4" t="s">
        <v>0</v>
      </c>
    </row>
    <row r="101" spans="1:28">
      <c r="A101" s="9" t="s">
        <v>68</v>
      </c>
      <c r="B101" s="24"/>
      <c r="C101" s="4"/>
      <c r="D101" s="25">
        <f t="shared" ref="D101" si="220">D86</f>
        <v>176</v>
      </c>
      <c r="E101" s="29">
        <f t="shared" ref="E101" si="221">E100</f>
        <v>368</v>
      </c>
      <c r="F101" s="25">
        <f t="shared" ref="F101" si="222">F86</f>
        <v>203</v>
      </c>
      <c r="G101" s="29">
        <f t="shared" si="66"/>
        <v>400</v>
      </c>
      <c r="H101" s="4" t="s">
        <v>0</v>
      </c>
      <c r="I101" s="16" t="str">
        <f t="shared" si="0"/>
        <v>07-12</v>
      </c>
      <c r="J101" s="14">
        <f t="shared" si="2"/>
        <v>176</v>
      </c>
      <c r="K101" s="15">
        <f t="shared" si="2"/>
        <v>368</v>
      </c>
      <c r="L101" s="17">
        <f t="shared" si="3"/>
        <v>203</v>
      </c>
      <c r="M101" s="18">
        <f t="shared" si="4"/>
        <v>368</v>
      </c>
      <c r="N101" s="14">
        <f t="shared" si="5"/>
        <v>203</v>
      </c>
      <c r="O101" s="15">
        <f t="shared" si="5"/>
        <v>400</v>
      </c>
      <c r="P101" s="17">
        <f t="shared" si="6"/>
        <v>176</v>
      </c>
      <c r="Q101" s="18">
        <f t="shared" si="7"/>
        <v>400</v>
      </c>
      <c r="R101" s="4" t="s">
        <v>0</v>
      </c>
      <c r="S101" s="16" t="str">
        <f t="shared" si="8"/>
        <v>07-12</v>
      </c>
      <c r="T101" s="14">
        <f t="shared" si="9"/>
        <v>176</v>
      </c>
      <c r="U101" s="18">
        <f t="shared" si="10"/>
        <v>382</v>
      </c>
      <c r="V101" s="14">
        <f t="shared" si="188"/>
        <v>203</v>
      </c>
      <c r="W101" s="18">
        <f t="shared" si="11"/>
        <v>382</v>
      </c>
      <c r="X101" s="14">
        <f t="shared" si="189"/>
        <v>203</v>
      </c>
      <c r="Y101" s="18">
        <f t="shared" si="12"/>
        <v>350</v>
      </c>
      <c r="Z101" s="14">
        <f t="shared" si="190"/>
        <v>176</v>
      </c>
      <c r="AA101" s="18">
        <f t="shared" si="13"/>
        <v>350</v>
      </c>
      <c r="AB101" s="4" t="s">
        <v>0</v>
      </c>
    </row>
    <row r="102" spans="1:28">
      <c r="A102" s="9" t="s">
        <v>67</v>
      </c>
      <c r="B102" s="24"/>
      <c r="C102" s="4"/>
      <c r="D102" s="25">
        <f t="shared" ref="D102" si="223">D87</f>
        <v>203</v>
      </c>
      <c r="E102" s="29">
        <f t="shared" ref="E102" si="224">E101</f>
        <v>368</v>
      </c>
      <c r="F102" s="25">
        <f t="shared" ref="F102" si="225">F87</f>
        <v>230</v>
      </c>
      <c r="G102" s="29">
        <f t="shared" si="66"/>
        <v>400</v>
      </c>
      <c r="H102" s="4" t="s">
        <v>0</v>
      </c>
      <c r="I102" s="16" t="str">
        <f t="shared" si="0"/>
        <v>07-11</v>
      </c>
      <c r="J102" s="14">
        <f t="shared" si="2"/>
        <v>203</v>
      </c>
      <c r="K102" s="15">
        <f t="shared" si="2"/>
        <v>368</v>
      </c>
      <c r="L102" s="17">
        <f t="shared" si="3"/>
        <v>230</v>
      </c>
      <c r="M102" s="18">
        <f t="shared" si="4"/>
        <v>368</v>
      </c>
      <c r="N102" s="14">
        <f t="shared" si="5"/>
        <v>230</v>
      </c>
      <c r="O102" s="15">
        <f t="shared" si="5"/>
        <v>400</v>
      </c>
      <c r="P102" s="17">
        <f t="shared" si="6"/>
        <v>203</v>
      </c>
      <c r="Q102" s="18">
        <f t="shared" si="7"/>
        <v>400</v>
      </c>
      <c r="R102" s="4" t="s">
        <v>0</v>
      </c>
      <c r="S102" s="16" t="str">
        <f t="shared" si="8"/>
        <v>07-11</v>
      </c>
      <c r="T102" s="14">
        <f t="shared" si="9"/>
        <v>203</v>
      </c>
      <c r="U102" s="18">
        <f t="shared" si="10"/>
        <v>382</v>
      </c>
      <c r="V102" s="14">
        <f t="shared" si="188"/>
        <v>230</v>
      </c>
      <c r="W102" s="18">
        <f t="shared" si="11"/>
        <v>382</v>
      </c>
      <c r="X102" s="14">
        <f t="shared" si="189"/>
        <v>230</v>
      </c>
      <c r="Y102" s="18">
        <f t="shared" si="12"/>
        <v>350</v>
      </c>
      <c r="Z102" s="14">
        <f t="shared" si="190"/>
        <v>203</v>
      </c>
      <c r="AA102" s="18">
        <f t="shared" si="13"/>
        <v>350</v>
      </c>
      <c r="AB102" s="4" t="s">
        <v>0</v>
      </c>
    </row>
    <row r="103" spans="1:28">
      <c r="A103" s="9" t="s">
        <v>66</v>
      </c>
      <c r="B103" s="24"/>
      <c r="C103" s="4"/>
      <c r="D103" s="25">
        <f t="shared" ref="D103" si="226">D88</f>
        <v>231</v>
      </c>
      <c r="E103" s="29">
        <f t="shared" ref="E103" si="227">E102</f>
        <v>368</v>
      </c>
      <c r="F103" s="25">
        <f t="shared" ref="F103" si="228">F88</f>
        <v>258</v>
      </c>
      <c r="G103" s="29">
        <f t="shared" si="66"/>
        <v>400</v>
      </c>
      <c r="H103" s="4" t="s">
        <v>0</v>
      </c>
      <c r="I103" s="16" t="str">
        <f t="shared" si="0"/>
        <v>07-10</v>
      </c>
      <c r="J103" s="14">
        <f t="shared" si="2"/>
        <v>231</v>
      </c>
      <c r="K103" s="15">
        <f t="shared" si="2"/>
        <v>368</v>
      </c>
      <c r="L103" s="17">
        <f t="shared" si="3"/>
        <v>258</v>
      </c>
      <c r="M103" s="18">
        <f t="shared" si="4"/>
        <v>368</v>
      </c>
      <c r="N103" s="14">
        <f t="shared" si="5"/>
        <v>258</v>
      </c>
      <c r="O103" s="15">
        <f t="shared" si="5"/>
        <v>400</v>
      </c>
      <c r="P103" s="17">
        <f t="shared" si="6"/>
        <v>231</v>
      </c>
      <c r="Q103" s="18">
        <f t="shared" si="7"/>
        <v>400</v>
      </c>
      <c r="R103" s="4" t="s">
        <v>0</v>
      </c>
      <c r="S103" s="16" t="str">
        <f t="shared" si="8"/>
        <v>07-10</v>
      </c>
      <c r="T103" s="14">
        <f t="shared" si="9"/>
        <v>231</v>
      </c>
      <c r="U103" s="18">
        <f t="shared" si="10"/>
        <v>382</v>
      </c>
      <c r="V103" s="14">
        <f t="shared" si="188"/>
        <v>258</v>
      </c>
      <c r="W103" s="18">
        <f t="shared" si="11"/>
        <v>382</v>
      </c>
      <c r="X103" s="14">
        <f t="shared" si="189"/>
        <v>258</v>
      </c>
      <c r="Y103" s="18">
        <f t="shared" si="12"/>
        <v>350</v>
      </c>
      <c r="Z103" s="14">
        <f t="shared" si="190"/>
        <v>231</v>
      </c>
      <c r="AA103" s="18">
        <f t="shared" si="13"/>
        <v>350</v>
      </c>
      <c r="AB103" s="4" t="s">
        <v>0</v>
      </c>
    </row>
    <row r="104" spans="1:28">
      <c r="A104" s="9" t="s">
        <v>65</v>
      </c>
      <c r="B104" s="24"/>
      <c r="C104" s="4"/>
      <c r="D104" s="25">
        <f t="shared" ref="D104" si="229">D89</f>
        <v>258</v>
      </c>
      <c r="E104" s="29">
        <f t="shared" ref="E104" si="230">E103</f>
        <v>368</v>
      </c>
      <c r="F104" s="25">
        <f t="shared" ref="F104" si="231">F89</f>
        <v>285</v>
      </c>
      <c r="G104" s="29">
        <f t="shared" si="66"/>
        <v>400</v>
      </c>
      <c r="H104" s="4" t="s">
        <v>0</v>
      </c>
      <c r="I104" s="16" t="str">
        <f t="shared" si="0"/>
        <v>07-08</v>
      </c>
      <c r="J104" s="14">
        <f t="shared" si="2"/>
        <v>258</v>
      </c>
      <c r="K104" s="15">
        <f t="shared" si="2"/>
        <v>368</v>
      </c>
      <c r="L104" s="17">
        <f t="shared" si="3"/>
        <v>285</v>
      </c>
      <c r="M104" s="18">
        <f t="shared" si="4"/>
        <v>368</v>
      </c>
      <c r="N104" s="14">
        <f t="shared" si="5"/>
        <v>285</v>
      </c>
      <c r="O104" s="15">
        <f t="shared" si="5"/>
        <v>400</v>
      </c>
      <c r="P104" s="17">
        <f t="shared" si="6"/>
        <v>258</v>
      </c>
      <c r="Q104" s="18">
        <f t="shared" si="7"/>
        <v>400</v>
      </c>
      <c r="R104" s="4" t="s">
        <v>0</v>
      </c>
      <c r="S104" s="16" t="str">
        <f t="shared" si="8"/>
        <v>07-08</v>
      </c>
      <c r="T104" s="14">
        <f t="shared" si="9"/>
        <v>258</v>
      </c>
      <c r="U104" s="18">
        <f t="shared" si="10"/>
        <v>382</v>
      </c>
      <c r="V104" s="14">
        <f t="shared" si="188"/>
        <v>285</v>
      </c>
      <c r="W104" s="18">
        <f t="shared" si="11"/>
        <v>382</v>
      </c>
      <c r="X104" s="14">
        <f t="shared" si="189"/>
        <v>285</v>
      </c>
      <c r="Y104" s="18">
        <f t="shared" si="12"/>
        <v>350</v>
      </c>
      <c r="Z104" s="14">
        <f t="shared" si="190"/>
        <v>258</v>
      </c>
      <c r="AA104" s="18">
        <f t="shared" si="13"/>
        <v>350</v>
      </c>
      <c r="AB104" s="4" t="s">
        <v>0</v>
      </c>
    </row>
    <row r="105" spans="1:28">
      <c r="A105" s="9" t="s">
        <v>64</v>
      </c>
      <c r="B105" s="24"/>
      <c r="C105" s="4"/>
      <c r="D105" s="25">
        <f t="shared" ref="D105" si="232">D90</f>
        <v>286</v>
      </c>
      <c r="E105" s="29">
        <f t="shared" ref="E105" si="233">E104</f>
        <v>368</v>
      </c>
      <c r="F105" s="25">
        <f t="shared" ref="F105" si="234">F90</f>
        <v>313</v>
      </c>
      <c r="G105" s="29">
        <f t="shared" si="66"/>
        <v>400</v>
      </c>
      <c r="H105" s="4" t="s">
        <v>0</v>
      </c>
      <c r="I105" s="16" t="str">
        <f t="shared" si="0"/>
        <v>07-07</v>
      </c>
      <c r="J105" s="14">
        <f t="shared" si="2"/>
        <v>286</v>
      </c>
      <c r="K105" s="15">
        <f t="shared" si="2"/>
        <v>368</v>
      </c>
      <c r="L105" s="17">
        <f t="shared" si="3"/>
        <v>313</v>
      </c>
      <c r="M105" s="18">
        <f t="shared" si="4"/>
        <v>368</v>
      </c>
      <c r="N105" s="14">
        <f t="shared" si="5"/>
        <v>313</v>
      </c>
      <c r="O105" s="15">
        <f t="shared" si="5"/>
        <v>400</v>
      </c>
      <c r="P105" s="17">
        <f t="shared" si="6"/>
        <v>286</v>
      </c>
      <c r="Q105" s="18">
        <f t="shared" si="7"/>
        <v>400</v>
      </c>
      <c r="R105" s="4" t="s">
        <v>0</v>
      </c>
      <c r="S105" s="16" t="str">
        <f t="shared" si="8"/>
        <v>07-07</v>
      </c>
      <c r="T105" s="14">
        <f t="shared" si="9"/>
        <v>286</v>
      </c>
      <c r="U105" s="18">
        <f t="shared" si="10"/>
        <v>382</v>
      </c>
      <c r="V105" s="14">
        <f t="shared" si="188"/>
        <v>313</v>
      </c>
      <c r="W105" s="18">
        <f t="shared" si="11"/>
        <v>382</v>
      </c>
      <c r="X105" s="14">
        <f t="shared" si="189"/>
        <v>313</v>
      </c>
      <c r="Y105" s="18">
        <f t="shared" si="12"/>
        <v>350</v>
      </c>
      <c r="Z105" s="14">
        <f t="shared" si="190"/>
        <v>286</v>
      </c>
      <c r="AA105" s="18">
        <f t="shared" si="13"/>
        <v>350</v>
      </c>
      <c r="AB105" s="4" t="s">
        <v>0</v>
      </c>
    </row>
    <row r="106" spans="1:28">
      <c r="A106" s="9" t="s">
        <v>63</v>
      </c>
      <c r="B106" s="24"/>
      <c r="C106" s="4"/>
      <c r="D106" s="25">
        <f t="shared" ref="D106" si="235">D91</f>
        <v>313</v>
      </c>
      <c r="E106" s="29">
        <f t="shared" ref="E106" si="236">E105</f>
        <v>368</v>
      </c>
      <c r="F106" s="25">
        <f t="shared" ref="F106" si="237">F91</f>
        <v>341</v>
      </c>
      <c r="G106" s="29">
        <f t="shared" si="66"/>
        <v>400</v>
      </c>
      <c r="H106" s="4" t="s">
        <v>0</v>
      </c>
      <c r="I106" s="16" t="str">
        <f t="shared" si="0"/>
        <v>07-06</v>
      </c>
      <c r="J106" s="14">
        <f t="shared" si="2"/>
        <v>313</v>
      </c>
      <c r="K106" s="15">
        <f t="shared" si="2"/>
        <v>368</v>
      </c>
      <c r="L106" s="17">
        <f t="shared" si="3"/>
        <v>341</v>
      </c>
      <c r="M106" s="18">
        <f t="shared" si="4"/>
        <v>368</v>
      </c>
      <c r="N106" s="14">
        <f t="shared" si="5"/>
        <v>341</v>
      </c>
      <c r="O106" s="15">
        <f t="shared" si="5"/>
        <v>400</v>
      </c>
      <c r="P106" s="17">
        <f t="shared" si="6"/>
        <v>313</v>
      </c>
      <c r="Q106" s="18">
        <f t="shared" si="7"/>
        <v>400</v>
      </c>
      <c r="R106" s="4" t="s">
        <v>0</v>
      </c>
      <c r="S106" s="16" t="str">
        <f t="shared" si="8"/>
        <v>07-06</v>
      </c>
      <c r="T106" s="14">
        <f t="shared" si="9"/>
        <v>313</v>
      </c>
      <c r="U106" s="18">
        <f t="shared" si="10"/>
        <v>382</v>
      </c>
      <c r="V106" s="14">
        <f t="shared" si="188"/>
        <v>341</v>
      </c>
      <c r="W106" s="18">
        <f t="shared" si="11"/>
        <v>382</v>
      </c>
      <c r="X106" s="14">
        <f t="shared" si="189"/>
        <v>341</v>
      </c>
      <c r="Y106" s="18">
        <f t="shared" si="12"/>
        <v>350</v>
      </c>
      <c r="Z106" s="14">
        <f t="shared" si="190"/>
        <v>313</v>
      </c>
      <c r="AA106" s="18">
        <f t="shared" si="13"/>
        <v>350</v>
      </c>
      <c r="AB106" s="4" t="s">
        <v>0</v>
      </c>
    </row>
    <row r="107" spans="1:28">
      <c r="A107" s="9" t="s">
        <v>62</v>
      </c>
      <c r="B107" s="24"/>
      <c r="C107" s="4"/>
      <c r="D107" s="25">
        <f t="shared" ref="D107" si="238">D92</f>
        <v>341</v>
      </c>
      <c r="E107" s="29">
        <f t="shared" ref="E107" si="239">E106</f>
        <v>368</v>
      </c>
      <c r="F107" s="25">
        <f t="shared" ref="F107" si="240">F92</f>
        <v>369</v>
      </c>
      <c r="G107" s="29">
        <f t="shared" si="66"/>
        <v>400</v>
      </c>
      <c r="H107" s="4" t="s">
        <v>0</v>
      </c>
      <c r="I107" s="16" t="str">
        <f t="shared" si="0"/>
        <v>07-05</v>
      </c>
      <c r="J107" s="14">
        <f t="shared" si="2"/>
        <v>341</v>
      </c>
      <c r="K107" s="15">
        <f t="shared" si="2"/>
        <v>368</v>
      </c>
      <c r="L107" s="17">
        <f t="shared" si="3"/>
        <v>369</v>
      </c>
      <c r="M107" s="18">
        <f t="shared" si="4"/>
        <v>368</v>
      </c>
      <c r="N107" s="14">
        <f t="shared" si="5"/>
        <v>369</v>
      </c>
      <c r="O107" s="15">
        <f t="shared" si="5"/>
        <v>400</v>
      </c>
      <c r="P107" s="17">
        <f t="shared" si="6"/>
        <v>341</v>
      </c>
      <c r="Q107" s="18">
        <f t="shared" si="7"/>
        <v>400</v>
      </c>
      <c r="R107" s="4" t="s">
        <v>0</v>
      </c>
      <c r="S107" s="16" t="str">
        <f t="shared" si="8"/>
        <v>07-05</v>
      </c>
      <c r="T107" s="14">
        <f t="shared" si="9"/>
        <v>341</v>
      </c>
      <c r="U107" s="18">
        <f t="shared" si="10"/>
        <v>382</v>
      </c>
      <c r="V107" s="14">
        <f t="shared" si="188"/>
        <v>369</v>
      </c>
      <c r="W107" s="18">
        <f t="shared" si="11"/>
        <v>382</v>
      </c>
      <c r="X107" s="14">
        <f t="shared" si="189"/>
        <v>369</v>
      </c>
      <c r="Y107" s="18">
        <f t="shared" si="12"/>
        <v>350</v>
      </c>
      <c r="Z107" s="14">
        <f t="shared" si="190"/>
        <v>341</v>
      </c>
      <c r="AA107" s="18">
        <f t="shared" si="13"/>
        <v>350</v>
      </c>
      <c r="AB107" s="4" t="s">
        <v>0</v>
      </c>
    </row>
    <row r="108" spans="1:28">
      <c r="A108" s="9" t="s">
        <v>3</v>
      </c>
      <c r="B108" s="24"/>
      <c r="C108" s="4"/>
      <c r="D108" s="25">
        <f t="shared" ref="D108" si="241">D93</f>
        <v>369</v>
      </c>
      <c r="E108" s="29">
        <f t="shared" ref="E108" si="242">E107</f>
        <v>368</v>
      </c>
      <c r="F108" s="25">
        <f t="shared" ref="F108" si="243">F93</f>
        <v>397</v>
      </c>
      <c r="G108" s="29">
        <f t="shared" si="66"/>
        <v>400</v>
      </c>
      <c r="H108" s="4" t="s">
        <v>0</v>
      </c>
      <c r="I108" s="16" t="str">
        <f t="shared" si="0"/>
        <v>07-03</v>
      </c>
      <c r="J108" s="14">
        <f t="shared" si="2"/>
        <v>369</v>
      </c>
      <c r="K108" s="15">
        <f t="shared" si="2"/>
        <v>368</v>
      </c>
      <c r="L108" s="17">
        <f t="shared" si="3"/>
        <v>397</v>
      </c>
      <c r="M108" s="18">
        <f t="shared" si="4"/>
        <v>368</v>
      </c>
      <c r="N108" s="14">
        <f t="shared" si="5"/>
        <v>397</v>
      </c>
      <c r="O108" s="15">
        <f t="shared" si="5"/>
        <v>400</v>
      </c>
      <c r="P108" s="17">
        <f t="shared" si="6"/>
        <v>369</v>
      </c>
      <c r="Q108" s="18">
        <f t="shared" si="7"/>
        <v>400</v>
      </c>
      <c r="R108" s="4" t="s">
        <v>0</v>
      </c>
      <c r="S108" s="16" t="str">
        <f t="shared" si="8"/>
        <v>07-03</v>
      </c>
      <c r="T108" s="14">
        <f t="shared" si="9"/>
        <v>369</v>
      </c>
      <c r="U108" s="18">
        <f t="shared" si="10"/>
        <v>382</v>
      </c>
      <c r="V108" s="14">
        <f t="shared" si="188"/>
        <v>397</v>
      </c>
      <c r="W108" s="18">
        <f t="shared" si="11"/>
        <v>382</v>
      </c>
      <c r="X108" s="14">
        <f t="shared" si="189"/>
        <v>397</v>
      </c>
      <c r="Y108" s="18">
        <f t="shared" si="12"/>
        <v>350</v>
      </c>
      <c r="Z108" s="14">
        <f t="shared" si="190"/>
        <v>369</v>
      </c>
      <c r="AA108" s="18">
        <f t="shared" si="13"/>
        <v>350</v>
      </c>
      <c r="AB108" s="4" t="s">
        <v>0</v>
      </c>
    </row>
    <row r="109" spans="1:28">
      <c r="A109" s="9" t="s">
        <v>61</v>
      </c>
      <c r="B109" s="24"/>
      <c r="C109" s="4"/>
      <c r="D109" s="25">
        <f t="shared" ref="D109" si="244">D94</f>
        <v>396</v>
      </c>
      <c r="E109" s="29">
        <f t="shared" ref="E109" si="245">E108</f>
        <v>368</v>
      </c>
      <c r="F109" s="25">
        <f t="shared" ref="F109" si="246">F94</f>
        <v>424</v>
      </c>
      <c r="G109" s="29">
        <f t="shared" si="66"/>
        <v>400</v>
      </c>
      <c r="H109" s="4" t="s">
        <v>0</v>
      </c>
      <c r="I109" s="16" t="str">
        <f t="shared" si="0"/>
        <v>07-02</v>
      </c>
      <c r="J109" s="14">
        <f t="shared" si="2"/>
        <v>396</v>
      </c>
      <c r="K109" s="15">
        <f t="shared" si="2"/>
        <v>368</v>
      </c>
      <c r="L109" s="17">
        <f t="shared" si="3"/>
        <v>424</v>
      </c>
      <c r="M109" s="18">
        <f t="shared" si="4"/>
        <v>368</v>
      </c>
      <c r="N109" s="14">
        <f t="shared" si="5"/>
        <v>424</v>
      </c>
      <c r="O109" s="15">
        <f t="shared" si="5"/>
        <v>400</v>
      </c>
      <c r="P109" s="17">
        <f t="shared" si="6"/>
        <v>396</v>
      </c>
      <c r="Q109" s="18">
        <f t="shared" si="7"/>
        <v>400</v>
      </c>
      <c r="R109" s="4" t="s">
        <v>0</v>
      </c>
      <c r="S109" s="16" t="str">
        <f t="shared" si="8"/>
        <v>07-02</v>
      </c>
      <c r="T109" s="14">
        <f t="shared" si="9"/>
        <v>396</v>
      </c>
      <c r="U109" s="18">
        <f t="shared" si="10"/>
        <v>382</v>
      </c>
      <c r="V109" s="14">
        <f t="shared" si="188"/>
        <v>424</v>
      </c>
      <c r="W109" s="18">
        <f t="shared" si="11"/>
        <v>382</v>
      </c>
      <c r="X109" s="14">
        <f t="shared" si="189"/>
        <v>424</v>
      </c>
      <c r="Y109" s="18">
        <f t="shared" si="12"/>
        <v>350</v>
      </c>
      <c r="Z109" s="14">
        <f t="shared" si="190"/>
        <v>396</v>
      </c>
      <c r="AA109" s="18">
        <f t="shared" si="13"/>
        <v>350</v>
      </c>
      <c r="AB109" s="4" t="s">
        <v>0</v>
      </c>
    </row>
    <row r="110" spans="1:28">
      <c r="A110" s="9" t="s">
        <v>60</v>
      </c>
      <c r="B110" s="24"/>
      <c r="C110" s="4"/>
      <c r="D110" s="25">
        <f t="shared" ref="D110" si="247">D95</f>
        <v>424</v>
      </c>
      <c r="E110" s="29">
        <f t="shared" ref="E110" si="248">E109</f>
        <v>368</v>
      </c>
      <c r="F110" s="25">
        <f t="shared" ref="F110" si="249">F95</f>
        <v>452</v>
      </c>
      <c r="G110" s="29">
        <f t="shared" si="66"/>
        <v>400</v>
      </c>
      <c r="H110" s="4" t="s">
        <v>0</v>
      </c>
      <c r="I110" s="16" t="str">
        <f t="shared" si="0"/>
        <v>07-01</v>
      </c>
      <c r="J110" s="14">
        <f t="shared" si="2"/>
        <v>424</v>
      </c>
      <c r="K110" s="15">
        <f t="shared" si="2"/>
        <v>368</v>
      </c>
      <c r="L110" s="17">
        <f t="shared" si="3"/>
        <v>452</v>
      </c>
      <c r="M110" s="18">
        <f t="shared" si="4"/>
        <v>368</v>
      </c>
      <c r="N110" s="14">
        <f t="shared" si="5"/>
        <v>452</v>
      </c>
      <c r="O110" s="15">
        <f t="shared" si="5"/>
        <v>400</v>
      </c>
      <c r="P110" s="17">
        <f t="shared" si="6"/>
        <v>424</v>
      </c>
      <c r="Q110" s="18">
        <f t="shared" si="7"/>
        <v>400</v>
      </c>
      <c r="R110" s="4" t="s">
        <v>0</v>
      </c>
      <c r="S110" s="16" t="str">
        <f t="shared" si="8"/>
        <v>07-01</v>
      </c>
      <c r="T110" s="14">
        <f t="shared" si="9"/>
        <v>424</v>
      </c>
      <c r="U110" s="18">
        <f t="shared" si="10"/>
        <v>382</v>
      </c>
      <c r="V110" s="14">
        <f t="shared" si="188"/>
        <v>452</v>
      </c>
      <c r="W110" s="18">
        <f t="shared" si="11"/>
        <v>382</v>
      </c>
      <c r="X110" s="14">
        <f t="shared" si="189"/>
        <v>452</v>
      </c>
      <c r="Y110" s="18">
        <f t="shared" si="12"/>
        <v>350</v>
      </c>
      <c r="Z110" s="14">
        <f t="shared" si="190"/>
        <v>424</v>
      </c>
      <c r="AA110" s="18">
        <f t="shared" si="13"/>
        <v>350</v>
      </c>
      <c r="AB110" s="4" t="s">
        <v>0</v>
      </c>
    </row>
    <row r="111" spans="1:28">
      <c r="A111" s="9" t="s">
        <v>170</v>
      </c>
      <c r="B111" s="24"/>
      <c r="C111" s="26">
        <v>6</v>
      </c>
      <c r="D111" s="25">
        <f t="shared" ref="D111" si="250">D96</f>
        <v>39</v>
      </c>
      <c r="E111" s="28">
        <f t="shared" ref="E111" si="251">ROUND(E$21+41.2*$C111, 0)</f>
        <v>409</v>
      </c>
      <c r="F111" s="25">
        <f t="shared" ref="F111" si="252">F96</f>
        <v>66</v>
      </c>
      <c r="G111" s="28">
        <f t="shared" ref="G111" si="253">ROUND(G$21+41.2*$C111, 0)</f>
        <v>441</v>
      </c>
      <c r="H111" s="4" t="s">
        <v>0</v>
      </c>
      <c r="I111" s="16" t="str">
        <f t="shared" si="0"/>
        <v>06-18</v>
      </c>
      <c r="J111" s="14">
        <f t="shared" si="2"/>
        <v>39</v>
      </c>
      <c r="K111" s="15">
        <f t="shared" si="2"/>
        <v>409</v>
      </c>
      <c r="L111" s="17">
        <f t="shared" si="3"/>
        <v>66</v>
      </c>
      <c r="M111" s="18">
        <f t="shared" si="4"/>
        <v>409</v>
      </c>
      <c r="N111" s="14">
        <f t="shared" si="5"/>
        <v>66</v>
      </c>
      <c r="O111" s="15">
        <f t="shared" si="5"/>
        <v>441</v>
      </c>
      <c r="P111" s="17">
        <f t="shared" si="6"/>
        <v>39</v>
      </c>
      <c r="Q111" s="18">
        <f t="shared" si="7"/>
        <v>441</v>
      </c>
      <c r="R111" s="4" t="s">
        <v>0</v>
      </c>
      <c r="S111" s="16" t="str">
        <f t="shared" si="8"/>
        <v>06-18</v>
      </c>
      <c r="T111" s="14">
        <f t="shared" si="9"/>
        <v>39</v>
      </c>
      <c r="U111" s="18">
        <f t="shared" si="10"/>
        <v>341</v>
      </c>
      <c r="V111" s="14">
        <f t="shared" si="188"/>
        <v>66</v>
      </c>
      <c r="W111" s="18">
        <f t="shared" si="11"/>
        <v>341</v>
      </c>
      <c r="X111" s="14">
        <f t="shared" si="189"/>
        <v>66</v>
      </c>
      <c r="Y111" s="18">
        <f t="shared" si="12"/>
        <v>309</v>
      </c>
      <c r="Z111" s="14">
        <f t="shared" si="190"/>
        <v>39</v>
      </c>
      <c r="AA111" s="18">
        <f t="shared" si="13"/>
        <v>309</v>
      </c>
      <c r="AB111" s="4" t="s">
        <v>0</v>
      </c>
    </row>
    <row r="112" spans="1:28">
      <c r="A112" s="9" t="s">
        <v>137</v>
      </c>
      <c r="B112" s="24"/>
      <c r="C112" s="26"/>
      <c r="D112" s="25">
        <f t="shared" ref="D112" si="254">D97</f>
        <v>66</v>
      </c>
      <c r="E112" s="29">
        <f t="shared" ref="E112" si="255">E111</f>
        <v>409</v>
      </c>
      <c r="F112" s="25">
        <f t="shared" ref="F112" si="256">F97</f>
        <v>93</v>
      </c>
      <c r="G112" s="29">
        <f t="shared" ref="G112" si="257">G111</f>
        <v>441</v>
      </c>
      <c r="H112" s="4" t="s">
        <v>0</v>
      </c>
      <c r="I112" s="16" t="str">
        <f t="shared" si="0"/>
        <v>06-17</v>
      </c>
      <c r="J112" s="14">
        <f t="shared" si="2"/>
        <v>66</v>
      </c>
      <c r="K112" s="15">
        <f t="shared" si="2"/>
        <v>409</v>
      </c>
      <c r="L112" s="17">
        <f t="shared" si="3"/>
        <v>93</v>
      </c>
      <c r="M112" s="18">
        <f t="shared" si="4"/>
        <v>409</v>
      </c>
      <c r="N112" s="14">
        <f t="shared" si="5"/>
        <v>93</v>
      </c>
      <c r="O112" s="15">
        <f t="shared" si="5"/>
        <v>441</v>
      </c>
      <c r="P112" s="17">
        <f t="shared" si="6"/>
        <v>66</v>
      </c>
      <c r="Q112" s="18">
        <f t="shared" si="7"/>
        <v>441</v>
      </c>
      <c r="R112" s="4" t="s">
        <v>0</v>
      </c>
      <c r="S112" s="16" t="str">
        <f t="shared" si="8"/>
        <v>06-17</v>
      </c>
      <c r="T112" s="14">
        <f t="shared" si="9"/>
        <v>66</v>
      </c>
      <c r="U112" s="18">
        <f t="shared" si="10"/>
        <v>341</v>
      </c>
      <c r="V112" s="14">
        <f t="shared" si="188"/>
        <v>93</v>
      </c>
      <c r="W112" s="18">
        <f t="shared" si="11"/>
        <v>341</v>
      </c>
      <c r="X112" s="14">
        <f t="shared" si="189"/>
        <v>93</v>
      </c>
      <c r="Y112" s="18">
        <f t="shared" si="12"/>
        <v>309</v>
      </c>
      <c r="Z112" s="14">
        <f t="shared" si="190"/>
        <v>66</v>
      </c>
      <c r="AA112" s="18">
        <f t="shared" si="13"/>
        <v>309</v>
      </c>
      <c r="AB112" s="4" t="s">
        <v>0</v>
      </c>
    </row>
    <row r="113" spans="1:28">
      <c r="A113" s="9" t="s">
        <v>169</v>
      </c>
      <c r="B113" s="24"/>
      <c r="C113" s="4"/>
      <c r="D113" s="25">
        <f t="shared" ref="D113" si="258">D98</f>
        <v>94</v>
      </c>
      <c r="E113" s="29">
        <f t="shared" ref="E113" si="259">E112</f>
        <v>409</v>
      </c>
      <c r="F113" s="25">
        <f t="shared" ref="F113" si="260">F98</f>
        <v>121</v>
      </c>
      <c r="G113" s="29">
        <f t="shared" si="66"/>
        <v>441</v>
      </c>
      <c r="H113" s="4" t="s">
        <v>0</v>
      </c>
      <c r="I113" s="16" t="str">
        <f t="shared" si="0"/>
        <v>06-16</v>
      </c>
      <c r="J113" s="14">
        <f t="shared" si="2"/>
        <v>94</v>
      </c>
      <c r="K113" s="15">
        <f t="shared" si="2"/>
        <v>409</v>
      </c>
      <c r="L113" s="17">
        <f t="shared" si="3"/>
        <v>121</v>
      </c>
      <c r="M113" s="18">
        <f t="shared" si="4"/>
        <v>409</v>
      </c>
      <c r="N113" s="14">
        <f t="shared" si="5"/>
        <v>121</v>
      </c>
      <c r="O113" s="15">
        <f t="shared" si="5"/>
        <v>441</v>
      </c>
      <c r="P113" s="17">
        <f t="shared" si="6"/>
        <v>94</v>
      </c>
      <c r="Q113" s="18">
        <f t="shared" si="7"/>
        <v>441</v>
      </c>
      <c r="R113" s="4" t="s">
        <v>0</v>
      </c>
      <c r="S113" s="16" t="str">
        <f t="shared" si="8"/>
        <v>06-16</v>
      </c>
      <c r="T113" s="14">
        <f t="shared" si="9"/>
        <v>94</v>
      </c>
      <c r="U113" s="18">
        <f t="shared" si="10"/>
        <v>341</v>
      </c>
      <c r="V113" s="14">
        <f t="shared" si="188"/>
        <v>121</v>
      </c>
      <c r="W113" s="18">
        <f t="shared" si="11"/>
        <v>341</v>
      </c>
      <c r="X113" s="14">
        <f t="shared" si="189"/>
        <v>121</v>
      </c>
      <c r="Y113" s="18">
        <f t="shared" si="12"/>
        <v>309</v>
      </c>
      <c r="Z113" s="14">
        <f t="shared" si="190"/>
        <v>94</v>
      </c>
      <c r="AA113" s="18">
        <f t="shared" si="13"/>
        <v>309</v>
      </c>
      <c r="AB113" s="4" t="s">
        <v>0</v>
      </c>
    </row>
    <row r="114" spans="1:28">
      <c r="A114" s="9" t="s">
        <v>168</v>
      </c>
      <c r="B114" s="24"/>
      <c r="C114" s="4"/>
      <c r="D114" s="25">
        <f t="shared" ref="D114" si="261">D99</f>
        <v>121</v>
      </c>
      <c r="E114" s="29">
        <f t="shared" ref="E114" si="262">E113</f>
        <v>409</v>
      </c>
      <c r="F114" s="25">
        <f t="shared" ref="F114" si="263">F99</f>
        <v>148</v>
      </c>
      <c r="G114" s="29">
        <f t="shared" si="66"/>
        <v>441</v>
      </c>
      <c r="H114" s="4" t="s">
        <v>0</v>
      </c>
      <c r="I114" s="16" t="str">
        <f t="shared" si="0"/>
        <v>06-15</v>
      </c>
      <c r="J114" s="14">
        <f t="shared" si="2"/>
        <v>121</v>
      </c>
      <c r="K114" s="15">
        <f t="shared" si="2"/>
        <v>409</v>
      </c>
      <c r="L114" s="17">
        <f t="shared" si="3"/>
        <v>148</v>
      </c>
      <c r="M114" s="18">
        <f t="shared" si="4"/>
        <v>409</v>
      </c>
      <c r="N114" s="14">
        <f t="shared" si="5"/>
        <v>148</v>
      </c>
      <c r="O114" s="15">
        <f t="shared" si="5"/>
        <v>441</v>
      </c>
      <c r="P114" s="17">
        <f t="shared" si="6"/>
        <v>121</v>
      </c>
      <c r="Q114" s="18">
        <f t="shared" si="7"/>
        <v>441</v>
      </c>
      <c r="R114" s="4" t="s">
        <v>0</v>
      </c>
      <c r="S114" s="16" t="str">
        <f t="shared" si="8"/>
        <v>06-15</v>
      </c>
      <c r="T114" s="14">
        <f t="shared" si="9"/>
        <v>121</v>
      </c>
      <c r="U114" s="18">
        <f t="shared" si="10"/>
        <v>341</v>
      </c>
      <c r="V114" s="14">
        <f t="shared" si="188"/>
        <v>148</v>
      </c>
      <c r="W114" s="18">
        <f t="shared" si="11"/>
        <v>341</v>
      </c>
      <c r="X114" s="14">
        <f t="shared" si="189"/>
        <v>148</v>
      </c>
      <c r="Y114" s="18">
        <f t="shared" si="12"/>
        <v>309</v>
      </c>
      <c r="Z114" s="14">
        <f t="shared" si="190"/>
        <v>121</v>
      </c>
      <c r="AA114" s="18">
        <f t="shared" si="13"/>
        <v>309</v>
      </c>
      <c r="AB114" s="4" t="s">
        <v>0</v>
      </c>
    </row>
    <row r="115" spans="1:28">
      <c r="A115" s="9" t="s">
        <v>167</v>
      </c>
      <c r="B115" s="24"/>
      <c r="C115" s="4"/>
      <c r="D115" s="25">
        <f t="shared" ref="D115" si="264">D100</f>
        <v>149</v>
      </c>
      <c r="E115" s="29">
        <f t="shared" ref="E115" si="265">E114</f>
        <v>409</v>
      </c>
      <c r="F115" s="25">
        <f t="shared" ref="F115" si="266">F100</f>
        <v>176</v>
      </c>
      <c r="G115" s="29">
        <f t="shared" si="66"/>
        <v>441</v>
      </c>
      <c r="H115" s="4" t="s">
        <v>0</v>
      </c>
      <c r="I115" s="16" t="str">
        <f t="shared" si="0"/>
        <v>06-13</v>
      </c>
      <c r="J115" s="14">
        <f t="shared" si="2"/>
        <v>149</v>
      </c>
      <c r="K115" s="15">
        <f t="shared" si="2"/>
        <v>409</v>
      </c>
      <c r="L115" s="17">
        <f t="shared" si="3"/>
        <v>176</v>
      </c>
      <c r="M115" s="18">
        <f t="shared" si="4"/>
        <v>409</v>
      </c>
      <c r="N115" s="14">
        <f t="shared" si="5"/>
        <v>176</v>
      </c>
      <c r="O115" s="15">
        <f t="shared" si="5"/>
        <v>441</v>
      </c>
      <c r="P115" s="17">
        <f t="shared" si="6"/>
        <v>149</v>
      </c>
      <c r="Q115" s="18">
        <f t="shared" si="7"/>
        <v>441</v>
      </c>
      <c r="R115" s="4" t="s">
        <v>0</v>
      </c>
      <c r="S115" s="16" t="str">
        <f t="shared" si="8"/>
        <v>06-13</v>
      </c>
      <c r="T115" s="14">
        <f t="shared" si="9"/>
        <v>149</v>
      </c>
      <c r="U115" s="18">
        <f t="shared" si="10"/>
        <v>341</v>
      </c>
      <c r="V115" s="14">
        <f t="shared" si="188"/>
        <v>176</v>
      </c>
      <c r="W115" s="18">
        <f t="shared" si="11"/>
        <v>341</v>
      </c>
      <c r="X115" s="14">
        <f t="shared" si="189"/>
        <v>176</v>
      </c>
      <c r="Y115" s="18">
        <f t="shared" si="12"/>
        <v>309</v>
      </c>
      <c r="Z115" s="14">
        <f t="shared" si="190"/>
        <v>149</v>
      </c>
      <c r="AA115" s="18">
        <f t="shared" si="13"/>
        <v>309</v>
      </c>
      <c r="AB115" s="4" t="s">
        <v>0</v>
      </c>
    </row>
    <row r="116" spans="1:28">
      <c r="A116" s="9" t="s">
        <v>59</v>
      </c>
      <c r="B116" s="24"/>
      <c r="C116" s="4"/>
      <c r="D116" s="25">
        <f t="shared" ref="D116" si="267">D101</f>
        <v>176</v>
      </c>
      <c r="E116" s="29">
        <f t="shared" ref="E116" si="268">E115</f>
        <v>409</v>
      </c>
      <c r="F116" s="25">
        <f t="shared" ref="F116" si="269">F101</f>
        <v>203</v>
      </c>
      <c r="G116" s="29">
        <f t="shared" ref="G116:G170" si="270">G115</f>
        <v>441</v>
      </c>
      <c r="H116" s="4" t="s">
        <v>0</v>
      </c>
      <c r="I116" s="16" t="str">
        <f t="shared" si="0"/>
        <v>06-12</v>
      </c>
      <c r="J116" s="14">
        <f t="shared" si="2"/>
        <v>176</v>
      </c>
      <c r="K116" s="15">
        <f t="shared" si="2"/>
        <v>409</v>
      </c>
      <c r="L116" s="17">
        <f t="shared" si="3"/>
        <v>203</v>
      </c>
      <c r="M116" s="18">
        <f t="shared" si="4"/>
        <v>409</v>
      </c>
      <c r="N116" s="14">
        <f t="shared" si="5"/>
        <v>203</v>
      </c>
      <c r="O116" s="15">
        <f t="shared" si="5"/>
        <v>441</v>
      </c>
      <c r="P116" s="17">
        <f t="shared" si="6"/>
        <v>176</v>
      </c>
      <c r="Q116" s="18">
        <f t="shared" si="7"/>
        <v>441</v>
      </c>
      <c r="R116" s="4" t="s">
        <v>0</v>
      </c>
      <c r="S116" s="16" t="str">
        <f t="shared" si="8"/>
        <v>06-12</v>
      </c>
      <c r="T116" s="14">
        <f t="shared" si="9"/>
        <v>176</v>
      </c>
      <c r="U116" s="18">
        <f t="shared" si="10"/>
        <v>341</v>
      </c>
      <c r="V116" s="14">
        <f t="shared" si="188"/>
        <v>203</v>
      </c>
      <c r="W116" s="18">
        <f t="shared" si="11"/>
        <v>341</v>
      </c>
      <c r="X116" s="14">
        <f t="shared" si="189"/>
        <v>203</v>
      </c>
      <c r="Y116" s="18">
        <f t="shared" si="12"/>
        <v>309</v>
      </c>
      <c r="Z116" s="14">
        <f t="shared" si="190"/>
        <v>176</v>
      </c>
      <c r="AA116" s="18">
        <f t="shared" si="13"/>
        <v>309</v>
      </c>
      <c r="AB116" s="4" t="s">
        <v>0</v>
      </c>
    </row>
    <row r="117" spans="1:28">
      <c r="A117" s="9" t="s">
        <v>58</v>
      </c>
      <c r="B117" s="24"/>
      <c r="C117" s="4"/>
      <c r="D117" s="25">
        <f t="shared" ref="D117" si="271">D102</f>
        <v>203</v>
      </c>
      <c r="E117" s="29">
        <f t="shared" ref="E117" si="272">E116</f>
        <v>409</v>
      </c>
      <c r="F117" s="25">
        <f t="shared" ref="F117" si="273">F102</f>
        <v>230</v>
      </c>
      <c r="G117" s="29">
        <f t="shared" si="270"/>
        <v>441</v>
      </c>
      <c r="H117" s="4" t="s">
        <v>0</v>
      </c>
      <c r="I117" s="16" t="str">
        <f t="shared" si="0"/>
        <v>06-11</v>
      </c>
      <c r="J117" s="14">
        <f t="shared" si="2"/>
        <v>203</v>
      </c>
      <c r="K117" s="15">
        <f t="shared" si="2"/>
        <v>409</v>
      </c>
      <c r="L117" s="17">
        <f t="shared" si="3"/>
        <v>230</v>
      </c>
      <c r="M117" s="18">
        <f t="shared" si="4"/>
        <v>409</v>
      </c>
      <c r="N117" s="14">
        <f t="shared" si="5"/>
        <v>230</v>
      </c>
      <c r="O117" s="15">
        <f t="shared" si="5"/>
        <v>441</v>
      </c>
      <c r="P117" s="17">
        <f t="shared" si="6"/>
        <v>203</v>
      </c>
      <c r="Q117" s="18">
        <f t="shared" si="7"/>
        <v>441</v>
      </c>
      <c r="R117" s="4" t="s">
        <v>0</v>
      </c>
      <c r="S117" s="16" t="str">
        <f t="shared" si="8"/>
        <v>06-11</v>
      </c>
      <c r="T117" s="14">
        <f t="shared" si="9"/>
        <v>203</v>
      </c>
      <c r="U117" s="18">
        <f t="shared" si="10"/>
        <v>341</v>
      </c>
      <c r="V117" s="14">
        <f t="shared" si="188"/>
        <v>230</v>
      </c>
      <c r="W117" s="18">
        <f t="shared" si="11"/>
        <v>341</v>
      </c>
      <c r="X117" s="14">
        <f t="shared" si="189"/>
        <v>230</v>
      </c>
      <c r="Y117" s="18">
        <f t="shared" si="12"/>
        <v>309</v>
      </c>
      <c r="Z117" s="14">
        <f t="shared" si="190"/>
        <v>203</v>
      </c>
      <c r="AA117" s="18">
        <f t="shared" si="13"/>
        <v>309</v>
      </c>
      <c r="AB117" s="4" t="s">
        <v>0</v>
      </c>
    </row>
    <row r="118" spans="1:28">
      <c r="A118" s="9" t="s">
        <v>57</v>
      </c>
      <c r="B118" s="24"/>
      <c r="C118" s="4"/>
      <c r="D118" s="25">
        <f t="shared" ref="D118" si="274">D103</f>
        <v>231</v>
      </c>
      <c r="E118" s="29">
        <f t="shared" ref="E118" si="275">E117</f>
        <v>409</v>
      </c>
      <c r="F118" s="25">
        <f t="shared" ref="F118" si="276">F103</f>
        <v>258</v>
      </c>
      <c r="G118" s="29">
        <f t="shared" si="270"/>
        <v>441</v>
      </c>
      <c r="H118" s="4" t="s">
        <v>0</v>
      </c>
      <c r="I118" s="16" t="str">
        <f t="shared" si="0"/>
        <v>06-10</v>
      </c>
      <c r="J118" s="14">
        <f t="shared" si="2"/>
        <v>231</v>
      </c>
      <c r="K118" s="15">
        <f t="shared" si="2"/>
        <v>409</v>
      </c>
      <c r="L118" s="17">
        <f t="shared" si="3"/>
        <v>258</v>
      </c>
      <c r="M118" s="18">
        <f t="shared" si="4"/>
        <v>409</v>
      </c>
      <c r="N118" s="14">
        <f t="shared" si="5"/>
        <v>258</v>
      </c>
      <c r="O118" s="15">
        <f t="shared" si="5"/>
        <v>441</v>
      </c>
      <c r="P118" s="17">
        <f t="shared" si="6"/>
        <v>231</v>
      </c>
      <c r="Q118" s="18">
        <f t="shared" si="7"/>
        <v>441</v>
      </c>
      <c r="R118" s="4" t="s">
        <v>0</v>
      </c>
      <c r="S118" s="16" t="str">
        <f t="shared" si="8"/>
        <v>06-10</v>
      </c>
      <c r="T118" s="14">
        <f t="shared" si="9"/>
        <v>231</v>
      </c>
      <c r="U118" s="18">
        <f t="shared" si="10"/>
        <v>341</v>
      </c>
      <c r="V118" s="14">
        <f t="shared" si="188"/>
        <v>258</v>
      </c>
      <c r="W118" s="18">
        <f t="shared" si="11"/>
        <v>341</v>
      </c>
      <c r="X118" s="14">
        <f t="shared" si="189"/>
        <v>258</v>
      </c>
      <c r="Y118" s="18">
        <f t="shared" si="12"/>
        <v>309</v>
      </c>
      <c r="Z118" s="14">
        <f t="shared" si="190"/>
        <v>231</v>
      </c>
      <c r="AA118" s="18">
        <f t="shared" si="13"/>
        <v>309</v>
      </c>
      <c r="AB118" s="4" t="s">
        <v>0</v>
      </c>
    </row>
    <row r="119" spans="1:28">
      <c r="A119" s="9" t="s">
        <v>56</v>
      </c>
      <c r="B119" s="24"/>
      <c r="C119" s="4"/>
      <c r="D119" s="25">
        <f t="shared" ref="D119" si="277">D104</f>
        <v>258</v>
      </c>
      <c r="E119" s="29">
        <f t="shared" ref="E119" si="278">E118</f>
        <v>409</v>
      </c>
      <c r="F119" s="25">
        <f t="shared" ref="F119" si="279">F104</f>
        <v>285</v>
      </c>
      <c r="G119" s="29">
        <f t="shared" si="270"/>
        <v>441</v>
      </c>
      <c r="H119" s="4" t="s">
        <v>0</v>
      </c>
      <c r="I119" s="16" t="str">
        <f t="shared" si="0"/>
        <v>06-08</v>
      </c>
      <c r="J119" s="14">
        <f t="shared" si="2"/>
        <v>258</v>
      </c>
      <c r="K119" s="15">
        <f t="shared" si="2"/>
        <v>409</v>
      </c>
      <c r="L119" s="17">
        <f t="shared" si="3"/>
        <v>285</v>
      </c>
      <c r="M119" s="18">
        <f t="shared" si="4"/>
        <v>409</v>
      </c>
      <c r="N119" s="14">
        <f t="shared" si="5"/>
        <v>285</v>
      </c>
      <c r="O119" s="15">
        <f t="shared" si="5"/>
        <v>441</v>
      </c>
      <c r="P119" s="17">
        <f t="shared" si="6"/>
        <v>258</v>
      </c>
      <c r="Q119" s="18">
        <f t="shared" si="7"/>
        <v>441</v>
      </c>
      <c r="R119" s="4" t="s">
        <v>0</v>
      </c>
      <c r="S119" s="16" t="str">
        <f t="shared" si="8"/>
        <v>06-08</v>
      </c>
      <c r="T119" s="14">
        <f t="shared" si="9"/>
        <v>258</v>
      </c>
      <c r="U119" s="18">
        <f t="shared" si="10"/>
        <v>341</v>
      </c>
      <c r="V119" s="14">
        <f t="shared" si="188"/>
        <v>285</v>
      </c>
      <c r="W119" s="18">
        <f t="shared" si="11"/>
        <v>341</v>
      </c>
      <c r="X119" s="14">
        <f t="shared" si="189"/>
        <v>285</v>
      </c>
      <c r="Y119" s="18">
        <f t="shared" si="12"/>
        <v>309</v>
      </c>
      <c r="Z119" s="14">
        <f t="shared" si="190"/>
        <v>258</v>
      </c>
      <c r="AA119" s="18">
        <f t="shared" si="13"/>
        <v>309</v>
      </c>
      <c r="AB119" s="4" t="s">
        <v>0</v>
      </c>
    </row>
    <row r="120" spans="1:28">
      <c r="A120" s="9" t="s">
        <v>55</v>
      </c>
      <c r="B120" s="24"/>
      <c r="C120" s="4"/>
      <c r="D120" s="25">
        <f t="shared" ref="D120" si="280">D105</f>
        <v>286</v>
      </c>
      <c r="E120" s="29">
        <f t="shared" ref="E120" si="281">E119</f>
        <v>409</v>
      </c>
      <c r="F120" s="25">
        <f t="shared" ref="F120" si="282">F105</f>
        <v>313</v>
      </c>
      <c r="G120" s="29">
        <f t="shared" si="270"/>
        <v>441</v>
      </c>
      <c r="H120" s="4" t="s">
        <v>0</v>
      </c>
      <c r="I120" s="16" t="str">
        <f t="shared" si="0"/>
        <v>06-07</v>
      </c>
      <c r="J120" s="14">
        <f t="shared" si="2"/>
        <v>286</v>
      </c>
      <c r="K120" s="15">
        <f t="shared" si="2"/>
        <v>409</v>
      </c>
      <c r="L120" s="17">
        <f t="shared" si="3"/>
        <v>313</v>
      </c>
      <c r="M120" s="18">
        <f t="shared" si="4"/>
        <v>409</v>
      </c>
      <c r="N120" s="14">
        <f t="shared" si="5"/>
        <v>313</v>
      </c>
      <c r="O120" s="15">
        <f t="shared" si="5"/>
        <v>441</v>
      </c>
      <c r="P120" s="17">
        <f t="shared" si="6"/>
        <v>286</v>
      </c>
      <c r="Q120" s="18">
        <f t="shared" si="7"/>
        <v>441</v>
      </c>
      <c r="R120" s="4" t="s">
        <v>0</v>
      </c>
      <c r="S120" s="16" t="str">
        <f t="shared" si="8"/>
        <v>06-07</v>
      </c>
      <c r="T120" s="14">
        <f t="shared" si="9"/>
        <v>286</v>
      </c>
      <c r="U120" s="18">
        <f t="shared" si="10"/>
        <v>341</v>
      </c>
      <c r="V120" s="14">
        <f t="shared" si="188"/>
        <v>313</v>
      </c>
      <c r="W120" s="18">
        <f t="shared" si="11"/>
        <v>341</v>
      </c>
      <c r="X120" s="14">
        <f t="shared" si="189"/>
        <v>313</v>
      </c>
      <c r="Y120" s="18">
        <f t="shared" si="12"/>
        <v>309</v>
      </c>
      <c r="Z120" s="14">
        <f t="shared" si="190"/>
        <v>286</v>
      </c>
      <c r="AA120" s="18">
        <f t="shared" si="13"/>
        <v>309</v>
      </c>
      <c r="AB120" s="4" t="s">
        <v>0</v>
      </c>
    </row>
    <row r="121" spans="1:28">
      <c r="A121" s="9" t="s">
        <v>54</v>
      </c>
      <c r="B121" s="24"/>
      <c r="C121" s="4"/>
      <c r="D121" s="25">
        <f t="shared" ref="D121" si="283">D106</f>
        <v>313</v>
      </c>
      <c r="E121" s="29">
        <f t="shared" ref="E121" si="284">E120</f>
        <v>409</v>
      </c>
      <c r="F121" s="25">
        <f t="shared" ref="F121" si="285">F106</f>
        <v>341</v>
      </c>
      <c r="G121" s="29">
        <f t="shared" si="270"/>
        <v>441</v>
      </c>
      <c r="H121" s="4" t="s">
        <v>0</v>
      </c>
      <c r="I121" s="16" t="str">
        <f t="shared" si="0"/>
        <v>06-06</v>
      </c>
      <c r="J121" s="14">
        <f t="shared" si="2"/>
        <v>313</v>
      </c>
      <c r="K121" s="15">
        <f t="shared" si="2"/>
        <v>409</v>
      </c>
      <c r="L121" s="17">
        <f t="shared" si="3"/>
        <v>341</v>
      </c>
      <c r="M121" s="18">
        <f t="shared" si="4"/>
        <v>409</v>
      </c>
      <c r="N121" s="14">
        <f t="shared" si="5"/>
        <v>341</v>
      </c>
      <c r="O121" s="15">
        <f t="shared" si="5"/>
        <v>441</v>
      </c>
      <c r="P121" s="17">
        <f t="shared" si="6"/>
        <v>313</v>
      </c>
      <c r="Q121" s="18">
        <f t="shared" si="7"/>
        <v>441</v>
      </c>
      <c r="R121" s="4" t="s">
        <v>0</v>
      </c>
      <c r="S121" s="16" t="str">
        <f t="shared" si="8"/>
        <v>06-06</v>
      </c>
      <c r="T121" s="14">
        <f t="shared" si="9"/>
        <v>313</v>
      </c>
      <c r="U121" s="18">
        <f t="shared" si="10"/>
        <v>341</v>
      </c>
      <c r="V121" s="14">
        <f t="shared" si="188"/>
        <v>341</v>
      </c>
      <c r="W121" s="18">
        <f t="shared" si="11"/>
        <v>341</v>
      </c>
      <c r="X121" s="14">
        <f t="shared" si="189"/>
        <v>341</v>
      </c>
      <c r="Y121" s="18">
        <f t="shared" si="12"/>
        <v>309</v>
      </c>
      <c r="Z121" s="14">
        <f t="shared" si="190"/>
        <v>313</v>
      </c>
      <c r="AA121" s="18">
        <f t="shared" si="13"/>
        <v>309</v>
      </c>
      <c r="AB121" s="4" t="s">
        <v>0</v>
      </c>
    </row>
    <row r="122" spans="1:28">
      <c r="A122" s="9" t="s">
        <v>53</v>
      </c>
      <c r="B122" s="24"/>
      <c r="C122" s="4"/>
      <c r="D122" s="25">
        <f t="shared" ref="D122" si="286">D107</f>
        <v>341</v>
      </c>
      <c r="E122" s="29">
        <f t="shared" ref="E122" si="287">E121</f>
        <v>409</v>
      </c>
      <c r="F122" s="25">
        <f t="shared" ref="F122" si="288">F107</f>
        <v>369</v>
      </c>
      <c r="G122" s="29">
        <f t="shared" si="270"/>
        <v>441</v>
      </c>
      <c r="H122" s="4" t="s">
        <v>0</v>
      </c>
      <c r="I122" s="16" t="str">
        <f t="shared" si="0"/>
        <v>06-05</v>
      </c>
      <c r="J122" s="14">
        <f t="shared" si="2"/>
        <v>341</v>
      </c>
      <c r="K122" s="15">
        <f t="shared" si="2"/>
        <v>409</v>
      </c>
      <c r="L122" s="17">
        <f t="shared" si="3"/>
        <v>369</v>
      </c>
      <c r="M122" s="18">
        <f t="shared" si="4"/>
        <v>409</v>
      </c>
      <c r="N122" s="14">
        <f t="shared" si="5"/>
        <v>369</v>
      </c>
      <c r="O122" s="15">
        <f t="shared" si="5"/>
        <v>441</v>
      </c>
      <c r="P122" s="17">
        <f t="shared" si="6"/>
        <v>341</v>
      </c>
      <c r="Q122" s="18">
        <f t="shared" si="7"/>
        <v>441</v>
      </c>
      <c r="R122" s="4" t="s">
        <v>0</v>
      </c>
      <c r="S122" s="16" t="str">
        <f t="shared" si="8"/>
        <v>06-05</v>
      </c>
      <c r="T122" s="14">
        <f t="shared" si="9"/>
        <v>341</v>
      </c>
      <c r="U122" s="18">
        <f t="shared" si="10"/>
        <v>341</v>
      </c>
      <c r="V122" s="14">
        <f t="shared" si="188"/>
        <v>369</v>
      </c>
      <c r="W122" s="18">
        <f t="shared" si="11"/>
        <v>341</v>
      </c>
      <c r="X122" s="14">
        <f t="shared" si="189"/>
        <v>369</v>
      </c>
      <c r="Y122" s="18">
        <f t="shared" si="12"/>
        <v>309</v>
      </c>
      <c r="Z122" s="14">
        <f t="shared" si="190"/>
        <v>341</v>
      </c>
      <c r="AA122" s="18">
        <f t="shared" si="13"/>
        <v>309</v>
      </c>
      <c r="AB122" s="4" t="s">
        <v>0</v>
      </c>
    </row>
    <row r="123" spans="1:28">
      <c r="A123" s="9" t="s">
        <v>52</v>
      </c>
      <c r="B123" s="24"/>
      <c r="C123" s="4"/>
      <c r="D123" s="25">
        <f t="shared" ref="D123" si="289">D108</f>
        <v>369</v>
      </c>
      <c r="E123" s="29">
        <f t="shared" ref="E123" si="290">E122</f>
        <v>409</v>
      </c>
      <c r="F123" s="25">
        <f t="shared" ref="F123" si="291">F108</f>
        <v>397</v>
      </c>
      <c r="G123" s="29">
        <f t="shared" si="270"/>
        <v>441</v>
      </c>
      <c r="H123" s="4" t="s">
        <v>0</v>
      </c>
      <c r="I123" s="16" t="str">
        <f t="shared" si="0"/>
        <v>06-03</v>
      </c>
      <c r="J123" s="14">
        <f t="shared" si="2"/>
        <v>369</v>
      </c>
      <c r="K123" s="15">
        <f t="shared" si="2"/>
        <v>409</v>
      </c>
      <c r="L123" s="17">
        <f t="shared" si="3"/>
        <v>397</v>
      </c>
      <c r="M123" s="18">
        <f t="shared" si="4"/>
        <v>409</v>
      </c>
      <c r="N123" s="14">
        <f t="shared" si="5"/>
        <v>397</v>
      </c>
      <c r="O123" s="15">
        <f t="shared" si="5"/>
        <v>441</v>
      </c>
      <c r="P123" s="17">
        <f t="shared" si="6"/>
        <v>369</v>
      </c>
      <c r="Q123" s="18">
        <f t="shared" si="7"/>
        <v>441</v>
      </c>
      <c r="R123" s="4" t="s">
        <v>0</v>
      </c>
      <c r="S123" s="16" t="str">
        <f t="shared" si="8"/>
        <v>06-03</v>
      </c>
      <c r="T123" s="14">
        <f t="shared" si="9"/>
        <v>369</v>
      </c>
      <c r="U123" s="18">
        <f t="shared" si="10"/>
        <v>341</v>
      </c>
      <c r="V123" s="14">
        <f t="shared" si="188"/>
        <v>397</v>
      </c>
      <c r="W123" s="18">
        <f t="shared" si="11"/>
        <v>341</v>
      </c>
      <c r="X123" s="14">
        <f t="shared" si="189"/>
        <v>397</v>
      </c>
      <c r="Y123" s="18">
        <f t="shared" si="12"/>
        <v>309</v>
      </c>
      <c r="Z123" s="14">
        <f t="shared" si="190"/>
        <v>369</v>
      </c>
      <c r="AA123" s="18">
        <f t="shared" si="13"/>
        <v>309</v>
      </c>
      <c r="AB123" s="4" t="s">
        <v>0</v>
      </c>
    </row>
    <row r="124" spans="1:28">
      <c r="A124" s="9" t="s">
        <v>51</v>
      </c>
      <c r="B124" s="24"/>
      <c r="C124" s="4"/>
      <c r="D124" s="25">
        <f t="shared" ref="D124" si="292">D109</f>
        <v>396</v>
      </c>
      <c r="E124" s="29">
        <f t="shared" ref="E124" si="293">E123</f>
        <v>409</v>
      </c>
      <c r="F124" s="25">
        <f t="shared" ref="F124" si="294">F109</f>
        <v>424</v>
      </c>
      <c r="G124" s="29">
        <f t="shared" si="270"/>
        <v>441</v>
      </c>
      <c r="H124" s="4" t="s">
        <v>0</v>
      </c>
      <c r="I124" s="16" t="str">
        <f t="shared" si="0"/>
        <v>06-02</v>
      </c>
      <c r="J124" s="14">
        <f t="shared" si="2"/>
        <v>396</v>
      </c>
      <c r="K124" s="15">
        <f t="shared" si="2"/>
        <v>409</v>
      </c>
      <c r="L124" s="17">
        <f t="shared" si="3"/>
        <v>424</v>
      </c>
      <c r="M124" s="18">
        <f t="shared" si="4"/>
        <v>409</v>
      </c>
      <c r="N124" s="14">
        <f t="shared" si="5"/>
        <v>424</v>
      </c>
      <c r="O124" s="15">
        <f t="shared" si="5"/>
        <v>441</v>
      </c>
      <c r="P124" s="17">
        <f t="shared" si="6"/>
        <v>396</v>
      </c>
      <c r="Q124" s="18">
        <f t="shared" si="7"/>
        <v>441</v>
      </c>
      <c r="R124" s="4" t="s">
        <v>0</v>
      </c>
      <c r="S124" s="16" t="str">
        <f t="shared" si="8"/>
        <v>06-02</v>
      </c>
      <c r="T124" s="14">
        <f t="shared" si="9"/>
        <v>396</v>
      </c>
      <c r="U124" s="18">
        <f t="shared" si="10"/>
        <v>341</v>
      </c>
      <c r="V124" s="14">
        <f t="shared" si="188"/>
        <v>424</v>
      </c>
      <c r="W124" s="18">
        <f t="shared" si="11"/>
        <v>341</v>
      </c>
      <c r="X124" s="14">
        <f t="shared" si="189"/>
        <v>424</v>
      </c>
      <c r="Y124" s="18">
        <f t="shared" si="12"/>
        <v>309</v>
      </c>
      <c r="Z124" s="14">
        <f t="shared" si="190"/>
        <v>396</v>
      </c>
      <c r="AA124" s="18">
        <f t="shared" si="13"/>
        <v>309</v>
      </c>
      <c r="AB124" s="4" t="s">
        <v>0</v>
      </c>
    </row>
    <row r="125" spans="1:28">
      <c r="A125" s="9" t="s">
        <v>50</v>
      </c>
      <c r="B125" s="24"/>
      <c r="C125" s="4"/>
      <c r="D125" s="25">
        <f t="shared" ref="D125" si="295">D110</f>
        <v>424</v>
      </c>
      <c r="E125" s="29">
        <f t="shared" ref="E125" si="296">E124</f>
        <v>409</v>
      </c>
      <c r="F125" s="25">
        <f t="shared" ref="F125" si="297">F110</f>
        <v>452</v>
      </c>
      <c r="G125" s="29">
        <f t="shared" si="270"/>
        <v>441</v>
      </c>
      <c r="H125" s="4" t="s">
        <v>0</v>
      </c>
      <c r="I125" s="16" t="str">
        <f t="shared" si="0"/>
        <v>06-01</v>
      </c>
      <c r="J125" s="14">
        <f t="shared" si="2"/>
        <v>424</v>
      </c>
      <c r="K125" s="15">
        <f t="shared" si="2"/>
        <v>409</v>
      </c>
      <c r="L125" s="17">
        <f t="shared" si="3"/>
        <v>452</v>
      </c>
      <c r="M125" s="18">
        <f t="shared" si="4"/>
        <v>409</v>
      </c>
      <c r="N125" s="14">
        <f t="shared" si="5"/>
        <v>452</v>
      </c>
      <c r="O125" s="15">
        <f t="shared" si="5"/>
        <v>441</v>
      </c>
      <c r="P125" s="17">
        <f t="shared" si="6"/>
        <v>424</v>
      </c>
      <c r="Q125" s="18">
        <f t="shared" si="7"/>
        <v>441</v>
      </c>
      <c r="R125" s="4" t="s">
        <v>0</v>
      </c>
      <c r="S125" s="16" t="str">
        <f t="shared" si="8"/>
        <v>06-01</v>
      </c>
      <c r="T125" s="14">
        <f t="shared" si="9"/>
        <v>424</v>
      </c>
      <c r="U125" s="18">
        <f t="shared" si="10"/>
        <v>341</v>
      </c>
      <c r="V125" s="14">
        <f t="shared" si="188"/>
        <v>452</v>
      </c>
      <c r="W125" s="18">
        <f t="shared" si="11"/>
        <v>341</v>
      </c>
      <c r="X125" s="14">
        <f t="shared" si="189"/>
        <v>452</v>
      </c>
      <c r="Y125" s="18">
        <f t="shared" si="12"/>
        <v>309</v>
      </c>
      <c r="Z125" s="14">
        <f t="shared" si="190"/>
        <v>424</v>
      </c>
      <c r="AA125" s="18">
        <f t="shared" si="13"/>
        <v>309</v>
      </c>
      <c r="AB125" s="4" t="s">
        <v>0</v>
      </c>
    </row>
    <row r="126" spans="1:28">
      <c r="A126" s="9" t="s">
        <v>164</v>
      </c>
      <c r="B126" s="24"/>
      <c r="C126" s="26">
        <v>7</v>
      </c>
      <c r="D126" s="25">
        <f t="shared" ref="D126" si="298">D111</f>
        <v>39</v>
      </c>
      <c r="E126" s="28">
        <f t="shared" ref="E126" si="299">ROUND(E$21+41.2*$C126, 0)</f>
        <v>450</v>
      </c>
      <c r="F126" s="25">
        <f t="shared" ref="F126" si="300">F111</f>
        <v>66</v>
      </c>
      <c r="G126" s="28">
        <f t="shared" ref="G126" si="301">ROUND(G$21+41.2*$C126, 0)</f>
        <v>482</v>
      </c>
      <c r="H126" s="4" t="s">
        <v>0</v>
      </c>
      <c r="I126" s="16" t="str">
        <f t="shared" si="0"/>
        <v>05-18</v>
      </c>
      <c r="J126" s="14">
        <f t="shared" si="2"/>
        <v>39</v>
      </c>
      <c r="K126" s="15">
        <f t="shared" si="2"/>
        <v>450</v>
      </c>
      <c r="L126" s="17">
        <f t="shared" si="3"/>
        <v>66</v>
      </c>
      <c r="M126" s="18">
        <f t="shared" si="4"/>
        <v>450</v>
      </c>
      <c r="N126" s="14">
        <f t="shared" si="5"/>
        <v>66</v>
      </c>
      <c r="O126" s="15">
        <f t="shared" si="5"/>
        <v>482</v>
      </c>
      <c r="P126" s="17">
        <f t="shared" si="6"/>
        <v>39</v>
      </c>
      <c r="Q126" s="18">
        <f t="shared" si="7"/>
        <v>482</v>
      </c>
      <c r="R126" s="4" t="s">
        <v>0</v>
      </c>
      <c r="S126" s="16" t="str">
        <f t="shared" si="8"/>
        <v>05-18</v>
      </c>
      <c r="T126" s="14">
        <f t="shared" si="9"/>
        <v>39</v>
      </c>
      <c r="U126" s="18">
        <f t="shared" si="10"/>
        <v>300</v>
      </c>
      <c r="V126" s="14">
        <f t="shared" si="188"/>
        <v>66</v>
      </c>
      <c r="W126" s="18">
        <f t="shared" si="11"/>
        <v>300</v>
      </c>
      <c r="X126" s="14">
        <f t="shared" si="189"/>
        <v>66</v>
      </c>
      <c r="Y126" s="18">
        <f t="shared" si="12"/>
        <v>268</v>
      </c>
      <c r="Z126" s="14">
        <f t="shared" si="190"/>
        <v>39</v>
      </c>
      <c r="AA126" s="18">
        <f t="shared" si="13"/>
        <v>268</v>
      </c>
      <c r="AB126" s="4" t="s">
        <v>0</v>
      </c>
    </row>
    <row r="127" spans="1:28">
      <c r="A127" s="9" t="s">
        <v>135</v>
      </c>
      <c r="B127" s="24"/>
      <c r="C127" s="26"/>
      <c r="D127" s="25">
        <f t="shared" ref="D127" si="302">D112</f>
        <v>66</v>
      </c>
      <c r="E127" s="29">
        <f t="shared" ref="E127" si="303">E126</f>
        <v>450</v>
      </c>
      <c r="F127" s="25">
        <f t="shared" ref="F127" si="304">F112</f>
        <v>93</v>
      </c>
      <c r="G127" s="29">
        <f t="shared" ref="G127:G160" si="305">G126</f>
        <v>482</v>
      </c>
      <c r="H127" s="4" t="s">
        <v>0</v>
      </c>
      <c r="I127" s="16" t="str">
        <f t="shared" si="0"/>
        <v>05-17</v>
      </c>
      <c r="J127" s="14">
        <f t="shared" si="2"/>
        <v>66</v>
      </c>
      <c r="K127" s="15">
        <f t="shared" si="2"/>
        <v>450</v>
      </c>
      <c r="L127" s="17">
        <f t="shared" si="3"/>
        <v>93</v>
      </c>
      <c r="M127" s="18">
        <f t="shared" si="4"/>
        <v>450</v>
      </c>
      <c r="N127" s="14">
        <f t="shared" si="5"/>
        <v>93</v>
      </c>
      <c r="O127" s="15">
        <f t="shared" si="5"/>
        <v>482</v>
      </c>
      <c r="P127" s="17">
        <f t="shared" si="6"/>
        <v>66</v>
      </c>
      <c r="Q127" s="18">
        <f t="shared" si="7"/>
        <v>482</v>
      </c>
      <c r="R127" s="4" t="s">
        <v>0</v>
      </c>
      <c r="S127" s="16" t="str">
        <f t="shared" si="8"/>
        <v>05-17</v>
      </c>
      <c r="T127" s="14">
        <f t="shared" si="9"/>
        <v>66</v>
      </c>
      <c r="U127" s="18">
        <f t="shared" si="10"/>
        <v>300</v>
      </c>
      <c r="V127" s="14">
        <f t="shared" si="188"/>
        <v>93</v>
      </c>
      <c r="W127" s="18">
        <f t="shared" si="11"/>
        <v>300</v>
      </c>
      <c r="X127" s="14">
        <f t="shared" si="189"/>
        <v>93</v>
      </c>
      <c r="Y127" s="18">
        <f t="shared" si="12"/>
        <v>268</v>
      </c>
      <c r="Z127" s="14">
        <f t="shared" si="190"/>
        <v>66</v>
      </c>
      <c r="AA127" s="18">
        <f t="shared" si="13"/>
        <v>268</v>
      </c>
      <c r="AB127" s="4" t="s">
        <v>0</v>
      </c>
    </row>
    <row r="128" spans="1:28">
      <c r="A128" s="9" t="s">
        <v>163</v>
      </c>
      <c r="B128" s="24"/>
      <c r="C128" s="4"/>
      <c r="D128" s="25">
        <f t="shared" ref="D128" si="306">D113</f>
        <v>94</v>
      </c>
      <c r="E128" s="29">
        <f t="shared" ref="E128" si="307">E127</f>
        <v>450</v>
      </c>
      <c r="F128" s="25">
        <f t="shared" ref="F128" si="308">F113</f>
        <v>121</v>
      </c>
      <c r="G128" s="29">
        <f t="shared" si="305"/>
        <v>482</v>
      </c>
      <c r="H128" s="4" t="s">
        <v>0</v>
      </c>
      <c r="I128" s="16" t="str">
        <f t="shared" si="0"/>
        <v>05-16</v>
      </c>
      <c r="J128" s="14">
        <f t="shared" si="2"/>
        <v>94</v>
      </c>
      <c r="K128" s="15">
        <f t="shared" si="2"/>
        <v>450</v>
      </c>
      <c r="L128" s="17">
        <f t="shared" si="3"/>
        <v>121</v>
      </c>
      <c r="M128" s="18">
        <f t="shared" si="4"/>
        <v>450</v>
      </c>
      <c r="N128" s="14">
        <f t="shared" si="5"/>
        <v>121</v>
      </c>
      <c r="O128" s="15">
        <f t="shared" si="5"/>
        <v>482</v>
      </c>
      <c r="P128" s="17">
        <f t="shared" si="6"/>
        <v>94</v>
      </c>
      <c r="Q128" s="18">
        <f t="shared" si="7"/>
        <v>482</v>
      </c>
      <c r="R128" s="4" t="s">
        <v>0</v>
      </c>
      <c r="S128" s="16" t="str">
        <f t="shared" si="8"/>
        <v>05-16</v>
      </c>
      <c r="T128" s="14">
        <f t="shared" si="9"/>
        <v>94</v>
      </c>
      <c r="U128" s="18">
        <f t="shared" si="10"/>
        <v>300</v>
      </c>
      <c r="V128" s="14">
        <f t="shared" si="188"/>
        <v>121</v>
      </c>
      <c r="W128" s="18">
        <f t="shared" si="11"/>
        <v>300</v>
      </c>
      <c r="X128" s="14">
        <f t="shared" si="189"/>
        <v>121</v>
      </c>
      <c r="Y128" s="18">
        <f t="shared" si="12"/>
        <v>268</v>
      </c>
      <c r="Z128" s="14">
        <f t="shared" si="190"/>
        <v>94</v>
      </c>
      <c r="AA128" s="18">
        <f t="shared" si="13"/>
        <v>268</v>
      </c>
      <c r="AB128" s="4" t="s">
        <v>0</v>
      </c>
    </row>
    <row r="129" spans="1:28">
      <c r="A129" s="9" t="s">
        <v>162</v>
      </c>
      <c r="B129" s="24"/>
      <c r="C129" s="4"/>
      <c r="D129" s="25">
        <f t="shared" ref="D129" si="309">D114</f>
        <v>121</v>
      </c>
      <c r="E129" s="29">
        <f t="shared" ref="E129" si="310">E128</f>
        <v>450</v>
      </c>
      <c r="F129" s="25">
        <f t="shared" ref="F129" si="311">F114</f>
        <v>148</v>
      </c>
      <c r="G129" s="29">
        <f t="shared" si="305"/>
        <v>482</v>
      </c>
      <c r="H129" s="4" t="s">
        <v>0</v>
      </c>
      <c r="I129" s="16" t="str">
        <f t="shared" si="0"/>
        <v>05-15</v>
      </c>
      <c r="J129" s="14">
        <f t="shared" si="2"/>
        <v>121</v>
      </c>
      <c r="K129" s="15">
        <f t="shared" si="2"/>
        <v>450</v>
      </c>
      <c r="L129" s="17">
        <f t="shared" si="3"/>
        <v>148</v>
      </c>
      <c r="M129" s="18">
        <f t="shared" si="4"/>
        <v>450</v>
      </c>
      <c r="N129" s="14">
        <f t="shared" si="5"/>
        <v>148</v>
      </c>
      <c r="O129" s="15">
        <f t="shared" si="5"/>
        <v>482</v>
      </c>
      <c r="P129" s="17">
        <f t="shared" si="6"/>
        <v>121</v>
      </c>
      <c r="Q129" s="18">
        <f t="shared" si="7"/>
        <v>482</v>
      </c>
      <c r="R129" s="4" t="s">
        <v>0</v>
      </c>
      <c r="S129" s="16" t="str">
        <f t="shared" si="8"/>
        <v>05-15</v>
      </c>
      <c r="T129" s="14">
        <f t="shared" si="9"/>
        <v>121</v>
      </c>
      <c r="U129" s="18">
        <f t="shared" si="10"/>
        <v>300</v>
      </c>
      <c r="V129" s="14">
        <f t="shared" si="188"/>
        <v>148</v>
      </c>
      <c r="W129" s="18">
        <f t="shared" si="11"/>
        <v>300</v>
      </c>
      <c r="X129" s="14">
        <f t="shared" si="189"/>
        <v>148</v>
      </c>
      <c r="Y129" s="18">
        <f t="shared" si="12"/>
        <v>268</v>
      </c>
      <c r="Z129" s="14">
        <f t="shared" si="190"/>
        <v>121</v>
      </c>
      <c r="AA129" s="18">
        <f t="shared" si="13"/>
        <v>268</v>
      </c>
      <c r="AB129" s="4" t="s">
        <v>0</v>
      </c>
    </row>
    <row r="130" spans="1:28">
      <c r="A130" s="9" t="s">
        <v>161</v>
      </c>
      <c r="B130" s="24"/>
      <c r="C130" s="4"/>
      <c r="D130" s="25">
        <f t="shared" ref="D130" si="312">D115</f>
        <v>149</v>
      </c>
      <c r="E130" s="29">
        <f t="shared" ref="E130" si="313">E129</f>
        <v>450</v>
      </c>
      <c r="F130" s="25">
        <f t="shared" ref="F130" si="314">F115</f>
        <v>176</v>
      </c>
      <c r="G130" s="29">
        <f t="shared" si="305"/>
        <v>482</v>
      </c>
      <c r="H130" s="4" t="s">
        <v>0</v>
      </c>
      <c r="I130" s="16" t="str">
        <f t="shared" si="0"/>
        <v>05-13</v>
      </c>
      <c r="J130" s="14">
        <f t="shared" si="2"/>
        <v>149</v>
      </c>
      <c r="K130" s="15">
        <f t="shared" si="2"/>
        <v>450</v>
      </c>
      <c r="L130" s="17">
        <f t="shared" si="3"/>
        <v>176</v>
      </c>
      <c r="M130" s="18">
        <f t="shared" si="4"/>
        <v>450</v>
      </c>
      <c r="N130" s="14">
        <f t="shared" si="5"/>
        <v>176</v>
      </c>
      <c r="O130" s="15">
        <f t="shared" si="5"/>
        <v>482</v>
      </c>
      <c r="P130" s="17">
        <f t="shared" si="6"/>
        <v>149</v>
      </c>
      <c r="Q130" s="18">
        <f t="shared" si="7"/>
        <v>482</v>
      </c>
      <c r="R130" s="4" t="s">
        <v>0</v>
      </c>
      <c r="S130" s="16" t="str">
        <f t="shared" si="8"/>
        <v>05-13</v>
      </c>
      <c r="T130" s="14">
        <f t="shared" si="9"/>
        <v>149</v>
      </c>
      <c r="U130" s="18">
        <f t="shared" si="10"/>
        <v>300</v>
      </c>
      <c r="V130" s="14">
        <f t="shared" si="188"/>
        <v>176</v>
      </c>
      <c r="W130" s="18">
        <f t="shared" si="11"/>
        <v>300</v>
      </c>
      <c r="X130" s="14">
        <f t="shared" si="189"/>
        <v>176</v>
      </c>
      <c r="Y130" s="18">
        <f t="shared" si="12"/>
        <v>268</v>
      </c>
      <c r="Z130" s="14">
        <f t="shared" si="190"/>
        <v>149</v>
      </c>
      <c r="AA130" s="18">
        <f t="shared" si="13"/>
        <v>268</v>
      </c>
      <c r="AB130" s="4" t="s">
        <v>0</v>
      </c>
    </row>
    <row r="131" spans="1:28">
      <c r="A131" s="9" t="s">
        <v>49</v>
      </c>
      <c r="B131" s="24"/>
      <c r="C131" s="4"/>
      <c r="D131" s="25">
        <f t="shared" ref="D131" si="315">D116</f>
        <v>176</v>
      </c>
      <c r="E131" s="29">
        <f t="shared" ref="E131" si="316">E130</f>
        <v>450</v>
      </c>
      <c r="F131" s="25">
        <f t="shared" ref="F131" si="317">F116</f>
        <v>203</v>
      </c>
      <c r="G131" s="29">
        <f t="shared" si="270"/>
        <v>482</v>
      </c>
      <c r="H131" s="4" t="s">
        <v>0</v>
      </c>
      <c r="I131" s="16" t="str">
        <f t="shared" si="0"/>
        <v>05-12</v>
      </c>
      <c r="J131" s="14">
        <f t="shared" si="2"/>
        <v>176</v>
      </c>
      <c r="K131" s="15">
        <f t="shared" si="2"/>
        <v>450</v>
      </c>
      <c r="L131" s="17">
        <f t="shared" si="3"/>
        <v>203</v>
      </c>
      <c r="M131" s="18">
        <f t="shared" si="4"/>
        <v>450</v>
      </c>
      <c r="N131" s="14">
        <f t="shared" si="5"/>
        <v>203</v>
      </c>
      <c r="O131" s="15">
        <f t="shared" si="5"/>
        <v>482</v>
      </c>
      <c r="P131" s="17">
        <f t="shared" si="6"/>
        <v>176</v>
      </c>
      <c r="Q131" s="18">
        <f t="shared" si="7"/>
        <v>482</v>
      </c>
      <c r="R131" s="4" t="s">
        <v>0</v>
      </c>
      <c r="S131" s="16" t="str">
        <f t="shared" si="8"/>
        <v>05-12</v>
      </c>
      <c r="T131" s="14">
        <f t="shared" si="9"/>
        <v>176</v>
      </c>
      <c r="U131" s="18">
        <f t="shared" si="10"/>
        <v>300</v>
      </c>
      <c r="V131" s="14">
        <f t="shared" si="188"/>
        <v>203</v>
      </c>
      <c r="W131" s="18">
        <f t="shared" si="11"/>
        <v>300</v>
      </c>
      <c r="X131" s="14">
        <f t="shared" si="189"/>
        <v>203</v>
      </c>
      <c r="Y131" s="18">
        <f t="shared" si="12"/>
        <v>268</v>
      </c>
      <c r="Z131" s="14">
        <f t="shared" si="190"/>
        <v>176</v>
      </c>
      <c r="AA131" s="18">
        <f t="shared" si="13"/>
        <v>268</v>
      </c>
      <c r="AB131" s="4" t="s">
        <v>0</v>
      </c>
    </row>
    <row r="132" spans="1:28">
      <c r="A132" s="9" t="s">
        <v>48</v>
      </c>
      <c r="B132" s="24"/>
      <c r="C132" s="4"/>
      <c r="D132" s="25">
        <f t="shared" ref="D132" si="318">D117</f>
        <v>203</v>
      </c>
      <c r="E132" s="29">
        <f t="shared" ref="E132" si="319">E131</f>
        <v>450</v>
      </c>
      <c r="F132" s="25">
        <f t="shared" ref="F132" si="320">F117</f>
        <v>230</v>
      </c>
      <c r="G132" s="29">
        <f t="shared" si="270"/>
        <v>482</v>
      </c>
      <c r="H132" s="4" t="s">
        <v>0</v>
      </c>
      <c r="I132" s="16" t="str">
        <f t="shared" si="0"/>
        <v>05-11</v>
      </c>
      <c r="J132" s="14">
        <f t="shared" si="2"/>
        <v>203</v>
      </c>
      <c r="K132" s="15">
        <f t="shared" si="2"/>
        <v>450</v>
      </c>
      <c r="L132" s="17">
        <f t="shared" si="3"/>
        <v>230</v>
      </c>
      <c r="M132" s="18">
        <f t="shared" si="4"/>
        <v>450</v>
      </c>
      <c r="N132" s="14">
        <f t="shared" si="5"/>
        <v>230</v>
      </c>
      <c r="O132" s="15">
        <f t="shared" si="5"/>
        <v>482</v>
      </c>
      <c r="P132" s="17">
        <f t="shared" si="6"/>
        <v>203</v>
      </c>
      <c r="Q132" s="18">
        <f t="shared" si="7"/>
        <v>482</v>
      </c>
      <c r="R132" s="4" t="s">
        <v>0</v>
      </c>
      <c r="S132" s="16" t="str">
        <f t="shared" si="8"/>
        <v>05-11</v>
      </c>
      <c r="T132" s="14">
        <f t="shared" si="9"/>
        <v>203</v>
      </c>
      <c r="U132" s="18">
        <f t="shared" si="10"/>
        <v>300</v>
      </c>
      <c r="V132" s="14">
        <f t="shared" si="188"/>
        <v>230</v>
      </c>
      <c r="W132" s="18">
        <f t="shared" si="11"/>
        <v>300</v>
      </c>
      <c r="X132" s="14">
        <f t="shared" si="189"/>
        <v>230</v>
      </c>
      <c r="Y132" s="18">
        <f t="shared" si="12"/>
        <v>268</v>
      </c>
      <c r="Z132" s="14">
        <f t="shared" si="190"/>
        <v>203</v>
      </c>
      <c r="AA132" s="18">
        <f t="shared" si="13"/>
        <v>268</v>
      </c>
      <c r="AB132" s="4" t="s">
        <v>0</v>
      </c>
    </row>
    <row r="133" spans="1:28">
      <c r="A133" s="9" t="s">
        <v>47</v>
      </c>
      <c r="B133" s="24"/>
      <c r="C133" s="4"/>
      <c r="D133" s="25">
        <f t="shared" ref="D133" si="321">D118</f>
        <v>231</v>
      </c>
      <c r="E133" s="29">
        <f t="shared" ref="E133" si="322">E132</f>
        <v>450</v>
      </c>
      <c r="F133" s="25">
        <f t="shared" ref="F133" si="323">F118</f>
        <v>258</v>
      </c>
      <c r="G133" s="29">
        <f t="shared" si="270"/>
        <v>482</v>
      </c>
      <c r="H133" s="4" t="s">
        <v>0</v>
      </c>
      <c r="I133" s="16" t="str">
        <f t="shared" si="0"/>
        <v>05-10</v>
      </c>
      <c r="J133" s="14">
        <f t="shared" si="2"/>
        <v>231</v>
      </c>
      <c r="K133" s="15">
        <f t="shared" si="2"/>
        <v>450</v>
      </c>
      <c r="L133" s="17">
        <f t="shared" si="3"/>
        <v>258</v>
      </c>
      <c r="M133" s="18">
        <f t="shared" si="4"/>
        <v>450</v>
      </c>
      <c r="N133" s="14">
        <f t="shared" si="5"/>
        <v>258</v>
      </c>
      <c r="O133" s="15">
        <f t="shared" si="5"/>
        <v>482</v>
      </c>
      <c r="P133" s="17">
        <f t="shared" si="6"/>
        <v>231</v>
      </c>
      <c r="Q133" s="18">
        <f t="shared" si="7"/>
        <v>482</v>
      </c>
      <c r="R133" s="4" t="s">
        <v>0</v>
      </c>
      <c r="S133" s="16" t="str">
        <f t="shared" si="8"/>
        <v>05-10</v>
      </c>
      <c r="T133" s="14">
        <f t="shared" si="9"/>
        <v>231</v>
      </c>
      <c r="U133" s="18">
        <f t="shared" si="10"/>
        <v>300</v>
      </c>
      <c r="V133" s="14">
        <f t="shared" si="188"/>
        <v>258</v>
      </c>
      <c r="W133" s="18">
        <f t="shared" si="11"/>
        <v>300</v>
      </c>
      <c r="X133" s="14">
        <f t="shared" si="189"/>
        <v>258</v>
      </c>
      <c r="Y133" s="18">
        <f t="shared" si="12"/>
        <v>268</v>
      </c>
      <c r="Z133" s="14">
        <f t="shared" si="190"/>
        <v>231</v>
      </c>
      <c r="AA133" s="18">
        <f t="shared" si="13"/>
        <v>268</v>
      </c>
      <c r="AB133" s="4" t="s">
        <v>0</v>
      </c>
    </row>
    <row r="134" spans="1:28">
      <c r="A134" s="9" t="s">
        <v>46</v>
      </c>
      <c r="B134" s="24"/>
      <c r="C134" s="4"/>
      <c r="D134" s="25">
        <f t="shared" ref="D134" si="324">D119</f>
        <v>258</v>
      </c>
      <c r="E134" s="29">
        <f t="shared" ref="E134" si="325">E133</f>
        <v>450</v>
      </c>
      <c r="F134" s="25">
        <f t="shared" ref="F134" si="326">F119</f>
        <v>285</v>
      </c>
      <c r="G134" s="29">
        <f t="shared" si="270"/>
        <v>482</v>
      </c>
      <c r="H134" s="4" t="s">
        <v>0</v>
      </c>
      <c r="I134" s="16" t="str">
        <f t="shared" si="0"/>
        <v>05-08</v>
      </c>
      <c r="J134" s="14">
        <f t="shared" si="2"/>
        <v>258</v>
      </c>
      <c r="K134" s="15">
        <f t="shared" si="2"/>
        <v>450</v>
      </c>
      <c r="L134" s="17">
        <f t="shared" si="3"/>
        <v>285</v>
      </c>
      <c r="M134" s="18">
        <f t="shared" si="4"/>
        <v>450</v>
      </c>
      <c r="N134" s="14">
        <f t="shared" si="5"/>
        <v>285</v>
      </c>
      <c r="O134" s="15">
        <f t="shared" si="5"/>
        <v>482</v>
      </c>
      <c r="P134" s="17">
        <f t="shared" si="6"/>
        <v>258</v>
      </c>
      <c r="Q134" s="18">
        <f t="shared" si="7"/>
        <v>482</v>
      </c>
      <c r="R134" s="4" t="s">
        <v>0</v>
      </c>
      <c r="S134" s="16" t="str">
        <f t="shared" si="8"/>
        <v>05-08</v>
      </c>
      <c r="T134" s="14">
        <f t="shared" si="9"/>
        <v>258</v>
      </c>
      <c r="U134" s="18">
        <f t="shared" si="10"/>
        <v>300</v>
      </c>
      <c r="V134" s="14">
        <f t="shared" si="188"/>
        <v>285</v>
      </c>
      <c r="W134" s="18">
        <f t="shared" si="11"/>
        <v>300</v>
      </c>
      <c r="X134" s="14">
        <f t="shared" si="189"/>
        <v>285</v>
      </c>
      <c r="Y134" s="18">
        <f t="shared" si="12"/>
        <v>268</v>
      </c>
      <c r="Z134" s="14">
        <f t="shared" si="190"/>
        <v>258</v>
      </c>
      <c r="AA134" s="18">
        <f t="shared" si="13"/>
        <v>268</v>
      </c>
      <c r="AB134" s="4" t="s">
        <v>0</v>
      </c>
    </row>
    <row r="135" spans="1:28">
      <c r="A135" s="9" t="s">
        <v>45</v>
      </c>
      <c r="B135" s="24"/>
      <c r="C135" s="4"/>
      <c r="D135" s="25">
        <f t="shared" ref="D135" si="327">D120</f>
        <v>286</v>
      </c>
      <c r="E135" s="29">
        <f t="shared" ref="E135" si="328">E134</f>
        <v>450</v>
      </c>
      <c r="F135" s="25">
        <f t="shared" ref="F135" si="329">F120</f>
        <v>313</v>
      </c>
      <c r="G135" s="29">
        <f t="shared" si="270"/>
        <v>482</v>
      </c>
      <c r="H135" s="4" t="s">
        <v>0</v>
      </c>
      <c r="I135" s="16" t="str">
        <f t="shared" si="0"/>
        <v>05-07</v>
      </c>
      <c r="J135" s="14">
        <f t="shared" si="2"/>
        <v>286</v>
      </c>
      <c r="K135" s="15">
        <f t="shared" si="2"/>
        <v>450</v>
      </c>
      <c r="L135" s="17">
        <f t="shared" si="3"/>
        <v>313</v>
      </c>
      <c r="M135" s="18">
        <f t="shared" si="4"/>
        <v>450</v>
      </c>
      <c r="N135" s="14">
        <f t="shared" si="5"/>
        <v>313</v>
      </c>
      <c r="O135" s="15">
        <f t="shared" si="5"/>
        <v>482</v>
      </c>
      <c r="P135" s="17">
        <f t="shared" si="6"/>
        <v>286</v>
      </c>
      <c r="Q135" s="18">
        <f t="shared" si="7"/>
        <v>482</v>
      </c>
      <c r="R135" s="4" t="s">
        <v>0</v>
      </c>
      <c r="S135" s="16" t="str">
        <f t="shared" si="8"/>
        <v>05-07</v>
      </c>
      <c r="T135" s="14">
        <f t="shared" si="9"/>
        <v>286</v>
      </c>
      <c r="U135" s="18">
        <f t="shared" si="10"/>
        <v>300</v>
      </c>
      <c r="V135" s="14">
        <f t="shared" si="188"/>
        <v>313</v>
      </c>
      <c r="W135" s="18">
        <f t="shared" si="11"/>
        <v>300</v>
      </c>
      <c r="X135" s="14">
        <f t="shared" si="189"/>
        <v>313</v>
      </c>
      <c r="Y135" s="18">
        <f t="shared" si="12"/>
        <v>268</v>
      </c>
      <c r="Z135" s="14">
        <f t="shared" si="190"/>
        <v>286</v>
      </c>
      <c r="AA135" s="18">
        <f t="shared" si="13"/>
        <v>268</v>
      </c>
      <c r="AB135" s="4" t="s">
        <v>0</v>
      </c>
    </row>
    <row r="136" spans="1:28">
      <c r="A136" s="9" t="s">
        <v>44</v>
      </c>
      <c r="B136" s="24"/>
      <c r="C136" s="4"/>
      <c r="D136" s="25">
        <f t="shared" ref="D136" si="330">D121</f>
        <v>313</v>
      </c>
      <c r="E136" s="29">
        <f t="shared" ref="E136" si="331">E135</f>
        <v>450</v>
      </c>
      <c r="F136" s="25">
        <f t="shared" ref="F136" si="332">F121</f>
        <v>341</v>
      </c>
      <c r="G136" s="29">
        <f t="shared" si="270"/>
        <v>482</v>
      </c>
      <c r="H136" s="4" t="s">
        <v>0</v>
      </c>
      <c r="I136" s="16" t="str">
        <f t="shared" si="0"/>
        <v>05-06</v>
      </c>
      <c r="J136" s="14">
        <f t="shared" si="2"/>
        <v>313</v>
      </c>
      <c r="K136" s="15">
        <f t="shared" si="2"/>
        <v>450</v>
      </c>
      <c r="L136" s="17">
        <f t="shared" si="3"/>
        <v>341</v>
      </c>
      <c r="M136" s="18">
        <f t="shared" si="4"/>
        <v>450</v>
      </c>
      <c r="N136" s="14">
        <f t="shared" si="5"/>
        <v>341</v>
      </c>
      <c r="O136" s="15">
        <f t="shared" si="5"/>
        <v>482</v>
      </c>
      <c r="P136" s="17">
        <f t="shared" si="6"/>
        <v>313</v>
      </c>
      <c r="Q136" s="18">
        <f t="shared" si="7"/>
        <v>482</v>
      </c>
      <c r="R136" s="4" t="s">
        <v>0</v>
      </c>
      <c r="S136" s="16" t="str">
        <f t="shared" si="8"/>
        <v>05-06</v>
      </c>
      <c r="T136" s="14">
        <f t="shared" si="9"/>
        <v>313</v>
      </c>
      <c r="U136" s="18">
        <f t="shared" si="10"/>
        <v>300</v>
      </c>
      <c r="V136" s="14">
        <f t="shared" si="188"/>
        <v>341</v>
      </c>
      <c r="W136" s="18">
        <f t="shared" si="11"/>
        <v>300</v>
      </c>
      <c r="X136" s="14">
        <f t="shared" si="189"/>
        <v>341</v>
      </c>
      <c r="Y136" s="18">
        <f t="shared" si="12"/>
        <v>268</v>
      </c>
      <c r="Z136" s="14">
        <f t="shared" si="190"/>
        <v>313</v>
      </c>
      <c r="AA136" s="18">
        <f t="shared" si="13"/>
        <v>268</v>
      </c>
      <c r="AB136" s="4" t="s">
        <v>0</v>
      </c>
    </row>
    <row r="137" spans="1:28">
      <c r="A137" s="9" t="s">
        <v>43</v>
      </c>
      <c r="B137" s="24"/>
      <c r="C137" s="4"/>
      <c r="D137" s="25">
        <f t="shared" ref="D137" si="333">D122</f>
        <v>341</v>
      </c>
      <c r="E137" s="29">
        <f t="shared" ref="E137" si="334">E136</f>
        <v>450</v>
      </c>
      <c r="F137" s="25">
        <f t="shared" ref="F137" si="335">F122</f>
        <v>369</v>
      </c>
      <c r="G137" s="29">
        <f t="shared" si="270"/>
        <v>482</v>
      </c>
      <c r="H137" s="4" t="s">
        <v>0</v>
      </c>
      <c r="I137" s="16" t="str">
        <f t="shared" si="0"/>
        <v>05-05</v>
      </c>
      <c r="J137" s="14">
        <f t="shared" si="2"/>
        <v>341</v>
      </c>
      <c r="K137" s="15">
        <f t="shared" si="2"/>
        <v>450</v>
      </c>
      <c r="L137" s="17">
        <f t="shared" si="3"/>
        <v>369</v>
      </c>
      <c r="M137" s="18">
        <f t="shared" si="4"/>
        <v>450</v>
      </c>
      <c r="N137" s="14">
        <f t="shared" si="5"/>
        <v>369</v>
      </c>
      <c r="O137" s="15">
        <f t="shared" si="5"/>
        <v>482</v>
      </c>
      <c r="P137" s="17">
        <f t="shared" si="6"/>
        <v>341</v>
      </c>
      <c r="Q137" s="18">
        <f t="shared" si="7"/>
        <v>482</v>
      </c>
      <c r="R137" s="4" t="s">
        <v>0</v>
      </c>
      <c r="S137" s="16" t="str">
        <f t="shared" si="8"/>
        <v>05-05</v>
      </c>
      <c r="T137" s="14">
        <f t="shared" si="9"/>
        <v>341</v>
      </c>
      <c r="U137" s="18">
        <f t="shared" si="10"/>
        <v>300</v>
      </c>
      <c r="V137" s="14">
        <f t="shared" si="188"/>
        <v>369</v>
      </c>
      <c r="W137" s="18">
        <f t="shared" si="11"/>
        <v>300</v>
      </c>
      <c r="X137" s="14">
        <f t="shared" si="189"/>
        <v>369</v>
      </c>
      <c r="Y137" s="18">
        <f t="shared" si="12"/>
        <v>268</v>
      </c>
      <c r="Z137" s="14">
        <f t="shared" si="190"/>
        <v>341</v>
      </c>
      <c r="AA137" s="18">
        <f t="shared" si="13"/>
        <v>268</v>
      </c>
      <c r="AB137" s="4" t="s">
        <v>0</v>
      </c>
    </row>
    <row r="138" spans="1:28">
      <c r="A138" s="9" t="s">
        <v>42</v>
      </c>
      <c r="B138" s="24"/>
      <c r="C138" s="4"/>
      <c r="D138" s="25">
        <f t="shared" ref="D138" si="336">D123</f>
        <v>369</v>
      </c>
      <c r="E138" s="29">
        <f t="shared" ref="E138" si="337">E137</f>
        <v>450</v>
      </c>
      <c r="F138" s="25">
        <f t="shared" ref="F138" si="338">F123</f>
        <v>397</v>
      </c>
      <c r="G138" s="29">
        <f t="shared" si="270"/>
        <v>482</v>
      </c>
      <c r="H138" s="4" t="s">
        <v>0</v>
      </c>
      <c r="I138" s="16" t="str">
        <f t="shared" si="0"/>
        <v>05-03</v>
      </c>
      <c r="J138" s="14">
        <f t="shared" si="2"/>
        <v>369</v>
      </c>
      <c r="K138" s="15">
        <f t="shared" si="2"/>
        <v>450</v>
      </c>
      <c r="L138" s="17">
        <f t="shared" si="3"/>
        <v>397</v>
      </c>
      <c r="M138" s="18">
        <f t="shared" si="4"/>
        <v>450</v>
      </c>
      <c r="N138" s="14">
        <f t="shared" si="5"/>
        <v>397</v>
      </c>
      <c r="O138" s="15">
        <f t="shared" si="5"/>
        <v>482</v>
      </c>
      <c r="P138" s="17">
        <f t="shared" si="6"/>
        <v>369</v>
      </c>
      <c r="Q138" s="18">
        <f t="shared" si="7"/>
        <v>482</v>
      </c>
      <c r="R138" s="4" t="s">
        <v>0</v>
      </c>
      <c r="S138" s="16" t="str">
        <f t="shared" si="8"/>
        <v>05-03</v>
      </c>
      <c r="T138" s="14">
        <f t="shared" si="9"/>
        <v>369</v>
      </c>
      <c r="U138" s="18">
        <f t="shared" si="10"/>
        <v>300</v>
      </c>
      <c r="V138" s="14">
        <f t="shared" si="188"/>
        <v>397</v>
      </c>
      <c r="W138" s="18">
        <f t="shared" si="11"/>
        <v>300</v>
      </c>
      <c r="X138" s="14">
        <f t="shared" si="189"/>
        <v>397</v>
      </c>
      <c r="Y138" s="18">
        <f t="shared" si="12"/>
        <v>268</v>
      </c>
      <c r="Z138" s="14">
        <f t="shared" si="190"/>
        <v>369</v>
      </c>
      <c r="AA138" s="18">
        <f t="shared" si="13"/>
        <v>268</v>
      </c>
      <c r="AB138" s="4" t="s">
        <v>0</v>
      </c>
    </row>
    <row r="139" spans="1:28">
      <c r="A139" s="9" t="s">
        <v>41</v>
      </c>
      <c r="B139" s="24"/>
      <c r="C139" s="4"/>
      <c r="D139" s="25">
        <f t="shared" ref="D139" si="339">D124</f>
        <v>396</v>
      </c>
      <c r="E139" s="29">
        <f t="shared" ref="E139" si="340">E138</f>
        <v>450</v>
      </c>
      <c r="F139" s="25">
        <f t="shared" ref="F139" si="341">F124</f>
        <v>424</v>
      </c>
      <c r="G139" s="29">
        <f t="shared" si="270"/>
        <v>482</v>
      </c>
      <c r="H139" s="4" t="s">
        <v>0</v>
      </c>
      <c r="I139" s="16" t="str">
        <f t="shared" si="0"/>
        <v>05-02</v>
      </c>
      <c r="J139" s="14">
        <f t="shared" si="2"/>
        <v>396</v>
      </c>
      <c r="K139" s="15">
        <f t="shared" ref="K139:K184" si="342">IF(E139&lt;&gt;"",E139,0)</f>
        <v>450</v>
      </c>
      <c r="L139" s="17">
        <f t="shared" si="3"/>
        <v>424</v>
      </c>
      <c r="M139" s="18">
        <f t="shared" si="4"/>
        <v>450</v>
      </c>
      <c r="N139" s="14">
        <f t="shared" si="5"/>
        <v>424</v>
      </c>
      <c r="O139" s="15">
        <f t="shared" ref="O139:O184" si="343">IF(G139&lt;&gt;"",G139,0)</f>
        <v>482</v>
      </c>
      <c r="P139" s="17">
        <f t="shared" si="6"/>
        <v>396</v>
      </c>
      <c r="Q139" s="18">
        <f t="shared" si="7"/>
        <v>482</v>
      </c>
      <c r="R139" s="4" t="s">
        <v>0</v>
      </c>
      <c r="S139" s="16" t="str">
        <f t="shared" si="8"/>
        <v>05-02</v>
      </c>
      <c r="T139" s="14">
        <f t="shared" si="9"/>
        <v>396</v>
      </c>
      <c r="U139" s="18">
        <f t="shared" si="10"/>
        <v>300</v>
      </c>
      <c r="V139" s="14">
        <f t="shared" si="188"/>
        <v>424</v>
      </c>
      <c r="W139" s="18">
        <f t="shared" si="11"/>
        <v>300</v>
      </c>
      <c r="X139" s="14">
        <f t="shared" si="189"/>
        <v>424</v>
      </c>
      <c r="Y139" s="18">
        <f t="shared" si="12"/>
        <v>268</v>
      </c>
      <c r="Z139" s="14">
        <f t="shared" si="190"/>
        <v>396</v>
      </c>
      <c r="AA139" s="18">
        <f t="shared" si="13"/>
        <v>268</v>
      </c>
      <c r="AB139" s="4" t="s">
        <v>0</v>
      </c>
    </row>
    <row r="140" spans="1:28">
      <c r="A140" s="9" t="s">
        <v>40</v>
      </c>
      <c r="B140" s="24"/>
      <c r="C140" s="4"/>
      <c r="D140" s="25">
        <f t="shared" ref="D140" si="344">D125</f>
        <v>424</v>
      </c>
      <c r="E140" s="29">
        <f t="shared" ref="E140" si="345">E139</f>
        <v>450</v>
      </c>
      <c r="F140" s="25">
        <f t="shared" ref="F140" si="346">F125</f>
        <v>452</v>
      </c>
      <c r="G140" s="29">
        <f t="shared" si="270"/>
        <v>482</v>
      </c>
      <c r="H140" s="4" t="s">
        <v>0</v>
      </c>
      <c r="I140" s="16" t="str">
        <f t="shared" si="0"/>
        <v>05-01</v>
      </c>
      <c r="J140" s="14">
        <f t="shared" ref="J140:J184" si="347">IF(D140&lt;&gt;"",D140,0)</f>
        <v>424</v>
      </c>
      <c r="K140" s="15">
        <f t="shared" si="342"/>
        <v>450</v>
      </c>
      <c r="L140" s="17">
        <f t="shared" si="3"/>
        <v>452</v>
      </c>
      <c r="M140" s="18">
        <f t="shared" si="4"/>
        <v>450</v>
      </c>
      <c r="N140" s="14">
        <f t="shared" ref="N140:N184" si="348">IF(F140&lt;&gt;"",F140,0)</f>
        <v>452</v>
      </c>
      <c r="O140" s="15">
        <f t="shared" si="343"/>
        <v>482</v>
      </c>
      <c r="P140" s="17">
        <f t="shared" si="6"/>
        <v>424</v>
      </c>
      <c r="Q140" s="18">
        <f t="shared" si="7"/>
        <v>482</v>
      </c>
      <c r="R140" s="4" t="s">
        <v>0</v>
      </c>
      <c r="S140" s="16" t="str">
        <f t="shared" si="8"/>
        <v>05-01</v>
      </c>
      <c r="T140" s="14">
        <f t="shared" si="9"/>
        <v>424</v>
      </c>
      <c r="U140" s="18">
        <f t="shared" si="10"/>
        <v>300</v>
      </c>
      <c r="V140" s="14">
        <f t="shared" si="188"/>
        <v>452</v>
      </c>
      <c r="W140" s="18">
        <f t="shared" si="11"/>
        <v>300</v>
      </c>
      <c r="X140" s="14">
        <f t="shared" si="189"/>
        <v>452</v>
      </c>
      <c r="Y140" s="18">
        <f t="shared" si="12"/>
        <v>268</v>
      </c>
      <c r="Z140" s="14">
        <f t="shared" si="190"/>
        <v>424</v>
      </c>
      <c r="AA140" s="18">
        <f t="shared" si="13"/>
        <v>268</v>
      </c>
      <c r="AB140" s="4" t="s">
        <v>0</v>
      </c>
    </row>
    <row r="141" spans="1:28">
      <c r="A141" s="9" t="s">
        <v>158</v>
      </c>
      <c r="B141" s="24"/>
      <c r="C141" s="26">
        <v>8</v>
      </c>
      <c r="D141" s="25">
        <f t="shared" ref="D141" si="349">D126</f>
        <v>39</v>
      </c>
      <c r="E141" s="28">
        <f t="shared" ref="E141" si="350">ROUND(E$21+41.2*$C141, 0)</f>
        <v>492</v>
      </c>
      <c r="F141" s="25">
        <f t="shared" ref="F141" si="351">F126</f>
        <v>66</v>
      </c>
      <c r="G141" s="28">
        <f t="shared" ref="G141" si="352">ROUND(G$21+41.2*$C141, 0)</f>
        <v>524</v>
      </c>
      <c r="H141" s="4" t="s">
        <v>0</v>
      </c>
      <c r="I141" s="16" t="str">
        <f t="shared" si="0"/>
        <v>03-18</v>
      </c>
      <c r="J141" s="14">
        <f t="shared" si="347"/>
        <v>39</v>
      </c>
      <c r="K141" s="15">
        <f t="shared" si="342"/>
        <v>492</v>
      </c>
      <c r="L141" s="17">
        <f t="shared" si="3"/>
        <v>66</v>
      </c>
      <c r="M141" s="18">
        <f t="shared" si="4"/>
        <v>492</v>
      </c>
      <c r="N141" s="14">
        <f t="shared" si="348"/>
        <v>66</v>
      </c>
      <c r="O141" s="15">
        <f t="shared" si="343"/>
        <v>524</v>
      </c>
      <c r="P141" s="17">
        <f t="shared" si="6"/>
        <v>39</v>
      </c>
      <c r="Q141" s="18">
        <f t="shared" si="7"/>
        <v>524</v>
      </c>
      <c r="R141" s="4" t="s">
        <v>0</v>
      </c>
      <c r="S141" s="16" t="str">
        <f t="shared" si="8"/>
        <v>03-18</v>
      </c>
      <c r="T141" s="14">
        <f t="shared" si="9"/>
        <v>39</v>
      </c>
      <c r="U141" s="18">
        <f t="shared" si="10"/>
        <v>258</v>
      </c>
      <c r="V141" s="14">
        <f t="shared" si="188"/>
        <v>66</v>
      </c>
      <c r="W141" s="18">
        <f t="shared" si="11"/>
        <v>258</v>
      </c>
      <c r="X141" s="14">
        <f t="shared" si="189"/>
        <v>66</v>
      </c>
      <c r="Y141" s="18">
        <f t="shared" si="12"/>
        <v>226</v>
      </c>
      <c r="Z141" s="14">
        <f t="shared" si="190"/>
        <v>39</v>
      </c>
      <c r="AA141" s="18">
        <f t="shared" si="13"/>
        <v>226</v>
      </c>
      <c r="AB141" s="4" t="s">
        <v>0</v>
      </c>
    </row>
    <row r="142" spans="1:28">
      <c r="A142" s="9" t="s">
        <v>157</v>
      </c>
      <c r="B142" s="24"/>
      <c r="C142" s="26"/>
      <c r="D142" s="25">
        <f t="shared" ref="D142" si="353">D127</f>
        <v>66</v>
      </c>
      <c r="E142" s="29">
        <f t="shared" ref="E142" si="354">E141</f>
        <v>492</v>
      </c>
      <c r="F142" s="25">
        <f t="shared" ref="F142" si="355">F127</f>
        <v>93</v>
      </c>
      <c r="G142" s="29">
        <f t="shared" ref="G142" si="356">G141</f>
        <v>524</v>
      </c>
      <c r="H142" s="4" t="s">
        <v>0</v>
      </c>
      <c r="I142" s="16" t="str">
        <f t="shared" si="0"/>
        <v>03-17</v>
      </c>
      <c r="J142" s="14">
        <f t="shared" si="347"/>
        <v>66</v>
      </c>
      <c r="K142" s="15">
        <f t="shared" si="342"/>
        <v>492</v>
      </c>
      <c r="L142" s="17">
        <f t="shared" si="3"/>
        <v>93</v>
      </c>
      <c r="M142" s="18">
        <f t="shared" si="4"/>
        <v>492</v>
      </c>
      <c r="N142" s="14">
        <f t="shared" si="348"/>
        <v>93</v>
      </c>
      <c r="O142" s="15">
        <f t="shared" si="343"/>
        <v>524</v>
      </c>
      <c r="P142" s="17">
        <f t="shared" si="6"/>
        <v>66</v>
      </c>
      <c r="Q142" s="18">
        <f t="shared" si="7"/>
        <v>524</v>
      </c>
      <c r="R142" s="4" t="s">
        <v>0</v>
      </c>
      <c r="S142" s="16" t="str">
        <f t="shared" si="8"/>
        <v>03-17</v>
      </c>
      <c r="T142" s="14">
        <f t="shared" si="9"/>
        <v>66</v>
      </c>
      <c r="U142" s="18">
        <f t="shared" si="10"/>
        <v>258</v>
      </c>
      <c r="V142" s="14">
        <f t="shared" si="188"/>
        <v>93</v>
      </c>
      <c r="W142" s="18">
        <f t="shared" si="11"/>
        <v>258</v>
      </c>
      <c r="X142" s="14">
        <f t="shared" si="189"/>
        <v>93</v>
      </c>
      <c r="Y142" s="18">
        <f t="shared" si="12"/>
        <v>226</v>
      </c>
      <c r="Z142" s="14">
        <f t="shared" si="190"/>
        <v>66</v>
      </c>
      <c r="AA142" s="18">
        <f t="shared" si="13"/>
        <v>226</v>
      </c>
      <c r="AB142" s="4" t="s">
        <v>0</v>
      </c>
    </row>
    <row r="143" spans="1:28">
      <c r="A143" s="9" t="s">
        <v>156</v>
      </c>
      <c r="B143" s="24"/>
      <c r="C143" s="4"/>
      <c r="D143" s="25">
        <f t="shared" ref="D143" si="357">D128</f>
        <v>94</v>
      </c>
      <c r="E143" s="29">
        <f t="shared" ref="E143" si="358">E142</f>
        <v>492</v>
      </c>
      <c r="F143" s="25">
        <f t="shared" ref="F143" si="359">F128</f>
        <v>121</v>
      </c>
      <c r="G143" s="29">
        <f t="shared" si="305"/>
        <v>524</v>
      </c>
      <c r="H143" s="4" t="s">
        <v>0</v>
      </c>
      <c r="I143" s="16" t="str">
        <f t="shared" si="0"/>
        <v>03-16</v>
      </c>
      <c r="J143" s="14">
        <f t="shared" si="347"/>
        <v>94</v>
      </c>
      <c r="K143" s="15">
        <f t="shared" si="342"/>
        <v>492</v>
      </c>
      <c r="L143" s="17">
        <f t="shared" si="3"/>
        <v>121</v>
      </c>
      <c r="M143" s="18">
        <f t="shared" si="4"/>
        <v>492</v>
      </c>
      <c r="N143" s="14">
        <f t="shared" si="348"/>
        <v>121</v>
      </c>
      <c r="O143" s="15">
        <f t="shared" si="343"/>
        <v>524</v>
      </c>
      <c r="P143" s="17">
        <f t="shared" si="6"/>
        <v>94</v>
      </c>
      <c r="Q143" s="18">
        <f t="shared" si="7"/>
        <v>524</v>
      </c>
      <c r="R143" s="4" t="s">
        <v>0</v>
      </c>
      <c r="S143" s="16" t="str">
        <f t="shared" si="8"/>
        <v>03-16</v>
      </c>
      <c r="T143" s="14">
        <f t="shared" si="9"/>
        <v>94</v>
      </c>
      <c r="U143" s="18">
        <f t="shared" si="10"/>
        <v>258</v>
      </c>
      <c r="V143" s="14">
        <f t="shared" si="188"/>
        <v>121</v>
      </c>
      <c r="W143" s="18">
        <f t="shared" si="11"/>
        <v>258</v>
      </c>
      <c r="X143" s="14">
        <f t="shared" si="189"/>
        <v>121</v>
      </c>
      <c r="Y143" s="18">
        <f t="shared" si="12"/>
        <v>226</v>
      </c>
      <c r="Z143" s="14">
        <f t="shared" si="190"/>
        <v>94</v>
      </c>
      <c r="AA143" s="18">
        <f t="shared" si="13"/>
        <v>226</v>
      </c>
      <c r="AB143" s="4" t="s">
        <v>0</v>
      </c>
    </row>
    <row r="144" spans="1:28">
      <c r="A144" s="9" t="s">
        <v>155</v>
      </c>
      <c r="B144" s="24"/>
      <c r="C144" s="4"/>
      <c r="D144" s="25">
        <f t="shared" ref="D144" si="360">D129</f>
        <v>121</v>
      </c>
      <c r="E144" s="29">
        <f t="shared" ref="E144" si="361">E143</f>
        <v>492</v>
      </c>
      <c r="F144" s="25">
        <f t="shared" ref="F144" si="362">F129</f>
        <v>148</v>
      </c>
      <c r="G144" s="29">
        <f t="shared" si="305"/>
        <v>524</v>
      </c>
      <c r="H144" s="4" t="s">
        <v>0</v>
      </c>
      <c r="I144" s="16" t="str">
        <f t="shared" si="0"/>
        <v>03-15</v>
      </c>
      <c r="J144" s="14">
        <f t="shared" si="347"/>
        <v>121</v>
      </c>
      <c r="K144" s="15">
        <f t="shared" si="342"/>
        <v>492</v>
      </c>
      <c r="L144" s="17">
        <f t="shared" si="3"/>
        <v>148</v>
      </c>
      <c r="M144" s="18">
        <f t="shared" si="4"/>
        <v>492</v>
      </c>
      <c r="N144" s="14">
        <f t="shared" si="348"/>
        <v>148</v>
      </c>
      <c r="O144" s="15">
        <f t="shared" si="343"/>
        <v>524</v>
      </c>
      <c r="P144" s="17">
        <f t="shared" si="6"/>
        <v>121</v>
      </c>
      <c r="Q144" s="18">
        <f t="shared" si="7"/>
        <v>524</v>
      </c>
      <c r="R144" s="4" t="s">
        <v>0</v>
      </c>
      <c r="S144" s="16" t="str">
        <f t="shared" si="8"/>
        <v>03-15</v>
      </c>
      <c r="T144" s="14">
        <f t="shared" si="9"/>
        <v>121</v>
      </c>
      <c r="U144" s="18">
        <f t="shared" si="10"/>
        <v>258</v>
      </c>
      <c r="V144" s="14">
        <f t="shared" si="188"/>
        <v>148</v>
      </c>
      <c r="W144" s="18">
        <f t="shared" si="11"/>
        <v>258</v>
      </c>
      <c r="X144" s="14">
        <f t="shared" si="189"/>
        <v>148</v>
      </c>
      <c r="Y144" s="18">
        <f t="shared" si="12"/>
        <v>226</v>
      </c>
      <c r="Z144" s="14">
        <f t="shared" si="190"/>
        <v>121</v>
      </c>
      <c r="AA144" s="18">
        <f t="shared" si="13"/>
        <v>226</v>
      </c>
      <c r="AB144" s="4" t="s">
        <v>0</v>
      </c>
    </row>
    <row r="145" spans="1:28">
      <c r="A145" s="9" t="s">
        <v>154</v>
      </c>
      <c r="B145" s="24"/>
      <c r="C145" s="4"/>
      <c r="D145" s="25">
        <f t="shared" ref="D145" si="363">D130</f>
        <v>149</v>
      </c>
      <c r="E145" s="29">
        <f t="shared" ref="E145" si="364">E144</f>
        <v>492</v>
      </c>
      <c r="F145" s="25">
        <f t="shared" ref="F145" si="365">F130</f>
        <v>176</v>
      </c>
      <c r="G145" s="29">
        <f t="shared" si="305"/>
        <v>524</v>
      </c>
      <c r="H145" s="4" t="s">
        <v>0</v>
      </c>
      <c r="I145" s="16" t="str">
        <f t="shared" si="0"/>
        <v>03-13</v>
      </c>
      <c r="J145" s="14">
        <f t="shared" si="347"/>
        <v>149</v>
      </c>
      <c r="K145" s="15">
        <f t="shared" si="342"/>
        <v>492</v>
      </c>
      <c r="L145" s="17">
        <f t="shared" si="3"/>
        <v>176</v>
      </c>
      <c r="M145" s="18">
        <f t="shared" si="4"/>
        <v>492</v>
      </c>
      <c r="N145" s="14">
        <f t="shared" si="348"/>
        <v>176</v>
      </c>
      <c r="O145" s="15">
        <f t="shared" si="343"/>
        <v>524</v>
      </c>
      <c r="P145" s="17">
        <f t="shared" si="6"/>
        <v>149</v>
      </c>
      <c r="Q145" s="18">
        <f t="shared" si="7"/>
        <v>524</v>
      </c>
      <c r="R145" s="4" t="s">
        <v>0</v>
      </c>
      <c r="S145" s="16" t="str">
        <f t="shared" si="8"/>
        <v>03-13</v>
      </c>
      <c r="T145" s="14">
        <f t="shared" si="9"/>
        <v>149</v>
      </c>
      <c r="U145" s="18">
        <f t="shared" si="10"/>
        <v>258</v>
      </c>
      <c r="V145" s="14">
        <f t="shared" si="188"/>
        <v>176</v>
      </c>
      <c r="W145" s="18">
        <f t="shared" si="11"/>
        <v>258</v>
      </c>
      <c r="X145" s="14">
        <f t="shared" si="189"/>
        <v>176</v>
      </c>
      <c r="Y145" s="18">
        <f t="shared" si="12"/>
        <v>226</v>
      </c>
      <c r="Z145" s="14">
        <f t="shared" si="190"/>
        <v>149</v>
      </c>
      <c r="AA145" s="18">
        <f t="shared" si="13"/>
        <v>226</v>
      </c>
      <c r="AB145" s="4" t="s">
        <v>0</v>
      </c>
    </row>
    <row r="146" spans="1:28">
      <c r="A146" s="9" t="s">
        <v>39</v>
      </c>
      <c r="B146" s="24"/>
      <c r="C146" s="4"/>
      <c r="D146" s="25">
        <f t="shared" ref="D146" si="366">D131</f>
        <v>176</v>
      </c>
      <c r="E146" s="29">
        <f t="shared" ref="E146" si="367">E145</f>
        <v>492</v>
      </c>
      <c r="F146" s="25">
        <f t="shared" ref="F146" si="368">F131</f>
        <v>203</v>
      </c>
      <c r="G146" s="29">
        <f t="shared" si="270"/>
        <v>524</v>
      </c>
      <c r="H146" s="4" t="s">
        <v>0</v>
      </c>
      <c r="I146" s="16" t="str">
        <f t="shared" si="0"/>
        <v>03-12</v>
      </c>
      <c r="J146" s="14">
        <f t="shared" si="347"/>
        <v>176</v>
      </c>
      <c r="K146" s="15">
        <f t="shared" si="342"/>
        <v>492</v>
      </c>
      <c r="L146" s="17">
        <f t="shared" si="3"/>
        <v>203</v>
      </c>
      <c r="M146" s="18">
        <f t="shared" si="4"/>
        <v>492</v>
      </c>
      <c r="N146" s="14">
        <f t="shared" si="348"/>
        <v>203</v>
      </c>
      <c r="O146" s="15">
        <f t="shared" si="343"/>
        <v>524</v>
      </c>
      <c r="P146" s="17">
        <f t="shared" si="6"/>
        <v>176</v>
      </c>
      <c r="Q146" s="18">
        <f t="shared" si="7"/>
        <v>524</v>
      </c>
      <c r="R146" s="4" t="s">
        <v>0</v>
      </c>
      <c r="S146" s="16" t="str">
        <f t="shared" si="8"/>
        <v>03-12</v>
      </c>
      <c r="T146" s="14">
        <f t="shared" si="9"/>
        <v>176</v>
      </c>
      <c r="U146" s="18">
        <f t="shared" si="10"/>
        <v>258</v>
      </c>
      <c r="V146" s="14">
        <f t="shared" si="188"/>
        <v>203</v>
      </c>
      <c r="W146" s="18">
        <f t="shared" si="11"/>
        <v>258</v>
      </c>
      <c r="X146" s="14">
        <f t="shared" si="189"/>
        <v>203</v>
      </c>
      <c r="Y146" s="18">
        <f t="shared" si="12"/>
        <v>226</v>
      </c>
      <c r="Z146" s="14">
        <f t="shared" si="190"/>
        <v>176</v>
      </c>
      <c r="AA146" s="18">
        <f t="shared" si="13"/>
        <v>226</v>
      </c>
      <c r="AB146" s="4" t="s">
        <v>0</v>
      </c>
    </row>
    <row r="147" spans="1:28">
      <c r="A147" s="9" t="s">
        <v>38</v>
      </c>
      <c r="B147" s="24"/>
      <c r="C147" s="4"/>
      <c r="D147" s="25">
        <f t="shared" ref="D147" si="369">D132</f>
        <v>203</v>
      </c>
      <c r="E147" s="29">
        <f t="shared" ref="E147" si="370">E146</f>
        <v>492</v>
      </c>
      <c r="F147" s="25">
        <f t="shared" ref="F147" si="371">F132</f>
        <v>230</v>
      </c>
      <c r="G147" s="29">
        <f t="shared" si="270"/>
        <v>524</v>
      </c>
      <c r="H147" s="4" t="s">
        <v>0</v>
      </c>
      <c r="I147" s="16" t="str">
        <f t="shared" si="0"/>
        <v>03-11</v>
      </c>
      <c r="J147" s="14">
        <f t="shared" si="347"/>
        <v>203</v>
      </c>
      <c r="K147" s="15">
        <f t="shared" si="342"/>
        <v>492</v>
      </c>
      <c r="L147" s="17">
        <f t="shared" si="3"/>
        <v>230</v>
      </c>
      <c r="M147" s="18">
        <f t="shared" si="4"/>
        <v>492</v>
      </c>
      <c r="N147" s="14">
        <f t="shared" si="348"/>
        <v>230</v>
      </c>
      <c r="O147" s="15">
        <f t="shared" si="343"/>
        <v>524</v>
      </c>
      <c r="P147" s="17">
        <f t="shared" si="6"/>
        <v>203</v>
      </c>
      <c r="Q147" s="18">
        <f t="shared" si="7"/>
        <v>524</v>
      </c>
      <c r="R147" s="4" t="s">
        <v>0</v>
      </c>
      <c r="S147" s="16" t="str">
        <f t="shared" si="8"/>
        <v>03-11</v>
      </c>
      <c r="T147" s="14">
        <f t="shared" si="9"/>
        <v>203</v>
      </c>
      <c r="U147" s="18">
        <f t="shared" si="10"/>
        <v>258</v>
      </c>
      <c r="V147" s="14">
        <f t="shared" si="188"/>
        <v>230</v>
      </c>
      <c r="W147" s="18">
        <f t="shared" si="11"/>
        <v>258</v>
      </c>
      <c r="X147" s="14">
        <f t="shared" si="189"/>
        <v>230</v>
      </c>
      <c r="Y147" s="18">
        <f t="shared" si="12"/>
        <v>226</v>
      </c>
      <c r="Z147" s="14">
        <f t="shared" si="190"/>
        <v>203</v>
      </c>
      <c r="AA147" s="18">
        <f t="shared" si="13"/>
        <v>226</v>
      </c>
      <c r="AB147" s="4" t="s">
        <v>0</v>
      </c>
    </row>
    <row r="148" spans="1:28">
      <c r="A148" s="9" t="s">
        <v>37</v>
      </c>
      <c r="B148" s="24"/>
      <c r="C148" s="4"/>
      <c r="D148" s="25">
        <f t="shared" ref="D148" si="372">D133</f>
        <v>231</v>
      </c>
      <c r="E148" s="29">
        <f t="shared" ref="E148" si="373">E147</f>
        <v>492</v>
      </c>
      <c r="F148" s="25">
        <f t="shared" ref="F148" si="374">F133</f>
        <v>258</v>
      </c>
      <c r="G148" s="29">
        <f t="shared" si="270"/>
        <v>524</v>
      </c>
      <c r="H148" s="4" t="s">
        <v>0</v>
      </c>
      <c r="I148" s="16" t="str">
        <f t="shared" si="0"/>
        <v>03-10</v>
      </c>
      <c r="J148" s="14">
        <f t="shared" si="347"/>
        <v>231</v>
      </c>
      <c r="K148" s="15">
        <f t="shared" si="342"/>
        <v>492</v>
      </c>
      <c r="L148" s="17">
        <f t="shared" si="3"/>
        <v>258</v>
      </c>
      <c r="M148" s="18">
        <f t="shared" si="4"/>
        <v>492</v>
      </c>
      <c r="N148" s="14">
        <f t="shared" si="348"/>
        <v>258</v>
      </c>
      <c r="O148" s="15">
        <f t="shared" si="343"/>
        <v>524</v>
      </c>
      <c r="P148" s="17">
        <f t="shared" si="6"/>
        <v>231</v>
      </c>
      <c r="Q148" s="18">
        <f t="shared" si="7"/>
        <v>524</v>
      </c>
      <c r="R148" s="4" t="s">
        <v>0</v>
      </c>
      <c r="S148" s="16" t="str">
        <f t="shared" si="8"/>
        <v>03-10</v>
      </c>
      <c r="T148" s="14">
        <f t="shared" si="9"/>
        <v>231</v>
      </c>
      <c r="U148" s="18">
        <f t="shared" si="10"/>
        <v>258</v>
      </c>
      <c r="V148" s="14">
        <f t="shared" si="188"/>
        <v>258</v>
      </c>
      <c r="W148" s="18">
        <f t="shared" si="11"/>
        <v>258</v>
      </c>
      <c r="X148" s="14">
        <f t="shared" si="189"/>
        <v>258</v>
      </c>
      <c r="Y148" s="18">
        <f t="shared" si="12"/>
        <v>226</v>
      </c>
      <c r="Z148" s="14">
        <f t="shared" si="190"/>
        <v>231</v>
      </c>
      <c r="AA148" s="18">
        <f t="shared" si="13"/>
        <v>226</v>
      </c>
      <c r="AB148" s="4" t="s">
        <v>0</v>
      </c>
    </row>
    <row r="149" spans="1:28">
      <c r="A149" s="9" t="s">
        <v>36</v>
      </c>
      <c r="B149" s="24"/>
      <c r="C149" s="4"/>
      <c r="D149" s="25">
        <f t="shared" ref="D149" si="375">D134</f>
        <v>258</v>
      </c>
      <c r="E149" s="29">
        <f t="shared" ref="E149" si="376">E148</f>
        <v>492</v>
      </c>
      <c r="F149" s="25">
        <f t="shared" ref="F149" si="377">F134</f>
        <v>285</v>
      </c>
      <c r="G149" s="29">
        <f t="shared" si="270"/>
        <v>524</v>
      </c>
      <c r="H149" s="4" t="s">
        <v>0</v>
      </c>
      <c r="I149" s="16" t="str">
        <f t="shared" si="0"/>
        <v>03-08</v>
      </c>
      <c r="J149" s="14">
        <f t="shared" si="347"/>
        <v>258</v>
      </c>
      <c r="K149" s="15">
        <f t="shared" si="342"/>
        <v>492</v>
      </c>
      <c r="L149" s="17">
        <f t="shared" si="3"/>
        <v>285</v>
      </c>
      <c r="M149" s="18">
        <f t="shared" si="4"/>
        <v>492</v>
      </c>
      <c r="N149" s="14">
        <f t="shared" si="348"/>
        <v>285</v>
      </c>
      <c r="O149" s="15">
        <f t="shared" si="343"/>
        <v>524</v>
      </c>
      <c r="P149" s="17">
        <f t="shared" si="6"/>
        <v>258</v>
      </c>
      <c r="Q149" s="18">
        <f t="shared" si="7"/>
        <v>524</v>
      </c>
      <c r="R149" s="4" t="s">
        <v>0</v>
      </c>
      <c r="S149" s="16" t="str">
        <f t="shared" si="8"/>
        <v>03-08</v>
      </c>
      <c r="T149" s="14">
        <f t="shared" si="9"/>
        <v>258</v>
      </c>
      <c r="U149" s="18">
        <f t="shared" si="10"/>
        <v>258</v>
      </c>
      <c r="V149" s="14">
        <f t="shared" si="188"/>
        <v>285</v>
      </c>
      <c r="W149" s="18">
        <f t="shared" si="11"/>
        <v>258</v>
      </c>
      <c r="X149" s="14">
        <f t="shared" si="189"/>
        <v>285</v>
      </c>
      <c r="Y149" s="18">
        <f t="shared" si="12"/>
        <v>226</v>
      </c>
      <c r="Z149" s="14">
        <f t="shared" si="190"/>
        <v>258</v>
      </c>
      <c r="AA149" s="18">
        <f t="shared" si="13"/>
        <v>226</v>
      </c>
      <c r="AB149" s="4" t="s">
        <v>0</v>
      </c>
    </row>
    <row r="150" spans="1:28">
      <c r="A150" s="9" t="s">
        <v>35</v>
      </c>
      <c r="B150" s="24"/>
      <c r="C150" s="4"/>
      <c r="D150" s="25">
        <f t="shared" ref="D150" si="378">D135</f>
        <v>286</v>
      </c>
      <c r="E150" s="29">
        <f t="shared" ref="E150" si="379">E149</f>
        <v>492</v>
      </c>
      <c r="F150" s="25">
        <f t="shared" ref="F150" si="380">F135</f>
        <v>313</v>
      </c>
      <c r="G150" s="29">
        <f t="shared" si="270"/>
        <v>524</v>
      </c>
      <c r="H150" s="4" t="s">
        <v>0</v>
      </c>
      <c r="I150" s="16" t="str">
        <f t="shared" si="0"/>
        <v>03-07</v>
      </c>
      <c r="J150" s="14">
        <f t="shared" si="347"/>
        <v>286</v>
      </c>
      <c r="K150" s="15">
        <f t="shared" si="342"/>
        <v>492</v>
      </c>
      <c r="L150" s="17">
        <f t="shared" si="3"/>
        <v>313</v>
      </c>
      <c r="M150" s="18">
        <f t="shared" si="4"/>
        <v>492</v>
      </c>
      <c r="N150" s="14">
        <f t="shared" si="348"/>
        <v>313</v>
      </c>
      <c r="O150" s="15">
        <f t="shared" si="343"/>
        <v>524</v>
      </c>
      <c r="P150" s="17">
        <f t="shared" si="6"/>
        <v>286</v>
      </c>
      <c r="Q150" s="18">
        <f t="shared" si="7"/>
        <v>524</v>
      </c>
      <c r="R150" s="4" t="s">
        <v>0</v>
      </c>
      <c r="S150" s="16" t="str">
        <f t="shared" si="8"/>
        <v>03-07</v>
      </c>
      <c r="T150" s="14">
        <f t="shared" si="9"/>
        <v>286</v>
      </c>
      <c r="U150" s="18">
        <f t="shared" si="10"/>
        <v>258</v>
      </c>
      <c r="V150" s="14">
        <f t="shared" si="188"/>
        <v>313</v>
      </c>
      <c r="W150" s="18">
        <f t="shared" si="11"/>
        <v>258</v>
      </c>
      <c r="X150" s="14">
        <f t="shared" si="189"/>
        <v>313</v>
      </c>
      <c r="Y150" s="18">
        <f t="shared" si="12"/>
        <v>226</v>
      </c>
      <c r="Z150" s="14">
        <f t="shared" si="190"/>
        <v>286</v>
      </c>
      <c r="AA150" s="18">
        <f t="shared" si="13"/>
        <v>226</v>
      </c>
      <c r="AB150" s="4" t="s">
        <v>0</v>
      </c>
    </row>
    <row r="151" spans="1:28">
      <c r="A151" s="9" t="s">
        <v>34</v>
      </c>
      <c r="B151" s="24"/>
      <c r="C151" s="4"/>
      <c r="D151" s="25">
        <f t="shared" ref="D151" si="381">D136</f>
        <v>313</v>
      </c>
      <c r="E151" s="29">
        <f t="shared" ref="E151" si="382">E150</f>
        <v>492</v>
      </c>
      <c r="F151" s="25">
        <f t="shared" ref="F151" si="383">F136</f>
        <v>341</v>
      </c>
      <c r="G151" s="29">
        <f t="shared" si="270"/>
        <v>524</v>
      </c>
      <c r="H151" s="4" t="s">
        <v>0</v>
      </c>
      <c r="I151" s="16" t="str">
        <f t="shared" si="0"/>
        <v>03-06</v>
      </c>
      <c r="J151" s="14">
        <f t="shared" si="347"/>
        <v>313</v>
      </c>
      <c r="K151" s="15">
        <f t="shared" si="342"/>
        <v>492</v>
      </c>
      <c r="L151" s="17">
        <f t="shared" si="3"/>
        <v>341</v>
      </c>
      <c r="M151" s="18">
        <f t="shared" si="4"/>
        <v>492</v>
      </c>
      <c r="N151" s="14">
        <f t="shared" si="348"/>
        <v>341</v>
      </c>
      <c r="O151" s="15">
        <f t="shared" si="343"/>
        <v>524</v>
      </c>
      <c r="P151" s="17">
        <f t="shared" si="6"/>
        <v>313</v>
      </c>
      <c r="Q151" s="18">
        <f t="shared" si="7"/>
        <v>524</v>
      </c>
      <c r="R151" s="4" t="s">
        <v>0</v>
      </c>
      <c r="S151" s="16" t="str">
        <f t="shared" si="8"/>
        <v>03-06</v>
      </c>
      <c r="T151" s="14">
        <f t="shared" si="9"/>
        <v>313</v>
      </c>
      <c r="U151" s="18">
        <f t="shared" si="10"/>
        <v>258</v>
      </c>
      <c r="V151" s="14">
        <f t="shared" si="188"/>
        <v>341</v>
      </c>
      <c r="W151" s="18">
        <f t="shared" si="11"/>
        <v>258</v>
      </c>
      <c r="X151" s="14">
        <f t="shared" si="189"/>
        <v>341</v>
      </c>
      <c r="Y151" s="18">
        <f t="shared" si="12"/>
        <v>226</v>
      </c>
      <c r="Z151" s="14">
        <f t="shared" si="190"/>
        <v>313</v>
      </c>
      <c r="AA151" s="18">
        <f t="shared" si="13"/>
        <v>226</v>
      </c>
      <c r="AB151" s="4" t="s">
        <v>0</v>
      </c>
    </row>
    <row r="152" spans="1:28">
      <c r="A152" s="9" t="s">
        <v>33</v>
      </c>
      <c r="B152" s="24"/>
      <c r="C152" s="4"/>
      <c r="D152" s="25">
        <f t="shared" ref="D152" si="384">D137</f>
        <v>341</v>
      </c>
      <c r="E152" s="29">
        <f t="shared" ref="E152" si="385">E151</f>
        <v>492</v>
      </c>
      <c r="F152" s="25">
        <f t="shared" ref="F152" si="386">F137</f>
        <v>369</v>
      </c>
      <c r="G152" s="29">
        <f t="shared" si="270"/>
        <v>524</v>
      </c>
      <c r="H152" s="4" t="s">
        <v>0</v>
      </c>
      <c r="I152" s="16" t="str">
        <f t="shared" si="0"/>
        <v>03-05</v>
      </c>
      <c r="J152" s="14">
        <f t="shared" si="347"/>
        <v>341</v>
      </c>
      <c r="K152" s="15">
        <f t="shared" si="342"/>
        <v>492</v>
      </c>
      <c r="L152" s="17">
        <f t="shared" si="3"/>
        <v>369</v>
      </c>
      <c r="M152" s="18">
        <f t="shared" si="4"/>
        <v>492</v>
      </c>
      <c r="N152" s="14">
        <f t="shared" si="348"/>
        <v>369</v>
      </c>
      <c r="O152" s="15">
        <f t="shared" si="343"/>
        <v>524</v>
      </c>
      <c r="P152" s="17">
        <f t="shared" si="6"/>
        <v>341</v>
      </c>
      <c r="Q152" s="18">
        <f t="shared" si="7"/>
        <v>524</v>
      </c>
      <c r="R152" s="4" t="s">
        <v>0</v>
      </c>
      <c r="S152" s="16" t="str">
        <f t="shared" si="8"/>
        <v>03-05</v>
      </c>
      <c r="T152" s="14">
        <f t="shared" si="9"/>
        <v>341</v>
      </c>
      <c r="U152" s="18">
        <f t="shared" si="10"/>
        <v>258</v>
      </c>
      <c r="V152" s="14">
        <f t="shared" si="188"/>
        <v>369</v>
      </c>
      <c r="W152" s="18">
        <f t="shared" si="11"/>
        <v>258</v>
      </c>
      <c r="X152" s="14">
        <f t="shared" si="189"/>
        <v>369</v>
      </c>
      <c r="Y152" s="18">
        <f t="shared" si="12"/>
        <v>226</v>
      </c>
      <c r="Z152" s="14">
        <f t="shared" si="190"/>
        <v>341</v>
      </c>
      <c r="AA152" s="18">
        <f t="shared" si="13"/>
        <v>226</v>
      </c>
      <c r="AB152" s="4" t="s">
        <v>0</v>
      </c>
    </row>
    <row r="153" spans="1:28">
      <c r="A153" s="9" t="s">
        <v>32</v>
      </c>
      <c r="B153" s="24"/>
      <c r="C153" s="4"/>
      <c r="D153" s="25">
        <f t="shared" ref="D153" si="387">D138</f>
        <v>369</v>
      </c>
      <c r="E153" s="29">
        <f t="shared" ref="E153" si="388">E152</f>
        <v>492</v>
      </c>
      <c r="F153" s="25">
        <f t="shared" ref="F153" si="389">F138</f>
        <v>397</v>
      </c>
      <c r="G153" s="29">
        <f t="shared" si="270"/>
        <v>524</v>
      </c>
      <c r="H153" s="4" t="s">
        <v>0</v>
      </c>
      <c r="I153" s="16" t="str">
        <f t="shared" si="0"/>
        <v>03-03</v>
      </c>
      <c r="J153" s="14">
        <f t="shared" si="347"/>
        <v>369</v>
      </c>
      <c r="K153" s="15">
        <f t="shared" si="342"/>
        <v>492</v>
      </c>
      <c r="L153" s="17">
        <f t="shared" si="3"/>
        <v>397</v>
      </c>
      <c r="M153" s="18">
        <f t="shared" si="4"/>
        <v>492</v>
      </c>
      <c r="N153" s="14">
        <f t="shared" si="348"/>
        <v>397</v>
      </c>
      <c r="O153" s="15">
        <f t="shared" si="343"/>
        <v>524</v>
      </c>
      <c r="P153" s="17">
        <f t="shared" si="6"/>
        <v>369</v>
      </c>
      <c r="Q153" s="18">
        <f t="shared" si="7"/>
        <v>524</v>
      </c>
      <c r="R153" s="4" t="s">
        <v>0</v>
      </c>
      <c r="S153" s="16" t="str">
        <f t="shared" si="8"/>
        <v>03-03</v>
      </c>
      <c r="T153" s="14">
        <f t="shared" si="9"/>
        <v>369</v>
      </c>
      <c r="U153" s="18">
        <f t="shared" si="10"/>
        <v>258</v>
      </c>
      <c r="V153" s="14">
        <f t="shared" si="188"/>
        <v>397</v>
      </c>
      <c r="W153" s="18">
        <f t="shared" si="11"/>
        <v>258</v>
      </c>
      <c r="X153" s="14">
        <f t="shared" si="189"/>
        <v>397</v>
      </c>
      <c r="Y153" s="18">
        <f t="shared" si="12"/>
        <v>226</v>
      </c>
      <c r="Z153" s="14">
        <f t="shared" si="190"/>
        <v>369</v>
      </c>
      <c r="AA153" s="18">
        <f t="shared" si="13"/>
        <v>226</v>
      </c>
      <c r="AB153" s="4" t="s">
        <v>0</v>
      </c>
    </row>
    <row r="154" spans="1:28">
      <c r="A154" s="9" t="s">
        <v>31</v>
      </c>
      <c r="B154" s="24"/>
      <c r="C154" s="4"/>
      <c r="D154" s="25">
        <f t="shared" ref="D154" si="390">D139</f>
        <v>396</v>
      </c>
      <c r="E154" s="29">
        <f t="shared" ref="E154" si="391">E153</f>
        <v>492</v>
      </c>
      <c r="F154" s="25">
        <f t="shared" ref="F154" si="392">F139</f>
        <v>424</v>
      </c>
      <c r="G154" s="29">
        <f t="shared" si="270"/>
        <v>524</v>
      </c>
      <c r="H154" s="4" t="s">
        <v>0</v>
      </c>
      <c r="I154" s="16" t="str">
        <f t="shared" si="0"/>
        <v>03-02</v>
      </c>
      <c r="J154" s="14">
        <f t="shared" si="347"/>
        <v>396</v>
      </c>
      <c r="K154" s="15">
        <f t="shared" si="342"/>
        <v>492</v>
      </c>
      <c r="L154" s="17">
        <f t="shared" si="3"/>
        <v>424</v>
      </c>
      <c r="M154" s="18">
        <f t="shared" si="4"/>
        <v>492</v>
      </c>
      <c r="N154" s="14">
        <f t="shared" si="348"/>
        <v>424</v>
      </c>
      <c r="O154" s="15">
        <f t="shared" si="343"/>
        <v>524</v>
      </c>
      <c r="P154" s="17">
        <f t="shared" si="6"/>
        <v>396</v>
      </c>
      <c r="Q154" s="18">
        <f t="shared" si="7"/>
        <v>524</v>
      </c>
      <c r="R154" s="4" t="s">
        <v>0</v>
      </c>
      <c r="S154" s="16" t="str">
        <f t="shared" si="8"/>
        <v>03-02</v>
      </c>
      <c r="T154" s="14">
        <f t="shared" si="9"/>
        <v>396</v>
      </c>
      <c r="U154" s="18">
        <f t="shared" si="10"/>
        <v>258</v>
      </c>
      <c r="V154" s="14">
        <f t="shared" si="188"/>
        <v>424</v>
      </c>
      <c r="W154" s="18">
        <f t="shared" si="11"/>
        <v>258</v>
      </c>
      <c r="X154" s="14">
        <f t="shared" si="189"/>
        <v>424</v>
      </c>
      <c r="Y154" s="18">
        <f t="shared" si="12"/>
        <v>226</v>
      </c>
      <c r="Z154" s="14">
        <f t="shared" si="190"/>
        <v>396</v>
      </c>
      <c r="AA154" s="18">
        <f t="shared" si="13"/>
        <v>226</v>
      </c>
      <c r="AB154" s="4" t="s">
        <v>0</v>
      </c>
    </row>
    <row r="155" spans="1:28">
      <c r="A155" s="9" t="s">
        <v>30</v>
      </c>
      <c r="B155" s="24"/>
      <c r="C155" s="4"/>
      <c r="D155" s="25">
        <f t="shared" ref="D155" si="393">D140</f>
        <v>424</v>
      </c>
      <c r="E155" s="29">
        <f t="shared" ref="E155" si="394">E154</f>
        <v>492</v>
      </c>
      <c r="F155" s="25">
        <f t="shared" ref="F155" si="395">F140</f>
        <v>452</v>
      </c>
      <c r="G155" s="29">
        <f t="shared" si="270"/>
        <v>524</v>
      </c>
      <c r="H155" s="4" t="s">
        <v>0</v>
      </c>
      <c r="I155" s="16" t="str">
        <f t="shared" si="0"/>
        <v>03-01</v>
      </c>
      <c r="J155" s="14">
        <f t="shared" si="347"/>
        <v>424</v>
      </c>
      <c r="K155" s="15">
        <f t="shared" si="342"/>
        <v>492</v>
      </c>
      <c r="L155" s="17">
        <f t="shared" si="3"/>
        <v>452</v>
      </c>
      <c r="M155" s="18">
        <f t="shared" si="4"/>
        <v>492</v>
      </c>
      <c r="N155" s="14">
        <f t="shared" si="348"/>
        <v>452</v>
      </c>
      <c r="O155" s="15">
        <f t="shared" si="343"/>
        <v>524</v>
      </c>
      <c r="P155" s="17">
        <f t="shared" si="6"/>
        <v>424</v>
      </c>
      <c r="Q155" s="18">
        <f t="shared" si="7"/>
        <v>524</v>
      </c>
      <c r="R155" s="4" t="s">
        <v>0</v>
      </c>
      <c r="S155" s="16" t="str">
        <f t="shared" si="8"/>
        <v>03-01</v>
      </c>
      <c r="T155" s="14">
        <f t="shared" si="9"/>
        <v>424</v>
      </c>
      <c r="U155" s="18">
        <f t="shared" si="10"/>
        <v>258</v>
      </c>
      <c r="V155" s="14">
        <f t="shared" ref="V155:V184" si="396">IF(L155&lt;&gt;"",L155,"")</f>
        <v>452</v>
      </c>
      <c r="W155" s="18">
        <f t="shared" si="11"/>
        <v>258</v>
      </c>
      <c r="X155" s="14">
        <f t="shared" ref="X155:X184" si="397">IF(N155&lt;&gt;"",N155,"")</f>
        <v>452</v>
      </c>
      <c r="Y155" s="18">
        <f t="shared" si="12"/>
        <v>226</v>
      </c>
      <c r="Z155" s="14">
        <f t="shared" ref="Z155:Z184" si="398">IF(P155&lt;&gt;"",P155,"")</f>
        <v>424</v>
      </c>
      <c r="AA155" s="18">
        <f t="shared" si="13"/>
        <v>226</v>
      </c>
      <c r="AB155" s="4" t="s">
        <v>0</v>
      </c>
    </row>
    <row r="156" spans="1:28">
      <c r="A156" s="9" t="s">
        <v>152</v>
      </c>
      <c r="B156" s="24"/>
      <c r="C156" s="26">
        <v>9</v>
      </c>
      <c r="D156" s="25">
        <f t="shared" ref="D156" si="399">D141</f>
        <v>39</v>
      </c>
      <c r="E156" s="28">
        <f t="shared" ref="E156:E171" si="400">ROUND(E$21+41.2*$C156, 0)</f>
        <v>533</v>
      </c>
      <c r="F156" s="25">
        <f t="shared" ref="F156" si="401">F141</f>
        <v>66</v>
      </c>
      <c r="G156" s="28">
        <f t="shared" ref="G156:G171" si="402">ROUND(G$21+41.2*$C156, 0)</f>
        <v>565</v>
      </c>
      <c r="H156" s="4" t="s">
        <v>0</v>
      </c>
      <c r="I156" s="16" t="str">
        <f t="shared" si="0"/>
        <v>02-18</v>
      </c>
      <c r="J156" s="14">
        <f t="shared" si="347"/>
        <v>39</v>
      </c>
      <c r="K156" s="15">
        <f t="shared" si="342"/>
        <v>533</v>
      </c>
      <c r="L156" s="17">
        <f t="shared" si="3"/>
        <v>66</v>
      </c>
      <c r="M156" s="18">
        <f t="shared" si="4"/>
        <v>533</v>
      </c>
      <c r="N156" s="14">
        <f t="shared" si="348"/>
        <v>66</v>
      </c>
      <c r="O156" s="15">
        <f t="shared" si="343"/>
        <v>565</v>
      </c>
      <c r="P156" s="17">
        <f t="shared" si="6"/>
        <v>39</v>
      </c>
      <c r="Q156" s="18">
        <f t="shared" si="7"/>
        <v>565</v>
      </c>
      <c r="R156" s="4" t="s">
        <v>0</v>
      </c>
      <c r="S156" s="16" t="str">
        <f t="shared" si="8"/>
        <v>02-18</v>
      </c>
      <c r="T156" s="14">
        <f t="shared" si="9"/>
        <v>39</v>
      </c>
      <c r="U156" s="18">
        <f t="shared" si="10"/>
        <v>217</v>
      </c>
      <c r="V156" s="14">
        <f t="shared" si="396"/>
        <v>66</v>
      </c>
      <c r="W156" s="18">
        <f t="shared" si="11"/>
        <v>217</v>
      </c>
      <c r="X156" s="14">
        <f t="shared" si="397"/>
        <v>66</v>
      </c>
      <c r="Y156" s="18">
        <f t="shared" si="12"/>
        <v>185</v>
      </c>
      <c r="Z156" s="14">
        <f t="shared" si="398"/>
        <v>39</v>
      </c>
      <c r="AA156" s="18">
        <f t="shared" si="13"/>
        <v>185</v>
      </c>
      <c r="AB156" s="4" t="s">
        <v>0</v>
      </c>
    </row>
    <row r="157" spans="1:28">
      <c r="A157" s="9" t="s">
        <v>151</v>
      </c>
      <c r="B157" s="24"/>
      <c r="C157" s="26"/>
      <c r="D157" s="25">
        <f t="shared" ref="D157" si="403">D142</f>
        <v>66</v>
      </c>
      <c r="E157" s="29">
        <f t="shared" ref="E157" si="404">E156</f>
        <v>533</v>
      </c>
      <c r="F157" s="25">
        <f t="shared" ref="F157" si="405">F142</f>
        <v>93</v>
      </c>
      <c r="G157" s="29">
        <f t="shared" ref="G157" si="406">G156</f>
        <v>565</v>
      </c>
      <c r="H157" s="4" t="s">
        <v>0</v>
      </c>
      <c r="I157" s="16" t="str">
        <f t="shared" si="0"/>
        <v>02-17</v>
      </c>
      <c r="J157" s="14">
        <f t="shared" si="347"/>
        <v>66</v>
      </c>
      <c r="K157" s="15">
        <f t="shared" si="342"/>
        <v>533</v>
      </c>
      <c r="L157" s="17">
        <f t="shared" si="3"/>
        <v>93</v>
      </c>
      <c r="M157" s="18">
        <f t="shared" si="4"/>
        <v>533</v>
      </c>
      <c r="N157" s="14">
        <f t="shared" si="348"/>
        <v>93</v>
      </c>
      <c r="O157" s="15">
        <f t="shared" si="343"/>
        <v>565</v>
      </c>
      <c r="P157" s="17">
        <f t="shared" si="6"/>
        <v>66</v>
      </c>
      <c r="Q157" s="18">
        <f t="shared" si="7"/>
        <v>565</v>
      </c>
      <c r="R157" s="4" t="s">
        <v>0</v>
      </c>
      <c r="S157" s="16" t="str">
        <f t="shared" si="8"/>
        <v>02-17</v>
      </c>
      <c r="T157" s="14">
        <f t="shared" si="9"/>
        <v>66</v>
      </c>
      <c r="U157" s="18">
        <f t="shared" si="10"/>
        <v>217</v>
      </c>
      <c r="V157" s="14">
        <f t="shared" si="396"/>
        <v>93</v>
      </c>
      <c r="W157" s="18">
        <f t="shared" si="11"/>
        <v>217</v>
      </c>
      <c r="X157" s="14">
        <f t="shared" si="397"/>
        <v>93</v>
      </c>
      <c r="Y157" s="18">
        <f t="shared" si="12"/>
        <v>185</v>
      </c>
      <c r="Z157" s="14">
        <f t="shared" si="398"/>
        <v>66</v>
      </c>
      <c r="AA157" s="18">
        <f t="shared" si="13"/>
        <v>185</v>
      </c>
      <c r="AB157" s="4" t="s">
        <v>0</v>
      </c>
    </row>
    <row r="158" spans="1:28">
      <c r="A158" s="9" t="s">
        <v>150</v>
      </c>
      <c r="B158" s="24"/>
      <c r="C158" s="4"/>
      <c r="D158" s="25">
        <f t="shared" ref="D158" si="407">D143</f>
        <v>94</v>
      </c>
      <c r="E158" s="29">
        <f t="shared" ref="E158" si="408">E157</f>
        <v>533</v>
      </c>
      <c r="F158" s="25">
        <f t="shared" ref="F158" si="409">F143</f>
        <v>121</v>
      </c>
      <c r="G158" s="29">
        <f t="shared" si="305"/>
        <v>565</v>
      </c>
      <c r="H158" s="4" t="s">
        <v>0</v>
      </c>
      <c r="I158" s="16" t="str">
        <f t="shared" si="0"/>
        <v>02-16</v>
      </c>
      <c r="J158" s="14">
        <f t="shared" si="347"/>
        <v>94</v>
      </c>
      <c r="K158" s="15">
        <f t="shared" si="342"/>
        <v>533</v>
      </c>
      <c r="L158" s="17">
        <f t="shared" si="3"/>
        <v>121</v>
      </c>
      <c r="M158" s="18">
        <f t="shared" si="4"/>
        <v>533</v>
      </c>
      <c r="N158" s="14">
        <f t="shared" si="348"/>
        <v>121</v>
      </c>
      <c r="O158" s="15">
        <f t="shared" si="343"/>
        <v>565</v>
      </c>
      <c r="P158" s="17">
        <f t="shared" si="6"/>
        <v>94</v>
      </c>
      <c r="Q158" s="18">
        <f t="shared" si="7"/>
        <v>565</v>
      </c>
      <c r="R158" s="4" t="s">
        <v>0</v>
      </c>
      <c r="S158" s="16" t="str">
        <f t="shared" si="8"/>
        <v>02-16</v>
      </c>
      <c r="T158" s="14">
        <f t="shared" si="9"/>
        <v>94</v>
      </c>
      <c r="U158" s="18">
        <f t="shared" si="10"/>
        <v>217</v>
      </c>
      <c r="V158" s="14">
        <f t="shared" si="396"/>
        <v>121</v>
      </c>
      <c r="W158" s="18">
        <f t="shared" si="11"/>
        <v>217</v>
      </c>
      <c r="X158" s="14">
        <f t="shared" si="397"/>
        <v>121</v>
      </c>
      <c r="Y158" s="18">
        <f t="shared" si="12"/>
        <v>185</v>
      </c>
      <c r="Z158" s="14">
        <f t="shared" si="398"/>
        <v>94</v>
      </c>
      <c r="AA158" s="18">
        <f t="shared" si="13"/>
        <v>185</v>
      </c>
      <c r="AB158" s="4" t="s">
        <v>0</v>
      </c>
    </row>
    <row r="159" spans="1:28">
      <c r="A159" s="9" t="s">
        <v>149</v>
      </c>
      <c r="B159" s="24"/>
      <c r="C159" s="4"/>
      <c r="D159" s="25">
        <f t="shared" ref="D159" si="410">D144</f>
        <v>121</v>
      </c>
      <c r="E159" s="29">
        <f t="shared" ref="E159" si="411">E158</f>
        <v>533</v>
      </c>
      <c r="F159" s="25">
        <f t="shared" ref="F159" si="412">F144</f>
        <v>148</v>
      </c>
      <c r="G159" s="29">
        <f t="shared" si="305"/>
        <v>565</v>
      </c>
      <c r="H159" s="4" t="s">
        <v>0</v>
      </c>
      <c r="I159" s="16" t="str">
        <f t="shared" si="0"/>
        <v>02-15</v>
      </c>
      <c r="J159" s="14">
        <f t="shared" si="347"/>
        <v>121</v>
      </c>
      <c r="K159" s="15">
        <f t="shared" si="342"/>
        <v>533</v>
      </c>
      <c r="L159" s="17">
        <f t="shared" si="3"/>
        <v>148</v>
      </c>
      <c r="M159" s="18">
        <f t="shared" si="4"/>
        <v>533</v>
      </c>
      <c r="N159" s="14">
        <f t="shared" si="348"/>
        <v>148</v>
      </c>
      <c r="O159" s="15">
        <f t="shared" si="343"/>
        <v>565</v>
      </c>
      <c r="P159" s="17">
        <f t="shared" si="6"/>
        <v>121</v>
      </c>
      <c r="Q159" s="18">
        <f t="shared" si="7"/>
        <v>565</v>
      </c>
      <c r="R159" s="4" t="s">
        <v>0</v>
      </c>
      <c r="S159" s="16" t="str">
        <f t="shared" si="8"/>
        <v>02-15</v>
      </c>
      <c r="T159" s="14">
        <f t="shared" si="9"/>
        <v>121</v>
      </c>
      <c r="U159" s="18">
        <f t="shared" si="10"/>
        <v>217</v>
      </c>
      <c r="V159" s="14">
        <f t="shared" si="396"/>
        <v>148</v>
      </c>
      <c r="W159" s="18">
        <f t="shared" si="11"/>
        <v>217</v>
      </c>
      <c r="X159" s="14">
        <f t="shared" si="397"/>
        <v>148</v>
      </c>
      <c r="Y159" s="18">
        <f t="shared" si="12"/>
        <v>185</v>
      </c>
      <c r="Z159" s="14">
        <f t="shared" si="398"/>
        <v>121</v>
      </c>
      <c r="AA159" s="18">
        <f t="shared" si="13"/>
        <v>185</v>
      </c>
      <c r="AB159" s="4" t="s">
        <v>0</v>
      </c>
    </row>
    <row r="160" spans="1:28">
      <c r="A160" s="9" t="s">
        <v>148</v>
      </c>
      <c r="B160" s="24"/>
      <c r="C160" s="4"/>
      <c r="D160" s="25">
        <f t="shared" ref="D160" si="413">D145</f>
        <v>149</v>
      </c>
      <c r="E160" s="29">
        <f t="shared" ref="E160" si="414">E159</f>
        <v>533</v>
      </c>
      <c r="F160" s="25">
        <f t="shared" ref="F160" si="415">F145</f>
        <v>176</v>
      </c>
      <c r="G160" s="29">
        <f t="shared" si="305"/>
        <v>565</v>
      </c>
      <c r="H160" s="4" t="s">
        <v>0</v>
      </c>
      <c r="I160" s="16" t="str">
        <f t="shared" si="0"/>
        <v>02-13</v>
      </c>
      <c r="J160" s="14">
        <f t="shared" si="347"/>
        <v>149</v>
      </c>
      <c r="K160" s="15">
        <f t="shared" si="342"/>
        <v>533</v>
      </c>
      <c r="L160" s="17">
        <f t="shared" si="3"/>
        <v>176</v>
      </c>
      <c r="M160" s="18">
        <f t="shared" si="4"/>
        <v>533</v>
      </c>
      <c r="N160" s="14">
        <f t="shared" si="348"/>
        <v>176</v>
      </c>
      <c r="O160" s="15">
        <f t="shared" si="343"/>
        <v>565</v>
      </c>
      <c r="P160" s="17">
        <f t="shared" si="6"/>
        <v>149</v>
      </c>
      <c r="Q160" s="18">
        <f t="shared" si="7"/>
        <v>565</v>
      </c>
      <c r="R160" s="4" t="s">
        <v>0</v>
      </c>
      <c r="S160" s="16" t="str">
        <f t="shared" si="8"/>
        <v>02-13</v>
      </c>
      <c r="T160" s="14">
        <f t="shared" si="9"/>
        <v>149</v>
      </c>
      <c r="U160" s="18">
        <f t="shared" si="10"/>
        <v>217</v>
      </c>
      <c r="V160" s="14">
        <f t="shared" si="396"/>
        <v>176</v>
      </c>
      <c r="W160" s="18">
        <f t="shared" si="11"/>
        <v>217</v>
      </c>
      <c r="X160" s="14">
        <f t="shared" si="397"/>
        <v>176</v>
      </c>
      <c r="Y160" s="18">
        <f t="shared" si="12"/>
        <v>185</v>
      </c>
      <c r="Z160" s="14">
        <f t="shared" si="398"/>
        <v>149</v>
      </c>
      <c r="AA160" s="18">
        <f t="shared" si="13"/>
        <v>185</v>
      </c>
      <c r="AB160" s="4" t="s">
        <v>0</v>
      </c>
    </row>
    <row r="161" spans="1:28">
      <c r="A161" s="9" t="s">
        <v>29</v>
      </c>
      <c r="B161" s="24"/>
      <c r="C161" s="4"/>
      <c r="D161" s="25">
        <f t="shared" ref="D161" si="416">D146</f>
        <v>176</v>
      </c>
      <c r="E161" s="29">
        <f t="shared" ref="E161" si="417">E160</f>
        <v>533</v>
      </c>
      <c r="F161" s="25">
        <f t="shared" ref="F161" si="418">F146</f>
        <v>203</v>
      </c>
      <c r="G161" s="29">
        <f t="shared" si="270"/>
        <v>565</v>
      </c>
      <c r="H161" s="4" t="s">
        <v>0</v>
      </c>
      <c r="I161" s="16" t="str">
        <f t="shared" si="0"/>
        <v>02-12</v>
      </c>
      <c r="J161" s="14">
        <f t="shared" si="347"/>
        <v>176</v>
      </c>
      <c r="K161" s="15">
        <f t="shared" si="342"/>
        <v>533</v>
      </c>
      <c r="L161" s="17">
        <f t="shared" si="3"/>
        <v>203</v>
      </c>
      <c r="M161" s="18">
        <f t="shared" si="4"/>
        <v>533</v>
      </c>
      <c r="N161" s="14">
        <f t="shared" si="348"/>
        <v>203</v>
      </c>
      <c r="O161" s="15">
        <f t="shared" si="343"/>
        <v>565</v>
      </c>
      <c r="P161" s="17">
        <f t="shared" si="6"/>
        <v>176</v>
      </c>
      <c r="Q161" s="18">
        <f t="shared" si="7"/>
        <v>565</v>
      </c>
      <c r="R161" s="4" t="s">
        <v>0</v>
      </c>
      <c r="S161" s="16" t="str">
        <f t="shared" si="8"/>
        <v>02-12</v>
      </c>
      <c r="T161" s="14">
        <f t="shared" si="9"/>
        <v>176</v>
      </c>
      <c r="U161" s="18">
        <f t="shared" si="10"/>
        <v>217</v>
      </c>
      <c r="V161" s="14">
        <f t="shared" si="396"/>
        <v>203</v>
      </c>
      <c r="W161" s="18">
        <f t="shared" si="11"/>
        <v>217</v>
      </c>
      <c r="X161" s="14">
        <f t="shared" si="397"/>
        <v>203</v>
      </c>
      <c r="Y161" s="18">
        <f t="shared" si="12"/>
        <v>185</v>
      </c>
      <c r="Z161" s="14">
        <f t="shared" si="398"/>
        <v>176</v>
      </c>
      <c r="AA161" s="18">
        <f t="shared" si="13"/>
        <v>185</v>
      </c>
      <c r="AB161" s="4" t="s">
        <v>0</v>
      </c>
    </row>
    <row r="162" spans="1:28">
      <c r="A162" s="9" t="s">
        <v>28</v>
      </c>
      <c r="B162" s="24"/>
      <c r="C162" s="4"/>
      <c r="D162" s="25">
        <f t="shared" ref="D162" si="419">D147</f>
        <v>203</v>
      </c>
      <c r="E162" s="29">
        <f t="shared" ref="E162" si="420">E161</f>
        <v>533</v>
      </c>
      <c r="F162" s="25">
        <f t="shared" ref="F162" si="421">F147</f>
        <v>230</v>
      </c>
      <c r="G162" s="29">
        <f t="shared" si="270"/>
        <v>565</v>
      </c>
      <c r="H162" s="4" t="s">
        <v>0</v>
      </c>
      <c r="I162" s="16" t="str">
        <f t="shared" si="0"/>
        <v>02-11</v>
      </c>
      <c r="J162" s="14">
        <f t="shared" si="347"/>
        <v>203</v>
      </c>
      <c r="K162" s="15">
        <f t="shared" si="342"/>
        <v>533</v>
      </c>
      <c r="L162" s="17">
        <f t="shared" si="3"/>
        <v>230</v>
      </c>
      <c r="M162" s="18">
        <f t="shared" si="4"/>
        <v>533</v>
      </c>
      <c r="N162" s="14">
        <f t="shared" si="348"/>
        <v>230</v>
      </c>
      <c r="O162" s="15">
        <f t="shared" si="343"/>
        <v>565</v>
      </c>
      <c r="P162" s="17">
        <f t="shared" si="6"/>
        <v>203</v>
      </c>
      <c r="Q162" s="18">
        <f t="shared" si="7"/>
        <v>565</v>
      </c>
      <c r="R162" s="4" t="s">
        <v>0</v>
      </c>
      <c r="S162" s="16" t="str">
        <f t="shared" si="8"/>
        <v>02-11</v>
      </c>
      <c r="T162" s="14">
        <f t="shared" si="9"/>
        <v>203</v>
      </c>
      <c r="U162" s="18">
        <f t="shared" si="10"/>
        <v>217</v>
      </c>
      <c r="V162" s="14">
        <f t="shared" si="396"/>
        <v>230</v>
      </c>
      <c r="W162" s="18">
        <f t="shared" si="11"/>
        <v>217</v>
      </c>
      <c r="X162" s="14">
        <f t="shared" si="397"/>
        <v>230</v>
      </c>
      <c r="Y162" s="18">
        <f t="shared" si="12"/>
        <v>185</v>
      </c>
      <c r="Z162" s="14">
        <f t="shared" si="398"/>
        <v>203</v>
      </c>
      <c r="AA162" s="18">
        <f t="shared" si="13"/>
        <v>185</v>
      </c>
      <c r="AB162" s="4" t="s">
        <v>0</v>
      </c>
    </row>
    <row r="163" spans="1:28">
      <c r="A163" s="9" t="s">
        <v>27</v>
      </c>
      <c r="B163" s="24"/>
      <c r="C163" s="4"/>
      <c r="D163" s="25">
        <f t="shared" ref="D163" si="422">D148</f>
        <v>231</v>
      </c>
      <c r="E163" s="29">
        <f t="shared" ref="E163" si="423">E162</f>
        <v>533</v>
      </c>
      <c r="F163" s="25">
        <f t="shared" ref="F163" si="424">F148</f>
        <v>258</v>
      </c>
      <c r="G163" s="29">
        <f t="shared" si="270"/>
        <v>565</v>
      </c>
      <c r="H163" s="4" t="s">
        <v>0</v>
      </c>
      <c r="I163" s="16" t="str">
        <f t="shared" si="0"/>
        <v>02-10</v>
      </c>
      <c r="J163" s="14">
        <f t="shared" si="347"/>
        <v>231</v>
      </c>
      <c r="K163" s="15">
        <f t="shared" si="342"/>
        <v>533</v>
      </c>
      <c r="L163" s="17">
        <f t="shared" si="3"/>
        <v>258</v>
      </c>
      <c r="M163" s="18">
        <f t="shared" si="4"/>
        <v>533</v>
      </c>
      <c r="N163" s="14">
        <f t="shared" si="348"/>
        <v>258</v>
      </c>
      <c r="O163" s="15">
        <f t="shared" si="343"/>
        <v>565</v>
      </c>
      <c r="P163" s="17">
        <f t="shared" si="6"/>
        <v>231</v>
      </c>
      <c r="Q163" s="18">
        <f t="shared" si="7"/>
        <v>565</v>
      </c>
      <c r="R163" s="4" t="s">
        <v>0</v>
      </c>
      <c r="S163" s="16" t="str">
        <f t="shared" si="8"/>
        <v>02-10</v>
      </c>
      <c r="T163" s="14">
        <f t="shared" si="9"/>
        <v>231</v>
      </c>
      <c r="U163" s="18">
        <f t="shared" si="10"/>
        <v>217</v>
      </c>
      <c r="V163" s="14">
        <f t="shared" si="396"/>
        <v>258</v>
      </c>
      <c r="W163" s="18">
        <f t="shared" si="11"/>
        <v>217</v>
      </c>
      <c r="X163" s="14">
        <f t="shared" si="397"/>
        <v>258</v>
      </c>
      <c r="Y163" s="18">
        <f t="shared" si="12"/>
        <v>185</v>
      </c>
      <c r="Z163" s="14">
        <f t="shared" si="398"/>
        <v>231</v>
      </c>
      <c r="AA163" s="18">
        <f t="shared" si="13"/>
        <v>185</v>
      </c>
      <c r="AB163" s="4" t="s">
        <v>0</v>
      </c>
    </row>
    <row r="164" spans="1:28">
      <c r="A164" s="9" t="s">
        <v>26</v>
      </c>
      <c r="B164" s="24"/>
      <c r="C164" s="4"/>
      <c r="D164" s="25">
        <f t="shared" ref="D164" si="425">D149</f>
        <v>258</v>
      </c>
      <c r="E164" s="29">
        <f t="shared" ref="E164" si="426">E163</f>
        <v>533</v>
      </c>
      <c r="F164" s="25">
        <f t="shared" ref="F164" si="427">F149</f>
        <v>285</v>
      </c>
      <c r="G164" s="29">
        <f t="shared" si="270"/>
        <v>565</v>
      </c>
      <c r="H164" s="4" t="s">
        <v>0</v>
      </c>
      <c r="I164" s="16" t="str">
        <f t="shared" si="0"/>
        <v>02-08</v>
      </c>
      <c r="J164" s="14">
        <f t="shared" si="347"/>
        <v>258</v>
      </c>
      <c r="K164" s="15">
        <f t="shared" si="342"/>
        <v>533</v>
      </c>
      <c r="L164" s="17">
        <f t="shared" si="3"/>
        <v>285</v>
      </c>
      <c r="M164" s="18">
        <f t="shared" si="4"/>
        <v>533</v>
      </c>
      <c r="N164" s="14">
        <f t="shared" si="348"/>
        <v>285</v>
      </c>
      <c r="O164" s="15">
        <f t="shared" si="343"/>
        <v>565</v>
      </c>
      <c r="P164" s="17">
        <f t="shared" si="6"/>
        <v>258</v>
      </c>
      <c r="Q164" s="18">
        <f t="shared" si="7"/>
        <v>565</v>
      </c>
      <c r="R164" s="4" t="s">
        <v>0</v>
      </c>
      <c r="S164" s="16" t="str">
        <f t="shared" si="8"/>
        <v>02-08</v>
      </c>
      <c r="T164" s="14">
        <f t="shared" si="9"/>
        <v>258</v>
      </c>
      <c r="U164" s="18">
        <f t="shared" si="10"/>
        <v>217</v>
      </c>
      <c r="V164" s="14">
        <f t="shared" si="396"/>
        <v>285</v>
      </c>
      <c r="W164" s="18">
        <f t="shared" si="11"/>
        <v>217</v>
      </c>
      <c r="X164" s="14">
        <f t="shared" si="397"/>
        <v>285</v>
      </c>
      <c r="Y164" s="18">
        <f t="shared" si="12"/>
        <v>185</v>
      </c>
      <c r="Z164" s="14">
        <f t="shared" si="398"/>
        <v>258</v>
      </c>
      <c r="AA164" s="18">
        <f t="shared" si="13"/>
        <v>185</v>
      </c>
      <c r="AB164" s="4" t="s">
        <v>0</v>
      </c>
    </row>
    <row r="165" spans="1:28">
      <c r="A165" s="9" t="s">
        <v>25</v>
      </c>
      <c r="B165" s="24"/>
      <c r="C165" s="4"/>
      <c r="D165" s="25">
        <f t="shared" ref="D165" si="428">D150</f>
        <v>286</v>
      </c>
      <c r="E165" s="29">
        <f t="shared" ref="E165" si="429">E164</f>
        <v>533</v>
      </c>
      <c r="F165" s="25">
        <f t="shared" ref="F165" si="430">F150</f>
        <v>313</v>
      </c>
      <c r="G165" s="29">
        <f t="shared" si="270"/>
        <v>565</v>
      </c>
      <c r="H165" s="4" t="s">
        <v>0</v>
      </c>
      <c r="I165" s="16" t="str">
        <f t="shared" si="0"/>
        <v>02-07</v>
      </c>
      <c r="J165" s="14">
        <f t="shared" si="347"/>
        <v>286</v>
      </c>
      <c r="K165" s="15">
        <f t="shared" si="342"/>
        <v>533</v>
      </c>
      <c r="L165" s="17">
        <f t="shared" si="3"/>
        <v>313</v>
      </c>
      <c r="M165" s="18">
        <f t="shared" si="4"/>
        <v>533</v>
      </c>
      <c r="N165" s="14">
        <f t="shared" si="348"/>
        <v>313</v>
      </c>
      <c r="O165" s="15">
        <f t="shared" si="343"/>
        <v>565</v>
      </c>
      <c r="P165" s="17">
        <f t="shared" si="6"/>
        <v>286</v>
      </c>
      <c r="Q165" s="18">
        <f t="shared" si="7"/>
        <v>565</v>
      </c>
      <c r="R165" s="4" t="s">
        <v>0</v>
      </c>
      <c r="S165" s="16" t="str">
        <f t="shared" si="8"/>
        <v>02-07</v>
      </c>
      <c r="T165" s="14">
        <f t="shared" si="9"/>
        <v>286</v>
      </c>
      <c r="U165" s="18">
        <f t="shared" si="10"/>
        <v>217</v>
      </c>
      <c r="V165" s="14">
        <f t="shared" si="396"/>
        <v>313</v>
      </c>
      <c r="W165" s="18">
        <f t="shared" si="11"/>
        <v>217</v>
      </c>
      <c r="X165" s="14">
        <f t="shared" si="397"/>
        <v>313</v>
      </c>
      <c r="Y165" s="18">
        <f t="shared" si="12"/>
        <v>185</v>
      </c>
      <c r="Z165" s="14">
        <f t="shared" si="398"/>
        <v>286</v>
      </c>
      <c r="AA165" s="18">
        <f t="shared" si="13"/>
        <v>185</v>
      </c>
      <c r="AB165" s="4" t="s">
        <v>0</v>
      </c>
    </row>
    <row r="166" spans="1:28">
      <c r="A166" s="9" t="s">
        <v>24</v>
      </c>
      <c r="B166" s="24"/>
      <c r="C166" s="4"/>
      <c r="D166" s="25">
        <f t="shared" ref="D166" si="431">D151</f>
        <v>313</v>
      </c>
      <c r="E166" s="29">
        <f t="shared" ref="E166" si="432">E165</f>
        <v>533</v>
      </c>
      <c r="F166" s="25">
        <f t="shared" ref="F166" si="433">F151</f>
        <v>341</v>
      </c>
      <c r="G166" s="29">
        <f t="shared" si="270"/>
        <v>565</v>
      </c>
      <c r="H166" s="4" t="s">
        <v>0</v>
      </c>
      <c r="I166" s="16" t="str">
        <f t="shared" si="0"/>
        <v>02-06</v>
      </c>
      <c r="J166" s="14">
        <f t="shared" si="347"/>
        <v>313</v>
      </c>
      <c r="K166" s="15">
        <f t="shared" si="342"/>
        <v>533</v>
      </c>
      <c r="L166" s="17">
        <f t="shared" si="3"/>
        <v>341</v>
      </c>
      <c r="M166" s="18">
        <f t="shared" si="4"/>
        <v>533</v>
      </c>
      <c r="N166" s="14">
        <f t="shared" si="348"/>
        <v>341</v>
      </c>
      <c r="O166" s="15">
        <f t="shared" si="343"/>
        <v>565</v>
      </c>
      <c r="P166" s="17">
        <f t="shared" si="6"/>
        <v>313</v>
      </c>
      <c r="Q166" s="18">
        <f t="shared" si="7"/>
        <v>565</v>
      </c>
      <c r="R166" s="4" t="s">
        <v>0</v>
      </c>
      <c r="S166" s="16" t="str">
        <f t="shared" si="8"/>
        <v>02-06</v>
      </c>
      <c r="T166" s="14">
        <f t="shared" si="9"/>
        <v>313</v>
      </c>
      <c r="U166" s="18">
        <f t="shared" si="10"/>
        <v>217</v>
      </c>
      <c r="V166" s="14">
        <f t="shared" si="396"/>
        <v>341</v>
      </c>
      <c r="W166" s="18">
        <f t="shared" si="11"/>
        <v>217</v>
      </c>
      <c r="X166" s="14">
        <f t="shared" si="397"/>
        <v>341</v>
      </c>
      <c r="Y166" s="18">
        <f t="shared" si="12"/>
        <v>185</v>
      </c>
      <c r="Z166" s="14">
        <f t="shared" si="398"/>
        <v>313</v>
      </c>
      <c r="AA166" s="18">
        <f t="shared" si="13"/>
        <v>185</v>
      </c>
      <c r="AB166" s="4" t="s">
        <v>0</v>
      </c>
    </row>
    <row r="167" spans="1:28">
      <c r="A167" s="9" t="s">
        <v>23</v>
      </c>
      <c r="B167" s="24"/>
      <c r="C167" s="4"/>
      <c r="D167" s="25">
        <f t="shared" ref="D167" si="434">D152</f>
        <v>341</v>
      </c>
      <c r="E167" s="29">
        <f t="shared" ref="E167" si="435">E166</f>
        <v>533</v>
      </c>
      <c r="F167" s="25">
        <f t="shared" ref="F167" si="436">F152</f>
        <v>369</v>
      </c>
      <c r="G167" s="29">
        <f t="shared" si="270"/>
        <v>565</v>
      </c>
      <c r="H167" s="4" t="s">
        <v>0</v>
      </c>
      <c r="I167" s="16" t="str">
        <f t="shared" si="0"/>
        <v>02-05</v>
      </c>
      <c r="J167" s="14">
        <f t="shared" si="347"/>
        <v>341</v>
      </c>
      <c r="K167" s="15">
        <f t="shared" si="342"/>
        <v>533</v>
      </c>
      <c r="L167" s="17">
        <f t="shared" si="3"/>
        <v>369</v>
      </c>
      <c r="M167" s="18">
        <f t="shared" si="4"/>
        <v>533</v>
      </c>
      <c r="N167" s="14">
        <f t="shared" si="348"/>
        <v>369</v>
      </c>
      <c r="O167" s="15">
        <f t="shared" si="343"/>
        <v>565</v>
      </c>
      <c r="P167" s="17">
        <f t="shared" si="6"/>
        <v>341</v>
      </c>
      <c r="Q167" s="18">
        <f t="shared" si="7"/>
        <v>565</v>
      </c>
      <c r="R167" s="4" t="s">
        <v>0</v>
      </c>
      <c r="S167" s="16" t="str">
        <f t="shared" si="8"/>
        <v>02-05</v>
      </c>
      <c r="T167" s="14">
        <f t="shared" si="9"/>
        <v>341</v>
      </c>
      <c r="U167" s="18">
        <f t="shared" si="10"/>
        <v>217</v>
      </c>
      <c r="V167" s="14">
        <f t="shared" si="396"/>
        <v>369</v>
      </c>
      <c r="W167" s="18">
        <f t="shared" si="11"/>
        <v>217</v>
      </c>
      <c r="X167" s="14">
        <f t="shared" si="397"/>
        <v>369</v>
      </c>
      <c r="Y167" s="18">
        <f t="shared" si="12"/>
        <v>185</v>
      </c>
      <c r="Z167" s="14">
        <f t="shared" si="398"/>
        <v>341</v>
      </c>
      <c r="AA167" s="18">
        <f t="shared" si="13"/>
        <v>185</v>
      </c>
      <c r="AB167" s="4" t="s">
        <v>0</v>
      </c>
    </row>
    <row r="168" spans="1:28">
      <c r="A168" s="9" t="s">
        <v>22</v>
      </c>
      <c r="B168" s="24"/>
      <c r="C168" s="4"/>
      <c r="D168" s="25">
        <f t="shared" ref="D168" si="437">D153</f>
        <v>369</v>
      </c>
      <c r="E168" s="29">
        <f t="shared" ref="E168" si="438">E167</f>
        <v>533</v>
      </c>
      <c r="F168" s="25">
        <f t="shared" ref="F168" si="439">F153</f>
        <v>397</v>
      </c>
      <c r="G168" s="29">
        <f t="shared" si="270"/>
        <v>565</v>
      </c>
      <c r="H168" s="4" t="s">
        <v>0</v>
      </c>
      <c r="I168" s="16" t="str">
        <f t="shared" si="0"/>
        <v>02-03</v>
      </c>
      <c r="J168" s="14">
        <f t="shared" si="347"/>
        <v>369</v>
      </c>
      <c r="K168" s="15">
        <f t="shared" si="342"/>
        <v>533</v>
      </c>
      <c r="L168" s="17">
        <f t="shared" si="3"/>
        <v>397</v>
      </c>
      <c r="M168" s="18">
        <f t="shared" si="4"/>
        <v>533</v>
      </c>
      <c r="N168" s="14">
        <f t="shared" si="348"/>
        <v>397</v>
      </c>
      <c r="O168" s="15">
        <f t="shared" si="343"/>
        <v>565</v>
      </c>
      <c r="P168" s="17">
        <f t="shared" si="6"/>
        <v>369</v>
      </c>
      <c r="Q168" s="18">
        <f t="shared" si="7"/>
        <v>565</v>
      </c>
      <c r="R168" s="4" t="s">
        <v>0</v>
      </c>
      <c r="S168" s="16" t="str">
        <f t="shared" si="8"/>
        <v>02-03</v>
      </c>
      <c r="T168" s="14">
        <f t="shared" si="9"/>
        <v>369</v>
      </c>
      <c r="U168" s="18">
        <f t="shared" si="10"/>
        <v>217</v>
      </c>
      <c r="V168" s="14">
        <f t="shared" si="396"/>
        <v>397</v>
      </c>
      <c r="W168" s="18">
        <f t="shared" si="11"/>
        <v>217</v>
      </c>
      <c r="X168" s="14">
        <f t="shared" si="397"/>
        <v>397</v>
      </c>
      <c r="Y168" s="18">
        <f t="shared" si="12"/>
        <v>185</v>
      </c>
      <c r="Z168" s="14">
        <f t="shared" si="398"/>
        <v>369</v>
      </c>
      <c r="AA168" s="18">
        <f t="shared" si="13"/>
        <v>185</v>
      </c>
      <c r="AB168" s="4" t="s">
        <v>0</v>
      </c>
    </row>
    <row r="169" spans="1:28">
      <c r="A169" s="9" t="s">
        <v>21</v>
      </c>
      <c r="B169" s="24"/>
      <c r="C169" s="4"/>
      <c r="D169" s="25">
        <f t="shared" ref="D169" si="440">D154</f>
        <v>396</v>
      </c>
      <c r="E169" s="29">
        <f t="shared" ref="E169" si="441">E168</f>
        <v>533</v>
      </c>
      <c r="F169" s="25">
        <f t="shared" ref="F169" si="442">F154</f>
        <v>424</v>
      </c>
      <c r="G169" s="29">
        <f t="shared" si="270"/>
        <v>565</v>
      </c>
      <c r="H169" s="4" t="s">
        <v>0</v>
      </c>
      <c r="I169" s="16" t="str">
        <f t="shared" si="0"/>
        <v>02-02</v>
      </c>
      <c r="J169" s="14">
        <f t="shared" si="347"/>
        <v>396</v>
      </c>
      <c r="K169" s="15">
        <f t="shared" si="342"/>
        <v>533</v>
      </c>
      <c r="L169" s="17">
        <f t="shared" si="3"/>
        <v>424</v>
      </c>
      <c r="M169" s="18">
        <f t="shared" si="4"/>
        <v>533</v>
      </c>
      <c r="N169" s="14">
        <f t="shared" si="348"/>
        <v>424</v>
      </c>
      <c r="O169" s="15">
        <f t="shared" si="343"/>
        <v>565</v>
      </c>
      <c r="P169" s="17">
        <f t="shared" si="6"/>
        <v>396</v>
      </c>
      <c r="Q169" s="18">
        <f t="shared" si="7"/>
        <v>565</v>
      </c>
      <c r="R169" s="4" t="s">
        <v>0</v>
      </c>
      <c r="S169" s="16" t="str">
        <f t="shared" si="8"/>
        <v>02-02</v>
      </c>
      <c r="T169" s="14">
        <f t="shared" si="9"/>
        <v>396</v>
      </c>
      <c r="U169" s="18">
        <f t="shared" si="10"/>
        <v>217</v>
      </c>
      <c r="V169" s="14">
        <f t="shared" si="396"/>
        <v>424</v>
      </c>
      <c r="W169" s="18">
        <f t="shared" si="11"/>
        <v>217</v>
      </c>
      <c r="X169" s="14">
        <f t="shared" si="397"/>
        <v>424</v>
      </c>
      <c r="Y169" s="18">
        <f t="shared" si="12"/>
        <v>185</v>
      </c>
      <c r="Z169" s="14">
        <f t="shared" si="398"/>
        <v>396</v>
      </c>
      <c r="AA169" s="18">
        <f t="shared" si="13"/>
        <v>185</v>
      </c>
      <c r="AB169" s="4" t="s">
        <v>0</v>
      </c>
    </row>
    <row r="170" spans="1:28">
      <c r="A170" s="9" t="s">
        <v>20</v>
      </c>
      <c r="B170" s="24"/>
      <c r="C170" s="4"/>
      <c r="D170" s="25">
        <f t="shared" ref="D170" si="443">D155</f>
        <v>424</v>
      </c>
      <c r="E170" s="29">
        <f t="shared" ref="E170" si="444">E169</f>
        <v>533</v>
      </c>
      <c r="F170" s="25">
        <f t="shared" ref="F170" si="445">F155</f>
        <v>452</v>
      </c>
      <c r="G170" s="29">
        <f t="shared" si="270"/>
        <v>565</v>
      </c>
      <c r="H170" s="4" t="s">
        <v>0</v>
      </c>
      <c r="I170" s="16" t="str">
        <f t="shared" si="0"/>
        <v>02-01</v>
      </c>
      <c r="J170" s="14">
        <f t="shared" si="347"/>
        <v>424</v>
      </c>
      <c r="K170" s="15">
        <f t="shared" si="342"/>
        <v>533</v>
      </c>
      <c r="L170" s="17">
        <f t="shared" si="3"/>
        <v>452</v>
      </c>
      <c r="M170" s="18">
        <f t="shared" si="4"/>
        <v>533</v>
      </c>
      <c r="N170" s="14">
        <f t="shared" si="348"/>
        <v>452</v>
      </c>
      <c r="O170" s="15">
        <f t="shared" si="343"/>
        <v>565</v>
      </c>
      <c r="P170" s="17">
        <f t="shared" si="6"/>
        <v>424</v>
      </c>
      <c r="Q170" s="18">
        <f t="shared" si="7"/>
        <v>565</v>
      </c>
      <c r="R170" s="4" t="s">
        <v>0</v>
      </c>
      <c r="S170" s="16" t="str">
        <f t="shared" si="8"/>
        <v>02-01</v>
      </c>
      <c r="T170" s="14">
        <f t="shared" si="9"/>
        <v>424</v>
      </c>
      <c r="U170" s="18">
        <f t="shared" si="10"/>
        <v>217</v>
      </c>
      <c r="V170" s="14">
        <f t="shared" si="396"/>
        <v>452</v>
      </c>
      <c r="W170" s="18">
        <f t="shared" si="11"/>
        <v>217</v>
      </c>
      <c r="X170" s="14">
        <f t="shared" si="397"/>
        <v>452</v>
      </c>
      <c r="Y170" s="18">
        <f t="shared" si="12"/>
        <v>185</v>
      </c>
      <c r="Z170" s="14">
        <f t="shared" si="398"/>
        <v>424</v>
      </c>
      <c r="AA170" s="18">
        <f t="shared" si="13"/>
        <v>185</v>
      </c>
      <c r="AB170" s="4" t="s">
        <v>0</v>
      </c>
    </row>
    <row r="171" spans="1:28">
      <c r="A171" s="9" t="s">
        <v>146</v>
      </c>
      <c r="B171" s="24"/>
      <c r="C171" s="26">
        <v>10</v>
      </c>
      <c r="D171" s="25">
        <f>D157</f>
        <v>66</v>
      </c>
      <c r="E171" s="28">
        <f t="shared" si="400"/>
        <v>574</v>
      </c>
      <c r="F171" s="25">
        <f>F157</f>
        <v>93</v>
      </c>
      <c r="G171" s="28">
        <f t="shared" si="402"/>
        <v>606</v>
      </c>
      <c r="H171" s="4" t="s">
        <v>0</v>
      </c>
      <c r="I171" s="16" t="str">
        <f t="shared" si="0"/>
        <v>01-17</v>
      </c>
      <c r="J171" s="14">
        <f t="shared" si="347"/>
        <v>66</v>
      </c>
      <c r="K171" s="15">
        <f t="shared" si="342"/>
        <v>574</v>
      </c>
      <c r="L171" s="17">
        <f t="shared" si="3"/>
        <v>93</v>
      </c>
      <c r="M171" s="18">
        <f t="shared" si="4"/>
        <v>574</v>
      </c>
      <c r="N171" s="14">
        <f t="shared" si="348"/>
        <v>93</v>
      </c>
      <c r="O171" s="15">
        <f t="shared" si="343"/>
        <v>606</v>
      </c>
      <c r="P171" s="17">
        <f t="shared" si="6"/>
        <v>66</v>
      </c>
      <c r="Q171" s="18">
        <f t="shared" si="7"/>
        <v>606</v>
      </c>
      <c r="R171" s="4" t="s">
        <v>0</v>
      </c>
      <c r="S171" s="16" t="str">
        <f t="shared" si="8"/>
        <v>01-17</v>
      </c>
      <c r="T171" s="14">
        <f t="shared" si="9"/>
        <v>66</v>
      </c>
      <c r="U171" s="18">
        <f t="shared" si="10"/>
        <v>176</v>
      </c>
      <c r="V171" s="14">
        <f t="shared" si="396"/>
        <v>93</v>
      </c>
      <c r="W171" s="18">
        <f t="shared" si="11"/>
        <v>176</v>
      </c>
      <c r="X171" s="14">
        <f t="shared" si="397"/>
        <v>93</v>
      </c>
      <c r="Y171" s="18">
        <f t="shared" si="12"/>
        <v>144</v>
      </c>
      <c r="Z171" s="14">
        <f t="shared" si="398"/>
        <v>66</v>
      </c>
      <c r="AA171" s="18">
        <f t="shared" si="13"/>
        <v>144</v>
      </c>
      <c r="AB171" s="4" t="s">
        <v>0</v>
      </c>
    </row>
    <row r="172" spans="1:28">
      <c r="A172" s="9" t="s">
        <v>145</v>
      </c>
      <c r="B172" s="24"/>
      <c r="C172" s="26"/>
      <c r="D172" s="25">
        <f t="shared" ref="D172:D184" si="446">D158</f>
        <v>94</v>
      </c>
      <c r="E172" s="29">
        <f t="shared" ref="E172" si="447">E171</f>
        <v>574</v>
      </c>
      <c r="F172" s="25">
        <f t="shared" ref="F172:F184" si="448">F158</f>
        <v>121</v>
      </c>
      <c r="G172" s="29">
        <f t="shared" ref="G172:G184" si="449">G171</f>
        <v>606</v>
      </c>
      <c r="H172" s="4" t="s">
        <v>0</v>
      </c>
      <c r="I172" s="16" t="str">
        <f t="shared" si="0"/>
        <v>01-16</v>
      </c>
      <c r="J172" s="14">
        <f t="shared" si="347"/>
        <v>94</v>
      </c>
      <c r="K172" s="15">
        <f t="shared" si="342"/>
        <v>574</v>
      </c>
      <c r="L172" s="17">
        <f t="shared" si="3"/>
        <v>121</v>
      </c>
      <c r="M172" s="18">
        <f t="shared" si="4"/>
        <v>574</v>
      </c>
      <c r="N172" s="14">
        <f t="shared" si="348"/>
        <v>121</v>
      </c>
      <c r="O172" s="15">
        <f t="shared" si="343"/>
        <v>606</v>
      </c>
      <c r="P172" s="17">
        <f t="shared" si="6"/>
        <v>94</v>
      </c>
      <c r="Q172" s="18">
        <f t="shared" si="7"/>
        <v>606</v>
      </c>
      <c r="R172" s="4" t="s">
        <v>0</v>
      </c>
      <c r="S172" s="16" t="str">
        <f t="shared" si="8"/>
        <v>01-16</v>
      </c>
      <c r="T172" s="14">
        <f t="shared" si="9"/>
        <v>94</v>
      </c>
      <c r="U172" s="18">
        <f t="shared" si="10"/>
        <v>176</v>
      </c>
      <c r="V172" s="14">
        <f t="shared" si="396"/>
        <v>121</v>
      </c>
      <c r="W172" s="18">
        <f t="shared" si="11"/>
        <v>176</v>
      </c>
      <c r="X172" s="14">
        <f t="shared" si="397"/>
        <v>121</v>
      </c>
      <c r="Y172" s="18">
        <f t="shared" si="12"/>
        <v>144</v>
      </c>
      <c r="Z172" s="14">
        <f t="shared" si="398"/>
        <v>94</v>
      </c>
      <c r="AA172" s="18">
        <f t="shared" si="13"/>
        <v>144</v>
      </c>
      <c r="AB172" s="4" t="s">
        <v>0</v>
      </c>
    </row>
    <row r="173" spans="1:28">
      <c r="A173" s="9" t="s">
        <v>144</v>
      </c>
      <c r="B173" s="24"/>
      <c r="C173" s="4"/>
      <c r="D173" s="25">
        <f t="shared" si="446"/>
        <v>121</v>
      </c>
      <c r="E173" s="29">
        <f t="shared" ref="E173" si="450">E172</f>
        <v>574</v>
      </c>
      <c r="F173" s="25">
        <f t="shared" si="448"/>
        <v>148</v>
      </c>
      <c r="G173" s="29">
        <f t="shared" si="449"/>
        <v>606</v>
      </c>
      <c r="H173" s="4" t="s">
        <v>0</v>
      </c>
      <c r="I173" s="16" t="str">
        <f t="shared" si="0"/>
        <v>01-15</v>
      </c>
      <c r="J173" s="14">
        <f t="shared" si="347"/>
        <v>121</v>
      </c>
      <c r="K173" s="15">
        <f t="shared" si="342"/>
        <v>574</v>
      </c>
      <c r="L173" s="17">
        <f t="shared" si="3"/>
        <v>148</v>
      </c>
      <c r="M173" s="18">
        <f t="shared" si="4"/>
        <v>574</v>
      </c>
      <c r="N173" s="14">
        <f t="shared" si="348"/>
        <v>148</v>
      </c>
      <c r="O173" s="15">
        <f t="shared" si="343"/>
        <v>606</v>
      </c>
      <c r="P173" s="17">
        <f t="shared" si="6"/>
        <v>121</v>
      </c>
      <c r="Q173" s="18">
        <f t="shared" si="7"/>
        <v>606</v>
      </c>
      <c r="R173" s="4" t="s">
        <v>0</v>
      </c>
      <c r="S173" s="16" t="str">
        <f t="shared" si="8"/>
        <v>01-15</v>
      </c>
      <c r="T173" s="14">
        <f t="shared" si="9"/>
        <v>121</v>
      </c>
      <c r="U173" s="18">
        <f t="shared" si="10"/>
        <v>176</v>
      </c>
      <c r="V173" s="14">
        <f t="shared" si="396"/>
        <v>148</v>
      </c>
      <c r="W173" s="18">
        <f t="shared" si="11"/>
        <v>176</v>
      </c>
      <c r="X173" s="14">
        <f t="shared" si="397"/>
        <v>148</v>
      </c>
      <c r="Y173" s="18">
        <f t="shared" si="12"/>
        <v>144</v>
      </c>
      <c r="Z173" s="14">
        <f t="shared" si="398"/>
        <v>121</v>
      </c>
      <c r="AA173" s="18">
        <f t="shared" si="13"/>
        <v>144</v>
      </c>
      <c r="AB173" s="4" t="s">
        <v>0</v>
      </c>
    </row>
    <row r="174" spans="1:28">
      <c r="A174" s="9" t="s">
        <v>143</v>
      </c>
      <c r="B174" s="24"/>
      <c r="C174" s="4"/>
      <c r="D174" s="25">
        <f t="shared" si="446"/>
        <v>149</v>
      </c>
      <c r="E174" s="29">
        <f t="shared" ref="E174" si="451">E173</f>
        <v>574</v>
      </c>
      <c r="F174" s="25">
        <f t="shared" si="448"/>
        <v>176</v>
      </c>
      <c r="G174" s="29">
        <f t="shared" si="449"/>
        <v>606</v>
      </c>
      <c r="H174" s="4" t="s">
        <v>0</v>
      </c>
      <c r="I174" s="11" t="str">
        <f t="shared" si="0"/>
        <v>01-13</v>
      </c>
      <c r="J174" s="14">
        <f t="shared" si="347"/>
        <v>149</v>
      </c>
      <c r="K174" s="15">
        <f t="shared" si="342"/>
        <v>574</v>
      </c>
      <c r="L174" s="17">
        <f t="shared" si="3"/>
        <v>176</v>
      </c>
      <c r="M174" s="18">
        <f t="shared" si="4"/>
        <v>574</v>
      </c>
      <c r="N174" s="14">
        <f t="shared" si="348"/>
        <v>176</v>
      </c>
      <c r="O174" s="15">
        <f t="shared" si="343"/>
        <v>606</v>
      </c>
      <c r="P174" s="17">
        <f t="shared" si="6"/>
        <v>149</v>
      </c>
      <c r="Q174" s="18">
        <f t="shared" si="7"/>
        <v>606</v>
      </c>
      <c r="R174" s="4" t="s">
        <v>0</v>
      </c>
      <c r="S174" s="16" t="str">
        <f t="shared" si="8"/>
        <v>01-13</v>
      </c>
      <c r="T174" s="14">
        <f t="shared" si="9"/>
        <v>149</v>
      </c>
      <c r="U174" s="18">
        <f t="shared" si="10"/>
        <v>176</v>
      </c>
      <c r="V174" s="14">
        <f t="shared" si="396"/>
        <v>176</v>
      </c>
      <c r="W174" s="18">
        <f t="shared" si="11"/>
        <v>176</v>
      </c>
      <c r="X174" s="14">
        <f t="shared" si="397"/>
        <v>176</v>
      </c>
      <c r="Y174" s="18">
        <f t="shared" si="12"/>
        <v>144</v>
      </c>
      <c r="Z174" s="14">
        <f t="shared" si="398"/>
        <v>149</v>
      </c>
      <c r="AA174" s="18">
        <f t="shared" si="13"/>
        <v>144</v>
      </c>
      <c r="AB174" s="4" t="s">
        <v>0</v>
      </c>
    </row>
    <row r="175" spans="1:28">
      <c r="A175" s="9" t="s">
        <v>11</v>
      </c>
      <c r="B175" s="24"/>
      <c r="C175" s="4"/>
      <c r="D175" s="25">
        <f t="shared" si="446"/>
        <v>176</v>
      </c>
      <c r="E175" s="29">
        <f t="shared" ref="E175" si="452">E174</f>
        <v>574</v>
      </c>
      <c r="F175" s="25">
        <f t="shared" si="448"/>
        <v>203</v>
      </c>
      <c r="G175" s="29">
        <f t="shared" si="449"/>
        <v>606</v>
      </c>
      <c r="H175" s="4" t="s">
        <v>0</v>
      </c>
      <c r="I175" s="11" t="str">
        <f t="shared" si="0"/>
        <v>01-12</v>
      </c>
      <c r="J175" s="14">
        <f t="shared" si="347"/>
        <v>176</v>
      </c>
      <c r="K175" s="15">
        <f t="shared" si="342"/>
        <v>574</v>
      </c>
      <c r="L175" s="17">
        <f t="shared" si="3"/>
        <v>203</v>
      </c>
      <c r="M175" s="18">
        <f t="shared" si="4"/>
        <v>574</v>
      </c>
      <c r="N175" s="14">
        <f t="shared" si="348"/>
        <v>203</v>
      </c>
      <c r="O175" s="15">
        <f t="shared" si="343"/>
        <v>606</v>
      </c>
      <c r="P175" s="17">
        <f t="shared" si="6"/>
        <v>176</v>
      </c>
      <c r="Q175" s="18">
        <f t="shared" si="7"/>
        <v>606</v>
      </c>
      <c r="R175" s="4" t="s">
        <v>0</v>
      </c>
      <c r="S175" s="16" t="str">
        <f t="shared" si="8"/>
        <v>01-12</v>
      </c>
      <c r="T175" s="14">
        <f t="shared" si="9"/>
        <v>176</v>
      </c>
      <c r="U175" s="18">
        <f t="shared" si="10"/>
        <v>176</v>
      </c>
      <c r="V175" s="14">
        <f t="shared" si="396"/>
        <v>203</v>
      </c>
      <c r="W175" s="18">
        <f t="shared" si="11"/>
        <v>176</v>
      </c>
      <c r="X175" s="14">
        <f t="shared" si="397"/>
        <v>203</v>
      </c>
      <c r="Y175" s="18">
        <f t="shared" si="12"/>
        <v>144</v>
      </c>
      <c r="Z175" s="14">
        <f t="shared" si="398"/>
        <v>176</v>
      </c>
      <c r="AA175" s="18">
        <f t="shared" si="13"/>
        <v>144</v>
      </c>
      <c r="AB175" s="4" t="s">
        <v>0</v>
      </c>
    </row>
    <row r="176" spans="1:28">
      <c r="A176" s="9" t="s">
        <v>10</v>
      </c>
      <c r="B176" s="24"/>
      <c r="C176" s="4"/>
      <c r="D176" s="25">
        <f t="shared" si="446"/>
        <v>203</v>
      </c>
      <c r="E176" s="29">
        <f t="shared" ref="E176" si="453">E175</f>
        <v>574</v>
      </c>
      <c r="F176" s="25">
        <f t="shared" si="448"/>
        <v>230</v>
      </c>
      <c r="G176" s="29">
        <f t="shared" si="449"/>
        <v>606</v>
      </c>
      <c r="H176" s="4" t="s">
        <v>0</v>
      </c>
      <c r="I176" s="11" t="str">
        <f t="shared" si="0"/>
        <v>01-11</v>
      </c>
      <c r="J176" s="14">
        <f t="shared" si="347"/>
        <v>203</v>
      </c>
      <c r="K176" s="15">
        <f t="shared" si="342"/>
        <v>574</v>
      </c>
      <c r="L176" s="17">
        <f t="shared" si="3"/>
        <v>230</v>
      </c>
      <c r="M176" s="18">
        <f t="shared" si="4"/>
        <v>574</v>
      </c>
      <c r="N176" s="14">
        <f t="shared" si="348"/>
        <v>230</v>
      </c>
      <c r="O176" s="15">
        <f t="shared" si="343"/>
        <v>606</v>
      </c>
      <c r="P176" s="17">
        <f t="shared" si="6"/>
        <v>203</v>
      </c>
      <c r="Q176" s="18">
        <f t="shared" si="7"/>
        <v>606</v>
      </c>
      <c r="R176" s="4" t="s">
        <v>0</v>
      </c>
      <c r="S176" s="16" t="str">
        <f t="shared" si="8"/>
        <v>01-11</v>
      </c>
      <c r="T176" s="14">
        <f t="shared" si="9"/>
        <v>203</v>
      </c>
      <c r="U176" s="18">
        <f t="shared" si="10"/>
        <v>176</v>
      </c>
      <c r="V176" s="14">
        <f t="shared" si="396"/>
        <v>230</v>
      </c>
      <c r="W176" s="18">
        <f t="shared" si="11"/>
        <v>176</v>
      </c>
      <c r="X176" s="14">
        <f t="shared" si="397"/>
        <v>230</v>
      </c>
      <c r="Y176" s="18">
        <f t="shared" si="12"/>
        <v>144</v>
      </c>
      <c r="Z176" s="14">
        <f t="shared" si="398"/>
        <v>203</v>
      </c>
      <c r="AA176" s="18">
        <f t="shared" si="13"/>
        <v>144</v>
      </c>
      <c r="AB176" s="4" t="s">
        <v>0</v>
      </c>
    </row>
    <row r="177" spans="1:28">
      <c r="A177" s="9" t="s">
        <v>9</v>
      </c>
      <c r="B177" s="24"/>
      <c r="C177" s="4"/>
      <c r="D177" s="25">
        <f t="shared" si="446"/>
        <v>231</v>
      </c>
      <c r="E177" s="29">
        <f t="shared" ref="E177" si="454">E176</f>
        <v>574</v>
      </c>
      <c r="F177" s="25">
        <f t="shared" si="448"/>
        <v>258</v>
      </c>
      <c r="G177" s="29">
        <f t="shared" si="449"/>
        <v>606</v>
      </c>
      <c r="H177" s="4" t="s">
        <v>0</v>
      </c>
      <c r="I177" s="11" t="str">
        <f t="shared" si="0"/>
        <v>01-10</v>
      </c>
      <c r="J177" s="14">
        <f t="shared" si="347"/>
        <v>231</v>
      </c>
      <c r="K177" s="15">
        <f t="shared" si="342"/>
        <v>574</v>
      </c>
      <c r="L177" s="17">
        <f t="shared" si="3"/>
        <v>258</v>
      </c>
      <c r="M177" s="18">
        <f t="shared" si="4"/>
        <v>574</v>
      </c>
      <c r="N177" s="14">
        <f t="shared" si="348"/>
        <v>258</v>
      </c>
      <c r="O177" s="15">
        <f t="shared" si="343"/>
        <v>606</v>
      </c>
      <c r="P177" s="17">
        <f t="shared" si="6"/>
        <v>231</v>
      </c>
      <c r="Q177" s="18">
        <f t="shared" si="7"/>
        <v>606</v>
      </c>
      <c r="R177" s="4" t="s">
        <v>0</v>
      </c>
      <c r="S177" s="16" t="str">
        <f t="shared" si="8"/>
        <v>01-10</v>
      </c>
      <c r="T177" s="14">
        <f t="shared" si="9"/>
        <v>231</v>
      </c>
      <c r="U177" s="18">
        <f t="shared" si="10"/>
        <v>176</v>
      </c>
      <c r="V177" s="14">
        <f t="shared" si="396"/>
        <v>258</v>
      </c>
      <c r="W177" s="18">
        <f t="shared" si="11"/>
        <v>176</v>
      </c>
      <c r="X177" s="14">
        <f t="shared" si="397"/>
        <v>258</v>
      </c>
      <c r="Y177" s="18">
        <f t="shared" si="12"/>
        <v>144</v>
      </c>
      <c r="Z177" s="14">
        <f t="shared" si="398"/>
        <v>231</v>
      </c>
      <c r="AA177" s="18">
        <f t="shared" si="13"/>
        <v>144</v>
      </c>
      <c r="AB177" s="4" t="s">
        <v>0</v>
      </c>
    </row>
    <row r="178" spans="1:28">
      <c r="A178" s="9" t="s">
        <v>8</v>
      </c>
      <c r="B178" s="24"/>
      <c r="C178" s="4"/>
      <c r="D178" s="25">
        <f t="shared" si="446"/>
        <v>258</v>
      </c>
      <c r="E178" s="29">
        <f t="shared" ref="E178" si="455">E177</f>
        <v>574</v>
      </c>
      <c r="F178" s="25">
        <f t="shared" si="448"/>
        <v>285</v>
      </c>
      <c r="G178" s="29">
        <f t="shared" si="449"/>
        <v>606</v>
      </c>
      <c r="H178" s="4" t="s">
        <v>0</v>
      </c>
      <c r="I178" s="11" t="str">
        <f t="shared" si="0"/>
        <v>01-08</v>
      </c>
      <c r="J178" s="14">
        <f t="shared" si="347"/>
        <v>258</v>
      </c>
      <c r="K178" s="15">
        <f t="shared" si="342"/>
        <v>574</v>
      </c>
      <c r="L178" s="17">
        <f t="shared" si="3"/>
        <v>285</v>
      </c>
      <c r="M178" s="18">
        <f t="shared" si="4"/>
        <v>574</v>
      </c>
      <c r="N178" s="14">
        <f t="shared" si="348"/>
        <v>285</v>
      </c>
      <c r="O178" s="15">
        <f t="shared" si="343"/>
        <v>606</v>
      </c>
      <c r="P178" s="17">
        <f t="shared" si="6"/>
        <v>258</v>
      </c>
      <c r="Q178" s="18">
        <f t="shared" si="7"/>
        <v>606</v>
      </c>
      <c r="R178" s="4" t="s">
        <v>0</v>
      </c>
      <c r="S178" s="16" t="str">
        <f t="shared" si="8"/>
        <v>01-08</v>
      </c>
      <c r="T178" s="14">
        <f t="shared" si="9"/>
        <v>258</v>
      </c>
      <c r="U178" s="18">
        <f t="shared" si="10"/>
        <v>176</v>
      </c>
      <c r="V178" s="14">
        <f t="shared" si="396"/>
        <v>285</v>
      </c>
      <c r="W178" s="18">
        <f t="shared" si="11"/>
        <v>176</v>
      </c>
      <c r="X178" s="14">
        <f t="shared" si="397"/>
        <v>285</v>
      </c>
      <c r="Y178" s="18">
        <f t="shared" si="12"/>
        <v>144</v>
      </c>
      <c r="Z178" s="14">
        <f t="shared" si="398"/>
        <v>258</v>
      </c>
      <c r="AA178" s="18">
        <f t="shared" si="13"/>
        <v>144</v>
      </c>
      <c r="AB178" s="4" t="s">
        <v>0</v>
      </c>
    </row>
    <row r="179" spans="1:28">
      <c r="A179" s="9" t="s">
        <v>7</v>
      </c>
      <c r="B179" s="24"/>
      <c r="C179" s="4"/>
      <c r="D179" s="25">
        <f t="shared" si="446"/>
        <v>286</v>
      </c>
      <c r="E179" s="29">
        <f t="shared" ref="E179" si="456">E178</f>
        <v>574</v>
      </c>
      <c r="F179" s="25">
        <f t="shared" si="448"/>
        <v>313</v>
      </c>
      <c r="G179" s="29">
        <f t="shared" si="449"/>
        <v>606</v>
      </c>
      <c r="H179" s="4" t="s">
        <v>0</v>
      </c>
      <c r="I179" s="11" t="str">
        <f t="shared" si="0"/>
        <v>01-07</v>
      </c>
      <c r="J179" s="14">
        <f t="shared" si="347"/>
        <v>286</v>
      </c>
      <c r="K179" s="15">
        <f t="shared" si="342"/>
        <v>574</v>
      </c>
      <c r="L179" s="17">
        <f t="shared" si="3"/>
        <v>313</v>
      </c>
      <c r="M179" s="18">
        <f t="shared" si="4"/>
        <v>574</v>
      </c>
      <c r="N179" s="14">
        <f t="shared" si="348"/>
        <v>313</v>
      </c>
      <c r="O179" s="15">
        <f t="shared" si="343"/>
        <v>606</v>
      </c>
      <c r="P179" s="17">
        <f t="shared" si="6"/>
        <v>286</v>
      </c>
      <c r="Q179" s="18">
        <f t="shared" si="7"/>
        <v>606</v>
      </c>
      <c r="R179" s="4" t="s">
        <v>0</v>
      </c>
      <c r="S179" s="16" t="str">
        <f t="shared" si="8"/>
        <v>01-07</v>
      </c>
      <c r="T179" s="14">
        <f t="shared" si="9"/>
        <v>286</v>
      </c>
      <c r="U179" s="18">
        <f t="shared" si="10"/>
        <v>176</v>
      </c>
      <c r="V179" s="14">
        <f t="shared" si="396"/>
        <v>313</v>
      </c>
      <c r="W179" s="18">
        <f t="shared" si="11"/>
        <v>176</v>
      </c>
      <c r="X179" s="14">
        <f t="shared" si="397"/>
        <v>313</v>
      </c>
      <c r="Y179" s="18">
        <f t="shared" si="12"/>
        <v>144</v>
      </c>
      <c r="Z179" s="14">
        <f t="shared" si="398"/>
        <v>286</v>
      </c>
      <c r="AA179" s="18">
        <f t="shared" si="13"/>
        <v>144</v>
      </c>
      <c r="AB179" s="4" t="s">
        <v>0</v>
      </c>
    </row>
    <row r="180" spans="1:28">
      <c r="A180" s="9" t="s">
        <v>6</v>
      </c>
      <c r="B180" s="24"/>
      <c r="C180" s="4"/>
      <c r="D180" s="25">
        <f t="shared" si="446"/>
        <v>313</v>
      </c>
      <c r="E180" s="29">
        <f t="shared" ref="E180" si="457">E179</f>
        <v>574</v>
      </c>
      <c r="F180" s="25">
        <f t="shared" si="448"/>
        <v>341</v>
      </c>
      <c r="G180" s="29">
        <f t="shared" si="449"/>
        <v>606</v>
      </c>
      <c r="H180" s="4" t="s">
        <v>0</v>
      </c>
      <c r="I180" s="11" t="str">
        <f t="shared" si="0"/>
        <v>01-06</v>
      </c>
      <c r="J180" s="14">
        <f t="shared" si="347"/>
        <v>313</v>
      </c>
      <c r="K180" s="15">
        <f t="shared" si="342"/>
        <v>574</v>
      </c>
      <c r="L180" s="17">
        <f t="shared" si="3"/>
        <v>341</v>
      </c>
      <c r="M180" s="18">
        <f t="shared" si="4"/>
        <v>574</v>
      </c>
      <c r="N180" s="14">
        <f t="shared" si="348"/>
        <v>341</v>
      </c>
      <c r="O180" s="15">
        <f t="shared" si="343"/>
        <v>606</v>
      </c>
      <c r="P180" s="17">
        <f t="shared" si="6"/>
        <v>313</v>
      </c>
      <c r="Q180" s="18">
        <f t="shared" si="7"/>
        <v>606</v>
      </c>
      <c r="R180" s="4" t="s">
        <v>0</v>
      </c>
      <c r="S180" s="16" t="str">
        <f t="shared" si="8"/>
        <v>01-06</v>
      </c>
      <c r="T180" s="14">
        <f t="shared" si="9"/>
        <v>313</v>
      </c>
      <c r="U180" s="18">
        <f t="shared" si="10"/>
        <v>176</v>
      </c>
      <c r="V180" s="14">
        <f t="shared" si="396"/>
        <v>341</v>
      </c>
      <c r="W180" s="18">
        <f t="shared" si="11"/>
        <v>176</v>
      </c>
      <c r="X180" s="14">
        <f t="shared" si="397"/>
        <v>341</v>
      </c>
      <c r="Y180" s="18">
        <f t="shared" si="12"/>
        <v>144</v>
      </c>
      <c r="Z180" s="14">
        <f t="shared" si="398"/>
        <v>313</v>
      </c>
      <c r="AA180" s="18">
        <f t="shared" si="13"/>
        <v>144</v>
      </c>
      <c r="AB180" s="4" t="s">
        <v>0</v>
      </c>
    </row>
    <row r="181" spans="1:28">
      <c r="A181" s="9" t="s">
        <v>5</v>
      </c>
      <c r="B181" s="24"/>
      <c r="C181" s="4"/>
      <c r="D181" s="25">
        <f t="shared" si="446"/>
        <v>341</v>
      </c>
      <c r="E181" s="29">
        <f t="shared" ref="E181" si="458">E180</f>
        <v>574</v>
      </c>
      <c r="F181" s="25">
        <f t="shared" si="448"/>
        <v>369</v>
      </c>
      <c r="G181" s="29">
        <f t="shared" si="449"/>
        <v>606</v>
      </c>
      <c r="H181" s="4" t="s">
        <v>0</v>
      </c>
      <c r="I181" s="11" t="str">
        <f t="shared" si="0"/>
        <v>01-05</v>
      </c>
      <c r="J181" s="14">
        <f t="shared" si="347"/>
        <v>341</v>
      </c>
      <c r="K181" s="15">
        <f t="shared" si="342"/>
        <v>574</v>
      </c>
      <c r="L181" s="17">
        <f t="shared" si="3"/>
        <v>369</v>
      </c>
      <c r="M181" s="18">
        <f t="shared" si="4"/>
        <v>574</v>
      </c>
      <c r="N181" s="14">
        <f t="shared" si="348"/>
        <v>369</v>
      </c>
      <c r="O181" s="15">
        <f t="shared" si="343"/>
        <v>606</v>
      </c>
      <c r="P181" s="17">
        <f t="shared" si="6"/>
        <v>341</v>
      </c>
      <c r="Q181" s="18">
        <f t="shared" si="7"/>
        <v>606</v>
      </c>
      <c r="R181" s="4" t="s">
        <v>0</v>
      </c>
      <c r="S181" s="16" t="str">
        <f t="shared" si="8"/>
        <v>01-05</v>
      </c>
      <c r="T181" s="14">
        <f t="shared" si="9"/>
        <v>341</v>
      </c>
      <c r="U181" s="18">
        <f t="shared" si="10"/>
        <v>176</v>
      </c>
      <c r="V181" s="14">
        <f t="shared" si="396"/>
        <v>369</v>
      </c>
      <c r="W181" s="18">
        <f t="shared" si="11"/>
        <v>176</v>
      </c>
      <c r="X181" s="14">
        <f t="shared" si="397"/>
        <v>369</v>
      </c>
      <c r="Y181" s="18">
        <f t="shared" si="12"/>
        <v>144</v>
      </c>
      <c r="Z181" s="14">
        <f t="shared" si="398"/>
        <v>341</v>
      </c>
      <c r="AA181" s="18">
        <f t="shared" si="13"/>
        <v>144</v>
      </c>
      <c r="AB181" s="4" t="s">
        <v>0</v>
      </c>
    </row>
    <row r="182" spans="1:28">
      <c r="A182" s="9" t="s">
        <v>4</v>
      </c>
      <c r="B182" s="24"/>
      <c r="C182" s="4"/>
      <c r="D182" s="25">
        <f t="shared" si="446"/>
        <v>369</v>
      </c>
      <c r="E182" s="29">
        <f t="shared" ref="E182" si="459">E181</f>
        <v>574</v>
      </c>
      <c r="F182" s="25">
        <f t="shared" si="448"/>
        <v>397</v>
      </c>
      <c r="G182" s="29">
        <f t="shared" si="449"/>
        <v>606</v>
      </c>
      <c r="H182" s="4" t="s">
        <v>0</v>
      </c>
      <c r="I182" s="11" t="str">
        <f t="shared" si="0"/>
        <v>01-03</v>
      </c>
      <c r="J182" s="14">
        <f t="shared" si="347"/>
        <v>369</v>
      </c>
      <c r="K182" s="15">
        <f t="shared" si="342"/>
        <v>574</v>
      </c>
      <c r="L182" s="17">
        <f t="shared" si="3"/>
        <v>397</v>
      </c>
      <c r="M182" s="18">
        <f t="shared" si="4"/>
        <v>574</v>
      </c>
      <c r="N182" s="14">
        <f t="shared" si="348"/>
        <v>397</v>
      </c>
      <c r="O182" s="15">
        <f t="shared" si="343"/>
        <v>606</v>
      </c>
      <c r="P182" s="17">
        <f t="shared" si="6"/>
        <v>369</v>
      </c>
      <c r="Q182" s="18">
        <f t="shared" si="7"/>
        <v>606</v>
      </c>
      <c r="R182" s="4" t="s">
        <v>0</v>
      </c>
      <c r="S182" s="16" t="str">
        <f t="shared" si="8"/>
        <v>01-03</v>
      </c>
      <c r="T182" s="14">
        <f t="shared" si="9"/>
        <v>369</v>
      </c>
      <c r="U182" s="18">
        <f t="shared" si="10"/>
        <v>176</v>
      </c>
      <c r="V182" s="14">
        <f t="shared" si="396"/>
        <v>397</v>
      </c>
      <c r="W182" s="18">
        <f t="shared" si="11"/>
        <v>176</v>
      </c>
      <c r="X182" s="14">
        <f t="shared" si="397"/>
        <v>397</v>
      </c>
      <c r="Y182" s="18">
        <f t="shared" si="12"/>
        <v>144</v>
      </c>
      <c r="Z182" s="14">
        <f t="shared" si="398"/>
        <v>369</v>
      </c>
      <c r="AA182" s="18">
        <f t="shared" si="13"/>
        <v>144</v>
      </c>
      <c r="AB182" s="4" t="s">
        <v>0</v>
      </c>
    </row>
    <row r="183" spans="1:28">
      <c r="A183" s="9" t="s">
        <v>142</v>
      </c>
      <c r="B183" s="24"/>
      <c r="C183" s="4"/>
      <c r="D183" s="25">
        <f t="shared" si="446"/>
        <v>396</v>
      </c>
      <c r="E183" s="29">
        <f t="shared" ref="E183" si="460">E182</f>
        <v>574</v>
      </c>
      <c r="F183" s="25">
        <f t="shared" si="448"/>
        <v>424</v>
      </c>
      <c r="G183" s="29">
        <f t="shared" si="449"/>
        <v>606</v>
      </c>
      <c r="H183" s="4" t="s">
        <v>0</v>
      </c>
      <c r="I183" s="11" t="str">
        <f t="shared" si="0"/>
        <v>01-02</v>
      </c>
      <c r="J183" s="14">
        <f t="shared" si="347"/>
        <v>396</v>
      </c>
      <c r="K183" s="15">
        <f t="shared" si="342"/>
        <v>574</v>
      </c>
      <c r="L183" s="17">
        <f t="shared" si="3"/>
        <v>424</v>
      </c>
      <c r="M183" s="18">
        <f t="shared" si="4"/>
        <v>574</v>
      </c>
      <c r="N183" s="14">
        <f t="shared" si="348"/>
        <v>424</v>
      </c>
      <c r="O183" s="15">
        <f t="shared" si="343"/>
        <v>606</v>
      </c>
      <c r="P183" s="17">
        <f t="shared" si="6"/>
        <v>396</v>
      </c>
      <c r="Q183" s="18">
        <f t="shared" si="7"/>
        <v>606</v>
      </c>
      <c r="R183" s="4" t="s">
        <v>0</v>
      </c>
      <c r="S183" s="16" t="str">
        <f t="shared" si="8"/>
        <v>01-02</v>
      </c>
      <c r="T183" s="14">
        <f t="shared" si="9"/>
        <v>396</v>
      </c>
      <c r="U183" s="18">
        <f t="shared" si="10"/>
        <v>176</v>
      </c>
      <c r="V183" s="14">
        <f t="shared" si="396"/>
        <v>424</v>
      </c>
      <c r="W183" s="18">
        <f t="shared" si="11"/>
        <v>176</v>
      </c>
      <c r="X183" s="14">
        <f t="shared" si="397"/>
        <v>424</v>
      </c>
      <c r="Y183" s="18">
        <f t="shared" si="12"/>
        <v>144</v>
      </c>
      <c r="Z183" s="14">
        <f t="shared" si="398"/>
        <v>396</v>
      </c>
      <c r="AA183" s="18">
        <f t="shared" si="13"/>
        <v>144</v>
      </c>
      <c r="AB183" s="4" t="s">
        <v>0</v>
      </c>
    </row>
    <row r="184" spans="1:28">
      <c r="A184" s="9" t="s">
        <v>141</v>
      </c>
      <c r="B184" s="24"/>
      <c r="C184" s="4"/>
      <c r="D184" s="25">
        <f t="shared" si="446"/>
        <v>424</v>
      </c>
      <c r="E184" s="29">
        <f t="shared" ref="E184" si="461">E183</f>
        <v>574</v>
      </c>
      <c r="F184" s="25">
        <f t="shared" si="448"/>
        <v>452</v>
      </c>
      <c r="G184" s="29">
        <f t="shared" si="449"/>
        <v>606</v>
      </c>
      <c r="H184" s="4" t="s">
        <v>0</v>
      </c>
      <c r="I184" s="11" t="str">
        <f t="shared" si="0"/>
        <v>01-01</v>
      </c>
      <c r="J184" s="14">
        <f t="shared" si="347"/>
        <v>424</v>
      </c>
      <c r="K184" s="15">
        <f t="shared" si="342"/>
        <v>574</v>
      </c>
      <c r="L184" s="17">
        <f t="shared" si="3"/>
        <v>452</v>
      </c>
      <c r="M184" s="18">
        <f t="shared" si="4"/>
        <v>574</v>
      </c>
      <c r="N184" s="14">
        <f t="shared" si="348"/>
        <v>452</v>
      </c>
      <c r="O184" s="15">
        <f t="shared" si="343"/>
        <v>606</v>
      </c>
      <c r="P184" s="17">
        <f t="shared" si="6"/>
        <v>424</v>
      </c>
      <c r="Q184" s="18">
        <f t="shared" si="7"/>
        <v>606</v>
      </c>
      <c r="R184" s="4" t="s">
        <v>0</v>
      </c>
      <c r="S184" s="16" t="str">
        <f t="shared" si="8"/>
        <v>01-01</v>
      </c>
      <c r="T184" s="14">
        <f t="shared" si="9"/>
        <v>424</v>
      </c>
      <c r="U184" s="18">
        <f t="shared" si="10"/>
        <v>176</v>
      </c>
      <c r="V184" s="14">
        <f t="shared" si="396"/>
        <v>452</v>
      </c>
      <c r="W184" s="18">
        <f t="shared" si="11"/>
        <v>176</v>
      </c>
      <c r="X184" s="14">
        <f t="shared" si="397"/>
        <v>452</v>
      </c>
      <c r="Y184" s="18">
        <f t="shared" si="12"/>
        <v>144</v>
      </c>
      <c r="Z184" s="14">
        <f t="shared" si="398"/>
        <v>424</v>
      </c>
      <c r="AA184" s="18">
        <f t="shared" si="13"/>
        <v>144</v>
      </c>
      <c r="AB184" s="4" t="s">
        <v>0</v>
      </c>
    </row>
  </sheetData>
  <autoFilter ref="A10:AB184" xr:uid="{00000000-0001-0000-0000-000000000000}"/>
  <mergeCells count="2">
    <mergeCell ref="D3:G3"/>
    <mergeCell ref="D4:G4"/>
  </mergeCells>
  <phoneticPr fontId="1"/>
  <hyperlinks>
    <hyperlink ref="N4" r:id="rId1" xr:uid="{9CA83289-2C59-40F8-B14C-11C793763079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212"/>
  <sheetViews>
    <sheetView workbookViewId="0">
      <pane ySplit="10" topLeftCell="A11" activePane="bottomLeft" state="frozen"/>
      <selection activeCell="A70" sqref="A7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SEC_11_3_日A.json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SEC_11_3_日A.png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240</v>
      </c>
      <c r="B11" s="30" t="s">
        <v>698</v>
      </c>
      <c r="C11" s="4" t="s">
        <v>0</v>
      </c>
      <c r="D11" s="27">
        <v>71</v>
      </c>
      <c r="E11" s="31">
        <v>122</v>
      </c>
      <c r="F11" s="31">
        <v>94</v>
      </c>
      <c r="G11" s="31">
        <v>152</v>
      </c>
      <c r="H11" s="4" t="s">
        <v>0</v>
      </c>
      <c r="I11" s="16" t="str">
        <f t="shared" ref="I11:I200" si="0">A11</f>
        <v>15-21</v>
      </c>
      <c r="J11" s="14">
        <f>IF(D11&lt;&gt;"",D11,0)</f>
        <v>71</v>
      </c>
      <c r="K11" s="15">
        <f>IF(E11&lt;&gt;"",E11,0)</f>
        <v>122</v>
      </c>
      <c r="L11" s="17">
        <f>N11</f>
        <v>94</v>
      </c>
      <c r="M11" s="18">
        <f>K11</f>
        <v>122</v>
      </c>
      <c r="N11" s="14">
        <f>IF(F11&lt;&gt;"",F11,0)</f>
        <v>94</v>
      </c>
      <c r="O11" s="15">
        <f>IF(G11&lt;&gt;"",G11,0)</f>
        <v>152</v>
      </c>
      <c r="P11" s="17">
        <f>J11</f>
        <v>71</v>
      </c>
      <c r="Q11" s="18">
        <f>O11</f>
        <v>152</v>
      </c>
      <c r="R11" s="4" t="s">
        <v>0</v>
      </c>
      <c r="S11" s="16" t="str">
        <f>I11</f>
        <v>15-21</v>
      </c>
      <c r="T11" s="14">
        <f>IF(J11&lt;&gt;"",J11,"")</f>
        <v>71</v>
      </c>
      <c r="U11" s="18">
        <f>IF(K11&lt;&gt;"",U$6-K11,"")</f>
        <v>628</v>
      </c>
      <c r="V11" s="14">
        <f t="shared" ref="V11:Z11" si="1">IF(L11&lt;&gt;"",L11,"")</f>
        <v>94</v>
      </c>
      <c r="W11" s="18">
        <f>IF(M11&lt;&gt;"",W$6-M11,"")</f>
        <v>628</v>
      </c>
      <c r="X11" s="14">
        <f t="shared" si="1"/>
        <v>94</v>
      </c>
      <c r="Y11" s="18">
        <f>IF(O11&lt;&gt;"",Y$6-O11,"")</f>
        <v>598</v>
      </c>
      <c r="Z11" s="14">
        <f t="shared" si="1"/>
        <v>71</v>
      </c>
      <c r="AA11" s="18">
        <f>IF(Q11&lt;&gt;"",AA$6-Q11,"")</f>
        <v>598</v>
      </c>
      <c r="AB11" s="4" t="s">
        <v>0</v>
      </c>
    </row>
    <row r="12" spans="1:28">
      <c r="A12" s="9" t="s">
        <v>239</v>
      </c>
      <c r="B12" s="24"/>
      <c r="C12" s="26">
        <v>1</v>
      </c>
      <c r="D12" s="28">
        <f>ROUND(D$11+24.2*$C12, 0)</f>
        <v>95</v>
      </c>
      <c r="E12" s="29">
        <f>E$11</f>
        <v>122</v>
      </c>
      <c r="F12" s="28">
        <f>ROUND(F$11+24.2*$C12, 0)</f>
        <v>118</v>
      </c>
      <c r="G12" s="29">
        <f>G$11</f>
        <v>152</v>
      </c>
      <c r="H12" s="4" t="s">
        <v>0</v>
      </c>
      <c r="I12" s="16" t="str">
        <f t="shared" si="0"/>
        <v>15-20</v>
      </c>
      <c r="J12" s="14">
        <f t="shared" ref="J12:J212" si="2">IF(D12&lt;&gt;"",D12,0)</f>
        <v>95</v>
      </c>
      <c r="K12" s="15">
        <f t="shared" ref="K12:K212" si="3">IF(E12&lt;&gt;"",E12,0)</f>
        <v>122</v>
      </c>
      <c r="L12" s="17">
        <f t="shared" ref="L12:L212" si="4">N12</f>
        <v>118</v>
      </c>
      <c r="M12" s="18">
        <f t="shared" ref="M12:M212" si="5">K12</f>
        <v>122</v>
      </c>
      <c r="N12" s="14">
        <f t="shared" ref="N12:N212" si="6">IF(F12&lt;&gt;"",F12,0)</f>
        <v>118</v>
      </c>
      <c r="O12" s="15">
        <f t="shared" ref="O12:O212" si="7">IF(G12&lt;&gt;"",G12,0)</f>
        <v>152</v>
      </c>
      <c r="P12" s="17">
        <f t="shared" ref="P12:P212" si="8">J12</f>
        <v>95</v>
      </c>
      <c r="Q12" s="18">
        <f t="shared" ref="Q12:Q212" si="9">O12</f>
        <v>152</v>
      </c>
      <c r="R12" s="4" t="s">
        <v>0</v>
      </c>
      <c r="S12" s="16" t="str">
        <f t="shared" ref="S12:S212" si="10">I12</f>
        <v>15-20</v>
      </c>
      <c r="T12" s="14">
        <f t="shared" ref="T12:T212" si="11">IF(J12&lt;&gt;"",J12,"")</f>
        <v>95</v>
      </c>
      <c r="U12" s="18">
        <f t="shared" ref="U12:U212" si="12">IF(K12&lt;&gt;"",U$6-K12,"")</f>
        <v>628</v>
      </c>
      <c r="V12" s="14">
        <f t="shared" ref="V12:V212" si="13">IF(L12&lt;&gt;"",L12,"")</f>
        <v>118</v>
      </c>
      <c r="W12" s="18">
        <f t="shared" ref="W12:W212" si="14">IF(M12&lt;&gt;"",W$6-M12,"")</f>
        <v>628</v>
      </c>
      <c r="X12" s="14">
        <f t="shared" ref="X12:X212" si="15">IF(N12&lt;&gt;"",N12,"")</f>
        <v>118</v>
      </c>
      <c r="Y12" s="18">
        <f t="shared" ref="Y12:Y212" si="16">IF(O12&lt;&gt;"",Y$6-O12,"")</f>
        <v>598</v>
      </c>
      <c r="Z12" s="14">
        <f t="shared" ref="Z12:Z212" si="17">IF(P12&lt;&gt;"",P12,"")</f>
        <v>95</v>
      </c>
      <c r="AA12" s="18">
        <f t="shared" ref="AA12:AA212" si="18">IF(Q12&lt;&gt;"",AA$6-Q12,"")</f>
        <v>598</v>
      </c>
      <c r="AB12" s="4" t="s">
        <v>0</v>
      </c>
    </row>
    <row r="13" spans="1:28">
      <c r="A13" s="9" t="s">
        <v>238</v>
      </c>
      <c r="B13" s="24"/>
      <c r="C13" s="26">
        <v>2</v>
      </c>
      <c r="D13" s="28">
        <f t="shared" ref="D13:D27" si="19">ROUND(D$11+24.2*$C13, 0)</f>
        <v>119</v>
      </c>
      <c r="E13" s="29">
        <f t="shared" ref="E13:E27" si="20">E$11</f>
        <v>122</v>
      </c>
      <c r="F13" s="28">
        <f t="shared" ref="F13:F27" si="21">ROUND(F$11+24.2*$C13, 0)</f>
        <v>142</v>
      </c>
      <c r="G13" s="29">
        <f t="shared" ref="G13:G27" si="22">G$11</f>
        <v>152</v>
      </c>
      <c r="H13" s="4" t="s">
        <v>0</v>
      </c>
      <c r="I13" s="16" t="str">
        <f t="shared" ref="I13:I75" si="23">A13</f>
        <v>15-18</v>
      </c>
      <c r="J13" s="14">
        <f t="shared" ref="J13:J75" si="24">IF(D13&lt;&gt;"",D13,0)</f>
        <v>119</v>
      </c>
      <c r="K13" s="15">
        <f t="shared" ref="K13:K75" si="25">IF(E13&lt;&gt;"",E13,0)</f>
        <v>122</v>
      </c>
      <c r="L13" s="17">
        <f t="shared" ref="L13:L75" si="26">N13</f>
        <v>142</v>
      </c>
      <c r="M13" s="18">
        <f t="shared" ref="M13:M75" si="27">K13</f>
        <v>122</v>
      </c>
      <c r="N13" s="14">
        <f t="shared" ref="N13:N75" si="28">IF(F13&lt;&gt;"",F13,0)</f>
        <v>142</v>
      </c>
      <c r="O13" s="15">
        <f t="shared" ref="O13:O75" si="29">IF(G13&lt;&gt;"",G13,0)</f>
        <v>152</v>
      </c>
      <c r="P13" s="17">
        <f t="shared" ref="P13:P75" si="30">J13</f>
        <v>119</v>
      </c>
      <c r="Q13" s="18">
        <f t="shared" ref="Q13:Q75" si="31">O13</f>
        <v>152</v>
      </c>
      <c r="R13" s="4" t="s">
        <v>0</v>
      </c>
      <c r="S13" s="16" t="str">
        <f t="shared" ref="S13:S75" si="32">I13</f>
        <v>15-18</v>
      </c>
      <c r="T13" s="14">
        <f t="shared" ref="T13:T75" si="33">IF(J13&lt;&gt;"",J13,"")</f>
        <v>119</v>
      </c>
      <c r="U13" s="18">
        <f t="shared" ref="U13:U75" si="34">IF(K13&lt;&gt;"",U$6-K13,"")</f>
        <v>628</v>
      </c>
      <c r="V13" s="14">
        <f t="shared" ref="V13:V75" si="35">IF(L13&lt;&gt;"",L13,"")</f>
        <v>142</v>
      </c>
      <c r="W13" s="18">
        <f t="shared" ref="W13:W75" si="36">IF(M13&lt;&gt;"",W$6-M13,"")</f>
        <v>628</v>
      </c>
      <c r="X13" s="14">
        <f t="shared" ref="X13:X75" si="37">IF(N13&lt;&gt;"",N13,"")</f>
        <v>142</v>
      </c>
      <c r="Y13" s="18">
        <f t="shared" ref="Y13:Y75" si="38">IF(O13&lt;&gt;"",Y$6-O13,"")</f>
        <v>598</v>
      </c>
      <c r="Z13" s="14">
        <f t="shared" ref="Z13:Z75" si="39">IF(P13&lt;&gt;"",P13,"")</f>
        <v>119</v>
      </c>
      <c r="AA13" s="18">
        <f t="shared" ref="AA13:AA75" si="40">IF(Q13&lt;&gt;"",AA$6-Q13,"")</f>
        <v>598</v>
      </c>
      <c r="AB13" s="4" t="s">
        <v>0</v>
      </c>
    </row>
    <row r="14" spans="1:28">
      <c r="A14" s="9" t="s">
        <v>237</v>
      </c>
      <c r="B14" s="24"/>
      <c r="C14" s="26">
        <v>3</v>
      </c>
      <c r="D14" s="28">
        <f t="shared" si="19"/>
        <v>144</v>
      </c>
      <c r="E14" s="29">
        <f t="shared" si="20"/>
        <v>122</v>
      </c>
      <c r="F14" s="28">
        <f t="shared" si="21"/>
        <v>167</v>
      </c>
      <c r="G14" s="29">
        <f t="shared" si="22"/>
        <v>152</v>
      </c>
      <c r="H14" s="4" t="s">
        <v>0</v>
      </c>
      <c r="I14" s="16" t="str">
        <f t="shared" si="23"/>
        <v>15-17</v>
      </c>
      <c r="J14" s="14">
        <f t="shared" si="24"/>
        <v>144</v>
      </c>
      <c r="K14" s="15">
        <f t="shared" si="25"/>
        <v>122</v>
      </c>
      <c r="L14" s="17">
        <f t="shared" si="26"/>
        <v>167</v>
      </c>
      <c r="M14" s="18">
        <f t="shared" si="27"/>
        <v>122</v>
      </c>
      <c r="N14" s="14">
        <f t="shared" si="28"/>
        <v>167</v>
      </c>
      <c r="O14" s="15">
        <f t="shared" si="29"/>
        <v>152</v>
      </c>
      <c r="P14" s="17">
        <f t="shared" si="30"/>
        <v>144</v>
      </c>
      <c r="Q14" s="18">
        <f t="shared" si="31"/>
        <v>152</v>
      </c>
      <c r="R14" s="4" t="s">
        <v>0</v>
      </c>
      <c r="S14" s="16" t="str">
        <f t="shared" si="32"/>
        <v>15-17</v>
      </c>
      <c r="T14" s="14">
        <f t="shared" si="33"/>
        <v>144</v>
      </c>
      <c r="U14" s="18">
        <f t="shared" si="34"/>
        <v>628</v>
      </c>
      <c r="V14" s="14">
        <f t="shared" si="35"/>
        <v>167</v>
      </c>
      <c r="W14" s="18">
        <f t="shared" si="36"/>
        <v>628</v>
      </c>
      <c r="X14" s="14">
        <f t="shared" si="37"/>
        <v>167</v>
      </c>
      <c r="Y14" s="18">
        <f t="shared" si="38"/>
        <v>598</v>
      </c>
      <c r="Z14" s="14">
        <f t="shared" si="39"/>
        <v>144</v>
      </c>
      <c r="AA14" s="18">
        <f t="shared" si="40"/>
        <v>598</v>
      </c>
      <c r="AB14" s="4" t="s">
        <v>0</v>
      </c>
    </row>
    <row r="15" spans="1:28">
      <c r="A15" s="9" t="s">
        <v>236</v>
      </c>
      <c r="B15" s="24"/>
      <c r="C15" s="26">
        <v>4</v>
      </c>
      <c r="D15" s="28">
        <f t="shared" si="19"/>
        <v>168</v>
      </c>
      <c r="E15" s="29">
        <f t="shared" si="20"/>
        <v>122</v>
      </c>
      <c r="F15" s="28">
        <f t="shared" si="21"/>
        <v>191</v>
      </c>
      <c r="G15" s="29">
        <f t="shared" si="22"/>
        <v>152</v>
      </c>
      <c r="H15" s="4" t="s">
        <v>0</v>
      </c>
      <c r="I15" s="16" t="str">
        <f t="shared" si="23"/>
        <v>15-16</v>
      </c>
      <c r="J15" s="14">
        <f t="shared" si="24"/>
        <v>168</v>
      </c>
      <c r="K15" s="15">
        <f t="shared" si="25"/>
        <v>122</v>
      </c>
      <c r="L15" s="17">
        <f t="shared" si="26"/>
        <v>191</v>
      </c>
      <c r="M15" s="18">
        <f t="shared" si="27"/>
        <v>122</v>
      </c>
      <c r="N15" s="14">
        <f t="shared" si="28"/>
        <v>191</v>
      </c>
      <c r="O15" s="15">
        <f t="shared" si="29"/>
        <v>152</v>
      </c>
      <c r="P15" s="17">
        <f t="shared" si="30"/>
        <v>168</v>
      </c>
      <c r="Q15" s="18">
        <f t="shared" si="31"/>
        <v>152</v>
      </c>
      <c r="R15" s="4" t="s">
        <v>0</v>
      </c>
      <c r="S15" s="16" t="str">
        <f t="shared" si="32"/>
        <v>15-16</v>
      </c>
      <c r="T15" s="14">
        <f t="shared" si="33"/>
        <v>168</v>
      </c>
      <c r="U15" s="18">
        <f t="shared" si="34"/>
        <v>628</v>
      </c>
      <c r="V15" s="14">
        <f t="shared" si="35"/>
        <v>191</v>
      </c>
      <c r="W15" s="18">
        <f t="shared" si="36"/>
        <v>628</v>
      </c>
      <c r="X15" s="14">
        <f t="shared" si="37"/>
        <v>191</v>
      </c>
      <c r="Y15" s="18">
        <f t="shared" si="38"/>
        <v>598</v>
      </c>
      <c r="Z15" s="14">
        <f t="shared" si="39"/>
        <v>168</v>
      </c>
      <c r="AA15" s="18">
        <f t="shared" si="40"/>
        <v>598</v>
      </c>
      <c r="AB15" s="4" t="s">
        <v>0</v>
      </c>
    </row>
    <row r="16" spans="1:28">
      <c r="A16" s="9" t="s">
        <v>235</v>
      </c>
      <c r="B16" s="24"/>
      <c r="C16" s="26">
        <v>5</v>
      </c>
      <c r="D16" s="28">
        <f t="shared" si="19"/>
        <v>192</v>
      </c>
      <c r="E16" s="29">
        <f t="shared" si="20"/>
        <v>122</v>
      </c>
      <c r="F16" s="28">
        <f t="shared" si="21"/>
        <v>215</v>
      </c>
      <c r="G16" s="29">
        <f t="shared" si="22"/>
        <v>152</v>
      </c>
      <c r="H16" s="4" t="s">
        <v>0</v>
      </c>
      <c r="I16" s="16" t="str">
        <f t="shared" si="23"/>
        <v>15-15</v>
      </c>
      <c r="J16" s="14">
        <f t="shared" si="24"/>
        <v>192</v>
      </c>
      <c r="K16" s="15">
        <f t="shared" si="25"/>
        <v>122</v>
      </c>
      <c r="L16" s="17">
        <f t="shared" si="26"/>
        <v>215</v>
      </c>
      <c r="M16" s="18">
        <f t="shared" si="27"/>
        <v>122</v>
      </c>
      <c r="N16" s="14">
        <f t="shared" si="28"/>
        <v>215</v>
      </c>
      <c r="O16" s="15">
        <f t="shared" si="29"/>
        <v>152</v>
      </c>
      <c r="P16" s="17">
        <f t="shared" si="30"/>
        <v>192</v>
      </c>
      <c r="Q16" s="18">
        <f t="shared" si="31"/>
        <v>152</v>
      </c>
      <c r="R16" s="4" t="s">
        <v>0</v>
      </c>
      <c r="S16" s="16" t="str">
        <f t="shared" si="32"/>
        <v>15-15</v>
      </c>
      <c r="T16" s="14">
        <f t="shared" si="33"/>
        <v>192</v>
      </c>
      <c r="U16" s="18">
        <f t="shared" si="34"/>
        <v>628</v>
      </c>
      <c r="V16" s="14">
        <f t="shared" si="35"/>
        <v>215</v>
      </c>
      <c r="W16" s="18">
        <f t="shared" si="36"/>
        <v>628</v>
      </c>
      <c r="X16" s="14">
        <f t="shared" si="37"/>
        <v>215</v>
      </c>
      <c r="Y16" s="18">
        <f t="shared" si="38"/>
        <v>598</v>
      </c>
      <c r="Z16" s="14">
        <f t="shared" si="39"/>
        <v>192</v>
      </c>
      <c r="AA16" s="18">
        <f t="shared" si="40"/>
        <v>598</v>
      </c>
      <c r="AB16" s="4" t="s">
        <v>0</v>
      </c>
    </row>
    <row r="17" spans="1:28">
      <c r="A17" s="9" t="s">
        <v>234</v>
      </c>
      <c r="B17" s="24"/>
      <c r="C17" s="26">
        <v>6</v>
      </c>
      <c r="D17" s="28">
        <f t="shared" si="19"/>
        <v>216</v>
      </c>
      <c r="E17" s="29">
        <f t="shared" si="20"/>
        <v>122</v>
      </c>
      <c r="F17" s="28">
        <f t="shared" si="21"/>
        <v>239</v>
      </c>
      <c r="G17" s="29">
        <f t="shared" si="22"/>
        <v>152</v>
      </c>
      <c r="H17" s="4" t="s">
        <v>0</v>
      </c>
      <c r="I17" s="16" t="str">
        <f t="shared" si="23"/>
        <v>15-13</v>
      </c>
      <c r="J17" s="14">
        <f t="shared" si="24"/>
        <v>216</v>
      </c>
      <c r="K17" s="15">
        <f t="shared" si="25"/>
        <v>122</v>
      </c>
      <c r="L17" s="17">
        <f t="shared" si="26"/>
        <v>239</v>
      </c>
      <c r="M17" s="18">
        <f t="shared" si="27"/>
        <v>122</v>
      </c>
      <c r="N17" s="14">
        <f t="shared" si="28"/>
        <v>239</v>
      </c>
      <c r="O17" s="15">
        <f t="shared" si="29"/>
        <v>152</v>
      </c>
      <c r="P17" s="17">
        <f t="shared" si="30"/>
        <v>216</v>
      </c>
      <c r="Q17" s="18">
        <f t="shared" si="31"/>
        <v>152</v>
      </c>
      <c r="R17" s="4" t="s">
        <v>0</v>
      </c>
      <c r="S17" s="16" t="str">
        <f t="shared" si="32"/>
        <v>15-13</v>
      </c>
      <c r="T17" s="14">
        <f t="shared" si="33"/>
        <v>216</v>
      </c>
      <c r="U17" s="18">
        <f t="shared" si="34"/>
        <v>628</v>
      </c>
      <c r="V17" s="14">
        <f t="shared" si="35"/>
        <v>239</v>
      </c>
      <c r="W17" s="18">
        <f t="shared" si="36"/>
        <v>628</v>
      </c>
      <c r="X17" s="14">
        <f t="shared" si="37"/>
        <v>239</v>
      </c>
      <c r="Y17" s="18">
        <f t="shared" si="38"/>
        <v>598</v>
      </c>
      <c r="Z17" s="14">
        <f t="shared" si="39"/>
        <v>216</v>
      </c>
      <c r="AA17" s="18">
        <f t="shared" si="40"/>
        <v>598</v>
      </c>
      <c r="AB17" s="4" t="s">
        <v>0</v>
      </c>
    </row>
    <row r="18" spans="1:28">
      <c r="A18" s="9" t="s">
        <v>233</v>
      </c>
      <c r="B18" s="24"/>
      <c r="C18" s="26">
        <v>7</v>
      </c>
      <c r="D18" s="28">
        <f t="shared" si="19"/>
        <v>240</v>
      </c>
      <c r="E18" s="29">
        <f t="shared" si="20"/>
        <v>122</v>
      </c>
      <c r="F18" s="28">
        <f t="shared" si="21"/>
        <v>263</v>
      </c>
      <c r="G18" s="29">
        <f t="shared" si="22"/>
        <v>152</v>
      </c>
      <c r="H18" s="4" t="s">
        <v>0</v>
      </c>
      <c r="I18" s="16" t="str">
        <f t="shared" si="23"/>
        <v>15-12</v>
      </c>
      <c r="J18" s="14">
        <f t="shared" si="24"/>
        <v>240</v>
      </c>
      <c r="K18" s="15">
        <f t="shared" si="25"/>
        <v>122</v>
      </c>
      <c r="L18" s="17">
        <f t="shared" si="26"/>
        <v>263</v>
      </c>
      <c r="M18" s="18">
        <f t="shared" si="27"/>
        <v>122</v>
      </c>
      <c r="N18" s="14">
        <f t="shared" si="28"/>
        <v>263</v>
      </c>
      <c r="O18" s="15">
        <f t="shared" si="29"/>
        <v>152</v>
      </c>
      <c r="P18" s="17">
        <f t="shared" si="30"/>
        <v>240</v>
      </c>
      <c r="Q18" s="18">
        <f t="shared" si="31"/>
        <v>152</v>
      </c>
      <c r="R18" s="4" t="s">
        <v>0</v>
      </c>
      <c r="S18" s="16" t="str">
        <f t="shared" si="32"/>
        <v>15-12</v>
      </c>
      <c r="T18" s="14">
        <f t="shared" si="33"/>
        <v>240</v>
      </c>
      <c r="U18" s="18">
        <f t="shared" si="34"/>
        <v>628</v>
      </c>
      <c r="V18" s="14">
        <f t="shared" si="35"/>
        <v>263</v>
      </c>
      <c r="W18" s="18">
        <f t="shared" si="36"/>
        <v>628</v>
      </c>
      <c r="X18" s="14">
        <f t="shared" si="37"/>
        <v>263</v>
      </c>
      <c r="Y18" s="18">
        <f t="shared" si="38"/>
        <v>598</v>
      </c>
      <c r="Z18" s="14">
        <f t="shared" si="39"/>
        <v>240</v>
      </c>
      <c r="AA18" s="18">
        <f t="shared" si="40"/>
        <v>598</v>
      </c>
      <c r="AB18" s="4" t="s">
        <v>0</v>
      </c>
    </row>
    <row r="19" spans="1:28">
      <c r="A19" s="9" t="s">
        <v>232</v>
      </c>
      <c r="B19" s="24"/>
      <c r="C19" s="26">
        <v>8</v>
      </c>
      <c r="D19" s="28">
        <f t="shared" si="19"/>
        <v>265</v>
      </c>
      <c r="E19" s="29">
        <f t="shared" si="20"/>
        <v>122</v>
      </c>
      <c r="F19" s="28">
        <f t="shared" si="21"/>
        <v>288</v>
      </c>
      <c r="G19" s="29">
        <f t="shared" si="22"/>
        <v>152</v>
      </c>
      <c r="H19" s="4" t="s">
        <v>0</v>
      </c>
      <c r="I19" s="16" t="str">
        <f t="shared" si="23"/>
        <v>15-11</v>
      </c>
      <c r="J19" s="14">
        <f t="shared" si="24"/>
        <v>265</v>
      </c>
      <c r="K19" s="15">
        <f t="shared" si="25"/>
        <v>122</v>
      </c>
      <c r="L19" s="17">
        <f t="shared" si="26"/>
        <v>288</v>
      </c>
      <c r="M19" s="18">
        <f t="shared" si="27"/>
        <v>122</v>
      </c>
      <c r="N19" s="14">
        <f t="shared" si="28"/>
        <v>288</v>
      </c>
      <c r="O19" s="15">
        <f t="shared" si="29"/>
        <v>152</v>
      </c>
      <c r="P19" s="17">
        <f t="shared" si="30"/>
        <v>265</v>
      </c>
      <c r="Q19" s="18">
        <f t="shared" si="31"/>
        <v>152</v>
      </c>
      <c r="R19" s="4" t="s">
        <v>0</v>
      </c>
      <c r="S19" s="16" t="str">
        <f t="shared" si="32"/>
        <v>15-11</v>
      </c>
      <c r="T19" s="14">
        <f t="shared" si="33"/>
        <v>265</v>
      </c>
      <c r="U19" s="18">
        <f t="shared" si="34"/>
        <v>628</v>
      </c>
      <c r="V19" s="14">
        <f t="shared" si="35"/>
        <v>288</v>
      </c>
      <c r="W19" s="18">
        <f t="shared" si="36"/>
        <v>628</v>
      </c>
      <c r="X19" s="14">
        <f t="shared" si="37"/>
        <v>288</v>
      </c>
      <c r="Y19" s="18">
        <f t="shared" si="38"/>
        <v>598</v>
      </c>
      <c r="Z19" s="14">
        <f t="shared" si="39"/>
        <v>265</v>
      </c>
      <c r="AA19" s="18">
        <f t="shared" si="40"/>
        <v>598</v>
      </c>
      <c r="AB19" s="4" t="s">
        <v>0</v>
      </c>
    </row>
    <row r="20" spans="1:28">
      <c r="A20" s="9" t="s">
        <v>231</v>
      </c>
      <c r="B20" s="24"/>
      <c r="C20" s="26">
        <v>9</v>
      </c>
      <c r="D20" s="28">
        <f t="shared" si="19"/>
        <v>289</v>
      </c>
      <c r="E20" s="29">
        <f t="shared" si="20"/>
        <v>122</v>
      </c>
      <c r="F20" s="28">
        <f t="shared" si="21"/>
        <v>312</v>
      </c>
      <c r="G20" s="29">
        <f t="shared" si="22"/>
        <v>152</v>
      </c>
      <c r="H20" s="4" t="s">
        <v>0</v>
      </c>
      <c r="I20" s="16" t="str">
        <f t="shared" si="23"/>
        <v>15-10</v>
      </c>
      <c r="J20" s="14">
        <f t="shared" si="24"/>
        <v>289</v>
      </c>
      <c r="K20" s="15">
        <f t="shared" si="25"/>
        <v>122</v>
      </c>
      <c r="L20" s="17">
        <f t="shared" si="26"/>
        <v>312</v>
      </c>
      <c r="M20" s="18">
        <f t="shared" si="27"/>
        <v>122</v>
      </c>
      <c r="N20" s="14">
        <f t="shared" si="28"/>
        <v>312</v>
      </c>
      <c r="O20" s="15">
        <f t="shared" si="29"/>
        <v>152</v>
      </c>
      <c r="P20" s="17">
        <f t="shared" si="30"/>
        <v>289</v>
      </c>
      <c r="Q20" s="18">
        <f t="shared" si="31"/>
        <v>152</v>
      </c>
      <c r="R20" s="4" t="s">
        <v>0</v>
      </c>
      <c r="S20" s="16" t="str">
        <f t="shared" si="32"/>
        <v>15-10</v>
      </c>
      <c r="T20" s="14">
        <f t="shared" si="33"/>
        <v>289</v>
      </c>
      <c r="U20" s="18">
        <f t="shared" si="34"/>
        <v>628</v>
      </c>
      <c r="V20" s="14">
        <f t="shared" si="35"/>
        <v>312</v>
      </c>
      <c r="W20" s="18">
        <f t="shared" si="36"/>
        <v>628</v>
      </c>
      <c r="X20" s="14">
        <f t="shared" si="37"/>
        <v>312</v>
      </c>
      <c r="Y20" s="18">
        <f t="shared" si="38"/>
        <v>598</v>
      </c>
      <c r="Z20" s="14">
        <f t="shared" si="39"/>
        <v>289</v>
      </c>
      <c r="AA20" s="18">
        <f t="shared" si="40"/>
        <v>598</v>
      </c>
      <c r="AB20" s="4" t="s">
        <v>0</v>
      </c>
    </row>
    <row r="21" spans="1:28">
      <c r="A21" s="9" t="s">
        <v>230</v>
      </c>
      <c r="B21" s="24"/>
      <c r="C21" s="26">
        <v>10</v>
      </c>
      <c r="D21" s="28">
        <f t="shared" si="19"/>
        <v>313</v>
      </c>
      <c r="E21" s="29">
        <f t="shared" si="20"/>
        <v>122</v>
      </c>
      <c r="F21" s="28">
        <f t="shared" si="21"/>
        <v>336</v>
      </c>
      <c r="G21" s="29">
        <f t="shared" si="22"/>
        <v>152</v>
      </c>
      <c r="H21" s="4" t="s">
        <v>0</v>
      </c>
      <c r="I21" s="16" t="str">
        <f t="shared" si="23"/>
        <v>15-08</v>
      </c>
      <c r="J21" s="14">
        <f t="shared" si="24"/>
        <v>313</v>
      </c>
      <c r="K21" s="15">
        <f t="shared" si="25"/>
        <v>122</v>
      </c>
      <c r="L21" s="17">
        <f t="shared" si="26"/>
        <v>336</v>
      </c>
      <c r="M21" s="18">
        <f t="shared" si="27"/>
        <v>122</v>
      </c>
      <c r="N21" s="14">
        <f t="shared" si="28"/>
        <v>336</v>
      </c>
      <c r="O21" s="15">
        <f t="shared" si="29"/>
        <v>152</v>
      </c>
      <c r="P21" s="17">
        <f t="shared" si="30"/>
        <v>313</v>
      </c>
      <c r="Q21" s="18">
        <f t="shared" si="31"/>
        <v>152</v>
      </c>
      <c r="R21" s="4" t="s">
        <v>0</v>
      </c>
      <c r="S21" s="16" t="str">
        <f t="shared" si="32"/>
        <v>15-08</v>
      </c>
      <c r="T21" s="14">
        <f t="shared" si="33"/>
        <v>313</v>
      </c>
      <c r="U21" s="18">
        <f t="shared" si="34"/>
        <v>628</v>
      </c>
      <c r="V21" s="14">
        <f t="shared" si="35"/>
        <v>336</v>
      </c>
      <c r="W21" s="18">
        <f t="shared" si="36"/>
        <v>628</v>
      </c>
      <c r="X21" s="14">
        <f t="shared" si="37"/>
        <v>336</v>
      </c>
      <c r="Y21" s="18">
        <f t="shared" si="38"/>
        <v>598</v>
      </c>
      <c r="Z21" s="14">
        <f t="shared" si="39"/>
        <v>313</v>
      </c>
      <c r="AA21" s="18">
        <f t="shared" si="40"/>
        <v>598</v>
      </c>
      <c r="AB21" s="4" t="s">
        <v>0</v>
      </c>
    </row>
    <row r="22" spans="1:28">
      <c r="A22" s="9" t="s">
        <v>229</v>
      </c>
      <c r="B22" s="24"/>
      <c r="C22" s="26">
        <v>11</v>
      </c>
      <c r="D22" s="28">
        <f t="shared" si="19"/>
        <v>337</v>
      </c>
      <c r="E22" s="29">
        <f t="shared" si="20"/>
        <v>122</v>
      </c>
      <c r="F22" s="28">
        <f t="shared" si="21"/>
        <v>360</v>
      </c>
      <c r="G22" s="29">
        <f t="shared" si="22"/>
        <v>152</v>
      </c>
      <c r="H22" s="4" t="s">
        <v>0</v>
      </c>
      <c r="I22" s="16" t="str">
        <f t="shared" si="23"/>
        <v>15-07</v>
      </c>
      <c r="J22" s="14">
        <f t="shared" si="24"/>
        <v>337</v>
      </c>
      <c r="K22" s="15">
        <f t="shared" si="25"/>
        <v>122</v>
      </c>
      <c r="L22" s="17">
        <f t="shared" si="26"/>
        <v>360</v>
      </c>
      <c r="M22" s="18">
        <f t="shared" si="27"/>
        <v>122</v>
      </c>
      <c r="N22" s="14">
        <f t="shared" si="28"/>
        <v>360</v>
      </c>
      <c r="O22" s="15">
        <f t="shared" si="29"/>
        <v>152</v>
      </c>
      <c r="P22" s="17">
        <f t="shared" si="30"/>
        <v>337</v>
      </c>
      <c r="Q22" s="18">
        <f t="shared" si="31"/>
        <v>152</v>
      </c>
      <c r="R22" s="4" t="s">
        <v>0</v>
      </c>
      <c r="S22" s="16" t="str">
        <f t="shared" si="32"/>
        <v>15-07</v>
      </c>
      <c r="T22" s="14">
        <f t="shared" si="33"/>
        <v>337</v>
      </c>
      <c r="U22" s="18">
        <f t="shared" si="34"/>
        <v>628</v>
      </c>
      <c r="V22" s="14">
        <f t="shared" si="35"/>
        <v>360</v>
      </c>
      <c r="W22" s="18">
        <f t="shared" si="36"/>
        <v>628</v>
      </c>
      <c r="X22" s="14">
        <f t="shared" si="37"/>
        <v>360</v>
      </c>
      <c r="Y22" s="18">
        <f t="shared" si="38"/>
        <v>598</v>
      </c>
      <c r="Z22" s="14">
        <f t="shared" si="39"/>
        <v>337</v>
      </c>
      <c r="AA22" s="18">
        <f t="shared" si="40"/>
        <v>598</v>
      </c>
      <c r="AB22" s="4" t="s">
        <v>0</v>
      </c>
    </row>
    <row r="23" spans="1:28">
      <c r="A23" s="9" t="s">
        <v>228</v>
      </c>
      <c r="B23" s="24"/>
      <c r="C23" s="26">
        <v>12</v>
      </c>
      <c r="D23" s="28">
        <f t="shared" si="19"/>
        <v>361</v>
      </c>
      <c r="E23" s="29">
        <f t="shared" si="20"/>
        <v>122</v>
      </c>
      <c r="F23" s="28">
        <f t="shared" si="21"/>
        <v>384</v>
      </c>
      <c r="G23" s="29">
        <f t="shared" si="22"/>
        <v>152</v>
      </c>
      <c r="H23" s="4" t="s">
        <v>0</v>
      </c>
      <c r="I23" s="16" t="str">
        <f t="shared" si="23"/>
        <v>15-06</v>
      </c>
      <c r="J23" s="14">
        <f t="shared" si="24"/>
        <v>361</v>
      </c>
      <c r="K23" s="15">
        <f t="shared" si="25"/>
        <v>122</v>
      </c>
      <c r="L23" s="17">
        <f t="shared" si="26"/>
        <v>384</v>
      </c>
      <c r="M23" s="18">
        <f t="shared" si="27"/>
        <v>122</v>
      </c>
      <c r="N23" s="14">
        <f t="shared" si="28"/>
        <v>384</v>
      </c>
      <c r="O23" s="15">
        <f t="shared" si="29"/>
        <v>152</v>
      </c>
      <c r="P23" s="17">
        <f t="shared" si="30"/>
        <v>361</v>
      </c>
      <c r="Q23" s="18">
        <f t="shared" si="31"/>
        <v>152</v>
      </c>
      <c r="R23" s="4" t="s">
        <v>0</v>
      </c>
      <c r="S23" s="16" t="str">
        <f t="shared" si="32"/>
        <v>15-06</v>
      </c>
      <c r="T23" s="14">
        <f t="shared" si="33"/>
        <v>361</v>
      </c>
      <c r="U23" s="18">
        <f t="shared" si="34"/>
        <v>628</v>
      </c>
      <c r="V23" s="14">
        <f t="shared" si="35"/>
        <v>384</v>
      </c>
      <c r="W23" s="18">
        <f t="shared" si="36"/>
        <v>628</v>
      </c>
      <c r="X23" s="14">
        <f t="shared" si="37"/>
        <v>384</v>
      </c>
      <c r="Y23" s="18">
        <f t="shared" si="38"/>
        <v>598</v>
      </c>
      <c r="Z23" s="14">
        <f t="shared" si="39"/>
        <v>361</v>
      </c>
      <c r="AA23" s="18">
        <f t="shared" si="40"/>
        <v>598</v>
      </c>
      <c r="AB23" s="4" t="s">
        <v>0</v>
      </c>
    </row>
    <row r="24" spans="1:28">
      <c r="A24" s="9" t="s">
        <v>227</v>
      </c>
      <c r="B24" s="24"/>
      <c r="C24" s="26">
        <v>13</v>
      </c>
      <c r="D24" s="28">
        <f t="shared" si="19"/>
        <v>386</v>
      </c>
      <c r="E24" s="29">
        <f t="shared" si="20"/>
        <v>122</v>
      </c>
      <c r="F24" s="28">
        <f t="shared" si="21"/>
        <v>409</v>
      </c>
      <c r="G24" s="29">
        <f t="shared" si="22"/>
        <v>152</v>
      </c>
      <c r="H24" s="4" t="s">
        <v>0</v>
      </c>
      <c r="I24" s="16" t="str">
        <f t="shared" si="23"/>
        <v>15-05</v>
      </c>
      <c r="J24" s="14">
        <f t="shared" si="24"/>
        <v>386</v>
      </c>
      <c r="K24" s="15">
        <f t="shared" si="25"/>
        <v>122</v>
      </c>
      <c r="L24" s="17">
        <f t="shared" si="26"/>
        <v>409</v>
      </c>
      <c r="M24" s="18">
        <f t="shared" si="27"/>
        <v>122</v>
      </c>
      <c r="N24" s="14">
        <f t="shared" si="28"/>
        <v>409</v>
      </c>
      <c r="O24" s="15">
        <f t="shared" si="29"/>
        <v>152</v>
      </c>
      <c r="P24" s="17">
        <f t="shared" si="30"/>
        <v>386</v>
      </c>
      <c r="Q24" s="18">
        <f t="shared" si="31"/>
        <v>152</v>
      </c>
      <c r="R24" s="4" t="s">
        <v>0</v>
      </c>
      <c r="S24" s="16" t="str">
        <f t="shared" si="32"/>
        <v>15-05</v>
      </c>
      <c r="T24" s="14">
        <f t="shared" si="33"/>
        <v>386</v>
      </c>
      <c r="U24" s="18">
        <f t="shared" si="34"/>
        <v>628</v>
      </c>
      <c r="V24" s="14">
        <f t="shared" si="35"/>
        <v>409</v>
      </c>
      <c r="W24" s="18">
        <f t="shared" si="36"/>
        <v>628</v>
      </c>
      <c r="X24" s="14">
        <f t="shared" si="37"/>
        <v>409</v>
      </c>
      <c r="Y24" s="18">
        <f t="shared" si="38"/>
        <v>598</v>
      </c>
      <c r="Z24" s="14">
        <f t="shared" si="39"/>
        <v>386</v>
      </c>
      <c r="AA24" s="18">
        <f t="shared" si="40"/>
        <v>598</v>
      </c>
      <c r="AB24" s="4" t="s">
        <v>0</v>
      </c>
    </row>
    <row r="25" spans="1:28">
      <c r="A25" s="9" t="s">
        <v>226</v>
      </c>
      <c r="B25" s="24"/>
      <c r="C25" s="26">
        <v>14</v>
      </c>
      <c r="D25" s="28">
        <f t="shared" si="19"/>
        <v>410</v>
      </c>
      <c r="E25" s="29">
        <f t="shared" si="20"/>
        <v>122</v>
      </c>
      <c r="F25" s="28">
        <f t="shared" si="21"/>
        <v>433</v>
      </c>
      <c r="G25" s="29">
        <f t="shared" si="22"/>
        <v>152</v>
      </c>
      <c r="H25" s="4" t="s">
        <v>0</v>
      </c>
      <c r="I25" s="16" t="str">
        <f t="shared" si="23"/>
        <v>15-03</v>
      </c>
      <c r="J25" s="14">
        <f t="shared" si="24"/>
        <v>410</v>
      </c>
      <c r="K25" s="15">
        <f t="shared" si="25"/>
        <v>122</v>
      </c>
      <c r="L25" s="17">
        <f t="shared" si="26"/>
        <v>433</v>
      </c>
      <c r="M25" s="18">
        <f t="shared" si="27"/>
        <v>122</v>
      </c>
      <c r="N25" s="14">
        <f t="shared" si="28"/>
        <v>433</v>
      </c>
      <c r="O25" s="15">
        <f t="shared" si="29"/>
        <v>152</v>
      </c>
      <c r="P25" s="17">
        <f t="shared" si="30"/>
        <v>410</v>
      </c>
      <c r="Q25" s="18">
        <f t="shared" si="31"/>
        <v>152</v>
      </c>
      <c r="R25" s="4" t="s">
        <v>0</v>
      </c>
      <c r="S25" s="16" t="str">
        <f t="shared" si="32"/>
        <v>15-03</v>
      </c>
      <c r="T25" s="14">
        <f t="shared" si="33"/>
        <v>410</v>
      </c>
      <c r="U25" s="18">
        <f t="shared" si="34"/>
        <v>628</v>
      </c>
      <c r="V25" s="14">
        <f t="shared" si="35"/>
        <v>433</v>
      </c>
      <c r="W25" s="18">
        <f t="shared" si="36"/>
        <v>628</v>
      </c>
      <c r="X25" s="14">
        <f t="shared" si="37"/>
        <v>433</v>
      </c>
      <c r="Y25" s="18">
        <f t="shared" si="38"/>
        <v>598</v>
      </c>
      <c r="Z25" s="14">
        <f t="shared" si="39"/>
        <v>410</v>
      </c>
      <c r="AA25" s="18">
        <f t="shared" si="40"/>
        <v>598</v>
      </c>
      <c r="AB25" s="4" t="s">
        <v>0</v>
      </c>
    </row>
    <row r="26" spans="1:28">
      <c r="A26" s="9" t="s">
        <v>225</v>
      </c>
      <c r="B26" s="24"/>
      <c r="C26" s="26">
        <v>15</v>
      </c>
      <c r="D26" s="28">
        <f t="shared" si="19"/>
        <v>434</v>
      </c>
      <c r="E26" s="29">
        <f t="shared" si="20"/>
        <v>122</v>
      </c>
      <c r="F26" s="28">
        <f t="shared" si="21"/>
        <v>457</v>
      </c>
      <c r="G26" s="29">
        <f t="shared" si="22"/>
        <v>152</v>
      </c>
      <c r="H26" s="4" t="s">
        <v>0</v>
      </c>
      <c r="I26" s="16" t="str">
        <f t="shared" si="23"/>
        <v>15-02</v>
      </c>
      <c r="J26" s="14">
        <f t="shared" si="24"/>
        <v>434</v>
      </c>
      <c r="K26" s="15">
        <f t="shared" si="25"/>
        <v>122</v>
      </c>
      <c r="L26" s="17">
        <f t="shared" si="26"/>
        <v>457</v>
      </c>
      <c r="M26" s="18">
        <f t="shared" si="27"/>
        <v>122</v>
      </c>
      <c r="N26" s="14">
        <f t="shared" si="28"/>
        <v>457</v>
      </c>
      <c r="O26" s="15">
        <f t="shared" si="29"/>
        <v>152</v>
      </c>
      <c r="P26" s="17">
        <f t="shared" si="30"/>
        <v>434</v>
      </c>
      <c r="Q26" s="18">
        <f t="shared" si="31"/>
        <v>152</v>
      </c>
      <c r="R26" s="4" t="s">
        <v>0</v>
      </c>
      <c r="S26" s="16" t="str">
        <f t="shared" si="32"/>
        <v>15-02</v>
      </c>
      <c r="T26" s="14">
        <f t="shared" si="33"/>
        <v>434</v>
      </c>
      <c r="U26" s="18">
        <f t="shared" si="34"/>
        <v>628</v>
      </c>
      <c r="V26" s="14">
        <f t="shared" si="35"/>
        <v>457</v>
      </c>
      <c r="W26" s="18">
        <f t="shared" si="36"/>
        <v>628</v>
      </c>
      <c r="X26" s="14">
        <f t="shared" si="37"/>
        <v>457</v>
      </c>
      <c r="Y26" s="18">
        <f t="shared" si="38"/>
        <v>598</v>
      </c>
      <c r="Z26" s="14">
        <f t="shared" si="39"/>
        <v>434</v>
      </c>
      <c r="AA26" s="18">
        <f t="shared" si="40"/>
        <v>598</v>
      </c>
      <c r="AB26" s="4" t="s">
        <v>0</v>
      </c>
    </row>
    <row r="27" spans="1:28">
      <c r="A27" s="9" t="s">
        <v>224</v>
      </c>
      <c r="B27" s="24"/>
      <c r="C27" s="26">
        <v>16</v>
      </c>
      <c r="D27" s="28">
        <f t="shared" si="19"/>
        <v>458</v>
      </c>
      <c r="E27" s="29">
        <f t="shared" si="20"/>
        <v>122</v>
      </c>
      <c r="F27" s="28">
        <f t="shared" si="21"/>
        <v>481</v>
      </c>
      <c r="G27" s="29">
        <f t="shared" si="22"/>
        <v>152</v>
      </c>
      <c r="H27" s="4" t="s">
        <v>0</v>
      </c>
      <c r="I27" s="16" t="str">
        <f t="shared" si="23"/>
        <v>15-01</v>
      </c>
      <c r="J27" s="14">
        <f t="shared" si="24"/>
        <v>458</v>
      </c>
      <c r="K27" s="15">
        <f t="shared" si="25"/>
        <v>122</v>
      </c>
      <c r="L27" s="17">
        <f t="shared" si="26"/>
        <v>481</v>
      </c>
      <c r="M27" s="18">
        <f t="shared" si="27"/>
        <v>122</v>
      </c>
      <c r="N27" s="14">
        <f t="shared" si="28"/>
        <v>481</v>
      </c>
      <c r="O27" s="15">
        <f t="shared" si="29"/>
        <v>152</v>
      </c>
      <c r="P27" s="17">
        <f t="shared" si="30"/>
        <v>458</v>
      </c>
      <c r="Q27" s="18">
        <f t="shared" si="31"/>
        <v>152</v>
      </c>
      <c r="R27" s="4" t="s">
        <v>0</v>
      </c>
      <c r="S27" s="16" t="str">
        <f t="shared" si="32"/>
        <v>15-01</v>
      </c>
      <c r="T27" s="14">
        <f t="shared" si="33"/>
        <v>458</v>
      </c>
      <c r="U27" s="18">
        <f t="shared" si="34"/>
        <v>628</v>
      </c>
      <c r="V27" s="14">
        <f t="shared" si="35"/>
        <v>481</v>
      </c>
      <c r="W27" s="18">
        <f t="shared" si="36"/>
        <v>628</v>
      </c>
      <c r="X27" s="14">
        <f t="shared" si="37"/>
        <v>481</v>
      </c>
      <c r="Y27" s="18">
        <f t="shared" si="38"/>
        <v>598</v>
      </c>
      <c r="Z27" s="14">
        <f t="shared" si="39"/>
        <v>458</v>
      </c>
      <c r="AA27" s="18">
        <f t="shared" si="40"/>
        <v>598</v>
      </c>
      <c r="AB27" s="4" t="s">
        <v>0</v>
      </c>
    </row>
    <row r="28" spans="1:28">
      <c r="A28" s="9" t="s">
        <v>223</v>
      </c>
      <c r="B28" s="24"/>
      <c r="C28" s="4"/>
      <c r="D28" s="27">
        <v>71</v>
      </c>
      <c r="E28" s="31">
        <f>ROUND(E11+39.8,0)</f>
        <v>162</v>
      </c>
      <c r="F28" s="31">
        <v>94</v>
      </c>
      <c r="G28" s="31">
        <f>ROUND(G11+39.8,0)</f>
        <v>192</v>
      </c>
      <c r="H28" s="4" t="s">
        <v>0</v>
      </c>
      <c r="I28" s="16" t="str">
        <f t="shared" si="23"/>
        <v>13-21</v>
      </c>
      <c r="J28" s="14">
        <f t="shared" si="24"/>
        <v>71</v>
      </c>
      <c r="K28" s="15">
        <f t="shared" si="25"/>
        <v>162</v>
      </c>
      <c r="L28" s="17">
        <f t="shared" si="26"/>
        <v>94</v>
      </c>
      <c r="M28" s="18">
        <f t="shared" si="27"/>
        <v>162</v>
      </c>
      <c r="N28" s="14">
        <f t="shared" si="28"/>
        <v>94</v>
      </c>
      <c r="O28" s="15">
        <f t="shared" si="29"/>
        <v>192</v>
      </c>
      <c r="P28" s="17">
        <f t="shared" si="30"/>
        <v>71</v>
      </c>
      <c r="Q28" s="18">
        <f t="shared" si="31"/>
        <v>192</v>
      </c>
      <c r="R28" s="4" t="s">
        <v>0</v>
      </c>
      <c r="S28" s="16" t="str">
        <f t="shared" si="32"/>
        <v>13-21</v>
      </c>
      <c r="T28" s="14">
        <f t="shared" si="33"/>
        <v>71</v>
      </c>
      <c r="U28" s="18">
        <f t="shared" si="34"/>
        <v>588</v>
      </c>
      <c r="V28" s="14">
        <f t="shared" si="35"/>
        <v>94</v>
      </c>
      <c r="W28" s="18">
        <f t="shared" si="36"/>
        <v>588</v>
      </c>
      <c r="X28" s="14">
        <f t="shared" si="37"/>
        <v>94</v>
      </c>
      <c r="Y28" s="18">
        <f t="shared" si="38"/>
        <v>558</v>
      </c>
      <c r="Z28" s="14">
        <f t="shared" si="39"/>
        <v>71</v>
      </c>
      <c r="AA28" s="18">
        <f t="shared" si="40"/>
        <v>558</v>
      </c>
      <c r="AB28" s="4" t="s">
        <v>0</v>
      </c>
    </row>
    <row r="29" spans="1:28">
      <c r="A29" s="9" t="s">
        <v>222</v>
      </c>
      <c r="B29" s="24"/>
      <c r="C29" s="4"/>
      <c r="D29" s="25">
        <f>D12</f>
        <v>95</v>
      </c>
      <c r="E29" s="29">
        <f>E28</f>
        <v>162</v>
      </c>
      <c r="F29" s="25">
        <f>F12</f>
        <v>118</v>
      </c>
      <c r="G29" s="29">
        <f>G28</f>
        <v>192</v>
      </c>
      <c r="H29" s="4" t="s">
        <v>0</v>
      </c>
      <c r="I29" s="16" t="str">
        <f t="shared" si="23"/>
        <v>13-20</v>
      </c>
      <c r="J29" s="14">
        <f t="shared" si="24"/>
        <v>95</v>
      </c>
      <c r="K29" s="15">
        <f t="shared" si="25"/>
        <v>162</v>
      </c>
      <c r="L29" s="17">
        <f t="shared" si="26"/>
        <v>118</v>
      </c>
      <c r="M29" s="18">
        <f t="shared" si="27"/>
        <v>162</v>
      </c>
      <c r="N29" s="14">
        <f t="shared" si="28"/>
        <v>118</v>
      </c>
      <c r="O29" s="15">
        <f t="shared" si="29"/>
        <v>192</v>
      </c>
      <c r="P29" s="17">
        <f t="shared" si="30"/>
        <v>95</v>
      </c>
      <c r="Q29" s="18">
        <f t="shared" si="31"/>
        <v>192</v>
      </c>
      <c r="R29" s="4" t="s">
        <v>0</v>
      </c>
      <c r="S29" s="16" t="str">
        <f t="shared" si="32"/>
        <v>13-20</v>
      </c>
      <c r="T29" s="14">
        <f t="shared" si="33"/>
        <v>95</v>
      </c>
      <c r="U29" s="18">
        <f t="shared" si="34"/>
        <v>588</v>
      </c>
      <c r="V29" s="14">
        <f t="shared" si="35"/>
        <v>118</v>
      </c>
      <c r="W29" s="18">
        <f t="shared" si="36"/>
        <v>588</v>
      </c>
      <c r="X29" s="14">
        <f t="shared" si="37"/>
        <v>118</v>
      </c>
      <c r="Y29" s="18">
        <f t="shared" si="38"/>
        <v>558</v>
      </c>
      <c r="Z29" s="14">
        <f t="shared" si="39"/>
        <v>95</v>
      </c>
      <c r="AA29" s="18">
        <f t="shared" si="40"/>
        <v>558</v>
      </c>
      <c r="AB29" s="4" t="s">
        <v>0</v>
      </c>
    </row>
    <row r="30" spans="1:28">
      <c r="A30" s="9" t="s">
        <v>221</v>
      </c>
      <c r="B30" s="24"/>
      <c r="C30" s="4"/>
      <c r="D30" s="25">
        <f t="shared" ref="D30:D44" si="41">D13</f>
        <v>119</v>
      </c>
      <c r="E30" s="29">
        <f t="shared" ref="E30:E44" si="42">E29</f>
        <v>162</v>
      </c>
      <c r="F30" s="25">
        <f t="shared" ref="F30:F44" si="43">F13</f>
        <v>142</v>
      </c>
      <c r="G30" s="29">
        <f t="shared" ref="G30:G44" si="44">G29</f>
        <v>192</v>
      </c>
      <c r="H30" s="4" t="s">
        <v>0</v>
      </c>
      <c r="I30" s="16" t="str">
        <f t="shared" si="23"/>
        <v>13-18</v>
      </c>
      <c r="J30" s="14">
        <f t="shared" si="24"/>
        <v>119</v>
      </c>
      <c r="K30" s="15">
        <f t="shared" si="25"/>
        <v>162</v>
      </c>
      <c r="L30" s="17">
        <f t="shared" si="26"/>
        <v>142</v>
      </c>
      <c r="M30" s="18">
        <f t="shared" si="27"/>
        <v>162</v>
      </c>
      <c r="N30" s="14">
        <f t="shared" si="28"/>
        <v>142</v>
      </c>
      <c r="O30" s="15">
        <f t="shared" si="29"/>
        <v>192</v>
      </c>
      <c r="P30" s="17">
        <f t="shared" si="30"/>
        <v>119</v>
      </c>
      <c r="Q30" s="18">
        <f t="shared" si="31"/>
        <v>192</v>
      </c>
      <c r="R30" s="4" t="s">
        <v>0</v>
      </c>
      <c r="S30" s="16" t="str">
        <f t="shared" si="32"/>
        <v>13-18</v>
      </c>
      <c r="T30" s="14">
        <f t="shared" si="33"/>
        <v>119</v>
      </c>
      <c r="U30" s="18">
        <f t="shared" si="34"/>
        <v>588</v>
      </c>
      <c r="V30" s="14">
        <f t="shared" si="35"/>
        <v>142</v>
      </c>
      <c r="W30" s="18">
        <f t="shared" si="36"/>
        <v>588</v>
      </c>
      <c r="X30" s="14">
        <f t="shared" si="37"/>
        <v>142</v>
      </c>
      <c r="Y30" s="18">
        <f t="shared" si="38"/>
        <v>558</v>
      </c>
      <c r="Z30" s="14">
        <f t="shared" si="39"/>
        <v>119</v>
      </c>
      <c r="AA30" s="18">
        <f t="shared" si="40"/>
        <v>558</v>
      </c>
      <c r="AB30" s="4" t="s">
        <v>0</v>
      </c>
    </row>
    <row r="31" spans="1:28">
      <c r="A31" s="9" t="s">
        <v>220</v>
      </c>
      <c r="B31" s="24"/>
      <c r="C31" s="4"/>
      <c r="D31" s="25">
        <f t="shared" si="41"/>
        <v>144</v>
      </c>
      <c r="E31" s="29">
        <f t="shared" si="42"/>
        <v>162</v>
      </c>
      <c r="F31" s="25">
        <f t="shared" si="43"/>
        <v>167</v>
      </c>
      <c r="G31" s="29">
        <f t="shared" si="44"/>
        <v>192</v>
      </c>
      <c r="H31" s="4" t="s">
        <v>0</v>
      </c>
      <c r="I31" s="16" t="str">
        <f t="shared" si="23"/>
        <v>13-17</v>
      </c>
      <c r="J31" s="14">
        <f t="shared" si="24"/>
        <v>144</v>
      </c>
      <c r="K31" s="15">
        <f t="shared" si="25"/>
        <v>162</v>
      </c>
      <c r="L31" s="17">
        <f t="shared" si="26"/>
        <v>167</v>
      </c>
      <c r="M31" s="18">
        <f t="shared" si="27"/>
        <v>162</v>
      </c>
      <c r="N31" s="14">
        <f t="shared" si="28"/>
        <v>167</v>
      </c>
      <c r="O31" s="15">
        <f t="shared" si="29"/>
        <v>192</v>
      </c>
      <c r="P31" s="17">
        <f t="shared" si="30"/>
        <v>144</v>
      </c>
      <c r="Q31" s="18">
        <f t="shared" si="31"/>
        <v>192</v>
      </c>
      <c r="R31" s="4" t="s">
        <v>0</v>
      </c>
      <c r="S31" s="16" t="str">
        <f t="shared" si="32"/>
        <v>13-17</v>
      </c>
      <c r="T31" s="14">
        <f t="shared" si="33"/>
        <v>144</v>
      </c>
      <c r="U31" s="18">
        <f t="shared" si="34"/>
        <v>588</v>
      </c>
      <c r="V31" s="14">
        <f t="shared" si="35"/>
        <v>167</v>
      </c>
      <c r="W31" s="18">
        <f t="shared" si="36"/>
        <v>588</v>
      </c>
      <c r="X31" s="14">
        <f t="shared" si="37"/>
        <v>167</v>
      </c>
      <c r="Y31" s="18">
        <f t="shared" si="38"/>
        <v>558</v>
      </c>
      <c r="Z31" s="14">
        <f t="shared" si="39"/>
        <v>144</v>
      </c>
      <c r="AA31" s="18">
        <f t="shared" si="40"/>
        <v>558</v>
      </c>
      <c r="AB31" s="4" t="s">
        <v>0</v>
      </c>
    </row>
    <row r="32" spans="1:28">
      <c r="A32" s="9" t="s">
        <v>219</v>
      </c>
      <c r="B32" s="24"/>
      <c r="C32" s="4"/>
      <c r="D32" s="25">
        <f t="shared" si="41"/>
        <v>168</v>
      </c>
      <c r="E32" s="29">
        <f t="shared" si="42"/>
        <v>162</v>
      </c>
      <c r="F32" s="25">
        <f t="shared" si="43"/>
        <v>191</v>
      </c>
      <c r="G32" s="29">
        <f t="shared" si="44"/>
        <v>192</v>
      </c>
      <c r="H32" s="4" t="s">
        <v>0</v>
      </c>
      <c r="I32" s="16" t="str">
        <f t="shared" si="23"/>
        <v>13-16</v>
      </c>
      <c r="J32" s="14">
        <f t="shared" si="24"/>
        <v>168</v>
      </c>
      <c r="K32" s="15">
        <f t="shared" si="25"/>
        <v>162</v>
      </c>
      <c r="L32" s="17">
        <f t="shared" si="26"/>
        <v>191</v>
      </c>
      <c r="M32" s="18">
        <f t="shared" si="27"/>
        <v>162</v>
      </c>
      <c r="N32" s="14">
        <f t="shared" si="28"/>
        <v>191</v>
      </c>
      <c r="O32" s="15">
        <f t="shared" si="29"/>
        <v>192</v>
      </c>
      <c r="P32" s="17">
        <f t="shared" si="30"/>
        <v>168</v>
      </c>
      <c r="Q32" s="18">
        <f t="shared" si="31"/>
        <v>192</v>
      </c>
      <c r="R32" s="4" t="s">
        <v>0</v>
      </c>
      <c r="S32" s="16" t="str">
        <f t="shared" si="32"/>
        <v>13-16</v>
      </c>
      <c r="T32" s="14">
        <f t="shared" si="33"/>
        <v>168</v>
      </c>
      <c r="U32" s="18">
        <f t="shared" si="34"/>
        <v>588</v>
      </c>
      <c r="V32" s="14">
        <f t="shared" si="35"/>
        <v>191</v>
      </c>
      <c r="W32" s="18">
        <f t="shared" si="36"/>
        <v>588</v>
      </c>
      <c r="X32" s="14">
        <f t="shared" si="37"/>
        <v>191</v>
      </c>
      <c r="Y32" s="18">
        <f t="shared" si="38"/>
        <v>558</v>
      </c>
      <c r="Z32" s="14">
        <f t="shared" si="39"/>
        <v>168</v>
      </c>
      <c r="AA32" s="18">
        <f t="shared" si="40"/>
        <v>558</v>
      </c>
      <c r="AB32" s="4" t="s">
        <v>0</v>
      </c>
    </row>
    <row r="33" spans="1:28">
      <c r="A33" s="9" t="s">
        <v>218</v>
      </c>
      <c r="B33" s="24"/>
      <c r="C33" s="4"/>
      <c r="D33" s="25">
        <f t="shared" si="41"/>
        <v>192</v>
      </c>
      <c r="E33" s="29">
        <f t="shared" si="42"/>
        <v>162</v>
      </c>
      <c r="F33" s="25">
        <f t="shared" si="43"/>
        <v>215</v>
      </c>
      <c r="G33" s="29">
        <f t="shared" si="44"/>
        <v>192</v>
      </c>
      <c r="H33" s="4" t="s">
        <v>0</v>
      </c>
      <c r="I33" s="16" t="str">
        <f t="shared" si="23"/>
        <v>13-15</v>
      </c>
      <c r="J33" s="14">
        <f t="shared" si="24"/>
        <v>192</v>
      </c>
      <c r="K33" s="15">
        <f t="shared" si="25"/>
        <v>162</v>
      </c>
      <c r="L33" s="17">
        <f t="shared" si="26"/>
        <v>215</v>
      </c>
      <c r="M33" s="18">
        <f t="shared" si="27"/>
        <v>162</v>
      </c>
      <c r="N33" s="14">
        <f t="shared" si="28"/>
        <v>215</v>
      </c>
      <c r="O33" s="15">
        <f t="shared" si="29"/>
        <v>192</v>
      </c>
      <c r="P33" s="17">
        <f t="shared" si="30"/>
        <v>192</v>
      </c>
      <c r="Q33" s="18">
        <f t="shared" si="31"/>
        <v>192</v>
      </c>
      <c r="R33" s="4" t="s">
        <v>0</v>
      </c>
      <c r="S33" s="16" t="str">
        <f t="shared" si="32"/>
        <v>13-15</v>
      </c>
      <c r="T33" s="14">
        <f t="shared" si="33"/>
        <v>192</v>
      </c>
      <c r="U33" s="18">
        <f t="shared" si="34"/>
        <v>588</v>
      </c>
      <c r="V33" s="14">
        <f t="shared" si="35"/>
        <v>215</v>
      </c>
      <c r="W33" s="18">
        <f t="shared" si="36"/>
        <v>588</v>
      </c>
      <c r="X33" s="14">
        <f t="shared" si="37"/>
        <v>215</v>
      </c>
      <c r="Y33" s="18">
        <f t="shared" si="38"/>
        <v>558</v>
      </c>
      <c r="Z33" s="14">
        <f t="shared" si="39"/>
        <v>192</v>
      </c>
      <c r="AA33" s="18">
        <f t="shared" si="40"/>
        <v>558</v>
      </c>
      <c r="AB33" s="4" t="s">
        <v>0</v>
      </c>
    </row>
    <row r="34" spans="1:28">
      <c r="A34" s="9" t="s">
        <v>217</v>
      </c>
      <c r="B34" s="24"/>
      <c r="C34" s="4"/>
      <c r="D34" s="25">
        <f t="shared" si="41"/>
        <v>216</v>
      </c>
      <c r="E34" s="29">
        <f t="shared" si="42"/>
        <v>162</v>
      </c>
      <c r="F34" s="25">
        <f t="shared" si="43"/>
        <v>239</v>
      </c>
      <c r="G34" s="29">
        <f t="shared" si="44"/>
        <v>192</v>
      </c>
      <c r="H34" s="4" t="s">
        <v>0</v>
      </c>
      <c r="I34" s="16" t="str">
        <f t="shared" si="23"/>
        <v>13-13</v>
      </c>
      <c r="J34" s="14">
        <f t="shared" si="24"/>
        <v>216</v>
      </c>
      <c r="K34" s="15">
        <f t="shared" si="25"/>
        <v>162</v>
      </c>
      <c r="L34" s="17">
        <f t="shared" si="26"/>
        <v>239</v>
      </c>
      <c r="M34" s="18">
        <f t="shared" si="27"/>
        <v>162</v>
      </c>
      <c r="N34" s="14">
        <f t="shared" si="28"/>
        <v>239</v>
      </c>
      <c r="O34" s="15">
        <f t="shared" si="29"/>
        <v>192</v>
      </c>
      <c r="P34" s="17">
        <f t="shared" si="30"/>
        <v>216</v>
      </c>
      <c r="Q34" s="18">
        <f t="shared" si="31"/>
        <v>192</v>
      </c>
      <c r="R34" s="4" t="s">
        <v>0</v>
      </c>
      <c r="S34" s="16" t="str">
        <f t="shared" si="32"/>
        <v>13-13</v>
      </c>
      <c r="T34" s="14">
        <f t="shared" si="33"/>
        <v>216</v>
      </c>
      <c r="U34" s="18">
        <f t="shared" si="34"/>
        <v>588</v>
      </c>
      <c r="V34" s="14">
        <f t="shared" si="35"/>
        <v>239</v>
      </c>
      <c r="W34" s="18">
        <f t="shared" si="36"/>
        <v>588</v>
      </c>
      <c r="X34" s="14">
        <f t="shared" si="37"/>
        <v>239</v>
      </c>
      <c r="Y34" s="18">
        <f t="shared" si="38"/>
        <v>558</v>
      </c>
      <c r="Z34" s="14">
        <f t="shared" si="39"/>
        <v>216</v>
      </c>
      <c r="AA34" s="18">
        <f t="shared" si="40"/>
        <v>558</v>
      </c>
      <c r="AB34" s="4" t="s">
        <v>0</v>
      </c>
    </row>
    <row r="35" spans="1:28">
      <c r="A35" s="9" t="s">
        <v>216</v>
      </c>
      <c r="B35" s="24"/>
      <c r="C35" s="4"/>
      <c r="D35" s="25">
        <f t="shared" si="41"/>
        <v>240</v>
      </c>
      <c r="E35" s="29">
        <f t="shared" si="42"/>
        <v>162</v>
      </c>
      <c r="F35" s="25">
        <f t="shared" si="43"/>
        <v>263</v>
      </c>
      <c r="G35" s="29">
        <f t="shared" si="44"/>
        <v>192</v>
      </c>
      <c r="H35" s="4" t="s">
        <v>0</v>
      </c>
      <c r="I35" s="16" t="str">
        <f t="shared" si="23"/>
        <v>13-12</v>
      </c>
      <c r="J35" s="14">
        <f t="shared" si="24"/>
        <v>240</v>
      </c>
      <c r="K35" s="15">
        <f t="shared" si="25"/>
        <v>162</v>
      </c>
      <c r="L35" s="17">
        <f t="shared" si="26"/>
        <v>263</v>
      </c>
      <c r="M35" s="18">
        <f t="shared" si="27"/>
        <v>162</v>
      </c>
      <c r="N35" s="14">
        <f t="shared" si="28"/>
        <v>263</v>
      </c>
      <c r="O35" s="15">
        <f t="shared" si="29"/>
        <v>192</v>
      </c>
      <c r="P35" s="17">
        <f t="shared" si="30"/>
        <v>240</v>
      </c>
      <c r="Q35" s="18">
        <f t="shared" si="31"/>
        <v>192</v>
      </c>
      <c r="R35" s="4" t="s">
        <v>0</v>
      </c>
      <c r="S35" s="16" t="str">
        <f t="shared" si="32"/>
        <v>13-12</v>
      </c>
      <c r="T35" s="14">
        <f t="shared" si="33"/>
        <v>240</v>
      </c>
      <c r="U35" s="18">
        <f t="shared" si="34"/>
        <v>588</v>
      </c>
      <c r="V35" s="14">
        <f t="shared" si="35"/>
        <v>263</v>
      </c>
      <c r="W35" s="18">
        <f t="shared" si="36"/>
        <v>588</v>
      </c>
      <c r="X35" s="14">
        <f t="shared" si="37"/>
        <v>263</v>
      </c>
      <c r="Y35" s="18">
        <f t="shared" si="38"/>
        <v>558</v>
      </c>
      <c r="Z35" s="14">
        <f t="shared" si="39"/>
        <v>240</v>
      </c>
      <c r="AA35" s="18">
        <f t="shared" si="40"/>
        <v>558</v>
      </c>
      <c r="AB35" s="4" t="s">
        <v>0</v>
      </c>
    </row>
    <row r="36" spans="1:28">
      <c r="A36" s="9" t="s">
        <v>215</v>
      </c>
      <c r="B36" s="24"/>
      <c r="C36" s="4"/>
      <c r="D36" s="25">
        <f t="shared" si="41"/>
        <v>265</v>
      </c>
      <c r="E36" s="29">
        <f t="shared" si="42"/>
        <v>162</v>
      </c>
      <c r="F36" s="25">
        <f t="shared" si="43"/>
        <v>288</v>
      </c>
      <c r="G36" s="29">
        <f t="shared" si="44"/>
        <v>192</v>
      </c>
      <c r="H36" s="4" t="s">
        <v>0</v>
      </c>
      <c r="I36" s="16" t="str">
        <f t="shared" si="23"/>
        <v>13-11</v>
      </c>
      <c r="J36" s="14">
        <f t="shared" si="24"/>
        <v>265</v>
      </c>
      <c r="K36" s="15">
        <f t="shared" si="25"/>
        <v>162</v>
      </c>
      <c r="L36" s="17">
        <f t="shared" si="26"/>
        <v>288</v>
      </c>
      <c r="M36" s="18">
        <f t="shared" si="27"/>
        <v>162</v>
      </c>
      <c r="N36" s="14">
        <f t="shared" si="28"/>
        <v>288</v>
      </c>
      <c r="O36" s="15">
        <f t="shared" si="29"/>
        <v>192</v>
      </c>
      <c r="P36" s="17">
        <f t="shared" si="30"/>
        <v>265</v>
      </c>
      <c r="Q36" s="18">
        <f t="shared" si="31"/>
        <v>192</v>
      </c>
      <c r="R36" s="4" t="s">
        <v>0</v>
      </c>
      <c r="S36" s="16" t="str">
        <f t="shared" si="32"/>
        <v>13-11</v>
      </c>
      <c r="T36" s="14">
        <f t="shared" si="33"/>
        <v>265</v>
      </c>
      <c r="U36" s="18">
        <f t="shared" si="34"/>
        <v>588</v>
      </c>
      <c r="V36" s="14">
        <f t="shared" si="35"/>
        <v>288</v>
      </c>
      <c r="W36" s="18">
        <f t="shared" si="36"/>
        <v>588</v>
      </c>
      <c r="X36" s="14">
        <f t="shared" si="37"/>
        <v>288</v>
      </c>
      <c r="Y36" s="18">
        <f t="shared" si="38"/>
        <v>558</v>
      </c>
      <c r="Z36" s="14">
        <f t="shared" si="39"/>
        <v>265</v>
      </c>
      <c r="AA36" s="18">
        <f t="shared" si="40"/>
        <v>558</v>
      </c>
      <c r="AB36" s="4" t="s">
        <v>0</v>
      </c>
    </row>
    <row r="37" spans="1:28">
      <c r="A37" s="9" t="s">
        <v>214</v>
      </c>
      <c r="B37" s="24"/>
      <c r="C37" s="4"/>
      <c r="D37" s="25">
        <f t="shared" si="41"/>
        <v>289</v>
      </c>
      <c r="E37" s="29">
        <f t="shared" si="42"/>
        <v>162</v>
      </c>
      <c r="F37" s="25">
        <f t="shared" si="43"/>
        <v>312</v>
      </c>
      <c r="G37" s="29">
        <f t="shared" si="44"/>
        <v>192</v>
      </c>
      <c r="H37" s="4" t="s">
        <v>0</v>
      </c>
      <c r="I37" s="16" t="str">
        <f t="shared" si="23"/>
        <v>13-10</v>
      </c>
      <c r="J37" s="14">
        <f t="shared" si="24"/>
        <v>289</v>
      </c>
      <c r="K37" s="15">
        <f t="shared" si="25"/>
        <v>162</v>
      </c>
      <c r="L37" s="17">
        <f t="shared" si="26"/>
        <v>312</v>
      </c>
      <c r="M37" s="18">
        <f t="shared" si="27"/>
        <v>162</v>
      </c>
      <c r="N37" s="14">
        <f t="shared" si="28"/>
        <v>312</v>
      </c>
      <c r="O37" s="15">
        <f t="shared" si="29"/>
        <v>192</v>
      </c>
      <c r="P37" s="17">
        <f t="shared" si="30"/>
        <v>289</v>
      </c>
      <c r="Q37" s="18">
        <f t="shared" si="31"/>
        <v>192</v>
      </c>
      <c r="R37" s="4" t="s">
        <v>0</v>
      </c>
      <c r="S37" s="16" t="str">
        <f t="shared" si="32"/>
        <v>13-10</v>
      </c>
      <c r="T37" s="14">
        <f t="shared" si="33"/>
        <v>289</v>
      </c>
      <c r="U37" s="18">
        <f t="shared" si="34"/>
        <v>588</v>
      </c>
      <c r="V37" s="14">
        <f t="shared" si="35"/>
        <v>312</v>
      </c>
      <c r="W37" s="18">
        <f t="shared" si="36"/>
        <v>588</v>
      </c>
      <c r="X37" s="14">
        <f t="shared" si="37"/>
        <v>312</v>
      </c>
      <c r="Y37" s="18">
        <f t="shared" si="38"/>
        <v>558</v>
      </c>
      <c r="Z37" s="14">
        <f t="shared" si="39"/>
        <v>289</v>
      </c>
      <c r="AA37" s="18">
        <f t="shared" si="40"/>
        <v>558</v>
      </c>
      <c r="AB37" s="4" t="s">
        <v>0</v>
      </c>
    </row>
    <row r="38" spans="1:28">
      <c r="A38" s="9" t="s">
        <v>213</v>
      </c>
      <c r="B38" s="24"/>
      <c r="C38" s="4"/>
      <c r="D38" s="25">
        <f t="shared" si="41"/>
        <v>313</v>
      </c>
      <c r="E38" s="29">
        <f t="shared" si="42"/>
        <v>162</v>
      </c>
      <c r="F38" s="25">
        <f t="shared" si="43"/>
        <v>336</v>
      </c>
      <c r="G38" s="29">
        <f t="shared" si="44"/>
        <v>192</v>
      </c>
      <c r="H38" s="4" t="s">
        <v>0</v>
      </c>
      <c r="I38" s="16" t="str">
        <f t="shared" si="23"/>
        <v>13-08</v>
      </c>
      <c r="J38" s="14">
        <f t="shared" si="24"/>
        <v>313</v>
      </c>
      <c r="K38" s="15">
        <f t="shared" si="25"/>
        <v>162</v>
      </c>
      <c r="L38" s="17">
        <f t="shared" si="26"/>
        <v>336</v>
      </c>
      <c r="M38" s="18">
        <f t="shared" si="27"/>
        <v>162</v>
      </c>
      <c r="N38" s="14">
        <f t="shared" si="28"/>
        <v>336</v>
      </c>
      <c r="O38" s="15">
        <f t="shared" si="29"/>
        <v>192</v>
      </c>
      <c r="P38" s="17">
        <f t="shared" si="30"/>
        <v>313</v>
      </c>
      <c r="Q38" s="18">
        <f t="shared" si="31"/>
        <v>192</v>
      </c>
      <c r="R38" s="4" t="s">
        <v>0</v>
      </c>
      <c r="S38" s="16" t="str">
        <f t="shared" si="32"/>
        <v>13-08</v>
      </c>
      <c r="T38" s="14">
        <f t="shared" si="33"/>
        <v>313</v>
      </c>
      <c r="U38" s="18">
        <f t="shared" si="34"/>
        <v>588</v>
      </c>
      <c r="V38" s="14">
        <f t="shared" si="35"/>
        <v>336</v>
      </c>
      <c r="W38" s="18">
        <f t="shared" si="36"/>
        <v>588</v>
      </c>
      <c r="X38" s="14">
        <f t="shared" si="37"/>
        <v>336</v>
      </c>
      <c r="Y38" s="18">
        <f t="shared" si="38"/>
        <v>558</v>
      </c>
      <c r="Z38" s="14">
        <f t="shared" si="39"/>
        <v>313</v>
      </c>
      <c r="AA38" s="18">
        <f t="shared" si="40"/>
        <v>558</v>
      </c>
      <c r="AB38" s="4" t="s">
        <v>0</v>
      </c>
    </row>
    <row r="39" spans="1:28">
      <c r="A39" s="9" t="s">
        <v>212</v>
      </c>
      <c r="B39" s="24"/>
      <c r="C39" s="4"/>
      <c r="D39" s="25">
        <f t="shared" si="41"/>
        <v>337</v>
      </c>
      <c r="E39" s="29">
        <f t="shared" si="42"/>
        <v>162</v>
      </c>
      <c r="F39" s="25">
        <f t="shared" si="43"/>
        <v>360</v>
      </c>
      <c r="G39" s="29">
        <f t="shared" si="44"/>
        <v>192</v>
      </c>
      <c r="H39" s="4" t="s">
        <v>0</v>
      </c>
      <c r="I39" s="16" t="str">
        <f t="shared" si="23"/>
        <v>13-07</v>
      </c>
      <c r="J39" s="14">
        <f t="shared" si="24"/>
        <v>337</v>
      </c>
      <c r="K39" s="15">
        <f t="shared" si="25"/>
        <v>162</v>
      </c>
      <c r="L39" s="17">
        <f t="shared" si="26"/>
        <v>360</v>
      </c>
      <c r="M39" s="18">
        <f t="shared" si="27"/>
        <v>162</v>
      </c>
      <c r="N39" s="14">
        <f t="shared" si="28"/>
        <v>360</v>
      </c>
      <c r="O39" s="15">
        <f t="shared" si="29"/>
        <v>192</v>
      </c>
      <c r="P39" s="17">
        <f t="shared" si="30"/>
        <v>337</v>
      </c>
      <c r="Q39" s="18">
        <f t="shared" si="31"/>
        <v>192</v>
      </c>
      <c r="R39" s="4" t="s">
        <v>0</v>
      </c>
      <c r="S39" s="16" t="str">
        <f t="shared" si="32"/>
        <v>13-07</v>
      </c>
      <c r="T39" s="14">
        <f t="shared" si="33"/>
        <v>337</v>
      </c>
      <c r="U39" s="18">
        <f t="shared" si="34"/>
        <v>588</v>
      </c>
      <c r="V39" s="14">
        <f t="shared" si="35"/>
        <v>360</v>
      </c>
      <c r="W39" s="18">
        <f t="shared" si="36"/>
        <v>588</v>
      </c>
      <c r="X39" s="14">
        <f t="shared" si="37"/>
        <v>360</v>
      </c>
      <c r="Y39" s="18">
        <f t="shared" si="38"/>
        <v>558</v>
      </c>
      <c r="Z39" s="14">
        <f t="shared" si="39"/>
        <v>337</v>
      </c>
      <c r="AA39" s="18">
        <f t="shared" si="40"/>
        <v>558</v>
      </c>
      <c r="AB39" s="4" t="s">
        <v>0</v>
      </c>
    </row>
    <row r="40" spans="1:28">
      <c r="A40" s="9" t="s">
        <v>211</v>
      </c>
      <c r="B40" s="24"/>
      <c r="C40" s="4"/>
      <c r="D40" s="25">
        <f t="shared" si="41"/>
        <v>361</v>
      </c>
      <c r="E40" s="29">
        <f t="shared" si="42"/>
        <v>162</v>
      </c>
      <c r="F40" s="25">
        <f t="shared" si="43"/>
        <v>384</v>
      </c>
      <c r="G40" s="29">
        <f t="shared" si="44"/>
        <v>192</v>
      </c>
      <c r="H40" s="4" t="s">
        <v>0</v>
      </c>
      <c r="I40" s="16" t="str">
        <f t="shared" si="23"/>
        <v>13-06</v>
      </c>
      <c r="J40" s="14">
        <f t="shared" si="24"/>
        <v>361</v>
      </c>
      <c r="K40" s="15">
        <f t="shared" si="25"/>
        <v>162</v>
      </c>
      <c r="L40" s="17">
        <f t="shared" si="26"/>
        <v>384</v>
      </c>
      <c r="M40" s="18">
        <f t="shared" si="27"/>
        <v>162</v>
      </c>
      <c r="N40" s="14">
        <f t="shared" si="28"/>
        <v>384</v>
      </c>
      <c r="O40" s="15">
        <f t="shared" si="29"/>
        <v>192</v>
      </c>
      <c r="P40" s="17">
        <f t="shared" si="30"/>
        <v>361</v>
      </c>
      <c r="Q40" s="18">
        <f t="shared" si="31"/>
        <v>192</v>
      </c>
      <c r="R40" s="4" t="s">
        <v>0</v>
      </c>
      <c r="S40" s="16" t="str">
        <f t="shared" si="32"/>
        <v>13-06</v>
      </c>
      <c r="T40" s="14">
        <f t="shared" si="33"/>
        <v>361</v>
      </c>
      <c r="U40" s="18">
        <f t="shared" si="34"/>
        <v>588</v>
      </c>
      <c r="V40" s="14">
        <f t="shared" si="35"/>
        <v>384</v>
      </c>
      <c r="W40" s="18">
        <f t="shared" si="36"/>
        <v>588</v>
      </c>
      <c r="X40" s="14">
        <f t="shared" si="37"/>
        <v>384</v>
      </c>
      <c r="Y40" s="18">
        <f t="shared" si="38"/>
        <v>558</v>
      </c>
      <c r="Z40" s="14">
        <f t="shared" si="39"/>
        <v>361</v>
      </c>
      <c r="AA40" s="18">
        <f t="shared" si="40"/>
        <v>558</v>
      </c>
      <c r="AB40" s="4" t="s">
        <v>0</v>
      </c>
    </row>
    <row r="41" spans="1:28">
      <c r="A41" s="9" t="s">
        <v>210</v>
      </c>
      <c r="B41" s="24"/>
      <c r="C41" s="4"/>
      <c r="D41" s="25">
        <f t="shared" si="41"/>
        <v>386</v>
      </c>
      <c r="E41" s="29">
        <f t="shared" si="42"/>
        <v>162</v>
      </c>
      <c r="F41" s="25">
        <f t="shared" si="43"/>
        <v>409</v>
      </c>
      <c r="G41" s="29">
        <f t="shared" si="44"/>
        <v>192</v>
      </c>
      <c r="H41" s="4" t="s">
        <v>0</v>
      </c>
      <c r="I41" s="16" t="str">
        <f t="shared" si="23"/>
        <v>13-05</v>
      </c>
      <c r="J41" s="14">
        <f t="shared" si="24"/>
        <v>386</v>
      </c>
      <c r="K41" s="15">
        <f t="shared" si="25"/>
        <v>162</v>
      </c>
      <c r="L41" s="17">
        <f t="shared" si="26"/>
        <v>409</v>
      </c>
      <c r="M41" s="18">
        <f t="shared" si="27"/>
        <v>162</v>
      </c>
      <c r="N41" s="14">
        <f t="shared" si="28"/>
        <v>409</v>
      </c>
      <c r="O41" s="15">
        <f t="shared" si="29"/>
        <v>192</v>
      </c>
      <c r="P41" s="17">
        <f t="shared" si="30"/>
        <v>386</v>
      </c>
      <c r="Q41" s="18">
        <f t="shared" si="31"/>
        <v>192</v>
      </c>
      <c r="R41" s="4" t="s">
        <v>0</v>
      </c>
      <c r="S41" s="16" t="str">
        <f t="shared" si="32"/>
        <v>13-05</v>
      </c>
      <c r="T41" s="14">
        <f t="shared" si="33"/>
        <v>386</v>
      </c>
      <c r="U41" s="18">
        <f t="shared" si="34"/>
        <v>588</v>
      </c>
      <c r="V41" s="14">
        <f t="shared" si="35"/>
        <v>409</v>
      </c>
      <c r="W41" s="18">
        <f t="shared" si="36"/>
        <v>588</v>
      </c>
      <c r="X41" s="14">
        <f t="shared" si="37"/>
        <v>409</v>
      </c>
      <c r="Y41" s="18">
        <f t="shared" si="38"/>
        <v>558</v>
      </c>
      <c r="Z41" s="14">
        <f t="shared" si="39"/>
        <v>386</v>
      </c>
      <c r="AA41" s="18">
        <f t="shared" si="40"/>
        <v>558</v>
      </c>
      <c r="AB41" s="4" t="s">
        <v>0</v>
      </c>
    </row>
    <row r="42" spans="1:28">
      <c r="A42" s="9" t="s">
        <v>209</v>
      </c>
      <c r="B42" s="24"/>
      <c r="C42" s="4"/>
      <c r="D42" s="25">
        <f t="shared" si="41"/>
        <v>410</v>
      </c>
      <c r="E42" s="29">
        <f t="shared" si="42"/>
        <v>162</v>
      </c>
      <c r="F42" s="25">
        <f t="shared" si="43"/>
        <v>433</v>
      </c>
      <c r="G42" s="29">
        <f t="shared" si="44"/>
        <v>192</v>
      </c>
      <c r="H42" s="4" t="s">
        <v>0</v>
      </c>
      <c r="I42" s="16" t="str">
        <f t="shared" si="23"/>
        <v>13-03</v>
      </c>
      <c r="J42" s="14">
        <f t="shared" si="24"/>
        <v>410</v>
      </c>
      <c r="K42" s="15">
        <f t="shared" si="25"/>
        <v>162</v>
      </c>
      <c r="L42" s="17">
        <f t="shared" si="26"/>
        <v>433</v>
      </c>
      <c r="M42" s="18">
        <f t="shared" si="27"/>
        <v>162</v>
      </c>
      <c r="N42" s="14">
        <f t="shared" si="28"/>
        <v>433</v>
      </c>
      <c r="O42" s="15">
        <f t="shared" si="29"/>
        <v>192</v>
      </c>
      <c r="P42" s="17">
        <f t="shared" si="30"/>
        <v>410</v>
      </c>
      <c r="Q42" s="18">
        <f t="shared" si="31"/>
        <v>192</v>
      </c>
      <c r="R42" s="4" t="s">
        <v>0</v>
      </c>
      <c r="S42" s="16" t="str">
        <f t="shared" si="32"/>
        <v>13-03</v>
      </c>
      <c r="T42" s="14">
        <f t="shared" si="33"/>
        <v>410</v>
      </c>
      <c r="U42" s="18">
        <f t="shared" si="34"/>
        <v>588</v>
      </c>
      <c r="V42" s="14">
        <f t="shared" si="35"/>
        <v>433</v>
      </c>
      <c r="W42" s="18">
        <f t="shared" si="36"/>
        <v>588</v>
      </c>
      <c r="X42" s="14">
        <f t="shared" si="37"/>
        <v>433</v>
      </c>
      <c r="Y42" s="18">
        <f t="shared" si="38"/>
        <v>558</v>
      </c>
      <c r="Z42" s="14">
        <f t="shared" si="39"/>
        <v>410</v>
      </c>
      <c r="AA42" s="18">
        <f t="shared" si="40"/>
        <v>558</v>
      </c>
      <c r="AB42" s="4" t="s">
        <v>0</v>
      </c>
    </row>
    <row r="43" spans="1:28">
      <c r="A43" s="9" t="s">
        <v>208</v>
      </c>
      <c r="B43" s="24"/>
      <c r="C43" s="4"/>
      <c r="D43" s="25">
        <f t="shared" si="41"/>
        <v>434</v>
      </c>
      <c r="E43" s="29">
        <f t="shared" si="42"/>
        <v>162</v>
      </c>
      <c r="F43" s="25">
        <f t="shared" si="43"/>
        <v>457</v>
      </c>
      <c r="G43" s="29">
        <f t="shared" si="44"/>
        <v>192</v>
      </c>
      <c r="H43" s="4" t="s">
        <v>0</v>
      </c>
      <c r="I43" s="16" t="str">
        <f t="shared" si="23"/>
        <v>13-02</v>
      </c>
      <c r="J43" s="14">
        <f t="shared" si="24"/>
        <v>434</v>
      </c>
      <c r="K43" s="15">
        <f t="shared" si="25"/>
        <v>162</v>
      </c>
      <c r="L43" s="17">
        <f t="shared" si="26"/>
        <v>457</v>
      </c>
      <c r="M43" s="18">
        <f t="shared" si="27"/>
        <v>162</v>
      </c>
      <c r="N43" s="14">
        <f t="shared" si="28"/>
        <v>457</v>
      </c>
      <c r="O43" s="15">
        <f t="shared" si="29"/>
        <v>192</v>
      </c>
      <c r="P43" s="17">
        <f t="shared" si="30"/>
        <v>434</v>
      </c>
      <c r="Q43" s="18">
        <f t="shared" si="31"/>
        <v>192</v>
      </c>
      <c r="R43" s="4" t="s">
        <v>0</v>
      </c>
      <c r="S43" s="16" t="str">
        <f t="shared" si="32"/>
        <v>13-02</v>
      </c>
      <c r="T43" s="14">
        <f t="shared" si="33"/>
        <v>434</v>
      </c>
      <c r="U43" s="18">
        <f t="shared" si="34"/>
        <v>588</v>
      </c>
      <c r="V43" s="14">
        <f t="shared" si="35"/>
        <v>457</v>
      </c>
      <c r="W43" s="18">
        <f t="shared" si="36"/>
        <v>588</v>
      </c>
      <c r="X43" s="14">
        <f t="shared" si="37"/>
        <v>457</v>
      </c>
      <c r="Y43" s="18">
        <f t="shared" si="38"/>
        <v>558</v>
      </c>
      <c r="Z43" s="14">
        <f t="shared" si="39"/>
        <v>434</v>
      </c>
      <c r="AA43" s="18">
        <f t="shared" si="40"/>
        <v>558</v>
      </c>
      <c r="AB43" s="4" t="s">
        <v>0</v>
      </c>
    </row>
    <row r="44" spans="1:28">
      <c r="A44" s="9" t="s">
        <v>207</v>
      </c>
      <c r="B44" s="24"/>
      <c r="C44" s="4"/>
      <c r="D44" s="25">
        <f t="shared" si="41"/>
        <v>458</v>
      </c>
      <c r="E44" s="29">
        <f t="shared" si="42"/>
        <v>162</v>
      </c>
      <c r="F44" s="25">
        <f t="shared" si="43"/>
        <v>481</v>
      </c>
      <c r="G44" s="29">
        <f t="shared" si="44"/>
        <v>192</v>
      </c>
      <c r="H44" s="4" t="s">
        <v>0</v>
      </c>
      <c r="I44" s="16" t="str">
        <f t="shared" si="23"/>
        <v>13-01</v>
      </c>
      <c r="J44" s="14">
        <f t="shared" si="24"/>
        <v>458</v>
      </c>
      <c r="K44" s="15">
        <f t="shared" si="25"/>
        <v>162</v>
      </c>
      <c r="L44" s="17">
        <f t="shared" si="26"/>
        <v>481</v>
      </c>
      <c r="M44" s="18">
        <f t="shared" si="27"/>
        <v>162</v>
      </c>
      <c r="N44" s="14">
        <f t="shared" si="28"/>
        <v>481</v>
      </c>
      <c r="O44" s="15">
        <f t="shared" si="29"/>
        <v>192</v>
      </c>
      <c r="P44" s="17">
        <f t="shared" si="30"/>
        <v>458</v>
      </c>
      <c r="Q44" s="18">
        <f t="shared" si="31"/>
        <v>192</v>
      </c>
      <c r="R44" s="4" t="s">
        <v>0</v>
      </c>
      <c r="S44" s="16" t="str">
        <f t="shared" si="32"/>
        <v>13-01</v>
      </c>
      <c r="T44" s="14">
        <f t="shared" si="33"/>
        <v>458</v>
      </c>
      <c r="U44" s="18">
        <f t="shared" si="34"/>
        <v>588</v>
      </c>
      <c r="V44" s="14">
        <f t="shared" si="35"/>
        <v>481</v>
      </c>
      <c r="W44" s="18">
        <f t="shared" si="36"/>
        <v>588</v>
      </c>
      <c r="X44" s="14">
        <f t="shared" si="37"/>
        <v>481</v>
      </c>
      <c r="Y44" s="18">
        <f t="shared" si="38"/>
        <v>558</v>
      </c>
      <c r="Z44" s="14">
        <f t="shared" si="39"/>
        <v>458</v>
      </c>
      <c r="AA44" s="18">
        <f t="shared" si="40"/>
        <v>558</v>
      </c>
      <c r="AB44" s="4" t="s">
        <v>0</v>
      </c>
    </row>
    <row r="45" spans="1:28">
      <c r="A45" s="9" t="s">
        <v>206</v>
      </c>
      <c r="B45" s="24"/>
      <c r="C45" s="4"/>
      <c r="D45" s="27">
        <v>71</v>
      </c>
      <c r="E45" s="31">
        <f t="shared" ref="E45" si="45">ROUND(E28+39.8,0)</f>
        <v>202</v>
      </c>
      <c r="F45" s="31">
        <v>94</v>
      </c>
      <c r="G45" s="31">
        <f t="shared" ref="G45" si="46">ROUND(G28+39.8,0)</f>
        <v>232</v>
      </c>
      <c r="H45" s="4" t="s">
        <v>0</v>
      </c>
      <c r="I45" s="16" t="str">
        <f t="shared" si="23"/>
        <v>12-21</v>
      </c>
      <c r="J45" s="14">
        <f t="shared" si="24"/>
        <v>71</v>
      </c>
      <c r="K45" s="15">
        <f t="shared" si="25"/>
        <v>202</v>
      </c>
      <c r="L45" s="17">
        <f t="shared" si="26"/>
        <v>94</v>
      </c>
      <c r="M45" s="18">
        <f t="shared" si="27"/>
        <v>202</v>
      </c>
      <c r="N45" s="14">
        <f t="shared" si="28"/>
        <v>94</v>
      </c>
      <c r="O45" s="15">
        <f t="shared" si="29"/>
        <v>232</v>
      </c>
      <c r="P45" s="17">
        <f t="shared" si="30"/>
        <v>71</v>
      </c>
      <c r="Q45" s="18">
        <f t="shared" si="31"/>
        <v>232</v>
      </c>
      <c r="R45" s="4" t="s">
        <v>0</v>
      </c>
      <c r="S45" s="16" t="str">
        <f t="shared" si="32"/>
        <v>12-21</v>
      </c>
      <c r="T45" s="14">
        <f t="shared" si="33"/>
        <v>71</v>
      </c>
      <c r="U45" s="18">
        <f t="shared" si="34"/>
        <v>548</v>
      </c>
      <c r="V45" s="14">
        <f t="shared" si="35"/>
        <v>94</v>
      </c>
      <c r="W45" s="18">
        <f t="shared" si="36"/>
        <v>548</v>
      </c>
      <c r="X45" s="14">
        <f t="shared" si="37"/>
        <v>94</v>
      </c>
      <c r="Y45" s="18">
        <f t="shared" si="38"/>
        <v>518</v>
      </c>
      <c r="Z45" s="14">
        <f t="shared" si="39"/>
        <v>71</v>
      </c>
      <c r="AA45" s="18">
        <f t="shared" si="40"/>
        <v>518</v>
      </c>
      <c r="AB45" s="4" t="s">
        <v>0</v>
      </c>
    </row>
    <row r="46" spans="1:28">
      <c r="A46" s="9" t="s">
        <v>242</v>
      </c>
      <c r="B46" s="24"/>
      <c r="C46" s="4"/>
      <c r="D46" s="25">
        <f t="shared" ref="D46:D109" si="47">D29</f>
        <v>95</v>
      </c>
      <c r="E46" s="29">
        <f t="shared" ref="E46:E61" si="48">E45</f>
        <v>202</v>
      </c>
      <c r="F46" s="25">
        <f t="shared" ref="F46:F109" si="49">F29</f>
        <v>118</v>
      </c>
      <c r="G46" s="29">
        <f t="shared" ref="G46:G61" si="50">G45</f>
        <v>232</v>
      </c>
      <c r="H46" s="4" t="s">
        <v>0</v>
      </c>
      <c r="I46" s="16" t="str">
        <f t="shared" si="23"/>
        <v>12-20</v>
      </c>
      <c r="J46" s="14">
        <f t="shared" si="24"/>
        <v>95</v>
      </c>
      <c r="K46" s="15">
        <f t="shared" si="25"/>
        <v>202</v>
      </c>
      <c r="L46" s="17">
        <f t="shared" si="26"/>
        <v>118</v>
      </c>
      <c r="M46" s="18">
        <f t="shared" si="27"/>
        <v>202</v>
      </c>
      <c r="N46" s="14">
        <f t="shared" si="28"/>
        <v>118</v>
      </c>
      <c r="O46" s="15">
        <f t="shared" si="29"/>
        <v>232</v>
      </c>
      <c r="P46" s="17">
        <f t="shared" si="30"/>
        <v>95</v>
      </c>
      <c r="Q46" s="18">
        <f t="shared" si="31"/>
        <v>232</v>
      </c>
      <c r="R46" s="4" t="s">
        <v>0</v>
      </c>
      <c r="S46" s="16" t="str">
        <f t="shared" si="32"/>
        <v>12-20</v>
      </c>
      <c r="T46" s="14">
        <f t="shared" si="33"/>
        <v>95</v>
      </c>
      <c r="U46" s="18">
        <f t="shared" si="34"/>
        <v>548</v>
      </c>
      <c r="V46" s="14">
        <f t="shared" si="35"/>
        <v>118</v>
      </c>
      <c r="W46" s="18">
        <f t="shared" si="36"/>
        <v>548</v>
      </c>
      <c r="X46" s="14">
        <f t="shared" si="37"/>
        <v>118</v>
      </c>
      <c r="Y46" s="18">
        <f t="shared" si="38"/>
        <v>518</v>
      </c>
      <c r="Z46" s="14">
        <f t="shared" si="39"/>
        <v>95</v>
      </c>
      <c r="AA46" s="18">
        <f t="shared" si="40"/>
        <v>518</v>
      </c>
      <c r="AB46" s="4" t="s">
        <v>0</v>
      </c>
    </row>
    <row r="47" spans="1:28">
      <c r="A47" s="9" t="s">
        <v>205</v>
      </c>
      <c r="B47" s="24"/>
      <c r="C47" s="4"/>
      <c r="D47" s="25">
        <f t="shared" si="47"/>
        <v>119</v>
      </c>
      <c r="E47" s="29">
        <f t="shared" si="48"/>
        <v>202</v>
      </c>
      <c r="F47" s="25">
        <f t="shared" si="49"/>
        <v>142</v>
      </c>
      <c r="G47" s="29">
        <f t="shared" si="50"/>
        <v>232</v>
      </c>
      <c r="H47" s="4" t="s">
        <v>0</v>
      </c>
      <c r="I47" s="16" t="str">
        <f t="shared" si="23"/>
        <v>12-18</v>
      </c>
      <c r="J47" s="14">
        <f t="shared" si="24"/>
        <v>119</v>
      </c>
      <c r="K47" s="15">
        <f t="shared" si="25"/>
        <v>202</v>
      </c>
      <c r="L47" s="17">
        <f t="shared" si="26"/>
        <v>142</v>
      </c>
      <c r="M47" s="18">
        <f t="shared" si="27"/>
        <v>202</v>
      </c>
      <c r="N47" s="14">
        <f t="shared" si="28"/>
        <v>142</v>
      </c>
      <c r="O47" s="15">
        <f t="shared" si="29"/>
        <v>232</v>
      </c>
      <c r="P47" s="17">
        <f t="shared" si="30"/>
        <v>119</v>
      </c>
      <c r="Q47" s="18">
        <f t="shared" si="31"/>
        <v>232</v>
      </c>
      <c r="R47" s="4" t="s">
        <v>0</v>
      </c>
      <c r="S47" s="16" t="str">
        <f t="shared" si="32"/>
        <v>12-18</v>
      </c>
      <c r="T47" s="14">
        <f t="shared" si="33"/>
        <v>119</v>
      </c>
      <c r="U47" s="18">
        <f t="shared" si="34"/>
        <v>548</v>
      </c>
      <c r="V47" s="14">
        <f t="shared" si="35"/>
        <v>142</v>
      </c>
      <c r="W47" s="18">
        <f t="shared" si="36"/>
        <v>548</v>
      </c>
      <c r="X47" s="14">
        <f t="shared" si="37"/>
        <v>142</v>
      </c>
      <c r="Y47" s="18">
        <f t="shared" si="38"/>
        <v>518</v>
      </c>
      <c r="Z47" s="14">
        <f t="shared" si="39"/>
        <v>119</v>
      </c>
      <c r="AA47" s="18">
        <f t="shared" si="40"/>
        <v>518</v>
      </c>
      <c r="AB47" s="4" t="s">
        <v>0</v>
      </c>
    </row>
    <row r="48" spans="1:28">
      <c r="A48" s="9" t="s">
        <v>204</v>
      </c>
      <c r="B48" s="24"/>
      <c r="C48" s="4"/>
      <c r="D48" s="25">
        <f t="shared" si="47"/>
        <v>144</v>
      </c>
      <c r="E48" s="29">
        <f t="shared" si="48"/>
        <v>202</v>
      </c>
      <c r="F48" s="25">
        <f t="shared" si="49"/>
        <v>167</v>
      </c>
      <c r="G48" s="29">
        <f t="shared" si="50"/>
        <v>232</v>
      </c>
      <c r="H48" s="4" t="s">
        <v>0</v>
      </c>
      <c r="I48" s="16" t="str">
        <f t="shared" si="23"/>
        <v>12-17</v>
      </c>
      <c r="J48" s="14">
        <f t="shared" si="24"/>
        <v>144</v>
      </c>
      <c r="K48" s="15">
        <f t="shared" si="25"/>
        <v>202</v>
      </c>
      <c r="L48" s="17">
        <f t="shared" si="26"/>
        <v>167</v>
      </c>
      <c r="M48" s="18">
        <f t="shared" si="27"/>
        <v>202</v>
      </c>
      <c r="N48" s="14">
        <f t="shared" si="28"/>
        <v>167</v>
      </c>
      <c r="O48" s="15">
        <f t="shared" si="29"/>
        <v>232</v>
      </c>
      <c r="P48" s="17">
        <f t="shared" si="30"/>
        <v>144</v>
      </c>
      <c r="Q48" s="18">
        <f t="shared" si="31"/>
        <v>232</v>
      </c>
      <c r="R48" s="4" t="s">
        <v>0</v>
      </c>
      <c r="S48" s="16" t="str">
        <f t="shared" si="32"/>
        <v>12-17</v>
      </c>
      <c r="T48" s="14">
        <f t="shared" si="33"/>
        <v>144</v>
      </c>
      <c r="U48" s="18">
        <f t="shared" si="34"/>
        <v>548</v>
      </c>
      <c r="V48" s="14">
        <f t="shared" si="35"/>
        <v>167</v>
      </c>
      <c r="W48" s="18">
        <f t="shared" si="36"/>
        <v>548</v>
      </c>
      <c r="X48" s="14">
        <f t="shared" si="37"/>
        <v>167</v>
      </c>
      <c r="Y48" s="18">
        <f t="shared" si="38"/>
        <v>518</v>
      </c>
      <c r="Z48" s="14">
        <f t="shared" si="39"/>
        <v>144</v>
      </c>
      <c r="AA48" s="18">
        <f t="shared" si="40"/>
        <v>518</v>
      </c>
      <c r="AB48" s="4" t="s">
        <v>0</v>
      </c>
    </row>
    <row r="49" spans="1:28">
      <c r="A49" s="9" t="s">
        <v>203</v>
      </c>
      <c r="B49" s="24"/>
      <c r="C49" s="4"/>
      <c r="D49" s="25">
        <f t="shared" si="47"/>
        <v>168</v>
      </c>
      <c r="E49" s="29">
        <f t="shared" si="48"/>
        <v>202</v>
      </c>
      <c r="F49" s="25">
        <f t="shared" si="49"/>
        <v>191</v>
      </c>
      <c r="G49" s="29">
        <f t="shared" si="50"/>
        <v>232</v>
      </c>
      <c r="H49" s="4" t="s">
        <v>0</v>
      </c>
      <c r="I49" s="16" t="str">
        <f t="shared" si="23"/>
        <v>12-16</v>
      </c>
      <c r="J49" s="14">
        <f t="shared" si="24"/>
        <v>168</v>
      </c>
      <c r="K49" s="15">
        <f t="shared" si="25"/>
        <v>202</v>
      </c>
      <c r="L49" s="17">
        <f t="shared" si="26"/>
        <v>191</v>
      </c>
      <c r="M49" s="18">
        <f t="shared" si="27"/>
        <v>202</v>
      </c>
      <c r="N49" s="14">
        <f t="shared" si="28"/>
        <v>191</v>
      </c>
      <c r="O49" s="15">
        <f t="shared" si="29"/>
        <v>232</v>
      </c>
      <c r="P49" s="17">
        <f t="shared" si="30"/>
        <v>168</v>
      </c>
      <c r="Q49" s="18">
        <f t="shared" si="31"/>
        <v>232</v>
      </c>
      <c r="R49" s="4" t="s">
        <v>0</v>
      </c>
      <c r="S49" s="16" t="str">
        <f t="shared" si="32"/>
        <v>12-16</v>
      </c>
      <c r="T49" s="14">
        <f t="shared" si="33"/>
        <v>168</v>
      </c>
      <c r="U49" s="18">
        <f t="shared" si="34"/>
        <v>548</v>
      </c>
      <c r="V49" s="14">
        <f t="shared" si="35"/>
        <v>191</v>
      </c>
      <c r="W49" s="18">
        <f t="shared" si="36"/>
        <v>548</v>
      </c>
      <c r="X49" s="14">
        <f t="shared" si="37"/>
        <v>191</v>
      </c>
      <c r="Y49" s="18">
        <f t="shared" si="38"/>
        <v>518</v>
      </c>
      <c r="Z49" s="14">
        <f t="shared" si="39"/>
        <v>168</v>
      </c>
      <c r="AA49" s="18">
        <f t="shared" si="40"/>
        <v>518</v>
      </c>
      <c r="AB49" s="4" t="s">
        <v>0</v>
      </c>
    </row>
    <row r="50" spans="1:28">
      <c r="A50" s="9" t="s">
        <v>202</v>
      </c>
      <c r="B50" s="24"/>
      <c r="C50" s="4"/>
      <c r="D50" s="25">
        <f t="shared" si="47"/>
        <v>192</v>
      </c>
      <c r="E50" s="29">
        <f t="shared" si="48"/>
        <v>202</v>
      </c>
      <c r="F50" s="25">
        <f t="shared" si="49"/>
        <v>215</v>
      </c>
      <c r="G50" s="29">
        <f t="shared" si="50"/>
        <v>232</v>
      </c>
      <c r="H50" s="4" t="s">
        <v>0</v>
      </c>
      <c r="I50" s="16" t="str">
        <f t="shared" si="23"/>
        <v>12-15</v>
      </c>
      <c r="J50" s="14">
        <f t="shared" si="24"/>
        <v>192</v>
      </c>
      <c r="K50" s="15">
        <f t="shared" si="25"/>
        <v>202</v>
      </c>
      <c r="L50" s="17">
        <f t="shared" si="26"/>
        <v>215</v>
      </c>
      <c r="M50" s="18">
        <f t="shared" si="27"/>
        <v>202</v>
      </c>
      <c r="N50" s="14">
        <f t="shared" si="28"/>
        <v>215</v>
      </c>
      <c r="O50" s="15">
        <f t="shared" si="29"/>
        <v>232</v>
      </c>
      <c r="P50" s="17">
        <f t="shared" si="30"/>
        <v>192</v>
      </c>
      <c r="Q50" s="18">
        <f t="shared" si="31"/>
        <v>232</v>
      </c>
      <c r="R50" s="4" t="s">
        <v>0</v>
      </c>
      <c r="S50" s="16" t="str">
        <f t="shared" si="32"/>
        <v>12-15</v>
      </c>
      <c r="T50" s="14">
        <f t="shared" si="33"/>
        <v>192</v>
      </c>
      <c r="U50" s="18">
        <f t="shared" si="34"/>
        <v>548</v>
      </c>
      <c r="V50" s="14">
        <f t="shared" si="35"/>
        <v>215</v>
      </c>
      <c r="W50" s="18">
        <f t="shared" si="36"/>
        <v>548</v>
      </c>
      <c r="X50" s="14">
        <f t="shared" si="37"/>
        <v>215</v>
      </c>
      <c r="Y50" s="18">
        <f t="shared" si="38"/>
        <v>518</v>
      </c>
      <c r="Z50" s="14">
        <f t="shared" si="39"/>
        <v>192</v>
      </c>
      <c r="AA50" s="18">
        <f t="shared" si="40"/>
        <v>518</v>
      </c>
      <c r="AB50" s="4" t="s">
        <v>0</v>
      </c>
    </row>
    <row r="51" spans="1:28">
      <c r="A51" s="9" t="s">
        <v>201</v>
      </c>
      <c r="B51" s="24"/>
      <c r="C51" s="4"/>
      <c r="D51" s="25">
        <f t="shared" si="47"/>
        <v>216</v>
      </c>
      <c r="E51" s="29">
        <f t="shared" si="48"/>
        <v>202</v>
      </c>
      <c r="F51" s="25">
        <f t="shared" si="49"/>
        <v>239</v>
      </c>
      <c r="G51" s="29">
        <f t="shared" si="50"/>
        <v>232</v>
      </c>
      <c r="H51" s="4" t="s">
        <v>0</v>
      </c>
      <c r="I51" s="16" t="str">
        <f t="shared" si="23"/>
        <v>12-13</v>
      </c>
      <c r="J51" s="14">
        <f t="shared" si="24"/>
        <v>216</v>
      </c>
      <c r="K51" s="15">
        <f t="shared" si="25"/>
        <v>202</v>
      </c>
      <c r="L51" s="17">
        <f t="shared" si="26"/>
        <v>239</v>
      </c>
      <c r="M51" s="18">
        <f t="shared" si="27"/>
        <v>202</v>
      </c>
      <c r="N51" s="14">
        <f t="shared" si="28"/>
        <v>239</v>
      </c>
      <c r="O51" s="15">
        <f t="shared" si="29"/>
        <v>232</v>
      </c>
      <c r="P51" s="17">
        <f t="shared" si="30"/>
        <v>216</v>
      </c>
      <c r="Q51" s="18">
        <f t="shared" si="31"/>
        <v>232</v>
      </c>
      <c r="R51" s="4" t="s">
        <v>0</v>
      </c>
      <c r="S51" s="16" t="str">
        <f t="shared" si="32"/>
        <v>12-13</v>
      </c>
      <c r="T51" s="14">
        <f t="shared" si="33"/>
        <v>216</v>
      </c>
      <c r="U51" s="18">
        <f t="shared" si="34"/>
        <v>548</v>
      </c>
      <c r="V51" s="14">
        <f t="shared" si="35"/>
        <v>239</v>
      </c>
      <c r="W51" s="18">
        <f t="shared" si="36"/>
        <v>548</v>
      </c>
      <c r="X51" s="14">
        <f t="shared" si="37"/>
        <v>239</v>
      </c>
      <c r="Y51" s="18">
        <f t="shared" si="38"/>
        <v>518</v>
      </c>
      <c r="Z51" s="14">
        <f t="shared" si="39"/>
        <v>216</v>
      </c>
      <c r="AA51" s="18">
        <f t="shared" si="40"/>
        <v>518</v>
      </c>
      <c r="AB51" s="4" t="s">
        <v>0</v>
      </c>
    </row>
    <row r="52" spans="1:28">
      <c r="A52" s="9" t="s">
        <v>108</v>
      </c>
      <c r="B52" s="24"/>
      <c r="C52" s="4"/>
      <c r="D52" s="25">
        <f t="shared" si="47"/>
        <v>240</v>
      </c>
      <c r="E52" s="29">
        <f t="shared" si="48"/>
        <v>202</v>
      </c>
      <c r="F52" s="25">
        <f t="shared" si="49"/>
        <v>263</v>
      </c>
      <c r="G52" s="29">
        <f t="shared" si="50"/>
        <v>232</v>
      </c>
      <c r="H52" s="4" t="s">
        <v>0</v>
      </c>
      <c r="I52" s="16" t="str">
        <f t="shared" si="23"/>
        <v>12-12</v>
      </c>
      <c r="J52" s="14">
        <f t="shared" si="24"/>
        <v>240</v>
      </c>
      <c r="K52" s="15">
        <f t="shared" si="25"/>
        <v>202</v>
      </c>
      <c r="L52" s="17">
        <f t="shared" si="26"/>
        <v>263</v>
      </c>
      <c r="M52" s="18">
        <f t="shared" si="27"/>
        <v>202</v>
      </c>
      <c r="N52" s="14">
        <f t="shared" si="28"/>
        <v>263</v>
      </c>
      <c r="O52" s="15">
        <f t="shared" si="29"/>
        <v>232</v>
      </c>
      <c r="P52" s="17">
        <f t="shared" si="30"/>
        <v>240</v>
      </c>
      <c r="Q52" s="18">
        <f t="shared" si="31"/>
        <v>232</v>
      </c>
      <c r="R52" s="4" t="s">
        <v>0</v>
      </c>
      <c r="S52" s="16" t="str">
        <f t="shared" si="32"/>
        <v>12-12</v>
      </c>
      <c r="T52" s="14">
        <f t="shared" si="33"/>
        <v>240</v>
      </c>
      <c r="U52" s="18">
        <f t="shared" si="34"/>
        <v>548</v>
      </c>
      <c r="V52" s="14">
        <f t="shared" si="35"/>
        <v>263</v>
      </c>
      <c r="W52" s="18">
        <f t="shared" si="36"/>
        <v>548</v>
      </c>
      <c r="X52" s="14">
        <f t="shared" si="37"/>
        <v>263</v>
      </c>
      <c r="Y52" s="18">
        <f t="shared" si="38"/>
        <v>518</v>
      </c>
      <c r="Z52" s="14">
        <f t="shared" si="39"/>
        <v>240</v>
      </c>
      <c r="AA52" s="18">
        <f t="shared" si="40"/>
        <v>518</v>
      </c>
      <c r="AB52" s="4" t="s">
        <v>0</v>
      </c>
    </row>
    <row r="53" spans="1:28">
      <c r="A53" s="9" t="s">
        <v>107</v>
      </c>
      <c r="B53" s="24"/>
      <c r="C53" s="4"/>
      <c r="D53" s="25">
        <f t="shared" si="47"/>
        <v>265</v>
      </c>
      <c r="E53" s="29">
        <f t="shared" si="48"/>
        <v>202</v>
      </c>
      <c r="F53" s="25">
        <f t="shared" si="49"/>
        <v>288</v>
      </c>
      <c r="G53" s="29">
        <f t="shared" si="50"/>
        <v>232</v>
      </c>
      <c r="H53" s="4" t="s">
        <v>0</v>
      </c>
      <c r="I53" s="16" t="str">
        <f t="shared" si="23"/>
        <v>12-11</v>
      </c>
      <c r="J53" s="14">
        <f t="shared" si="24"/>
        <v>265</v>
      </c>
      <c r="K53" s="15">
        <f t="shared" si="25"/>
        <v>202</v>
      </c>
      <c r="L53" s="17">
        <f t="shared" si="26"/>
        <v>288</v>
      </c>
      <c r="M53" s="18">
        <f t="shared" si="27"/>
        <v>202</v>
      </c>
      <c r="N53" s="14">
        <f t="shared" si="28"/>
        <v>288</v>
      </c>
      <c r="O53" s="15">
        <f t="shared" si="29"/>
        <v>232</v>
      </c>
      <c r="P53" s="17">
        <f t="shared" si="30"/>
        <v>265</v>
      </c>
      <c r="Q53" s="18">
        <f t="shared" si="31"/>
        <v>232</v>
      </c>
      <c r="R53" s="4" t="s">
        <v>0</v>
      </c>
      <c r="S53" s="16" t="str">
        <f t="shared" si="32"/>
        <v>12-11</v>
      </c>
      <c r="T53" s="14">
        <f t="shared" si="33"/>
        <v>265</v>
      </c>
      <c r="U53" s="18">
        <f t="shared" si="34"/>
        <v>548</v>
      </c>
      <c r="V53" s="14">
        <f t="shared" si="35"/>
        <v>288</v>
      </c>
      <c r="W53" s="18">
        <f t="shared" si="36"/>
        <v>548</v>
      </c>
      <c r="X53" s="14">
        <f t="shared" si="37"/>
        <v>288</v>
      </c>
      <c r="Y53" s="18">
        <f t="shared" si="38"/>
        <v>518</v>
      </c>
      <c r="Z53" s="14">
        <f t="shared" si="39"/>
        <v>265</v>
      </c>
      <c r="AA53" s="18">
        <f t="shared" si="40"/>
        <v>518</v>
      </c>
      <c r="AB53" s="4" t="s">
        <v>0</v>
      </c>
    </row>
    <row r="54" spans="1:28">
      <c r="A54" s="9" t="s">
        <v>106</v>
      </c>
      <c r="B54" s="24"/>
      <c r="C54" s="4"/>
      <c r="D54" s="25">
        <f t="shared" si="47"/>
        <v>289</v>
      </c>
      <c r="E54" s="29">
        <f t="shared" si="48"/>
        <v>202</v>
      </c>
      <c r="F54" s="25">
        <f t="shared" si="49"/>
        <v>312</v>
      </c>
      <c r="G54" s="29">
        <f t="shared" si="50"/>
        <v>232</v>
      </c>
      <c r="H54" s="4" t="s">
        <v>0</v>
      </c>
      <c r="I54" s="16" t="str">
        <f t="shared" si="23"/>
        <v>12-10</v>
      </c>
      <c r="J54" s="14">
        <f t="shared" si="24"/>
        <v>289</v>
      </c>
      <c r="K54" s="15">
        <f t="shared" si="25"/>
        <v>202</v>
      </c>
      <c r="L54" s="17">
        <f t="shared" si="26"/>
        <v>312</v>
      </c>
      <c r="M54" s="18">
        <f t="shared" si="27"/>
        <v>202</v>
      </c>
      <c r="N54" s="14">
        <f t="shared" si="28"/>
        <v>312</v>
      </c>
      <c r="O54" s="15">
        <f t="shared" si="29"/>
        <v>232</v>
      </c>
      <c r="P54" s="17">
        <f t="shared" si="30"/>
        <v>289</v>
      </c>
      <c r="Q54" s="18">
        <f t="shared" si="31"/>
        <v>232</v>
      </c>
      <c r="R54" s="4" t="s">
        <v>0</v>
      </c>
      <c r="S54" s="16" t="str">
        <f t="shared" si="32"/>
        <v>12-10</v>
      </c>
      <c r="T54" s="14">
        <f t="shared" si="33"/>
        <v>289</v>
      </c>
      <c r="U54" s="18">
        <f t="shared" si="34"/>
        <v>548</v>
      </c>
      <c r="V54" s="14">
        <f t="shared" si="35"/>
        <v>312</v>
      </c>
      <c r="W54" s="18">
        <f t="shared" si="36"/>
        <v>548</v>
      </c>
      <c r="X54" s="14">
        <f t="shared" si="37"/>
        <v>312</v>
      </c>
      <c r="Y54" s="18">
        <f t="shared" si="38"/>
        <v>518</v>
      </c>
      <c r="Z54" s="14">
        <f t="shared" si="39"/>
        <v>289</v>
      </c>
      <c r="AA54" s="18">
        <f t="shared" si="40"/>
        <v>518</v>
      </c>
      <c r="AB54" s="4" t="s">
        <v>0</v>
      </c>
    </row>
    <row r="55" spans="1:28">
      <c r="A55" s="9" t="s">
        <v>105</v>
      </c>
      <c r="B55" s="24"/>
      <c r="C55" s="4"/>
      <c r="D55" s="25">
        <f t="shared" si="47"/>
        <v>313</v>
      </c>
      <c r="E55" s="29">
        <f t="shared" si="48"/>
        <v>202</v>
      </c>
      <c r="F55" s="25">
        <f t="shared" si="49"/>
        <v>336</v>
      </c>
      <c r="G55" s="29">
        <f t="shared" si="50"/>
        <v>232</v>
      </c>
      <c r="H55" s="4" t="s">
        <v>0</v>
      </c>
      <c r="I55" s="16" t="str">
        <f t="shared" si="23"/>
        <v>12-08</v>
      </c>
      <c r="J55" s="14">
        <f t="shared" si="24"/>
        <v>313</v>
      </c>
      <c r="K55" s="15">
        <f t="shared" si="25"/>
        <v>202</v>
      </c>
      <c r="L55" s="17">
        <f t="shared" si="26"/>
        <v>336</v>
      </c>
      <c r="M55" s="18">
        <f t="shared" si="27"/>
        <v>202</v>
      </c>
      <c r="N55" s="14">
        <f t="shared" si="28"/>
        <v>336</v>
      </c>
      <c r="O55" s="15">
        <f t="shared" si="29"/>
        <v>232</v>
      </c>
      <c r="P55" s="17">
        <f t="shared" si="30"/>
        <v>313</v>
      </c>
      <c r="Q55" s="18">
        <f t="shared" si="31"/>
        <v>232</v>
      </c>
      <c r="R55" s="4" t="s">
        <v>0</v>
      </c>
      <c r="S55" s="16" t="str">
        <f t="shared" si="32"/>
        <v>12-08</v>
      </c>
      <c r="T55" s="14">
        <f t="shared" si="33"/>
        <v>313</v>
      </c>
      <c r="U55" s="18">
        <f t="shared" si="34"/>
        <v>548</v>
      </c>
      <c r="V55" s="14">
        <f t="shared" si="35"/>
        <v>336</v>
      </c>
      <c r="W55" s="18">
        <f t="shared" si="36"/>
        <v>548</v>
      </c>
      <c r="X55" s="14">
        <f t="shared" si="37"/>
        <v>336</v>
      </c>
      <c r="Y55" s="18">
        <f t="shared" si="38"/>
        <v>518</v>
      </c>
      <c r="Z55" s="14">
        <f t="shared" si="39"/>
        <v>313</v>
      </c>
      <c r="AA55" s="18">
        <f t="shared" si="40"/>
        <v>518</v>
      </c>
      <c r="AB55" s="4" t="s">
        <v>0</v>
      </c>
    </row>
    <row r="56" spans="1:28">
      <c r="A56" s="9" t="s">
        <v>104</v>
      </c>
      <c r="B56" s="24"/>
      <c r="C56" s="4"/>
      <c r="D56" s="25">
        <f t="shared" si="47"/>
        <v>337</v>
      </c>
      <c r="E56" s="29">
        <f t="shared" si="48"/>
        <v>202</v>
      </c>
      <c r="F56" s="25">
        <f t="shared" si="49"/>
        <v>360</v>
      </c>
      <c r="G56" s="29">
        <f t="shared" si="50"/>
        <v>232</v>
      </c>
      <c r="H56" s="4" t="s">
        <v>0</v>
      </c>
      <c r="I56" s="16" t="str">
        <f t="shared" si="23"/>
        <v>12-07</v>
      </c>
      <c r="J56" s="14">
        <f t="shared" si="24"/>
        <v>337</v>
      </c>
      <c r="K56" s="15">
        <f t="shared" si="25"/>
        <v>202</v>
      </c>
      <c r="L56" s="17">
        <f t="shared" si="26"/>
        <v>360</v>
      </c>
      <c r="M56" s="18">
        <f t="shared" si="27"/>
        <v>202</v>
      </c>
      <c r="N56" s="14">
        <f t="shared" si="28"/>
        <v>360</v>
      </c>
      <c r="O56" s="15">
        <f t="shared" si="29"/>
        <v>232</v>
      </c>
      <c r="P56" s="17">
        <f t="shared" si="30"/>
        <v>337</v>
      </c>
      <c r="Q56" s="18">
        <f t="shared" si="31"/>
        <v>232</v>
      </c>
      <c r="R56" s="4" t="s">
        <v>0</v>
      </c>
      <c r="S56" s="16" t="str">
        <f t="shared" si="32"/>
        <v>12-07</v>
      </c>
      <c r="T56" s="14">
        <f t="shared" si="33"/>
        <v>337</v>
      </c>
      <c r="U56" s="18">
        <f t="shared" si="34"/>
        <v>548</v>
      </c>
      <c r="V56" s="14">
        <f t="shared" si="35"/>
        <v>360</v>
      </c>
      <c r="W56" s="18">
        <f t="shared" si="36"/>
        <v>548</v>
      </c>
      <c r="X56" s="14">
        <f t="shared" si="37"/>
        <v>360</v>
      </c>
      <c r="Y56" s="18">
        <f t="shared" si="38"/>
        <v>518</v>
      </c>
      <c r="Z56" s="14">
        <f t="shared" si="39"/>
        <v>337</v>
      </c>
      <c r="AA56" s="18">
        <f t="shared" si="40"/>
        <v>518</v>
      </c>
      <c r="AB56" s="4" t="s">
        <v>0</v>
      </c>
    </row>
    <row r="57" spans="1:28">
      <c r="A57" s="9" t="s">
        <v>103</v>
      </c>
      <c r="B57" s="24"/>
      <c r="C57" s="4"/>
      <c r="D57" s="25">
        <f t="shared" si="47"/>
        <v>361</v>
      </c>
      <c r="E57" s="29">
        <f t="shared" si="48"/>
        <v>202</v>
      </c>
      <c r="F57" s="25">
        <f t="shared" si="49"/>
        <v>384</v>
      </c>
      <c r="G57" s="29">
        <f t="shared" si="50"/>
        <v>232</v>
      </c>
      <c r="H57" s="4" t="s">
        <v>0</v>
      </c>
      <c r="I57" s="16" t="str">
        <f t="shared" si="23"/>
        <v>12-06</v>
      </c>
      <c r="J57" s="14">
        <f t="shared" si="24"/>
        <v>361</v>
      </c>
      <c r="K57" s="15">
        <f t="shared" si="25"/>
        <v>202</v>
      </c>
      <c r="L57" s="17">
        <f t="shared" si="26"/>
        <v>384</v>
      </c>
      <c r="M57" s="18">
        <f t="shared" si="27"/>
        <v>202</v>
      </c>
      <c r="N57" s="14">
        <f t="shared" si="28"/>
        <v>384</v>
      </c>
      <c r="O57" s="15">
        <f t="shared" si="29"/>
        <v>232</v>
      </c>
      <c r="P57" s="17">
        <f t="shared" si="30"/>
        <v>361</v>
      </c>
      <c r="Q57" s="18">
        <f t="shared" si="31"/>
        <v>232</v>
      </c>
      <c r="R57" s="4" t="s">
        <v>0</v>
      </c>
      <c r="S57" s="16" t="str">
        <f t="shared" si="32"/>
        <v>12-06</v>
      </c>
      <c r="T57" s="14">
        <f t="shared" si="33"/>
        <v>361</v>
      </c>
      <c r="U57" s="18">
        <f t="shared" si="34"/>
        <v>548</v>
      </c>
      <c r="V57" s="14">
        <f t="shared" si="35"/>
        <v>384</v>
      </c>
      <c r="W57" s="18">
        <f t="shared" si="36"/>
        <v>548</v>
      </c>
      <c r="X57" s="14">
        <f t="shared" si="37"/>
        <v>384</v>
      </c>
      <c r="Y57" s="18">
        <f t="shared" si="38"/>
        <v>518</v>
      </c>
      <c r="Z57" s="14">
        <f t="shared" si="39"/>
        <v>361</v>
      </c>
      <c r="AA57" s="18">
        <f t="shared" si="40"/>
        <v>518</v>
      </c>
      <c r="AB57" s="4" t="s">
        <v>0</v>
      </c>
    </row>
    <row r="58" spans="1:28">
      <c r="A58" s="9" t="s">
        <v>102</v>
      </c>
      <c r="B58" s="24"/>
      <c r="C58" s="4"/>
      <c r="D58" s="25">
        <f t="shared" si="47"/>
        <v>386</v>
      </c>
      <c r="E58" s="29">
        <f t="shared" si="48"/>
        <v>202</v>
      </c>
      <c r="F58" s="25">
        <f t="shared" si="49"/>
        <v>409</v>
      </c>
      <c r="G58" s="29">
        <f t="shared" si="50"/>
        <v>232</v>
      </c>
      <c r="H58" s="4" t="s">
        <v>0</v>
      </c>
      <c r="I58" s="16" t="str">
        <f t="shared" si="23"/>
        <v>12-05</v>
      </c>
      <c r="J58" s="14">
        <f t="shared" si="24"/>
        <v>386</v>
      </c>
      <c r="K58" s="15">
        <f t="shared" si="25"/>
        <v>202</v>
      </c>
      <c r="L58" s="17">
        <f t="shared" si="26"/>
        <v>409</v>
      </c>
      <c r="M58" s="18">
        <f t="shared" si="27"/>
        <v>202</v>
      </c>
      <c r="N58" s="14">
        <f t="shared" si="28"/>
        <v>409</v>
      </c>
      <c r="O58" s="15">
        <f t="shared" si="29"/>
        <v>232</v>
      </c>
      <c r="P58" s="17">
        <f t="shared" si="30"/>
        <v>386</v>
      </c>
      <c r="Q58" s="18">
        <f t="shared" si="31"/>
        <v>232</v>
      </c>
      <c r="R58" s="4" t="s">
        <v>0</v>
      </c>
      <c r="S58" s="16" t="str">
        <f t="shared" si="32"/>
        <v>12-05</v>
      </c>
      <c r="T58" s="14">
        <f t="shared" si="33"/>
        <v>386</v>
      </c>
      <c r="U58" s="18">
        <f t="shared" si="34"/>
        <v>548</v>
      </c>
      <c r="V58" s="14">
        <f t="shared" si="35"/>
        <v>409</v>
      </c>
      <c r="W58" s="18">
        <f t="shared" si="36"/>
        <v>548</v>
      </c>
      <c r="X58" s="14">
        <f t="shared" si="37"/>
        <v>409</v>
      </c>
      <c r="Y58" s="18">
        <f t="shared" si="38"/>
        <v>518</v>
      </c>
      <c r="Z58" s="14">
        <f t="shared" si="39"/>
        <v>386</v>
      </c>
      <c r="AA58" s="18">
        <f t="shared" si="40"/>
        <v>518</v>
      </c>
      <c r="AB58" s="4" t="s">
        <v>0</v>
      </c>
    </row>
    <row r="59" spans="1:28">
      <c r="A59" s="9" t="s">
        <v>101</v>
      </c>
      <c r="B59" s="24"/>
      <c r="C59" s="4"/>
      <c r="D59" s="25">
        <f t="shared" si="47"/>
        <v>410</v>
      </c>
      <c r="E59" s="29">
        <f t="shared" si="48"/>
        <v>202</v>
      </c>
      <c r="F59" s="25">
        <f t="shared" si="49"/>
        <v>433</v>
      </c>
      <c r="G59" s="29">
        <f t="shared" si="50"/>
        <v>232</v>
      </c>
      <c r="H59" s="4" t="s">
        <v>0</v>
      </c>
      <c r="I59" s="16" t="str">
        <f t="shared" si="23"/>
        <v>12-03</v>
      </c>
      <c r="J59" s="14">
        <f t="shared" si="24"/>
        <v>410</v>
      </c>
      <c r="K59" s="15">
        <f t="shared" si="25"/>
        <v>202</v>
      </c>
      <c r="L59" s="17">
        <f t="shared" si="26"/>
        <v>433</v>
      </c>
      <c r="M59" s="18">
        <f t="shared" si="27"/>
        <v>202</v>
      </c>
      <c r="N59" s="14">
        <f t="shared" si="28"/>
        <v>433</v>
      </c>
      <c r="O59" s="15">
        <f t="shared" si="29"/>
        <v>232</v>
      </c>
      <c r="P59" s="17">
        <f t="shared" si="30"/>
        <v>410</v>
      </c>
      <c r="Q59" s="18">
        <f t="shared" si="31"/>
        <v>232</v>
      </c>
      <c r="R59" s="4" t="s">
        <v>0</v>
      </c>
      <c r="S59" s="16" t="str">
        <f t="shared" si="32"/>
        <v>12-03</v>
      </c>
      <c r="T59" s="14">
        <f t="shared" si="33"/>
        <v>410</v>
      </c>
      <c r="U59" s="18">
        <f t="shared" si="34"/>
        <v>548</v>
      </c>
      <c r="V59" s="14">
        <f t="shared" si="35"/>
        <v>433</v>
      </c>
      <c r="W59" s="18">
        <f t="shared" si="36"/>
        <v>548</v>
      </c>
      <c r="X59" s="14">
        <f t="shared" si="37"/>
        <v>433</v>
      </c>
      <c r="Y59" s="18">
        <f t="shared" si="38"/>
        <v>518</v>
      </c>
      <c r="Z59" s="14">
        <f t="shared" si="39"/>
        <v>410</v>
      </c>
      <c r="AA59" s="18">
        <f t="shared" si="40"/>
        <v>518</v>
      </c>
      <c r="AB59" s="4" t="s">
        <v>0</v>
      </c>
    </row>
    <row r="60" spans="1:28">
      <c r="A60" s="9" t="s">
        <v>100</v>
      </c>
      <c r="B60" s="24"/>
      <c r="C60" s="4"/>
      <c r="D60" s="25">
        <f t="shared" si="47"/>
        <v>434</v>
      </c>
      <c r="E60" s="29">
        <f t="shared" si="48"/>
        <v>202</v>
      </c>
      <c r="F60" s="25">
        <f t="shared" si="49"/>
        <v>457</v>
      </c>
      <c r="G60" s="29">
        <f t="shared" si="50"/>
        <v>232</v>
      </c>
      <c r="H60" s="4" t="s">
        <v>0</v>
      </c>
      <c r="I60" s="16" t="str">
        <f t="shared" si="23"/>
        <v>12-02</v>
      </c>
      <c r="J60" s="14">
        <f t="shared" si="24"/>
        <v>434</v>
      </c>
      <c r="K60" s="15">
        <f t="shared" si="25"/>
        <v>202</v>
      </c>
      <c r="L60" s="17">
        <f t="shared" si="26"/>
        <v>457</v>
      </c>
      <c r="M60" s="18">
        <f t="shared" si="27"/>
        <v>202</v>
      </c>
      <c r="N60" s="14">
        <f t="shared" si="28"/>
        <v>457</v>
      </c>
      <c r="O60" s="15">
        <f t="shared" si="29"/>
        <v>232</v>
      </c>
      <c r="P60" s="17">
        <f t="shared" si="30"/>
        <v>434</v>
      </c>
      <c r="Q60" s="18">
        <f t="shared" si="31"/>
        <v>232</v>
      </c>
      <c r="R60" s="4" t="s">
        <v>0</v>
      </c>
      <c r="S60" s="16" t="str">
        <f t="shared" si="32"/>
        <v>12-02</v>
      </c>
      <c r="T60" s="14">
        <f t="shared" si="33"/>
        <v>434</v>
      </c>
      <c r="U60" s="18">
        <f t="shared" si="34"/>
        <v>548</v>
      </c>
      <c r="V60" s="14">
        <f t="shared" si="35"/>
        <v>457</v>
      </c>
      <c r="W60" s="18">
        <f t="shared" si="36"/>
        <v>548</v>
      </c>
      <c r="X60" s="14">
        <f t="shared" si="37"/>
        <v>457</v>
      </c>
      <c r="Y60" s="18">
        <f t="shared" si="38"/>
        <v>518</v>
      </c>
      <c r="Z60" s="14">
        <f t="shared" si="39"/>
        <v>434</v>
      </c>
      <c r="AA60" s="18">
        <f t="shared" si="40"/>
        <v>518</v>
      </c>
      <c r="AB60" s="4" t="s">
        <v>0</v>
      </c>
    </row>
    <row r="61" spans="1:28">
      <c r="A61" s="9" t="s">
        <v>99</v>
      </c>
      <c r="B61" s="24"/>
      <c r="C61" s="4"/>
      <c r="D61" s="25">
        <f t="shared" si="47"/>
        <v>458</v>
      </c>
      <c r="E61" s="29">
        <f t="shared" si="48"/>
        <v>202</v>
      </c>
      <c r="F61" s="25">
        <f t="shared" si="49"/>
        <v>481</v>
      </c>
      <c r="G61" s="29">
        <f t="shared" si="50"/>
        <v>232</v>
      </c>
      <c r="H61" s="4" t="s">
        <v>0</v>
      </c>
      <c r="I61" s="16" t="str">
        <f t="shared" si="23"/>
        <v>12-01</v>
      </c>
      <c r="J61" s="14">
        <f t="shared" si="24"/>
        <v>458</v>
      </c>
      <c r="K61" s="15">
        <f t="shared" si="25"/>
        <v>202</v>
      </c>
      <c r="L61" s="17">
        <f t="shared" si="26"/>
        <v>481</v>
      </c>
      <c r="M61" s="18">
        <f t="shared" si="27"/>
        <v>202</v>
      </c>
      <c r="N61" s="14">
        <f t="shared" si="28"/>
        <v>481</v>
      </c>
      <c r="O61" s="15">
        <f t="shared" si="29"/>
        <v>232</v>
      </c>
      <c r="P61" s="17">
        <f t="shared" si="30"/>
        <v>458</v>
      </c>
      <c r="Q61" s="18">
        <f t="shared" si="31"/>
        <v>232</v>
      </c>
      <c r="R61" s="4" t="s">
        <v>0</v>
      </c>
      <c r="S61" s="16" t="str">
        <f t="shared" si="32"/>
        <v>12-01</v>
      </c>
      <c r="T61" s="14">
        <f t="shared" si="33"/>
        <v>458</v>
      </c>
      <c r="U61" s="18">
        <f t="shared" si="34"/>
        <v>548</v>
      </c>
      <c r="V61" s="14">
        <f t="shared" si="35"/>
        <v>481</v>
      </c>
      <c r="W61" s="18">
        <f t="shared" si="36"/>
        <v>548</v>
      </c>
      <c r="X61" s="14">
        <f t="shared" si="37"/>
        <v>481</v>
      </c>
      <c r="Y61" s="18">
        <f t="shared" si="38"/>
        <v>518</v>
      </c>
      <c r="Z61" s="14">
        <f t="shared" si="39"/>
        <v>458</v>
      </c>
      <c r="AA61" s="18">
        <f t="shared" si="40"/>
        <v>518</v>
      </c>
      <c r="AB61" s="4" t="s">
        <v>0</v>
      </c>
    </row>
    <row r="62" spans="1:28">
      <c r="A62" s="9" t="s">
        <v>200</v>
      </c>
      <c r="B62" s="24"/>
      <c r="C62" s="4"/>
      <c r="D62" s="27">
        <v>71</v>
      </c>
      <c r="E62" s="31">
        <f t="shared" ref="E62" si="51">ROUND(E45+39.8,0)</f>
        <v>242</v>
      </c>
      <c r="F62" s="31">
        <v>94</v>
      </c>
      <c r="G62" s="31">
        <f t="shared" ref="G62" si="52">ROUND(G45+39.8,0)</f>
        <v>272</v>
      </c>
      <c r="H62" s="4" t="s">
        <v>0</v>
      </c>
      <c r="I62" s="16" t="str">
        <f t="shared" si="23"/>
        <v>11-21</v>
      </c>
      <c r="J62" s="14">
        <f t="shared" si="24"/>
        <v>71</v>
      </c>
      <c r="K62" s="15">
        <f t="shared" si="25"/>
        <v>242</v>
      </c>
      <c r="L62" s="17">
        <f t="shared" si="26"/>
        <v>94</v>
      </c>
      <c r="M62" s="18">
        <f t="shared" si="27"/>
        <v>242</v>
      </c>
      <c r="N62" s="14">
        <f t="shared" si="28"/>
        <v>94</v>
      </c>
      <c r="O62" s="15">
        <f t="shared" si="29"/>
        <v>272</v>
      </c>
      <c r="P62" s="17">
        <f t="shared" si="30"/>
        <v>71</v>
      </c>
      <c r="Q62" s="18">
        <f t="shared" si="31"/>
        <v>272</v>
      </c>
      <c r="R62" s="4" t="s">
        <v>0</v>
      </c>
      <c r="S62" s="16" t="str">
        <f t="shared" si="32"/>
        <v>11-21</v>
      </c>
      <c r="T62" s="14">
        <f t="shared" si="33"/>
        <v>71</v>
      </c>
      <c r="U62" s="18">
        <f t="shared" si="34"/>
        <v>508</v>
      </c>
      <c r="V62" s="14">
        <f t="shared" si="35"/>
        <v>94</v>
      </c>
      <c r="W62" s="18">
        <f t="shared" si="36"/>
        <v>508</v>
      </c>
      <c r="X62" s="14">
        <f t="shared" si="37"/>
        <v>94</v>
      </c>
      <c r="Y62" s="18">
        <f t="shared" si="38"/>
        <v>478</v>
      </c>
      <c r="Z62" s="14">
        <f t="shared" si="39"/>
        <v>71</v>
      </c>
      <c r="AA62" s="18">
        <f t="shared" si="40"/>
        <v>478</v>
      </c>
      <c r="AB62" s="4" t="s">
        <v>0</v>
      </c>
    </row>
    <row r="63" spans="1:28">
      <c r="A63" s="9" t="s">
        <v>199</v>
      </c>
      <c r="B63" s="24"/>
      <c r="C63" s="4"/>
      <c r="D63" s="25">
        <f t="shared" ref="D63" si="53">D46</f>
        <v>95</v>
      </c>
      <c r="E63" s="29">
        <f t="shared" ref="E63:E78" si="54">E62</f>
        <v>242</v>
      </c>
      <c r="F63" s="25">
        <f t="shared" ref="F63" si="55">F46</f>
        <v>118</v>
      </c>
      <c r="G63" s="29">
        <f t="shared" ref="G63:G78" si="56">G62</f>
        <v>272</v>
      </c>
      <c r="H63" s="4" t="s">
        <v>0</v>
      </c>
      <c r="I63" s="16" t="str">
        <f t="shared" si="23"/>
        <v>11-20</v>
      </c>
      <c r="J63" s="14">
        <f t="shared" si="24"/>
        <v>95</v>
      </c>
      <c r="K63" s="15">
        <f t="shared" si="25"/>
        <v>242</v>
      </c>
      <c r="L63" s="17">
        <f t="shared" si="26"/>
        <v>118</v>
      </c>
      <c r="M63" s="18">
        <f t="shared" si="27"/>
        <v>242</v>
      </c>
      <c r="N63" s="14">
        <f t="shared" si="28"/>
        <v>118</v>
      </c>
      <c r="O63" s="15">
        <f t="shared" si="29"/>
        <v>272</v>
      </c>
      <c r="P63" s="17">
        <f t="shared" si="30"/>
        <v>95</v>
      </c>
      <c r="Q63" s="18">
        <f t="shared" si="31"/>
        <v>272</v>
      </c>
      <c r="R63" s="4" t="s">
        <v>0</v>
      </c>
      <c r="S63" s="16" t="str">
        <f t="shared" si="32"/>
        <v>11-20</v>
      </c>
      <c r="T63" s="14">
        <f t="shared" si="33"/>
        <v>95</v>
      </c>
      <c r="U63" s="18">
        <f t="shared" si="34"/>
        <v>508</v>
      </c>
      <c r="V63" s="14">
        <f t="shared" si="35"/>
        <v>118</v>
      </c>
      <c r="W63" s="18">
        <f t="shared" si="36"/>
        <v>508</v>
      </c>
      <c r="X63" s="14">
        <f t="shared" si="37"/>
        <v>118</v>
      </c>
      <c r="Y63" s="18">
        <f t="shared" si="38"/>
        <v>478</v>
      </c>
      <c r="Z63" s="14">
        <f t="shared" si="39"/>
        <v>95</v>
      </c>
      <c r="AA63" s="18">
        <f t="shared" si="40"/>
        <v>478</v>
      </c>
      <c r="AB63" s="4" t="s">
        <v>0</v>
      </c>
    </row>
    <row r="64" spans="1:28">
      <c r="A64" s="9" t="s">
        <v>198</v>
      </c>
      <c r="B64" s="24"/>
      <c r="C64" s="4"/>
      <c r="D64" s="25">
        <f t="shared" si="47"/>
        <v>119</v>
      </c>
      <c r="E64" s="29">
        <f t="shared" si="54"/>
        <v>242</v>
      </c>
      <c r="F64" s="25">
        <f t="shared" si="49"/>
        <v>142</v>
      </c>
      <c r="G64" s="29">
        <f t="shared" si="56"/>
        <v>272</v>
      </c>
      <c r="H64" s="4" t="s">
        <v>0</v>
      </c>
      <c r="I64" s="16" t="str">
        <f t="shared" si="23"/>
        <v>11-18</v>
      </c>
      <c r="J64" s="14">
        <f t="shared" si="24"/>
        <v>119</v>
      </c>
      <c r="K64" s="15">
        <f t="shared" si="25"/>
        <v>242</v>
      </c>
      <c r="L64" s="17">
        <f t="shared" si="26"/>
        <v>142</v>
      </c>
      <c r="M64" s="18">
        <f t="shared" si="27"/>
        <v>242</v>
      </c>
      <c r="N64" s="14">
        <f t="shared" si="28"/>
        <v>142</v>
      </c>
      <c r="O64" s="15">
        <f t="shared" si="29"/>
        <v>272</v>
      </c>
      <c r="P64" s="17">
        <f t="shared" si="30"/>
        <v>119</v>
      </c>
      <c r="Q64" s="18">
        <f t="shared" si="31"/>
        <v>272</v>
      </c>
      <c r="R64" s="4" t="s">
        <v>0</v>
      </c>
      <c r="S64" s="16" t="str">
        <f t="shared" si="32"/>
        <v>11-18</v>
      </c>
      <c r="T64" s="14">
        <f t="shared" si="33"/>
        <v>119</v>
      </c>
      <c r="U64" s="18">
        <f t="shared" si="34"/>
        <v>508</v>
      </c>
      <c r="V64" s="14">
        <f t="shared" si="35"/>
        <v>142</v>
      </c>
      <c r="W64" s="18">
        <f t="shared" si="36"/>
        <v>508</v>
      </c>
      <c r="X64" s="14">
        <f t="shared" si="37"/>
        <v>142</v>
      </c>
      <c r="Y64" s="18">
        <f t="shared" si="38"/>
        <v>478</v>
      </c>
      <c r="Z64" s="14">
        <f t="shared" si="39"/>
        <v>119</v>
      </c>
      <c r="AA64" s="18">
        <f t="shared" si="40"/>
        <v>478</v>
      </c>
      <c r="AB64" s="4" t="s">
        <v>0</v>
      </c>
    </row>
    <row r="65" spans="1:28">
      <c r="A65" s="9" t="s">
        <v>197</v>
      </c>
      <c r="B65" s="24"/>
      <c r="C65" s="4"/>
      <c r="D65" s="25">
        <f t="shared" si="47"/>
        <v>144</v>
      </c>
      <c r="E65" s="29">
        <f t="shared" si="54"/>
        <v>242</v>
      </c>
      <c r="F65" s="25">
        <f t="shared" si="49"/>
        <v>167</v>
      </c>
      <c r="G65" s="29">
        <f t="shared" si="56"/>
        <v>272</v>
      </c>
      <c r="H65" s="4" t="s">
        <v>0</v>
      </c>
      <c r="I65" s="16" t="str">
        <f t="shared" si="23"/>
        <v>11-17</v>
      </c>
      <c r="J65" s="14">
        <f t="shared" si="24"/>
        <v>144</v>
      </c>
      <c r="K65" s="15">
        <f t="shared" si="25"/>
        <v>242</v>
      </c>
      <c r="L65" s="17">
        <f t="shared" si="26"/>
        <v>167</v>
      </c>
      <c r="M65" s="18">
        <f t="shared" si="27"/>
        <v>242</v>
      </c>
      <c r="N65" s="14">
        <f t="shared" si="28"/>
        <v>167</v>
      </c>
      <c r="O65" s="15">
        <f t="shared" si="29"/>
        <v>272</v>
      </c>
      <c r="P65" s="17">
        <f t="shared" si="30"/>
        <v>144</v>
      </c>
      <c r="Q65" s="18">
        <f t="shared" si="31"/>
        <v>272</v>
      </c>
      <c r="R65" s="4" t="s">
        <v>0</v>
      </c>
      <c r="S65" s="16" t="str">
        <f t="shared" si="32"/>
        <v>11-17</v>
      </c>
      <c r="T65" s="14">
        <f t="shared" si="33"/>
        <v>144</v>
      </c>
      <c r="U65" s="18">
        <f t="shared" si="34"/>
        <v>508</v>
      </c>
      <c r="V65" s="14">
        <f t="shared" si="35"/>
        <v>167</v>
      </c>
      <c r="W65" s="18">
        <f t="shared" si="36"/>
        <v>508</v>
      </c>
      <c r="X65" s="14">
        <f t="shared" si="37"/>
        <v>167</v>
      </c>
      <c r="Y65" s="18">
        <f t="shared" si="38"/>
        <v>478</v>
      </c>
      <c r="Z65" s="14">
        <f t="shared" si="39"/>
        <v>144</v>
      </c>
      <c r="AA65" s="18">
        <f t="shared" si="40"/>
        <v>478</v>
      </c>
      <c r="AB65" s="4" t="s">
        <v>0</v>
      </c>
    </row>
    <row r="66" spans="1:28">
      <c r="A66" s="9" t="s">
        <v>196</v>
      </c>
      <c r="B66" s="24"/>
      <c r="C66" s="4"/>
      <c r="D66" s="25">
        <f t="shared" si="47"/>
        <v>168</v>
      </c>
      <c r="E66" s="29">
        <f t="shared" si="54"/>
        <v>242</v>
      </c>
      <c r="F66" s="25">
        <f t="shared" si="49"/>
        <v>191</v>
      </c>
      <c r="G66" s="29">
        <f t="shared" si="56"/>
        <v>272</v>
      </c>
      <c r="H66" s="4" t="s">
        <v>0</v>
      </c>
      <c r="I66" s="16" t="str">
        <f t="shared" si="23"/>
        <v>11-16</v>
      </c>
      <c r="J66" s="14">
        <f t="shared" si="24"/>
        <v>168</v>
      </c>
      <c r="K66" s="15">
        <f t="shared" si="25"/>
        <v>242</v>
      </c>
      <c r="L66" s="17">
        <f t="shared" si="26"/>
        <v>191</v>
      </c>
      <c r="M66" s="18">
        <f t="shared" si="27"/>
        <v>242</v>
      </c>
      <c r="N66" s="14">
        <f t="shared" si="28"/>
        <v>191</v>
      </c>
      <c r="O66" s="15">
        <f t="shared" si="29"/>
        <v>272</v>
      </c>
      <c r="P66" s="17">
        <f t="shared" si="30"/>
        <v>168</v>
      </c>
      <c r="Q66" s="18">
        <f t="shared" si="31"/>
        <v>272</v>
      </c>
      <c r="R66" s="4" t="s">
        <v>0</v>
      </c>
      <c r="S66" s="16" t="str">
        <f t="shared" si="32"/>
        <v>11-16</v>
      </c>
      <c r="T66" s="14">
        <f t="shared" si="33"/>
        <v>168</v>
      </c>
      <c r="U66" s="18">
        <f t="shared" si="34"/>
        <v>508</v>
      </c>
      <c r="V66" s="14">
        <f t="shared" si="35"/>
        <v>191</v>
      </c>
      <c r="W66" s="18">
        <f t="shared" si="36"/>
        <v>508</v>
      </c>
      <c r="X66" s="14">
        <f t="shared" si="37"/>
        <v>191</v>
      </c>
      <c r="Y66" s="18">
        <f t="shared" si="38"/>
        <v>478</v>
      </c>
      <c r="Z66" s="14">
        <f t="shared" si="39"/>
        <v>168</v>
      </c>
      <c r="AA66" s="18">
        <f t="shared" si="40"/>
        <v>478</v>
      </c>
      <c r="AB66" s="4" t="s">
        <v>0</v>
      </c>
    </row>
    <row r="67" spans="1:28">
      <c r="A67" s="9" t="s">
        <v>195</v>
      </c>
      <c r="B67" s="24"/>
      <c r="C67" s="4"/>
      <c r="D67" s="25">
        <f t="shared" si="47"/>
        <v>192</v>
      </c>
      <c r="E67" s="29">
        <f t="shared" si="54"/>
        <v>242</v>
      </c>
      <c r="F67" s="25">
        <f t="shared" si="49"/>
        <v>215</v>
      </c>
      <c r="G67" s="29">
        <f t="shared" si="56"/>
        <v>272</v>
      </c>
      <c r="H67" s="4" t="s">
        <v>0</v>
      </c>
      <c r="I67" s="16" t="str">
        <f t="shared" si="23"/>
        <v>11-15</v>
      </c>
      <c r="J67" s="14">
        <f t="shared" si="24"/>
        <v>192</v>
      </c>
      <c r="K67" s="15">
        <f t="shared" si="25"/>
        <v>242</v>
      </c>
      <c r="L67" s="17">
        <f t="shared" si="26"/>
        <v>215</v>
      </c>
      <c r="M67" s="18">
        <f t="shared" si="27"/>
        <v>242</v>
      </c>
      <c r="N67" s="14">
        <f t="shared" si="28"/>
        <v>215</v>
      </c>
      <c r="O67" s="15">
        <f t="shared" si="29"/>
        <v>272</v>
      </c>
      <c r="P67" s="17">
        <f t="shared" si="30"/>
        <v>192</v>
      </c>
      <c r="Q67" s="18">
        <f t="shared" si="31"/>
        <v>272</v>
      </c>
      <c r="R67" s="4" t="s">
        <v>0</v>
      </c>
      <c r="S67" s="16" t="str">
        <f t="shared" si="32"/>
        <v>11-15</v>
      </c>
      <c r="T67" s="14">
        <f t="shared" si="33"/>
        <v>192</v>
      </c>
      <c r="U67" s="18">
        <f t="shared" si="34"/>
        <v>508</v>
      </c>
      <c r="V67" s="14">
        <f t="shared" si="35"/>
        <v>215</v>
      </c>
      <c r="W67" s="18">
        <f t="shared" si="36"/>
        <v>508</v>
      </c>
      <c r="X67" s="14">
        <f t="shared" si="37"/>
        <v>215</v>
      </c>
      <c r="Y67" s="18">
        <f t="shared" si="38"/>
        <v>478</v>
      </c>
      <c r="Z67" s="14">
        <f t="shared" si="39"/>
        <v>192</v>
      </c>
      <c r="AA67" s="18">
        <f t="shared" si="40"/>
        <v>478</v>
      </c>
      <c r="AB67" s="4" t="s">
        <v>0</v>
      </c>
    </row>
    <row r="68" spans="1:28">
      <c r="A68" s="9" t="s">
        <v>194</v>
      </c>
      <c r="B68" s="24"/>
      <c r="C68" s="4"/>
      <c r="D68" s="25">
        <f t="shared" si="47"/>
        <v>216</v>
      </c>
      <c r="E68" s="29">
        <f t="shared" si="54"/>
        <v>242</v>
      </c>
      <c r="F68" s="25">
        <f t="shared" si="49"/>
        <v>239</v>
      </c>
      <c r="G68" s="29">
        <f t="shared" si="56"/>
        <v>272</v>
      </c>
      <c r="H68" s="4" t="s">
        <v>0</v>
      </c>
      <c r="I68" s="16" t="str">
        <f t="shared" si="23"/>
        <v>11-13</v>
      </c>
      <c r="J68" s="14">
        <f t="shared" si="24"/>
        <v>216</v>
      </c>
      <c r="K68" s="15">
        <f t="shared" si="25"/>
        <v>242</v>
      </c>
      <c r="L68" s="17">
        <f t="shared" si="26"/>
        <v>239</v>
      </c>
      <c r="M68" s="18">
        <f t="shared" si="27"/>
        <v>242</v>
      </c>
      <c r="N68" s="14">
        <f t="shared" si="28"/>
        <v>239</v>
      </c>
      <c r="O68" s="15">
        <f t="shared" si="29"/>
        <v>272</v>
      </c>
      <c r="P68" s="17">
        <f t="shared" si="30"/>
        <v>216</v>
      </c>
      <c r="Q68" s="18">
        <f t="shared" si="31"/>
        <v>272</v>
      </c>
      <c r="R68" s="4" t="s">
        <v>0</v>
      </c>
      <c r="S68" s="16" t="str">
        <f t="shared" si="32"/>
        <v>11-13</v>
      </c>
      <c r="T68" s="14">
        <f t="shared" si="33"/>
        <v>216</v>
      </c>
      <c r="U68" s="18">
        <f t="shared" si="34"/>
        <v>508</v>
      </c>
      <c r="V68" s="14">
        <f t="shared" si="35"/>
        <v>239</v>
      </c>
      <c r="W68" s="18">
        <f t="shared" si="36"/>
        <v>508</v>
      </c>
      <c r="X68" s="14">
        <f t="shared" si="37"/>
        <v>239</v>
      </c>
      <c r="Y68" s="18">
        <f t="shared" si="38"/>
        <v>478</v>
      </c>
      <c r="Z68" s="14">
        <f t="shared" si="39"/>
        <v>216</v>
      </c>
      <c r="AA68" s="18">
        <f t="shared" si="40"/>
        <v>478</v>
      </c>
      <c r="AB68" s="4" t="s">
        <v>0</v>
      </c>
    </row>
    <row r="69" spans="1:28">
      <c r="A69" s="9" t="s">
        <v>98</v>
      </c>
      <c r="B69" s="24"/>
      <c r="C69" s="4"/>
      <c r="D69" s="25">
        <f t="shared" si="47"/>
        <v>240</v>
      </c>
      <c r="E69" s="29">
        <f t="shared" si="54"/>
        <v>242</v>
      </c>
      <c r="F69" s="25">
        <f t="shared" si="49"/>
        <v>263</v>
      </c>
      <c r="G69" s="29">
        <f t="shared" si="56"/>
        <v>272</v>
      </c>
      <c r="H69" s="4" t="s">
        <v>0</v>
      </c>
      <c r="I69" s="16" t="str">
        <f t="shared" si="23"/>
        <v>11-12</v>
      </c>
      <c r="J69" s="14">
        <f t="shared" si="24"/>
        <v>240</v>
      </c>
      <c r="K69" s="15">
        <f t="shared" si="25"/>
        <v>242</v>
      </c>
      <c r="L69" s="17">
        <f t="shared" si="26"/>
        <v>263</v>
      </c>
      <c r="M69" s="18">
        <f t="shared" si="27"/>
        <v>242</v>
      </c>
      <c r="N69" s="14">
        <f t="shared" si="28"/>
        <v>263</v>
      </c>
      <c r="O69" s="15">
        <f t="shared" si="29"/>
        <v>272</v>
      </c>
      <c r="P69" s="17">
        <f t="shared" si="30"/>
        <v>240</v>
      </c>
      <c r="Q69" s="18">
        <f t="shared" si="31"/>
        <v>272</v>
      </c>
      <c r="R69" s="4" t="s">
        <v>0</v>
      </c>
      <c r="S69" s="16" t="str">
        <f t="shared" si="32"/>
        <v>11-12</v>
      </c>
      <c r="T69" s="14">
        <f t="shared" si="33"/>
        <v>240</v>
      </c>
      <c r="U69" s="18">
        <f t="shared" si="34"/>
        <v>508</v>
      </c>
      <c r="V69" s="14">
        <f t="shared" si="35"/>
        <v>263</v>
      </c>
      <c r="W69" s="18">
        <f t="shared" si="36"/>
        <v>508</v>
      </c>
      <c r="X69" s="14">
        <f t="shared" si="37"/>
        <v>263</v>
      </c>
      <c r="Y69" s="18">
        <f t="shared" si="38"/>
        <v>478</v>
      </c>
      <c r="Z69" s="14">
        <f t="shared" si="39"/>
        <v>240</v>
      </c>
      <c r="AA69" s="18">
        <f t="shared" si="40"/>
        <v>478</v>
      </c>
      <c r="AB69" s="4" t="s">
        <v>0</v>
      </c>
    </row>
    <row r="70" spans="1:28">
      <c r="A70" s="9" t="s">
        <v>97</v>
      </c>
      <c r="B70" s="24"/>
      <c r="C70" s="4"/>
      <c r="D70" s="25">
        <f t="shared" si="47"/>
        <v>265</v>
      </c>
      <c r="E70" s="29">
        <f t="shared" si="54"/>
        <v>242</v>
      </c>
      <c r="F70" s="25">
        <f t="shared" si="49"/>
        <v>288</v>
      </c>
      <c r="G70" s="29">
        <f t="shared" si="56"/>
        <v>272</v>
      </c>
      <c r="H70" s="4" t="s">
        <v>0</v>
      </c>
      <c r="I70" s="16" t="str">
        <f t="shared" si="23"/>
        <v>11-11</v>
      </c>
      <c r="J70" s="14">
        <f t="shared" si="24"/>
        <v>265</v>
      </c>
      <c r="K70" s="15">
        <f t="shared" si="25"/>
        <v>242</v>
      </c>
      <c r="L70" s="17">
        <f t="shared" si="26"/>
        <v>288</v>
      </c>
      <c r="M70" s="18">
        <f t="shared" si="27"/>
        <v>242</v>
      </c>
      <c r="N70" s="14">
        <f t="shared" si="28"/>
        <v>288</v>
      </c>
      <c r="O70" s="15">
        <f t="shared" si="29"/>
        <v>272</v>
      </c>
      <c r="P70" s="17">
        <f t="shared" si="30"/>
        <v>265</v>
      </c>
      <c r="Q70" s="18">
        <f t="shared" si="31"/>
        <v>272</v>
      </c>
      <c r="R70" s="4" t="s">
        <v>0</v>
      </c>
      <c r="S70" s="16" t="str">
        <f t="shared" si="32"/>
        <v>11-11</v>
      </c>
      <c r="T70" s="14">
        <f t="shared" si="33"/>
        <v>265</v>
      </c>
      <c r="U70" s="18">
        <f t="shared" si="34"/>
        <v>508</v>
      </c>
      <c r="V70" s="14">
        <f t="shared" si="35"/>
        <v>288</v>
      </c>
      <c r="W70" s="18">
        <f t="shared" si="36"/>
        <v>508</v>
      </c>
      <c r="X70" s="14">
        <f t="shared" si="37"/>
        <v>288</v>
      </c>
      <c r="Y70" s="18">
        <f t="shared" si="38"/>
        <v>478</v>
      </c>
      <c r="Z70" s="14">
        <f t="shared" si="39"/>
        <v>265</v>
      </c>
      <c r="AA70" s="18">
        <f t="shared" si="40"/>
        <v>478</v>
      </c>
      <c r="AB70" s="4" t="s">
        <v>0</v>
      </c>
    </row>
    <row r="71" spans="1:28">
      <c r="A71" s="9" t="s">
        <v>96</v>
      </c>
      <c r="B71" s="24"/>
      <c r="C71" s="4"/>
      <c r="D71" s="25">
        <f t="shared" si="47"/>
        <v>289</v>
      </c>
      <c r="E71" s="29">
        <f t="shared" si="54"/>
        <v>242</v>
      </c>
      <c r="F71" s="25">
        <f t="shared" si="49"/>
        <v>312</v>
      </c>
      <c r="G71" s="29">
        <f t="shared" si="56"/>
        <v>272</v>
      </c>
      <c r="H71" s="4" t="s">
        <v>0</v>
      </c>
      <c r="I71" s="16" t="str">
        <f t="shared" si="23"/>
        <v>11-10</v>
      </c>
      <c r="J71" s="14">
        <f t="shared" si="24"/>
        <v>289</v>
      </c>
      <c r="K71" s="15">
        <f t="shared" si="25"/>
        <v>242</v>
      </c>
      <c r="L71" s="17">
        <f t="shared" si="26"/>
        <v>312</v>
      </c>
      <c r="M71" s="18">
        <f t="shared" si="27"/>
        <v>242</v>
      </c>
      <c r="N71" s="14">
        <f t="shared" si="28"/>
        <v>312</v>
      </c>
      <c r="O71" s="15">
        <f t="shared" si="29"/>
        <v>272</v>
      </c>
      <c r="P71" s="17">
        <f t="shared" si="30"/>
        <v>289</v>
      </c>
      <c r="Q71" s="18">
        <f t="shared" si="31"/>
        <v>272</v>
      </c>
      <c r="R71" s="4" t="s">
        <v>0</v>
      </c>
      <c r="S71" s="16" t="str">
        <f t="shared" si="32"/>
        <v>11-10</v>
      </c>
      <c r="T71" s="14">
        <f t="shared" si="33"/>
        <v>289</v>
      </c>
      <c r="U71" s="18">
        <f t="shared" si="34"/>
        <v>508</v>
      </c>
      <c r="V71" s="14">
        <f t="shared" si="35"/>
        <v>312</v>
      </c>
      <c r="W71" s="18">
        <f t="shared" si="36"/>
        <v>508</v>
      </c>
      <c r="X71" s="14">
        <f t="shared" si="37"/>
        <v>312</v>
      </c>
      <c r="Y71" s="18">
        <f t="shared" si="38"/>
        <v>478</v>
      </c>
      <c r="Z71" s="14">
        <f t="shared" si="39"/>
        <v>289</v>
      </c>
      <c r="AA71" s="18">
        <f t="shared" si="40"/>
        <v>478</v>
      </c>
      <c r="AB71" s="4" t="s">
        <v>0</v>
      </c>
    </row>
    <row r="72" spans="1:28">
      <c r="A72" s="9" t="s">
        <v>95</v>
      </c>
      <c r="B72" s="24"/>
      <c r="C72" s="4"/>
      <c r="D72" s="25">
        <f t="shared" si="47"/>
        <v>313</v>
      </c>
      <c r="E72" s="29">
        <f t="shared" si="54"/>
        <v>242</v>
      </c>
      <c r="F72" s="25">
        <f t="shared" si="49"/>
        <v>336</v>
      </c>
      <c r="G72" s="29">
        <f t="shared" si="56"/>
        <v>272</v>
      </c>
      <c r="H72" s="4" t="s">
        <v>0</v>
      </c>
      <c r="I72" s="16" t="str">
        <f t="shared" si="23"/>
        <v>11-08</v>
      </c>
      <c r="J72" s="14">
        <f t="shared" si="24"/>
        <v>313</v>
      </c>
      <c r="K72" s="15">
        <f t="shared" si="25"/>
        <v>242</v>
      </c>
      <c r="L72" s="17">
        <f t="shared" si="26"/>
        <v>336</v>
      </c>
      <c r="M72" s="18">
        <f t="shared" si="27"/>
        <v>242</v>
      </c>
      <c r="N72" s="14">
        <f t="shared" si="28"/>
        <v>336</v>
      </c>
      <c r="O72" s="15">
        <f t="shared" si="29"/>
        <v>272</v>
      </c>
      <c r="P72" s="17">
        <f t="shared" si="30"/>
        <v>313</v>
      </c>
      <c r="Q72" s="18">
        <f t="shared" si="31"/>
        <v>272</v>
      </c>
      <c r="R72" s="4" t="s">
        <v>0</v>
      </c>
      <c r="S72" s="16" t="str">
        <f t="shared" si="32"/>
        <v>11-08</v>
      </c>
      <c r="T72" s="14">
        <f t="shared" si="33"/>
        <v>313</v>
      </c>
      <c r="U72" s="18">
        <f t="shared" si="34"/>
        <v>508</v>
      </c>
      <c r="V72" s="14">
        <f t="shared" si="35"/>
        <v>336</v>
      </c>
      <c r="W72" s="18">
        <f t="shared" si="36"/>
        <v>508</v>
      </c>
      <c r="X72" s="14">
        <f t="shared" si="37"/>
        <v>336</v>
      </c>
      <c r="Y72" s="18">
        <f t="shared" si="38"/>
        <v>478</v>
      </c>
      <c r="Z72" s="14">
        <f t="shared" si="39"/>
        <v>313</v>
      </c>
      <c r="AA72" s="18">
        <f t="shared" si="40"/>
        <v>478</v>
      </c>
      <c r="AB72" s="4" t="s">
        <v>0</v>
      </c>
    </row>
    <row r="73" spans="1:28">
      <c r="A73" s="9" t="s">
        <v>94</v>
      </c>
      <c r="B73" s="24"/>
      <c r="C73" s="4"/>
      <c r="D73" s="25">
        <f t="shared" si="47"/>
        <v>337</v>
      </c>
      <c r="E73" s="29">
        <f t="shared" si="54"/>
        <v>242</v>
      </c>
      <c r="F73" s="25">
        <f t="shared" si="49"/>
        <v>360</v>
      </c>
      <c r="G73" s="29">
        <f t="shared" si="56"/>
        <v>272</v>
      </c>
      <c r="H73" s="4" t="s">
        <v>0</v>
      </c>
      <c r="I73" s="16" t="str">
        <f t="shared" si="23"/>
        <v>11-07</v>
      </c>
      <c r="J73" s="14">
        <f t="shared" si="24"/>
        <v>337</v>
      </c>
      <c r="K73" s="15">
        <f t="shared" si="25"/>
        <v>242</v>
      </c>
      <c r="L73" s="17">
        <f t="shared" si="26"/>
        <v>360</v>
      </c>
      <c r="M73" s="18">
        <f t="shared" si="27"/>
        <v>242</v>
      </c>
      <c r="N73" s="14">
        <f t="shared" si="28"/>
        <v>360</v>
      </c>
      <c r="O73" s="15">
        <f t="shared" si="29"/>
        <v>272</v>
      </c>
      <c r="P73" s="17">
        <f t="shared" si="30"/>
        <v>337</v>
      </c>
      <c r="Q73" s="18">
        <f t="shared" si="31"/>
        <v>272</v>
      </c>
      <c r="R73" s="4" t="s">
        <v>0</v>
      </c>
      <c r="S73" s="16" t="str">
        <f t="shared" si="32"/>
        <v>11-07</v>
      </c>
      <c r="T73" s="14">
        <f t="shared" si="33"/>
        <v>337</v>
      </c>
      <c r="U73" s="18">
        <f t="shared" si="34"/>
        <v>508</v>
      </c>
      <c r="V73" s="14">
        <f t="shared" si="35"/>
        <v>360</v>
      </c>
      <c r="W73" s="18">
        <f t="shared" si="36"/>
        <v>508</v>
      </c>
      <c r="X73" s="14">
        <f t="shared" si="37"/>
        <v>360</v>
      </c>
      <c r="Y73" s="18">
        <f t="shared" si="38"/>
        <v>478</v>
      </c>
      <c r="Z73" s="14">
        <f t="shared" si="39"/>
        <v>337</v>
      </c>
      <c r="AA73" s="18">
        <f t="shared" si="40"/>
        <v>478</v>
      </c>
      <c r="AB73" s="4" t="s">
        <v>0</v>
      </c>
    </row>
    <row r="74" spans="1:28">
      <c r="A74" s="9" t="s">
        <v>93</v>
      </c>
      <c r="B74" s="24"/>
      <c r="C74" s="4"/>
      <c r="D74" s="25">
        <f t="shared" si="47"/>
        <v>361</v>
      </c>
      <c r="E74" s="29">
        <f t="shared" si="54"/>
        <v>242</v>
      </c>
      <c r="F74" s="25">
        <f t="shared" si="49"/>
        <v>384</v>
      </c>
      <c r="G74" s="29">
        <f t="shared" si="56"/>
        <v>272</v>
      </c>
      <c r="H74" s="4" t="s">
        <v>0</v>
      </c>
      <c r="I74" s="16" t="str">
        <f t="shared" si="23"/>
        <v>11-06</v>
      </c>
      <c r="J74" s="14">
        <f t="shared" si="24"/>
        <v>361</v>
      </c>
      <c r="K74" s="15">
        <f t="shared" si="25"/>
        <v>242</v>
      </c>
      <c r="L74" s="17">
        <f t="shared" si="26"/>
        <v>384</v>
      </c>
      <c r="M74" s="18">
        <f t="shared" si="27"/>
        <v>242</v>
      </c>
      <c r="N74" s="14">
        <f t="shared" si="28"/>
        <v>384</v>
      </c>
      <c r="O74" s="15">
        <f t="shared" si="29"/>
        <v>272</v>
      </c>
      <c r="P74" s="17">
        <f t="shared" si="30"/>
        <v>361</v>
      </c>
      <c r="Q74" s="18">
        <f t="shared" si="31"/>
        <v>272</v>
      </c>
      <c r="R74" s="4" t="s">
        <v>0</v>
      </c>
      <c r="S74" s="16" t="str">
        <f t="shared" si="32"/>
        <v>11-06</v>
      </c>
      <c r="T74" s="14">
        <f t="shared" si="33"/>
        <v>361</v>
      </c>
      <c r="U74" s="18">
        <f t="shared" si="34"/>
        <v>508</v>
      </c>
      <c r="V74" s="14">
        <f t="shared" si="35"/>
        <v>384</v>
      </c>
      <c r="W74" s="18">
        <f t="shared" si="36"/>
        <v>508</v>
      </c>
      <c r="X74" s="14">
        <f t="shared" si="37"/>
        <v>384</v>
      </c>
      <c r="Y74" s="18">
        <f t="shared" si="38"/>
        <v>478</v>
      </c>
      <c r="Z74" s="14">
        <f t="shared" si="39"/>
        <v>361</v>
      </c>
      <c r="AA74" s="18">
        <f t="shared" si="40"/>
        <v>478</v>
      </c>
      <c r="AB74" s="4" t="s">
        <v>0</v>
      </c>
    </row>
    <row r="75" spans="1:28">
      <c r="A75" s="9" t="s">
        <v>92</v>
      </c>
      <c r="B75" s="24"/>
      <c r="C75" s="4"/>
      <c r="D75" s="25">
        <f t="shared" si="47"/>
        <v>386</v>
      </c>
      <c r="E75" s="29">
        <f t="shared" si="54"/>
        <v>242</v>
      </c>
      <c r="F75" s="25">
        <f t="shared" si="49"/>
        <v>409</v>
      </c>
      <c r="G75" s="29">
        <f t="shared" si="56"/>
        <v>272</v>
      </c>
      <c r="H75" s="4" t="s">
        <v>0</v>
      </c>
      <c r="I75" s="16" t="str">
        <f t="shared" si="23"/>
        <v>11-05</v>
      </c>
      <c r="J75" s="14">
        <f t="shared" si="24"/>
        <v>386</v>
      </c>
      <c r="K75" s="15">
        <f t="shared" si="25"/>
        <v>242</v>
      </c>
      <c r="L75" s="17">
        <f t="shared" si="26"/>
        <v>409</v>
      </c>
      <c r="M75" s="18">
        <f t="shared" si="27"/>
        <v>242</v>
      </c>
      <c r="N75" s="14">
        <f t="shared" si="28"/>
        <v>409</v>
      </c>
      <c r="O75" s="15">
        <f t="shared" si="29"/>
        <v>272</v>
      </c>
      <c r="P75" s="17">
        <f t="shared" si="30"/>
        <v>386</v>
      </c>
      <c r="Q75" s="18">
        <f t="shared" si="31"/>
        <v>272</v>
      </c>
      <c r="R75" s="4" t="s">
        <v>0</v>
      </c>
      <c r="S75" s="16" t="str">
        <f t="shared" si="32"/>
        <v>11-05</v>
      </c>
      <c r="T75" s="14">
        <f t="shared" si="33"/>
        <v>386</v>
      </c>
      <c r="U75" s="18">
        <f t="shared" si="34"/>
        <v>508</v>
      </c>
      <c r="V75" s="14">
        <f t="shared" si="35"/>
        <v>409</v>
      </c>
      <c r="W75" s="18">
        <f t="shared" si="36"/>
        <v>508</v>
      </c>
      <c r="X75" s="14">
        <f t="shared" si="37"/>
        <v>409</v>
      </c>
      <c r="Y75" s="18">
        <f t="shared" si="38"/>
        <v>478</v>
      </c>
      <c r="Z75" s="14">
        <f t="shared" si="39"/>
        <v>386</v>
      </c>
      <c r="AA75" s="18">
        <f t="shared" si="40"/>
        <v>478</v>
      </c>
      <c r="AB75" s="4" t="s">
        <v>0</v>
      </c>
    </row>
    <row r="76" spans="1:28">
      <c r="A76" s="9" t="s">
        <v>91</v>
      </c>
      <c r="B76" s="24"/>
      <c r="C76" s="4"/>
      <c r="D76" s="25">
        <f t="shared" si="47"/>
        <v>410</v>
      </c>
      <c r="E76" s="29">
        <f t="shared" si="54"/>
        <v>242</v>
      </c>
      <c r="F76" s="25">
        <f t="shared" si="49"/>
        <v>433</v>
      </c>
      <c r="G76" s="29">
        <f t="shared" si="56"/>
        <v>272</v>
      </c>
      <c r="H76" s="4" t="s">
        <v>0</v>
      </c>
      <c r="I76" s="16" t="str">
        <f t="shared" ref="I76:I138" si="57">A76</f>
        <v>11-03</v>
      </c>
      <c r="J76" s="14">
        <f t="shared" ref="J76:J138" si="58">IF(D76&lt;&gt;"",D76,0)</f>
        <v>410</v>
      </c>
      <c r="K76" s="15">
        <f t="shared" ref="K76:K138" si="59">IF(E76&lt;&gt;"",E76,0)</f>
        <v>242</v>
      </c>
      <c r="L76" s="17">
        <f t="shared" ref="L76:L138" si="60">N76</f>
        <v>433</v>
      </c>
      <c r="M76" s="18">
        <f t="shared" ref="M76:M138" si="61">K76</f>
        <v>242</v>
      </c>
      <c r="N76" s="14">
        <f t="shared" ref="N76:N138" si="62">IF(F76&lt;&gt;"",F76,0)</f>
        <v>433</v>
      </c>
      <c r="O76" s="15">
        <f t="shared" ref="O76:O138" si="63">IF(G76&lt;&gt;"",G76,0)</f>
        <v>272</v>
      </c>
      <c r="P76" s="17">
        <f t="shared" ref="P76:P138" si="64">J76</f>
        <v>410</v>
      </c>
      <c r="Q76" s="18">
        <f t="shared" ref="Q76:Q138" si="65">O76</f>
        <v>272</v>
      </c>
      <c r="R76" s="4" t="s">
        <v>0</v>
      </c>
      <c r="S76" s="16" t="str">
        <f t="shared" ref="S76:S138" si="66">I76</f>
        <v>11-03</v>
      </c>
      <c r="T76" s="14">
        <f t="shared" ref="T76:T138" si="67">IF(J76&lt;&gt;"",J76,"")</f>
        <v>410</v>
      </c>
      <c r="U76" s="18">
        <f t="shared" ref="U76:U138" si="68">IF(K76&lt;&gt;"",U$6-K76,"")</f>
        <v>508</v>
      </c>
      <c r="V76" s="14">
        <f t="shared" ref="V76:V138" si="69">IF(L76&lt;&gt;"",L76,"")</f>
        <v>433</v>
      </c>
      <c r="W76" s="18">
        <f t="shared" ref="W76:W138" si="70">IF(M76&lt;&gt;"",W$6-M76,"")</f>
        <v>508</v>
      </c>
      <c r="X76" s="14">
        <f t="shared" ref="X76:X138" si="71">IF(N76&lt;&gt;"",N76,"")</f>
        <v>433</v>
      </c>
      <c r="Y76" s="18">
        <f t="shared" ref="Y76:Y138" si="72">IF(O76&lt;&gt;"",Y$6-O76,"")</f>
        <v>478</v>
      </c>
      <c r="Z76" s="14">
        <f t="shared" ref="Z76:Z138" si="73">IF(P76&lt;&gt;"",P76,"")</f>
        <v>410</v>
      </c>
      <c r="AA76" s="18">
        <f t="shared" ref="AA76:AA138" si="74">IF(Q76&lt;&gt;"",AA$6-Q76,"")</f>
        <v>478</v>
      </c>
      <c r="AB76" s="4" t="s">
        <v>0</v>
      </c>
    </row>
    <row r="77" spans="1:28">
      <c r="A77" s="9" t="s">
        <v>90</v>
      </c>
      <c r="B77" s="24"/>
      <c r="C77" s="4"/>
      <c r="D77" s="25">
        <f t="shared" si="47"/>
        <v>434</v>
      </c>
      <c r="E77" s="29">
        <f t="shared" si="54"/>
        <v>242</v>
      </c>
      <c r="F77" s="25">
        <f t="shared" si="49"/>
        <v>457</v>
      </c>
      <c r="G77" s="29">
        <f t="shared" si="56"/>
        <v>272</v>
      </c>
      <c r="H77" s="4" t="s">
        <v>0</v>
      </c>
      <c r="I77" s="16" t="str">
        <f t="shared" si="57"/>
        <v>11-02</v>
      </c>
      <c r="J77" s="14">
        <f t="shared" si="58"/>
        <v>434</v>
      </c>
      <c r="K77" s="15">
        <f t="shared" si="59"/>
        <v>242</v>
      </c>
      <c r="L77" s="17">
        <f t="shared" si="60"/>
        <v>457</v>
      </c>
      <c r="M77" s="18">
        <f t="shared" si="61"/>
        <v>242</v>
      </c>
      <c r="N77" s="14">
        <f t="shared" si="62"/>
        <v>457</v>
      </c>
      <c r="O77" s="15">
        <f t="shared" si="63"/>
        <v>272</v>
      </c>
      <c r="P77" s="17">
        <f t="shared" si="64"/>
        <v>434</v>
      </c>
      <c r="Q77" s="18">
        <f t="shared" si="65"/>
        <v>272</v>
      </c>
      <c r="R77" s="4" t="s">
        <v>0</v>
      </c>
      <c r="S77" s="16" t="str">
        <f t="shared" si="66"/>
        <v>11-02</v>
      </c>
      <c r="T77" s="14">
        <f t="shared" si="67"/>
        <v>434</v>
      </c>
      <c r="U77" s="18">
        <f t="shared" si="68"/>
        <v>508</v>
      </c>
      <c r="V77" s="14">
        <f t="shared" si="69"/>
        <v>457</v>
      </c>
      <c r="W77" s="18">
        <f t="shared" si="70"/>
        <v>508</v>
      </c>
      <c r="X77" s="14">
        <f t="shared" si="71"/>
        <v>457</v>
      </c>
      <c r="Y77" s="18">
        <f t="shared" si="72"/>
        <v>478</v>
      </c>
      <c r="Z77" s="14">
        <f t="shared" si="73"/>
        <v>434</v>
      </c>
      <c r="AA77" s="18">
        <f t="shared" si="74"/>
        <v>478</v>
      </c>
      <c r="AB77" s="4" t="s">
        <v>0</v>
      </c>
    </row>
    <row r="78" spans="1:28">
      <c r="A78" s="9" t="s">
        <v>89</v>
      </c>
      <c r="B78" s="24"/>
      <c r="C78" s="4"/>
      <c r="D78" s="25">
        <f t="shared" si="47"/>
        <v>458</v>
      </c>
      <c r="E78" s="29">
        <f t="shared" si="54"/>
        <v>242</v>
      </c>
      <c r="F78" s="25">
        <f t="shared" si="49"/>
        <v>481</v>
      </c>
      <c r="G78" s="29">
        <f t="shared" si="56"/>
        <v>272</v>
      </c>
      <c r="H78" s="4" t="s">
        <v>0</v>
      </c>
      <c r="I78" s="16" t="str">
        <f t="shared" si="57"/>
        <v>11-01</v>
      </c>
      <c r="J78" s="14">
        <f t="shared" si="58"/>
        <v>458</v>
      </c>
      <c r="K78" s="15">
        <f t="shared" si="59"/>
        <v>242</v>
      </c>
      <c r="L78" s="17">
        <f t="shared" si="60"/>
        <v>481</v>
      </c>
      <c r="M78" s="18">
        <f t="shared" si="61"/>
        <v>242</v>
      </c>
      <c r="N78" s="14">
        <f t="shared" si="62"/>
        <v>481</v>
      </c>
      <c r="O78" s="15">
        <f t="shared" si="63"/>
        <v>272</v>
      </c>
      <c r="P78" s="17">
        <f t="shared" si="64"/>
        <v>458</v>
      </c>
      <c r="Q78" s="18">
        <f t="shared" si="65"/>
        <v>272</v>
      </c>
      <c r="R78" s="4" t="s">
        <v>0</v>
      </c>
      <c r="S78" s="16" t="str">
        <f t="shared" si="66"/>
        <v>11-01</v>
      </c>
      <c r="T78" s="14">
        <f t="shared" si="67"/>
        <v>458</v>
      </c>
      <c r="U78" s="18">
        <f t="shared" si="68"/>
        <v>508</v>
      </c>
      <c r="V78" s="14">
        <f t="shared" si="69"/>
        <v>481</v>
      </c>
      <c r="W78" s="18">
        <f t="shared" si="70"/>
        <v>508</v>
      </c>
      <c r="X78" s="14">
        <f t="shared" si="71"/>
        <v>481</v>
      </c>
      <c r="Y78" s="18">
        <f t="shared" si="72"/>
        <v>478</v>
      </c>
      <c r="Z78" s="14">
        <f t="shared" si="73"/>
        <v>458</v>
      </c>
      <c r="AA78" s="18">
        <f t="shared" si="74"/>
        <v>478</v>
      </c>
      <c r="AB78" s="4" t="s">
        <v>0</v>
      </c>
    </row>
    <row r="79" spans="1:28">
      <c r="A79" s="9" t="s">
        <v>193</v>
      </c>
      <c r="B79" s="24"/>
      <c r="C79" s="4"/>
      <c r="D79" s="27">
        <v>71</v>
      </c>
      <c r="E79" s="31">
        <f t="shared" ref="E79" si="75">ROUND(E62+39.8,0)</f>
        <v>282</v>
      </c>
      <c r="F79" s="31">
        <v>94</v>
      </c>
      <c r="G79" s="31">
        <f t="shared" ref="G79" si="76">ROUND(G62+39.8,0)</f>
        <v>312</v>
      </c>
      <c r="H79" s="4" t="s">
        <v>0</v>
      </c>
      <c r="I79" s="16" t="str">
        <f t="shared" si="57"/>
        <v>10-21</v>
      </c>
      <c r="J79" s="14">
        <f t="shared" si="58"/>
        <v>71</v>
      </c>
      <c r="K79" s="15">
        <f t="shared" si="59"/>
        <v>282</v>
      </c>
      <c r="L79" s="17">
        <f t="shared" si="60"/>
        <v>94</v>
      </c>
      <c r="M79" s="18">
        <f t="shared" si="61"/>
        <v>282</v>
      </c>
      <c r="N79" s="14">
        <f t="shared" si="62"/>
        <v>94</v>
      </c>
      <c r="O79" s="15">
        <f t="shared" si="63"/>
        <v>312</v>
      </c>
      <c r="P79" s="17">
        <f t="shared" si="64"/>
        <v>71</v>
      </c>
      <c r="Q79" s="18">
        <f t="shared" si="65"/>
        <v>312</v>
      </c>
      <c r="R79" s="4" t="s">
        <v>0</v>
      </c>
      <c r="S79" s="16" t="str">
        <f t="shared" si="66"/>
        <v>10-21</v>
      </c>
      <c r="T79" s="14">
        <f t="shared" si="67"/>
        <v>71</v>
      </c>
      <c r="U79" s="18">
        <f t="shared" si="68"/>
        <v>468</v>
      </c>
      <c r="V79" s="14">
        <f t="shared" si="69"/>
        <v>94</v>
      </c>
      <c r="W79" s="18">
        <f t="shared" si="70"/>
        <v>468</v>
      </c>
      <c r="X79" s="14">
        <f t="shared" si="71"/>
        <v>94</v>
      </c>
      <c r="Y79" s="18">
        <f t="shared" si="72"/>
        <v>438</v>
      </c>
      <c r="Z79" s="14">
        <f t="shared" si="73"/>
        <v>71</v>
      </c>
      <c r="AA79" s="18">
        <f t="shared" si="74"/>
        <v>438</v>
      </c>
      <c r="AB79" s="4" t="s">
        <v>0</v>
      </c>
    </row>
    <row r="80" spans="1:28">
      <c r="A80" s="9" t="s">
        <v>192</v>
      </c>
      <c r="B80" s="24"/>
      <c r="C80" s="4"/>
      <c r="D80" s="25">
        <f t="shared" ref="D80" si="77">D63</f>
        <v>95</v>
      </c>
      <c r="E80" s="29">
        <f t="shared" ref="E80:E95" si="78">E79</f>
        <v>282</v>
      </c>
      <c r="F80" s="25">
        <f t="shared" ref="F80" si="79">F63</f>
        <v>118</v>
      </c>
      <c r="G80" s="29">
        <f t="shared" ref="G80:G95" si="80">G79</f>
        <v>312</v>
      </c>
      <c r="H80" s="4" t="s">
        <v>0</v>
      </c>
      <c r="I80" s="16" t="str">
        <f t="shared" si="57"/>
        <v>10-20</v>
      </c>
      <c r="J80" s="14">
        <f t="shared" si="58"/>
        <v>95</v>
      </c>
      <c r="K80" s="15">
        <f t="shared" si="59"/>
        <v>282</v>
      </c>
      <c r="L80" s="17">
        <f t="shared" si="60"/>
        <v>118</v>
      </c>
      <c r="M80" s="18">
        <f t="shared" si="61"/>
        <v>282</v>
      </c>
      <c r="N80" s="14">
        <f t="shared" si="62"/>
        <v>118</v>
      </c>
      <c r="O80" s="15">
        <f t="shared" si="63"/>
        <v>312</v>
      </c>
      <c r="P80" s="17">
        <f t="shared" si="64"/>
        <v>95</v>
      </c>
      <c r="Q80" s="18">
        <f t="shared" si="65"/>
        <v>312</v>
      </c>
      <c r="R80" s="4" t="s">
        <v>0</v>
      </c>
      <c r="S80" s="16" t="str">
        <f t="shared" si="66"/>
        <v>10-20</v>
      </c>
      <c r="T80" s="14">
        <f t="shared" si="67"/>
        <v>95</v>
      </c>
      <c r="U80" s="18">
        <f t="shared" si="68"/>
        <v>468</v>
      </c>
      <c r="V80" s="14">
        <f t="shared" si="69"/>
        <v>118</v>
      </c>
      <c r="W80" s="18">
        <f t="shared" si="70"/>
        <v>468</v>
      </c>
      <c r="X80" s="14">
        <f t="shared" si="71"/>
        <v>118</v>
      </c>
      <c r="Y80" s="18">
        <f t="shared" si="72"/>
        <v>438</v>
      </c>
      <c r="Z80" s="14">
        <f t="shared" si="73"/>
        <v>95</v>
      </c>
      <c r="AA80" s="18">
        <f t="shared" si="74"/>
        <v>438</v>
      </c>
      <c r="AB80" s="4" t="s">
        <v>0</v>
      </c>
    </row>
    <row r="81" spans="1:28">
      <c r="A81" s="9" t="s">
        <v>191</v>
      </c>
      <c r="B81" s="24"/>
      <c r="C81" s="4"/>
      <c r="D81" s="25">
        <f t="shared" si="47"/>
        <v>119</v>
      </c>
      <c r="E81" s="29">
        <f t="shared" si="78"/>
        <v>282</v>
      </c>
      <c r="F81" s="25">
        <f t="shared" si="49"/>
        <v>142</v>
      </c>
      <c r="G81" s="29">
        <f t="shared" si="80"/>
        <v>312</v>
      </c>
      <c r="H81" s="4" t="s">
        <v>0</v>
      </c>
      <c r="I81" s="16" t="str">
        <f t="shared" si="57"/>
        <v>10-18</v>
      </c>
      <c r="J81" s="14">
        <f t="shared" si="58"/>
        <v>119</v>
      </c>
      <c r="K81" s="15">
        <f t="shared" si="59"/>
        <v>282</v>
      </c>
      <c r="L81" s="17">
        <f t="shared" si="60"/>
        <v>142</v>
      </c>
      <c r="M81" s="18">
        <f t="shared" si="61"/>
        <v>282</v>
      </c>
      <c r="N81" s="14">
        <f t="shared" si="62"/>
        <v>142</v>
      </c>
      <c r="O81" s="15">
        <f t="shared" si="63"/>
        <v>312</v>
      </c>
      <c r="P81" s="17">
        <f t="shared" si="64"/>
        <v>119</v>
      </c>
      <c r="Q81" s="18">
        <f t="shared" si="65"/>
        <v>312</v>
      </c>
      <c r="R81" s="4" t="s">
        <v>0</v>
      </c>
      <c r="S81" s="16" t="str">
        <f t="shared" si="66"/>
        <v>10-18</v>
      </c>
      <c r="T81" s="14">
        <f t="shared" si="67"/>
        <v>119</v>
      </c>
      <c r="U81" s="18">
        <f t="shared" si="68"/>
        <v>468</v>
      </c>
      <c r="V81" s="14">
        <f t="shared" si="69"/>
        <v>142</v>
      </c>
      <c r="W81" s="18">
        <f t="shared" si="70"/>
        <v>468</v>
      </c>
      <c r="X81" s="14">
        <f t="shared" si="71"/>
        <v>142</v>
      </c>
      <c r="Y81" s="18">
        <f t="shared" si="72"/>
        <v>438</v>
      </c>
      <c r="Z81" s="14">
        <f t="shared" si="73"/>
        <v>119</v>
      </c>
      <c r="AA81" s="18">
        <f t="shared" si="74"/>
        <v>438</v>
      </c>
      <c r="AB81" s="4" t="s">
        <v>0</v>
      </c>
    </row>
    <row r="82" spans="1:28">
      <c r="A82" s="9" t="s">
        <v>190</v>
      </c>
      <c r="B82" s="24"/>
      <c r="C82" s="4"/>
      <c r="D82" s="25">
        <f t="shared" si="47"/>
        <v>144</v>
      </c>
      <c r="E82" s="29">
        <f t="shared" si="78"/>
        <v>282</v>
      </c>
      <c r="F82" s="25">
        <f t="shared" si="49"/>
        <v>167</v>
      </c>
      <c r="G82" s="29">
        <f t="shared" si="80"/>
        <v>312</v>
      </c>
      <c r="H82" s="4" t="s">
        <v>0</v>
      </c>
      <c r="I82" s="16" t="str">
        <f t="shared" si="57"/>
        <v>10-17</v>
      </c>
      <c r="J82" s="14">
        <f t="shared" si="58"/>
        <v>144</v>
      </c>
      <c r="K82" s="15">
        <f t="shared" si="59"/>
        <v>282</v>
      </c>
      <c r="L82" s="17">
        <f t="shared" si="60"/>
        <v>167</v>
      </c>
      <c r="M82" s="18">
        <f t="shared" si="61"/>
        <v>282</v>
      </c>
      <c r="N82" s="14">
        <f t="shared" si="62"/>
        <v>167</v>
      </c>
      <c r="O82" s="15">
        <f t="shared" si="63"/>
        <v>312</v>
      </c>
      <c r="P82" s="17">
        <f t="shared" si="64"/>
        <v>144</v>
      </c>
      <c r="Q82" s="18">
        <f t="shared" si="65"/>
        <v>312</v>
      </c>
      <c r="R82" s="4" t="s">
        <v>0</v>
      </c>
      <c r="S82" s="16" t="str">
        <f t="shared" si="66"/>
        <v>10-17</v>
      </c>
      <c r="T82" s="14">
        <f t="shared" si="67"/>
        <v>144</v>
      </c>
      <c r="U82" s="18">
        <f t="shared" si="68"/>
        <v>468</v>
      </c>
      <c r="V82" s="14">
        <f t="shared" si="69"/>
        <v>167</v>
      </c>
      <c r="W82" s="18">
        <f t="shared" si="70"/>
        <v>468</v>
      </c>
      <c r="X82" s="14">
        <f t="shared" si="71"/>
        <v>167</v>
      </c>
      <c r="Y82" s="18">
        <f t="shared" si="72"/>
        <v>438</v>
      </c>
      <c r="Z82" s="14">
        <f t="shared" si="73"/>
        <v>144</v>
      </c>
      <c r="AA82" s="18">
        <f t="shared" si="74"/>
        <v>438</v>
      </c>
      <c r="AB82" s="4" t="s">
        <v>0</v>
      </c>
    </row>
    <row r="83" spans="1:28">
      <c r="A83" s="9" t="s">
        <v>189</v>
      </c>
      <c r="B83" s="24"/>
      <c r="C83" s="4"/>
      <c r="D83" s="25">
        <f t="shared" si="47"/>
        <v>168</v>
      </c>
      <c r="E83" s="29">
        <f t="shared" si="78"/>
        <v>282</v>
      </c>
      <c r="F83" s="25">
        <f t="shared" si="49"/>
        <v>191</v>
      </c>
      <c r="G83" s="29">
        <f t="shared" si="80"/>
        <v>312</v>
      </c>
      <c r="H83" s="4" t="s">
        <v>0</v>
      </c>
      <c r="I83" s="16" t="str">
        <f t="shared" si="57"/>
        <v>10-16</v>
      </c>
      <c r="J83" s="14">
        <f t="shared" si="58"/>
        <v>168</v>
      </c>
      <c r="K83" s="15">
        <f t="shared" si="59"/>
        <v>282</v>
      </c>
      <c r="L83" s="17">
        <f t="shared" si="60"/>
        <v>191</v>
      </c>
      <c r="M83" s="18">
        <f t="shared" si="61"/>
        <v>282</v>
      </c>
      <c r="N83" s="14">
        <f t="shared" si="62"/>
        <v>191</v>
      </c>
      <c r="O83" s="15">
        <f t="shared" si="63"/>
        <v>312</v>
      </c>
      <c r="P83" s="17">
        <f t="shared" si="64"/>
        <v>168</v>
      </c>
      <c r="Q83" s="18">
        <f t="shared" si="65"/>
        <v>312</v>
      </c>
      <c r="R83" s="4" t="s">
        <v>0</v>
      </c>
      <c r="S83" s="16" t="str">
        <f t="shared" si="66"/>
        <v>10-16</v>
      </c>
      <c r="T83" s="14">
        <f t="shared" si="67"/>
        <v>168</v>
      </c>
      <c r="U83" s="18">
        <f t="shared" si="68"/>
        <v>468</v>
      </c>
      <c r="V83" s="14">
        <f t="shared" si="69"/>
        <v>191</v>
      </c>
      <c r="W83" s="18">
        <f t="shared" si="70"/>
        <v>468</v>
      </c>
      <c r="X83" s="14">
        <f t="shared" si="71"/>
        <v>191</v>
      </c>
      <c r="Y83" s="18">
        <f t="shared" si="72"/>
        <v>438</v>
      </c>
      <c r="Z83" s="14">
        <f t="shared" si="73"/>
        <v>168</v>
      </c>
      <c r="AA83" s="18">
        <f t="shared" si="74"/>
        <v>438</v>
      </c>
      <c r="AB83" s="4" t="s">
        <v>0</v>
      </c>
    </row>
    <row r="84" spans="1:28">
      <c r="A84" s="9" t="s">
        <v>188</v>
      </c>
      <c r="B84" s="24"/>
      <c r="C84" s="4"/>
      <c r="D84" s="25">
        <f t="shared" si="47"/>
        <v>192</v>
      </c>
      <c r="E84" s="29">
        <f t="shared" si="78"/>
        <v>282</v>
      </c>
      <c r="F84" s="25">
        <f t="shared" si="49"/>
        <v>215</v>
      </c>
      <c r="G84" s="29">
        <f t="shared" si="80"/>
        <v>312</v>
      </c>
      <c r="H84" s="4" t="s">
        <v>0</v>
      </c>
      <c r="I84" s="16" t="str">
        <f t="shared" si="57"/>
        <v>10-15</v>
      </c>
      <c r="J84" s="14">
        <f t="shared" si="58"/>
        <v>192</v>
      </c>
      <c r="K84" s="15">
        <f t="shared" si="59"/>
        <v>282</v>
      </c>
      <c r="L84" s="17">
        <f t="shared" si="60"/>
        <v>215</v>
      </c>
      <c r="M84" s="18">
        <f t="shared" si="61"/>
        <v>282</v>
      </c>
      <c r="N84" s="14">
        <f t="shared" si="62"/>
        <v>215</v>
      </c>
      <c r="O84" s="15">
        <f t="shared" si="63"/>
        <v>312</v>
      </c>
      <c r="P84" s="17">
        <f t="shared" si="64"/>
        <v>192</v>
      </c>
      <c r="Q84" s="18">
        <f t="shared" si="65"/>
        <v>312</v>
      </c>
      <c r="R84" s="4" t="s">
        <v>0</v>
      </c>
      <c r="S84" s="16" t="str">
        <f t="shared" si="66"/>
        <v>10-15</v>
      </c>
      <c r="T84" s="14">
        <f t="shared" si="67"/>
        <v>192</v>
      </c>
      <c r="U84" s="18">
        <f t="shared" si="68"/>
        <v>468</v>
      </c>
      <c r="V84" s="14">
        <f t="shared" si="69"/>
        <v>215</v>
      </c>
      <c r="W84" s="18">
        <f t="shared" si="70"/>
        <v>468</v>
      </c>
      <c r="X84" s="14">
        <f t="shared" si="71"/>
        <v>215</v>
      </c>
      <c r="Y84" s="18">
        <f t="shared" si="72"/>
        <v>438</v>
      </c>
      <c r="Z84" s="14">
        <f t="shared" si="73"/>
        <v>192</v>
      </c>
      <c r="AA84" s="18">
        <f t="shared" si="74"/>
        <v>438</v>
      </c>
      <c r="AB84" s="4" t="s">
        <v>0</v>
      </c>
    </row>
    <row r="85" spans="1:28">
      <c r="A85" s="9" t="s">
        <v>187</v>
      </c>
      <c r="B85" s="24"/>
      <c r="C85" s="4"/>
      <c r="D85" s="25">
        <f t="shared" si="47"/>
        <v>216</v>
      </c>
      <c r="E85" s="29">
        <f t="shared" si="78"/>
        <v>282</v>
      </c>
      <c r="F85" s="25">
        <f t="shared" si="49"/>
        <v>239</v>
      </c>
      <c r="G85" s="29">
        <f t="shared" si="80"/>
        <v>312</v>
      </c>
      <c r="H85" s="4" t="s">
        <v>0</v>
      </c>
      <c r="I85" s="16" t="str">
        <f t="shared" si="57"/>
        <v>10-13</v>
      </c>
      <c r="J85" s="14">
        <f t="shared" si="58"/>
        <v>216</v>
      </c>
      <c r="K85" s="15">
        <f t="shared" si="59"/>
        <v>282</v>
      </c>
      <c r="L85" s="17">
        <f t="shared" si="60"/>
        <v>239</v>
      </c>
      <c r="M85" s="18">
        <f t="shared" si="61"/>
        <v>282</v>
      </c>
      <c r="N85" s="14">
        <f t="shared" si="62"/>
        <v>239</v>
      </c>
      <c r="O85" s="15">
        <f t="shared" si="63"/>
        <v>312</v>
      </c>
      <c r="P85" s="17">
        <f t="shared" si="64"/>
        <v>216</v>
      </c>
      <c r="Q85" s="18">
        <f t="shared" si="65"/>
        <v>312</v>
      </c>
      <c r="R85" s="4" t="s">
        <v>0</v>
      </c>
      <c r="S85" s="16" t="str">
        <f t="shared" si="66"/>
        <v>10-13</v>
      </c>
      <c r="T85" s="14">
        <f t="shared" si="67"/>
        <v>216</v>
      </c>
      <c r="U85" s="18">
        <f t="shared" si="68"/>
        <v>468</v>
      </c>
      <c r="V85" s="14">
        <f t="shared" si="69"/>
        <v>239</v>
      </c>
      <c r="W85" s="18">
        <f t="shared" si="70"/>
        <v>468</v>
      </c>
      <c r="X85" s="14">
        <f t="shared" si="71"/>
        <v>239</v>
      </c>
      <c r="Y85" s="18">
        <f t="shared" si="72"/>
        <v>438</v>
      </c>
      <c r="Z85" s="14">
        <f t="shared" si="73"/>
        <v>216</v>
      </c>
      <c r="AA85" s="18">
        <f t="shared" si="74"/>
        <v>438</v>
      </c>
      <c r="AB85" s="4" t="s">
        <v>0</v>
      </c>
    </row>
    <row r="86" spans="1:28">
      <c r="A86" s="9" t="s">
        <v>88</v>
      </c>
      <c r="B86" s="24"/>
      <c r="C86" s="4"/>
      <c r="D86" s="25">
        <f t="shared" si="47"/>
        <v>240</v>
      </c>
      <c r="E86" s="29">
        <f t="shared" si="78"/>
        <v>282</v>
      </c>
      <c r="F86" s="25">
        <f t="shared" si="49"/>
        <v>263</v>
      </c>
      <c r="G86" s="29">
        <f t="shared" si="80"/>
        <v>312</v>
      </c>
      <c r="H86" s="4" t="s">
        <v>0</v>
      </c>
      <c r="I86" s="16" t="str">
        <f t="shared" si="57"/>
        <v>10-12</v>
      </c>
      <c r="J86" s="14">
        <f t="shared" si="58"/>
        <v>240</v>
      </c>
      <c r="K86" s="15">
        <f t="shared" si="59"/>
        <v>282</v>
      </c>
      <c r="L86" s="17">
        <f t="shared" si="60"/>
        <v>263</v>
      </c>
      <c r="M86" s="18">
        <f t="shared" si="61"/>
        <v>282</v>
      </c>
      <c r="N86" s="14">
        <f t="shared" si="62"/>
        <v>263</v>
      </c>
      <c r="O86" s="15">
        <f t="shared" si="63"/>
        <v>312</v>
      </c>
      <c r="P86" s="17">
        <f t="shared" si="64"/>
        <v>240</v>
      </c>
      <c r="Q86" s="18">
        <f t="shared" si="65"/>
        <v>312</v>
      </c>
      <c r="R86" s="4" t="s">
        <v>0</v>
      </c>
      <c r="S86" s="16" t="str">
        <f t="shared" si="66"/>
        <v>10-12</v>
      </c>
      <c r="T86" s="14">
        <f t="shared" si="67"/>
        <v>240</v>
      </c>
      <c r="U86" s="18">
        <f t="shared" si="68"/>
        <v>468</v>
      </c>
      <c r="V86" s="14">
        <f t="shared" si="69"/>
        <v>263</v>
      </c>
      <c r="W86" s="18">
        <f t="shared" si="70"/>
        <v>468</v>
      </c>
      <c r="X86" s="14">
        <f t="shared" si="71"/>
        <v>263</v>
      </c>
      <c r="Y86" s="18">
        <f t="shared" si="72"/>
        <v>438</v>
      </c>
      <c r="Z86" s="14">
        <f t="shared" si="73"/>
        <v>240</v>
      </c>
      <c r="AA86" s="18">
        <f t="shared" si="74"/>
        <v>438</v>
      </c>
      <c r="AB86" s="4" t="s">
        <v>0</v>
      </c>
    </row>
    <row r="87" spans="1:28">
      <c r="A87" s="9" t="s">
        <v>87</v>
      </c>
      <c r="B87" s="24"/>
      <c r="C87" s="4"/>
      <c r="D87" s="25">
        <f t="shared" si="47"/>
        <v>265</v>
      </c>
      <c r="E87" s="29">
        <f t="shared" si="78"/>
        <v>282</v>
      </c>
      <c r="F87" s="25">
        <f t="shared" si="49"/>
        <v>288</v>
      </c>
      <c r="G87" s="29">
        <f t="shared" si="80"/>
        <v>312</v>
      </c>
      <c r="H87" s="4" t="s">
        <v>0</v>
      </c>
      <c r="I87" s="16" t="str">
        <f t="shared" si="57"/>
        <v>10-11</v>
      </c>
      <c r="J87" s="14">
        <f t="shared" si="58"/>
        <v>265</v>
      </c>
      <c r="K87" s="15">
        <f t="shared" si="59"/>
        <v>282</v>
      </c>
      <c r="L87" s="17">
        <f t="shared" si="60"/>
        <v>288</v>
      </c>
      <c r="M87" s="18">
        <f t="shared" si="61"/>
        <v>282</v>
      </c>
      <c r="N87" s="14">
        <f t="shared" si="62"/>
        <v>288</v>
      </c>
      <c r="O87" s="15">
        <f t="shared" si="63"/>
        <v>312</v>
      </c>
      <c r="P87" s="17">
        <f t="shared" si="64"/>
        <v>265</v>
      </c>
      <c r="Q87" s="18">
        <f t="shared" si="65"/>
        <v>312</v>
      </c>
      <c r="R87" s="4" t="s">
        <v>0</v>
      </c>
      <c r="S87" s="16" t="str">
        <f t="shared" si="66"/>
        <v>10-11</v>
      </c>
      <c r="T87" s="14">
        <f t="shared" si="67"/>
        <v>265</v>
      </c>
      <c r="U87" s="18">
        <f t="shared" si="68"/>
        <v>468</v>
      </c>
      <c r="V87" s="14">
        <f t="shared" si="69"/>
        <v>288</v>
      </c>
      <c r="W87" s="18">
        <f t="shared" si="70"/>
        <v>468</v>
      </c>
      <c r="X87" s="14">
        <f t="shared" si="71"/>
        <v>288</v>
      </c>
      <c r="Y87" s="18">
        <f t="shared" si="72"/>
        <v>438</v>
      </c>
      <c r="Z87" s="14">
        <f t="shared" si="73"/>
        <v>265</v>
      </c>
      <c r="AA87" s="18">
        <f t="shared" si="74"/>
        <v>438</v>
      </c>
      <c r="AB87" s="4" t="s">
        <v>0</v>
      </c>
    </row>
    <row r="88" spans="1:28">
      <c r="A88" s="9" t="s">
        <v>86</v>
      </c>
      <c r="B88" s="24"/>
      <c r="C88" s="4"/>
      <c r="D88" s="25">
        <f t="shared" si="47"/>
        <v>289</v>
      </c>
      <c r="E88" s="29">
        <f t="shared" si="78"/>
        <v>282</v>
      </c>
      <c r="F88" s="25">
        <f t="shared" si="49"/>
        <v>312</v>
      </c>
      <c r="G88" s="29">
        <f t="shared" si="80"/>
        <v>312</v>
      </c>
      <c r="H88" s="4" t="s">
        <v>0</v>
      </c>
      <c r="I88" s="16" t="str">
        <f t="shared" si="57"/>
        <v>10-10</v>
      </c>
      <c r="J88" s="14">
        <f t="shared" si="58"/>
        <v>289</v>
      </c>
      <c r="K88" s="15">
        <f t="shared" si="59"/>
        <v>282</v>
      </c>
      <c r="L88" s="17">
        <f t="shared" si="60"/>
        <v>312</v>
      </c>
      <c r="M88" s="18">
        <f t="shared" si="61"/>
        <v>282</v>
      </c>
      <c r="N88" s="14">
        <f t="shared" si="62"/>
        <v>312</v>
      </c>
      <c r="O88" s="15">
        <f t="shared" si="63"/>
        <v>312</v>
      </c>
      <c r="P88" s="17">
        <f t="shared" si="64"/>
        <v>289</v>
      </c>
      <c r="Q88" s="18">
        <f t="shared" si="65"/>
        <v>312</v>
      </c>
      <c r="R88" s="4" t="s">
        <v>0</v>
      </c>
      <c r="S88" s="16" t="str">
        <f t="shared" si="66"/>
        <v>10-10</v>
      </c>
      <c r="T88" s="14">
        <f t="shared" si="67"/>
        <v>289</v>
      </c>
      <c r="U88" s="18">
        <f t="shared" si="68"/>
        <v>468</v>
      </c>
      <c r="V88" s="14">
        <f t="shared" si="69"/>
        <v>312</v>
      </c>
      <c r="W88" s="18">
        <f t="shared" si="70"/>
        <v>468</v>
      </c>
      <c r="X88" s="14">
        <f t="shared" si="71"/>
        <v>312</v>
      </c>
      <c r="Y88" s="18">
        <f t="shared" si="72"/>
        <v>438</v>
      </c>
      <c r="Z88" s="14">
        <f t="shared" si="73"/>
        <v>289</v>
      </c>
      <c r="AA88" s="18">
        <f t="shared" si="74"/>
        <v>438</v>
      </c>
      <c r="AB88" s="4" t="s">
        <v>0</v>
      </c>
    </row>
    <row r="89" spans="1:28">
      <c r="A89" s="9" t="s">
        <v>85</v>
      </c>
      <c r="B89" s="24"/>
      <c r="C89" s="4"/>
      <c r="D89" s="25">
        <f t="shared" si="47"/>
        <v>313</v>
      </c>
      <c r="E89" s="29">
        <f t="shared" si="78"/>
        <v>282</v>
      </c>
      <c r="F89" s="25">
        <f t="shared" si="49"/>
        <v>336</v>
      </c>
      <c r="G89" s="29">
        <f t="shared" si="80"/>
        <v>312</v>
      </c>
      <c r="H89" s="4" t="s">
        <v>0</v>
      </c>
      <c r="I89" s="16" t="str">
        <f t="shared" si="57"/>
        <v>10-08</v>
      </c>
      <c r="J89" s="14">
        <f t="shared" si="58"/>
        <v>313</v>
      </c>
      <c r="K89" s="15">
        <f t="shared" si="59"/>
        <v>282</v>
      </c>
      <c r="L89" s="17">
        <f t="shared" si="60"/>
        <v>336</v>
      </c>
      <c r="M89" s="18">
        <f t="shared" si="61"/>
        <v>282</v>
      </c>
      <c r="N89" s="14">
        <f t="shared" si="62"/>
        <v>336</v>
      </c>
      <c r="O89" s="15">
        <f t="shared" si="63"/>
        <v>312</v>
      </c>
      <c r="P89" s="17">
        <f t="shared" si="64"/>
        <v>313</v>
      </c>
      <c r="Q89" s="18">
        <f t="shared" si="65"/>
        <v>312</v>
      </c>
      <c r="R89" s="4" t="s">
        <v>0</v>
      </c>
      <c r="S89" s="16" t="str">
        <f t="shared" si="66"/>
        <v>10-08</v>
      </c>
      <c r="T89" s="14">
        <f t="shared" si="67"/>
        <v>313</v>
      </c>
      <c r="U89" s="18">
        <f t="shared" si="68"/>
        <v>468</v>
      </c>
      <c r="V89" s="14">
        <f t="shared" si="69"/>
        <v>336</v>
      </c>
      <c r="W89" s="18">
        <f t="shared" si="70"/>
        <v>468</v>
      </c>
      <c r="X89" s="14">
        <f t="shared" si="71"/>
        <v>336</v>
      </c>
      <c r="Y89" s="18">
        <f t="shared" si="72"/>
        <v>438</v>
      </c>
      <c r="Z89" s="14">
        <f t="shared" si="73"/>
        <v>313</v>
      </c>
      <c r="AA89" s="18">
        <f t="shared" si="74"/>
        <v>438</v>
      </c>
      <c r="AB89" s="4" t="s">
        <v>0</v>
      </c>
    </row>
    <row r="90" spans="1:28">
      <c r="A90" s="9" t="s">
        <v>84</v>
      </c>
      <c r="B90" s="24"/>
      <c r="C90" s="4"/>
      <c r="D90" s="25">
        <f t="shared" si="47"/>
        <v>337</v>
      </c>
      <c r="E90" s="29">
        <f t="shared" si="78"/>
        <v>282</v>
      </c>
      <c r="F90" s="25">
        <f t="shared" si="49"/>
        <v>360</v>
      </c>
      <c r="G90" s="29">
        <f t="shared" si="80"/>
        <v>312</v>
      </c>
      <c r="H90" s="4" t="s">
        <v>0</v>
      </c>
      <c r="I90" s="16" t="str">
        <f t="shared" si="57"/>
        <v>10-07</v>
      </c>
      <c r="J90" s="14">
        <f t="shared" si="58"/>
        <v>337</v>
      </c>
      <c r="K90" s="15">
        <f t="shared" si="59"/>
        <v>282</v>
      </c>
      <c r="L90" s="17">
        <f t="shared" si="60"/>
        <v>360</v>
      </c>
      <c r="M90" s="18">
        <f t="shared" si="61"/>
        <v>282</v>
      </c>
      <c r="N90" s="14">
        <f t="shared" si="62"/>
        <v>360</v>
      </c>
      <c r="O90" s="15">
        <f t="shared" si="63"/>
        <v>312</v>
      </c>
      <c r="P90" s="17">
        <f t="shared" si="64"/>
        <v>337</v>
      </c>
      <c r="Q90" s="18">
        <f t="shared" si="65"/>
        <v>312</v>
      </c>
      <c r="R90" s="4" t="s">
        <v>0</v>
      </c>
      <c r="S90" s="16" t="str">
        <f t="shared" si="66"/>
        <v>10-07</v>
      </c>
      <c r="T90" s="14">
        <f t="shared" si="67"/>
        <v>337</v>
      </c>
      <c r="U90" s="18">
        <f t="shared" si="68"/>
        <v>468</v>
      </c>
      <c r="V90" s="14">
        <f t="shared" si="69"/>
        <v>360</v>
      </c>
      <c r="W90" s="18">
        <f t="shared" si="70"/>
        <v>468</v>
      </c>
      <c r="X90" s="14">
        <f t="shared" si="71"/>
        <v>360</v>
      </c>
      <c r="Y90" s="18">
        <f t="shared" si="72"/>
        <v>438</v>
      </c>
      <c r="Z90" s="14">
        <f t="shared" si="73"/>
        <v>337</v>
      </c>
      <c r="AA90" s="18">
        <f t="shared" si="74"/>
        <v>438</v>
      </c>
      <c r="AB90" s="4" t="s">
        <v>0</v>
      </c>
    </row>
    <row r="91" spans="1:28">
      <c r="A91" s="9" t="s">
        <v>83</v>
      </c>
      <c r="B91" s="24"/>
      <c r="C91" s="4"/>
      <c r="D91" s="25">
        <f t="shared" si="47"/>
        <v>361</v>
      </c>
      <c r="E91" s="29">
        <f t="shared" si="78"/>
        <v>282</v>
      </c>
      <c r="F91" s="25">
        <f t="shared" si="49"/>
        <v>384</v>
      </c>
      <c r="G91" s="29">
        <f t="shared" si="80"/>
        <v>312</v>
      </c>
      <c r="H91" s="4" t="s">
        <v>0</v>
      </c>
      <c r="I91" s="16" t="str">
        <f t="shared" si="57"/>
        <v>10-06</v>
      </c>
      <c r="J91" s="14">
        <f t="shared" si="58"/>
        <v>361</v>
      </c>
      <c r="K91" s="15">
        <f t="shared" si="59"/>
        <v>282</v>
      </c>
      <c r="L91" s="17">
        <f t="shared" si="60"/>
        <v>384</v>
      </c>
      <c r="M91" s="18">
        <f t="shared" si="61"/>
        <v>282</v>
      </c>
      <c r="N91" s="14">
        <f t="shared" si="62"/>
        <v>384</v>
      </c>
      <c r="O91" s="15">
        <f t="shared" si="63"/>
        <v>312</v>
      </c>
      <c r="P91" s="17">
        <f t="shared" si="64"/>
        <v>361</v>
      </c>
      <c r="Q91" s="18">
        <f t="shared" si="65"/>
        <v>312</v>
      </c>
      <c r="R91" s="4" t="s">
        <v>0</v>
      </c>
      <c r="S91" s="16" t="str">
        <f t="shared" si="66"/>
        <v>10-06</v>
      </c>
      <c r="T91" s="14">
        <f t="shared" si="67"/>
        <v>361</v>
      </c>
      <c r="U91" s="18">
        <f t="shared" si="68"/>
        <v>468</v>
      </c>
      <c r="V91" s="14">
        <f t="shared" si="69"/>
        <v>384</v>
      </c>
      <c r="W91" s="18">
        <f t="shared" si="70"/>
        <v>468</v>
      </c>
      <c r="X91" s="14">
        <f t="shared" si="71"/>
        <v>384</v>
      </c>
      <c r="Y91" s="18">
        <f t="shared" si="72"/>
        <v>438</v>
      </c>
      <c r="Z91" s="14">
        <f t="shared" si="73"/>
        <v>361</v>
      </c>
      <c r="AA91" s="18">
        <f t="shared" si="74"/>
        <v>438</v>
      </c>
      <c r="AB91" s="4" t="s">
        <v>0</v>
      </c>
    </row>
    <row r="92" spans="1:28">
      <c r="A92" s="9" t="s">
        <v>82</v>
      </c>
      <c r="B92" s="24"/>
      <c r="C92" s="4"/>
      <c r="D92" s="25">
        <f t="shared" si="47"/>
        <v>386</v>
      </c>
      <c r="E92" s="29">
        <f t="shared" si="78"/>
        <v>282</v>
      </c>
      <c r="F92" s="25">
        <f t="shared" si="49"/>
        <v>409</v>
      </c>
      <c r="G92" s="29">
        <f t="shared" si="80"/>
        <v>312</v>
      </c>
      <c r="H92" s="4" t="s">
        <v>0</v>
      </c>
      <c r="I92" s="16" t="str">
        <f t="shared" si="57"/>
        <v>10-05</v>
      </c>
      <c r="J92" s="14">
        <f t="shared" si="58"/>
        <v>386</v>
      </c>
      <c r="K92" s="15">
        <f t="shared" si="59"/>
        <v>282</v>
      </c>
      <c r="L92" s="17">
        <f t="shared" si="60"/>
        <v>409</v>
      </c>
      <c r="M92" s="18">
        <f t="shared" si="61"/>
        <v>282</v>
      </c>
      <c r="N92" s="14">
        <f t="shared" si="62"/>
        <v>409</v>
      </c>
      <c r="O92" s="15">
        <f t="shared" si="63"/>
        <v>312</v>
      </c>
      <c r="P92" s="17">
        <f t="shared" si="64"/>
        <v>386</v>
      </c>
      <c r="Q92" s="18">
        <f t="shared" si="65"/>
        <v>312</v>
      </c>
      <c r="R92" s="4" t="s">
        <v>0</v>
      </c>
      <c r="S92" s="16" t="str">
        <f t="shared" si="66"/>
        <v>10-05</v>
      </c>
      <c r="T92" s="14">
        <f t="shared" si="67"/>
        <v>386</v>
      </c>
      <c r="U92" s="18">
        <f t="shared" si="68"/>
        <v>468</v>
      </c>
      <c r="V92" s="14">
        <f t="shared" si="69"/>
        <v>409</v>
      </c>
      <c r="W92" s="18">
        <f t="shared" si="70"/>
        <v>468</v>
      </c>
      <c r="X92" s="14">
        <f t="shared" si="71"/>
        <v>409</v>
      </c>
      <c r="Y92" s="18">
        <f t="shared" si="72"/>
        <v>438</v>
      </c>
      <c r="Z92" s="14">
        <f t="shared" si="73"/>
        <v>386</v>
      </c>
      <c r="AA92" s="18">
        <f t="shared" si="74"/>
        <v>438</v>
      </c>
      <c r="AB92" s="4" t="s">
        <v>0</v>
      </c>
    </row>
    <row r="93" spans="1:28">
      <c r="A93" s="9" t="s">
        <v>81</v>
      </c>
      <c r="B93" s="24"/>
      <c r="C93" s="4"/>
      <c r="D93" s="25">
        <f t="shared" si="47"/>
        <v>410</v>
      </c>
      <c r="E93" s="29">
        <f t="shared" si="78"/>
        <v>282</v>
      </c>
      <c r="F93" s="25">
        <f t="shared" si="49"/>
        <v>433</v>
      </c>
      <c r="G93" s="29">
        <f t="shared" si="80"/>
        <v>312</v>
      </c>
      <c r="H93" s="4" t="s">
        <v>0</v>
      </c>
      <c r="I93" s="16" t="str">
        <f t="shared" si="57"/>
        <v>10-03</v>
      </c>
      <c r="J93" s="14">
        <f t="shared" si="58"/>
        <v>410</v>
      </c>
      <c r="K93" s="15">
        <f t="shared" si="59"/>
        <v>282</v>
      </c>
      <c r="L93" s="17">
        <f t="shared" si="60"/>
        <v>433</v>
      </c>
      <c r="M93" s="18">
        <f t="shared" si="61"/>
        <v>282</v>
      </c>
      <c r="N93" s="14">
        <f t="shared" si="62"/>
        <v>433</v>
      </c>
      <c r="O93" s="15">
        <f t="shared" si="63"/>
        <v>312</v>
      </c>
      <c r="P93" s="17">
        <f t="shared" si="64"/>
        <v>410</v>
      </c>
      <c r="Q93" s="18">
        <f t="shared" si="65"/>
        <v>312</v>
      </c>
      <c r="R93" s="4" t="s">
        <v>0</v>
      </c>
      <c r="S93" s="16" t="str">
        <f t="shared" si="66"/>
        <v>10-03</v>
      </c>
      <c r="T93" s="14">
        <f t="shared" si="67"/>
        <v>410</v>
      </c>
      <c r="U93" s="18">
        <f t="shared" si="68"/>
        <v>468</v>
      </c>
      <c r="V93" s="14">
        <f t="shared" si="69"/>
        <v>433</v>
      </c>
      <c r="W93" s="18">
        <f t="shared" si="70"/>
        <v>468</v>
      </c>
      <c r="X93" s="14">
        <f t="shared" si="71"/>
        <v>433</v>
      </c>
      <c r="Y93" s="18">
        <f t="shared" si="72"/>
        <v>438</v>
      </c>
      <c r="Z93" s="14">
        <f t="shared" si="73"/>
        <v>410</v>
      </c>
      <c r="AA93" s="18">
        <f t="shared" si="74"/>
        <v>438</v>
      </c>
      <c r="AB93" s="4" t="s">
        <v>0</v>
      </c>
    </row>
    <row r="94" spans="1:28">
      <c r="A94" s="9" t="s">
        <v>80</v>
      </c>
      <c r="B94" s="24"/>
      <c r="C94" s="4"/>
      <c r="D94" s="25">
        <f t="shared" si="47"/>
        <v>434</v>
      </c>
      <c r="E94" s="29">
        <f t="shared" si="78"/>
        <v>282</v>
      </c>
      <c r="F94" s="25">
        <f t="shared" si="49"/>
        <v>457</v>
      </c>
      <c r="G94" s="29">
        <f t="shared" si="80"/>
        <v>312</v>
      </c>
      <c r="H94" s="4" t="s">
        <v>0</v>
      </c>
      <c r="I94" s="16" t="str">
        <f t="shared" si="57"/>
        <v>10-02</v>
      </c>
      <c r="J94" s="14">
        <f t="shared" si="58"/>
        <v>434</v>
      </c>
      <c r="K94" s="15">
        <f t="shared" si="59"/>
        <v>282</v>
      </c>
      <c r="L94" s="17">
        <f t="shared" si="60"/>
        <v>457</v>
      </c>
      <c r="M94" s="18">
        <f t="shared" si="61"/>
        <v>282</v>
      </c>
      <c r="N94" s="14">
        <f t="shared" si="62"/>
        <v>457</v>
      </c>
      <c r="O94" s="15">
        <f t="shared" si="63"/>
        <v>312</v>
      </c>
      <c r="P94" s="17">
        <f t="shared" si="64"/>
        <v>434</v>
      </c>
      <c r="Q94" s="18">
        <f t="shared" si="65"/>
        <v>312</v>
      </c>
      <c r="R94" s="4" t="s">
        <v>0</v>
      </c>
      <c r="S94" s="16" t="str">
        <f t="shared" si="66"/>
        <v>10-02</v>
      </c>
      <c r="T94" s="14">
        <f t="shared" si="67"/>
        <v>434</v>
      </c>
      <c r="U94" s="18">
        <f t="shared" si="68"/>
        <v>468</v>
      </c>
      <c r="V94" s="14">
        <f t="shared" si="69"/>
        <v>457</v>
      </c>
      <c r="W94" s="18">
        <f t="shared" si="70"/>
        <v>468</v>
      </c>
      <c r="X94" s="14">
        <f t="shared" si="71"/>
        <v>457</v>
      </c>
      <c r="Y94" s="18">
        <f t="shared" si="72"/>
        <v>438</v>
      </c>
      <c r="Z94" s="14">
        <f t="shared" si="73"/>
        <v>434</v>
      </c>
      <c r="AA94" s="18">
        <f t="shared" si="74"/>
        <v>438</v>
      </c>
      <c r="AB94" s="4" t="s">
        <v>0</v>
      </c>
    </row>
    <row r="95" spans="1:28">
      <c r="A95" s="9" t="s">
        <v>79</v>
      </c>
      <c r="B95" s="24"/>
      <c r="C95" s="4"/>
      <c r="D95" s="25">
        <f t="shared" si="47"/>
        <v>458</v>
      </c>
      <c r="E95" s="29">
        <f t="shared" si="78"/>
        <v>282</v>
      </c>
      <c r="F95" s="25">
        <f t="shared" si="49"/>
        <v>481</v>
      </c>
      <c r="G95" s="29">
        <f t="shared" si="80"/>
        <v>312</v>
      </c>
      <c r="H95" s="4" t="s">
        <v>0</v>
      </c>
      <c r="I95" s="16" t="str">
        <f t="shared" si="57"/>
        <v>10-01</v>
      </c>
      <c r="J95" s="14">
        <f t="shared" si="58"/>
        <v>458</v>
      </c>
      <c r="K95" s="15">
        <f t="shared" si="59"/>
        <v>282</v>
      </c>
      <c r="L95" s="17">
        <f t="shared" si="60"/>
        <v>481</v>
      </c>
      <c r="M95" s="18">
        <f t="shared" si="61"/>
        <v>282</v>
      </c>
      <c r="N95" s="14">
        <f t="shared" si="62"/>
        <v>481</v>
      </c>
      <c r="O95" s="15">
        <f t="shared" si="63"/>
        <v>312</v>
      </c>
      <c r="P95" s="17">
        <f t="shared" si="64"/>
        <v>458</v>
      </c>
      <c r="Q95" s="18">
        <f t="shared" si="65"/>
        <v>312</v>
      </c>
      <c r="R95" s="4" t="s">
        <v>0</v>
      </c>
      <c r="S95" s="16" t="str">
        <f t="shared" si="66"/>
        <v>10-01</v>
      </c>
      <c r="T95" s="14">
        <f t="shared" si="67"/>
        <v>458</v>
      </c>
      <c r="U95" s="18">
        <f t="shared" si="68"/>
        <v>468</v>
      </c>
      <c r="V95" s="14">
        <f t="shared" si="69"/>
        <v>481</v>
      </c>
      <c r="W95" s="18">
        <f t="shared" si="70"/>
        <v>468</v>
      </c>
      <c r="X95" s="14">
        <f t="shared" si="71"/>
        <v>481</v>
      </c>
      <c r="Y95" s="18">
        <f t="shared" si="72"/>
        <v>438</v>
      </c>
      <c r="Z95" s="14">
        <f t="shared" si="73"/>
        <v>458</v>
      </c>
      <c r="AA95" s="18">
        <f t="shared" si="74"/>
        <v>438</v>
      </c>
      <c r="AB95" s="4" t="s">
        <v>0</v>
      </c>
    </row>
    <row r="96" spans="1:28">
      <c r="A96" s="9" t="s">
        <v>186</v>
      </c>
      <c r="B96" s="24"/>
      <c r="C96" s="4"/>
      <c r="D96" s="27">
        <v>71</v>
      </c>
      <c r="E96" s="31">
        <f t="shared" ref="E96" si="81">ROUND(E79+39.8,0)</f>
        <v>322</v>
      </c>
      <c r="F96" s="31">
        <v>94</v>
      </c>
      <c r="G96" s="31">
        <f t="shared" ref="G96" si="82">ROUND(G79+39.8,0)</f>
        <v>352</v>
      </c>
      <c r="H96" s="4" t="s">
        <v>0</v>
      </c>
      <c r="I96" s="16" t="str">
        <f t="shared" si="57"/>
        <v>08-21</v>
      </c>
      <c r="J96" s="14">
        <f t="shared" si="58"/>
        <v>71</v>
      </c>
      <c r="K96" s="15">
        <f t="shared" si="59"/>
        <v>322</v>
      </c>
      <c r="L96" s="17">
        <f t="shared" si="60"/>
        <v>94</v>
      </c>
      <c r="M96" s="18">
        <f t="shared" si="61"/>
        <v>322</v>
      </c>
      <c r="N96" s="14">
        <f t="shared" si="62"/>
        <v>94</v>
      </c>
      <c r="O96" s="15">
        <f t="shared" si="63"/>
        <v>352</v>
      </c>
      <c r="P96" s="17">
        <f t="shared" si="64"/>
        <v>71</v>
      </c>
      <c r="Q96" s="18">
        <f t="shared" si="65"/>
        <v>352</v>
      </c>
      <c r="R96" s="4" t="s">
        <v>0</v>
      </c>
      <c r="S96" s="16" t="str">
        <f t="shared" si="66"/>
        <v>08-21</v>
      </c>
      <c r="T96" s="14">
        <f t="shared" si="67"/>
        <v>71</v>
      </c>
      <c r="U96" s="18">
        <f t="shared" si="68"/>
        <v>428</v>
      </c>
      <c r="V96" s="14">
        <f t="shared" si="69"/>
        <v>94</v>
      </c>
      <c r="W96" s="18">
        <f t="shared" si="70"/>
        <v>428</v>
      </c>
      <c r="X96" s="14">
        <f t="shared" si="71"/>
        <v>94</v>
      </c>
      <c r="Y96" s="18">
        <f t="shared" si="72"/>
        <v>398</v>
      </c>
      <c r="Z96" s="14">
        <f t="shared" si="73"/>
        <v>71</v>
      </c>
      <c r="AA96" s="18">
        <f t="shared" si="74"/>
        <v>398</v>
      </c>
      <c r="AB96" s="4" t="s">
        <v>0</v>
      </c>
    </row>
    <row r="97" spans="1:28">
      <c r="A97" s="9" t="s">
        <v>185</v>
      </c>
      <c r="B97" s="24"/>
      <c r="C97" s="4"/>
      <c r="D97" s="25">
        <f t="shared" ref="D97" si="83">D80</f>
        <v>95</v>
      </c>
      <c r="E97" s="29">
        <f t="shared" ref="E97:E112" si="84">E96</f>
        <v>322</v>
      </c>
      <c r="F97" s="25">
        <f t="shared" ref="F97" si="85">F80</f>
        <v>118</v>
      </c>
      <c r="G97" s="29">
        <f t="shared" ref="G97:G112" si="86">G96</f>
        <v>352</v>
      </c>
      <c r="H97" s="4" t="s">
        <v>0</v>
      </c>
      <c r="I97" s="16" t="str">
        <f t="shared" si="57"/>
        <v>08-20</v>
      </c>
      <c r="J97" s="14">
        <f t="shared" si="58"/>
        <v>95</v>
      </c>
      <c r="K97" s="15">
        <f t="shared" si="59"/>
        <v>322</v>
      </c>
      <c r="L97" s="17">
        <f t="shared" si="60"/>
        <v>118</v>
      </c>
      <c r="M97" s="18">
        <f t="shared" si="61"/>
        <v>322</v>
      </c>
      <c r="N97" s="14">
        <f t="shared" si="62"/>
        <v>118</v>
      </c>
      <c r="O97" s="15">
        <f t="shared" si="63"/>
        <v>352</v>
      </c>
      <c r="P97" s="17">
        <f t="shared" si="64"/>
        <v>95</v>
      </c>
      <c r="Q97" s="18">
        <f t="shared" si="65"/>
        <v>352</v>
      </c>
      <c r="R97" s="4" t="s">
        <v>0</v>
      </c>
      <c r="S97" s="16" t="str">
        <f t="shared" si="66"/>
        <v>08-20</v>
      </c>
      <c r="T97" s="14">
        <f t="shared" si="67"/>
        <v>95</v>
      </c>
      <c r="U97" s="18">
        <f t="shared" si="68"/>
        <v>428</v>
      </c>
      <c r="V97" s="14">
        <f t="shared" si="69"/>
        <v>118</v>
      </c>
      <c r="W97" s="18">
        <f t="shared" si="70"/>
        <v>428</v>
      </c>
      <c r="X97" s="14">
        <f t="shared" si="71"/>
        <v>118</v>
      </c>
      <c r="Y97" s="18">
        <f t="shared" si="72"/>
        <v>398</v>
      </c>
      <c r="Z97" s="14">
        <f t="shared" si="73"/>
        <v>95</v>
      </c>
      <c r="AA97" s="18">
        <f t="shared" si="74"/>
        <v>398</v>
      </c>
      <c r="AB97" s="4" t="s">
        <v>0</v>
      </c>
    </row>
    <row r="98" spans="1:28">
      <c r="A98" s="9" t="s">
        <v>184</v>
      </c>
      <c r="B98" s="24"/>
      <c r="C98" s="4"/>
      <c r="D98" s="25">
        <f t="shared" si="47"/>
        <v>119</v>
      </c>
      <c r="E98" s="29">
        <f t="shared" si="84"/>
        <v>322</v>
      </c>
      <c r="F98" s="25">
        <f t="shared" si="49"/>
        <v>142</v>
      </c>
      <c r="G98" s="29">
        <f t="shared" si="86"/>
        <v>352</v>
      </c>
      <c r="H98" s="4" t="s">
        <v>0</v>
      </c>
      <c r="I98" s="16" t="str">
        <f t="shared" si="57"/>
        <v>08-18</v>
      </c>
      <c r="J98" s="14">
        <f t="shared" si="58"/>
        <v>119</v>
      </c>
      <c r="K98" s="15">
        <f t="shared" si="59"/>
        <v>322</v>
      </c>
      <c r="L98" s="17">
        <f t="shared" si="60"/>
        <v>142</v>
      </c>
      <c r="M98" s="18">
        <f t="shared" si="61"/>
        <v>322</v>
      </c>
      <c r="N98" s="14">
        <f t="shared" si="62"/>
        <v>142</v>
      </c>
      <c r="O98" s="15">
        <f t="shared" si="63"/>
        <v>352</v>
      </c>
      <c r="P98" s="17">
        <f t="shared" si="64"/>
        <v>119</v>
      </c>
      <c r="Q98" s="18">
        <f t="shared" si="65"/>
        <v>352</v>
      </c>
      <c r="R98" s="4" t="s">
        <v>0</v>
      </c>
      <c r="S98" s="16" t="str">
        <f t="shared" si="66"/>
        <v>08-18</v>
      </c>
      <c r="T98" s="14">
        <f t="shared" si="67"/>
        <v>119</v>
      </c>
      <c r="U98" s="18">
        <f t="shared" si="68"/>
        <v>428</v>
      </c>
      <c r="V98" s="14">
        <f t="shared" si="69"/>
        <v>142</v>
      </c>
      <c r="W98" s="18">
        <f t="shared" si="70"/>
        <v>428</v>
      </c>
      <c r="X98" s="14">
        <f t="shared" si="71"/>
        <v>142</v>
      </c>
      <c r="Y98" s="18">
        <f t="shared" si="72"/>
        <v>398</v>
      </c>
      <c r="Z98" s="14">
        <f t="shared" si="73"/>
        <v>119</v>
      </c>
      <c r="AA98" s="18">
        <f t="shared" si="74"/>
        <v>398</v>
      </c>
      <c r="AB98" s="4" t="s">
        <v>0</v>
      </c>
    </row>
    <row r="99" spans="1:28">
      <c r="A99" s="9" t="s">
        <v>183</v>
      </c>
      <c r="B99" s="24"/>
      <c r="C99" s="4"/>
      <c r="D99" s="25">
        <f t="shared" si="47"/>
        <v>144</v>
      </c>
      <c r="E99" s="29">
        <f t="shared" si="84"/>
        <v>322</v>
      </c>
      <c r="F99" s="25">
        <f t="shared" si="49"/>
        <v>167</v>
      </c>
      <c r="G99" s="29">
        <f t="shared" si="86"/>
        <v>352</v>
      </c>
      <c r="H99" s="4" t="s">
        <v>0</v>
      </c>
      <c r="I99" s="16" t="str">
        <f t="shared" si="57"/>
        <v>08-17</v>
      </c>
      <c r="J99" s="14">
        <f t="shared" si="58"/>
        <v>144</v>
      </c>
      <c r="K99" s="15">
        <f t="shared" si="59"/>
        <v>322</v>
      </c>
      <c r="L99" s="17">
        <f t="shared" si="60"/>
        <v>167</v>
      </c>
      <c r="M99" s="18">
        <f t="shared" si="61"/>
        <v>322</v>
      </c>
      <c r="N99" s="14">
        <f t="shared" si="62"/>
        <v>167</v>
      </c>
      <c r="O99" s="15">
        <f t="shared" si="63"/>
        <v>352</v>
      </c>
      <c r="P99" s="17">
        <f t="shared" si="64"/>
        <v>144</v>
      </c>
      <c r="Q99" s="18">
        <f t="shared" si="65"/>
        <v>352</v>
      </c>
      <c r="R99" s="4" t="s">
        <v>0</v>
      </c>
      <c r="S99" s="16" t="str">
        <f t="shared" si="66"/>
        <v>08-17</v>
      </c>
      <c r="T99" s="14">
        <f t="shared" si="67"/>
        <v>144</v>
      </c>
      <c r="U99" s="18">
        <f t="shared" si="68"/>
        <v>428</v>
      </c>
      <c r="V99" s="14">
        <f t="shared" si="69"/>
        <v>167</v>
      </c>
      <c r="W99" s="18">
        <f t="shared" si="70"/>
        <v>428</v>
      </c>
      <c r="X99" s="14">
        <f t="shared" si="71"/>
        <v>167</v>
      </c>
      <c r="Y99" s="18">
        <f t="shared" si="72"/>
        <v>398</v>
      </c>
      <c r="Z99" s="14">
        <f t="shared" si="73"/>
        <v>144</v>
      </c>
      <c r="AA99" s="18">
        <f t="shared" si="74"/>
        <v>398</v>
      </c>
      <c r="AB99" s="4" t="s">
        <v>0</v>
      </c>
    </row>
    <row r="100" spans="1:28">
      <c r="A100" s="9" t="s">
        <v>182</v>
      </c>
      <c r="B100" s="24"/>
      <c r="C100" s="4"/>
      <c r="D100" s="25">
        <f t="shared" si="47"/>
        <v>168</v>
      </c>
      <c r="E100" s="29">
        <f t="shared" si="84"/>
        <v>322</v>
      </c>
      <c r="F100" s="25">
        <f t="shared" si="49"/>
        <v>191</v>
      </c>
      <c r="G100" s="29">
        <f t="shared" si="86"/>
        <v>352</v>
      </c>
      <c r="H100" s="4" t="s">
        <v>0</v>
      </c>
      <c r="I100" s="16" t="str">
        <f t="shared" si="57"/>
        <v>08-16</v>
      </c>
      <c r="J100" s="14">
        <f t="shared" si="58"/>
        <v>168</v>
      </c>
      <c r="K100" s="15">
        <f t="shared" si="59"/>
        <v>322</v>
      </c>
      <c r="L100" s="17">
        <f t="shared" si="60"/>
        <v>191</v>
      </c>
      <c r="M100" s="18">
        <f t="shared" si="61"/>
        <v>322</v>
      </c>
      <c r="N100" s="14">
        <f t="shared" si="62"/>
        <v>191</v>
      </c>
      <c r="O100" s="15">
        <f t="shared" si="63"/>
        <v>352</v>
      </c>
      <c r="P100" s="17">
        <f t="shared" si="64"/>
        <v>168</v>
      </c>
      <c r="Q100" s="18">
        <f t="shared" si="65"/>
        <v>352</v>
      </c>
      <c r="R100" s="4" t="s">
        <v>0</v>
      </c>
      <c r="S100" s="16" t="str">
        <f t="shared" si="66"/>
        <v>08-16</v>
      </c>
      <c r="T100" s="14">
        <f t="shared" si="67"/>
        <v>168</v>
      </c>
      <c r="U100" s="18">
        <f t="shared" si="68"/>
        <v>428</v>
      </c>
      <c r="V100" s="14">
        <f t="shared" si="69"/>
        <v>191</v>
      </c>
      <c r="W100" s="18">
        <f t="shared" si="70"/>
        <v>428</v>
      </c>
      <c r="X100" s="14">
        <f t="shared" si="71"/>
        <v>191</v>
      </c>
      <c r="Y100" s="18">
        <f t="shared" si="72"/>
        <v>398</v>
      </c>
      <c r="Z100" s="14">
        <f t="shared" si="73"/>
        <v>168</v>
      </c>
      <c r="AA100" s="18">
        <f t="shared" si="74"/>
        <v>398</v>
      </c>
      <c r="AB100" s="4" t="s">
        <v>0</v>
      </c>
    </row>
    <row r="101" spans="1:28">
      <c r="A101" s="9" t="s">
        <v>181</v>
      </c>
      <c r="B101" s="24"/>
      <c r="C101" s="4"/>
      <c r="D101" s="25">
        <f t="shared" si="47"/>
        <v>192</v>
      </c>
      <c r="E101" s="29">
        <f t="shared" si="84"/>
        <v>322</v>
      </c>
      <c r="F101" s="25">
        <f t="shared" si="49"/>
        <v>215</v>
      </c>
      <c r="G101" s="29">
        <f t="shared" si="86"/>
        <v>352</v>
      </c>
      <c r="H101" s="4" t="s">
        <v>0</v>
      </c>
      <c r="I101" s="16" t="str">
        <f t="shared" si="57"/>
        <v>08-15</v>
      </c>
      <c r="J101" s="14">
        <f t="shared" si="58"/>
        <v>192</v>
      </c>
      <c r="K101" s="15">
        <f t="shared" si="59"/>
        <v>322</v>
      </c>
      <c r="L101" s="17">
        <f t="shared" si="60"/>
        <v>215</v>
      </c>
      <c r="M101" s="18">
        <f t="shared" si="61"/>
        <v>322</v>
      </c>
      <c r="N101" s="14">
        <f t="shared" si="62"/>
        <v>215</v>
      </c>
      <c r="O101" s="15">
        <f t="shared" si="63"/>
        <v>352</v>
      </c>
      <c r="P101" s="17">
        <f t="shared" si="64"/>
        <v>192</v>
      </c>
      <c r="Q101" s="18">
        <f t="shared" si="65"/>
        <v>352</v>
      </c>
      <c r="R101" s="4" t="s">
        <v>0</v>
      </c>
      <c r="S101" s="16" t="str">
        <f t="shared" si="66"/>
        <v>08-15</v>
      </c>
      <c r="T101" s="14">
        <f t="shared" si="67"/>
        <v>192</v>
      </c>
      <c r="U101" s="18">
        <f t="shared" si="68"/>
        <v>428</v>
      </c>
      <c r="V101" s="14">
        <f t="shared" si="69"/>
        <v>215</v>
      </c>
      <c r="W101" s="18">
        <f t="shared" si="70"/>
        <v>428</v>
      </c>
      <c r="X101" s="14">
        <f t="shared" si="71"/>
        <v>215</v>
      </c>
      <c r="Y101" s="18">
        <f t="shared" si="72"/>
        <v>398</v>
      </c>
      <c r="Z101" s="14">
        <f t="shared" si="73"/>
        <v>192</v>
      </c>
      <c r="AA101" s="18">
        <f t="shared" si="74"/>
        <v>398</v>
      </c>
      <c r="AB101" s="4" t="s">
        <v>0</v>
      </c>
    </row>
    <row r="102" spans="1:28">
      <c r="A102" s="9" t="s">
        <v>180</v>
      </c>
      <c r="B102" s="24"/>
      <c r="C102" s="4"/>
      <c r="D102" s="25">
        <f t="shared" si="47"/>
        <v>216</v>
      </c>
      <c r="E102" s="29">
        <f t="shared" si="84"/>
        <v>322</v>
      </c>
      <c r="F102" s="25">
        <f t="shared" si="49"/>
        <v>239</v>
      </c>
      <c r="G102" s="29">
        <f t="shared" si="86"/>
        <v>352</v>
      </c>
      <c r="H102" s="4" t="s">
        <v>0</v>
      </c>
      <c r="I102" s="16" t="str">
        <f t="shared" si="57"/>
        <v>08-13</v>
      </c>
      <c r="J102" s="14">
        <f t="shared" si="58"/>
        <v>216</v>
      </c>
      <c r="K102" s="15">
        <f t="shared" si="59"/>
        <v>322</v>
      </c>
      <c r="L102" s="17">
        <f t="shared" si="60"/>
        <v>239</v>
      </c>
      <c r="M102" s="18">
        <f t="shared" si="61"/>
        <v>322</v>
      </c>
      <c r="N102" s="14">
        <f t="shared" si="62"/>
        <v>239</v>
      </c>
      <c r="O102" s="15">
        <f t="shared" si="63"/>
        <v>352</v>
      </c>
      <c r="P102" s="17">
        <f t="shared" si="64"/>
        <v>216</v>
      </c>
      <c r="Q102" s="18">
        <f t="shared" si="65"/>
        <v>352</v>
      </c>
      <c r="R102" s="4" t="s">
        <v>0</v>
      </c>
      <c r="S102" s="16" t="str">
        <f t="shared" si="66"/>
        <v>08-13</v>
      </c>
      <c r="T102" s="14">
        <f t="shared" si="67"/>
        <v>216</v>
      </c>
      <c r="U102" s="18">
        <f t="shared" si="68"/>
        <v>428</v>
      </c>
      <c r="V102" s="14">
        <f t="shared" si="69"/>
        <v>239</v>
      </c>
      <c r="W102" s="18">
        <f t="shared" si="70"/>
        <v>428</v>
      </c>
      <c r="X102" s="14">
        <f t="shared" si="71"/>
        <v>239</v>
      </c>
      <c r="Y102" s="18">
        <f t="shared" si="72"/>
        <v>398</v>
      </c>
      <c r="Z102" s="14">
        <f t="shared" si="73"/>
        <v>216</v>
      </c>
      <c r="AA102" s="18">
        <f t="shared" si="74"/>
        <v>398</v>
      </c>
      <c r="AB102" s="4" t="s">
        <v>0</v>
      </c>
    </row>
    <row r="103" spans="1:28">
      <c r="A103" s="9" t="s">
        <v>78</v>
      </c>
      <c r="B103" s="24"/>
      <c r="C103" s="4"/>
      <c r="D103" s="25">
        <f t="shared" si="47"/>
        <v>240</v>
      </c>
      <c r="E103" s="29">
        <f t="shared" si="84"/>
        <v>322</v>
      </c>
      <c r="F103" s="25">
        <f t="shared" si="49"/>
        <v>263</v>
      </c>
      <c r="G103" s="29">
        <f t="shared" si="86"/>
        <v>352</v>
      </c>
      <c r="H103" s="4" t="s">
        <v>0</v>
      </c>
      <c r="I103" s="16" t="str">
        <f t="shared" si="57"/>
        <v>08-12</v>
      </c>
      <c r="J103" s="14">
        <f t="shared" si="58"/>
        <v>240</v>
      </c>
      <c r="K103" s="15">
        <f t="shared" si="59"/>
        <v>322</v>
      </c>
      <c r="L103" s="17">
        <f t="shared" si="60"/>
        <v>263</v>
      </c>
      <c r="M103" s="18">
        <f t="shared" si="61"/>
        <v>322</v>
      </c>
      <c r="N103" s="14">
        <f t="shared" si="62"/>
        <v>263</v>
      </c>
      <c r="O103" s="15">
        <f t="shared" si="63"/>
        <v>352</v>
      </c>
      <c r="P103" s="17">
        <f t="shared" si="64"/>
        <v>240</v>
      </c>
      <c r="Q103" s="18">
        <f t="shared" si="65"/>
        <v>352</v>
      </c>
      <c r="R103" s="4" t="s">
        <v>0</v>
      </c>
      <c r="S103" s="16" t="str">
        <f t="shared" si="66"/>
        <v>08-12</v>
      </c>
      <c r="T103" s="14">
        <f t="shared" si="67"/>
        <v>240</v>
      </c>
      <c r="U103" s="18">
        <f t="shared" si="68"/>
        <v>428</v>
      </c>
      <c r="V103" s="14">
        <f t="shared" si="69"/>
        <v>263</v>
      </c>
      <c r="W103" s="18">
        <f t="shared" si="70"/>
        <v>428</v>
      </c>
      <c r="X103" s="14">
        <f t="shared" si="71"/>
        <v>263</v>
      </c>
      <c r="Y103" s="18">
        <f t="shared" si="72"/>
        <v>398</v>
      </c>
      <c r="Z103" s="14">
        <f t="shared" si="73"/>
        <v>240</v>
      </c>
      <c r="AA103" s="18">
        <f t="shared" si="74"/>
        <v>398</v>
      </c>
      <c r="AB103" s="4" t="s">
        <v>0</v>
      </c>
    </row>
    <row r="104" spans="1:28">
      <c r="A104" s="9" t="s">
        <v>77</v>
      </c>
      <c r="B104" s="24"/>
      <c r="C104" s="4"/>
      <c r="D104" s="25">
        <f t="shared" si="47"/>
        <v>265</v>
      </c>
      <c r="E104" s="29">
        <f t="shared" si="84"/>
        <v>322</v>
      </c>
      <c r="F104" s="25">
        <f t="shared" si="49"/>
        <v>288</v>
      </c>
      <c r="G104" s="29">
        <f t="shared" si="86"/>
        <v>352</v>
      </c>
      <c r="H104" s="4" t="s">
        <v>0</v>
      </c>
      <c r="I104" s="16" t="str">
        <f t="shared" si="57"/>
        <v>08-11</v>
      </c>
      <c r="J104" s="14">
        <f t="shared" si="58"/>
        <v>265</v>
      </c>
      <c r="K104" s="15">
        <f t="shared" si="59"/>
        <v>322</v>
      </c>
      <c r="L104" s="17">
        <f t="shared" si="60"/>
        <v>288</v>
      </c>
      <c r="M104" s="18">
        <f t="shared" si="61"/>
        <v>322</v>
      </c>
      <c r="N104" s="14">
        <f t="shared" si="62"/>
        <v>288</v>
      </c>
      <c r="O104" s="15">
        <f t="shared" si="63"/>
        <v>352</v>
      </c>
      <c r="P104" s="17">
        <f t="shared" si="64"/>
        <v>265</v>
      </c>
      <c r="Q104" s="18">
        <f t="shared" si="65"/>
        <v>352</v>
      </c>
      <c r="R104" s="4" t="s">
        <v>0</v>
      </c>
      <c r="S104" s="16" t="str">
        <f t="shared" si="66"/>
        <v>08-11</v>
      </c>
      <c r="T104" s="14">
        <f t="shared" si="67"/>
        <v>265</v>
      </c>
      <c r="U104" s="18">
        <f t="shared" si="68"/>
        <v>428</v>
      </c>
      <c r="V104" s="14">
        <f t="shared" si="69"/>
        <v>288</v>
      </c>
      <c r="W104" s="18">
        <f t="shared" si="70"/>
        <v>428</v>
      </c>
      <c r="X104" s="14">
        <f t="shared" si="71"/>
        <v>288</v>
      </c>
      <c r="Y104" s="18">
        <f t="shared" si="72"/>
        <v>398</v>
      </c>
      <c r="Z104" s="14">
        <f t="shared" si="73"/>
        <v>265</v>
      </c>
      <c r="AA104" s="18">
        <f t="shared" si="74"/>
        <v>398</v>
      </c>
      <c r="AB104" s="4" t="s">
        <v>0</v>
      </c>
    </row>
    <row r="105" spans="1:28">
      <c r="A105" s="9" t="s">
        <v>76</v>
      </c>
      <c r="B105" s="24"/>
      <c r="C105" s="4"/>
      <c r="D105" s="25">
        <f t="shared" si="47"/>
        <v>289</v>
      </c>
      <c r="E105" s="29">
        <f t="shared" si="84"/>
        <v>322</v>
      </c>
      <c r="F105" s="25">
        <f t="shared" si="49"/>
        <v>312</v>
      </c>
      <c r="G105" s="29">
        <f t="shared" si="86"/>
        <v>352</v>
      </c>
      <c r="H105" s="4" t="s">
        <v>0</v>
      </c>
      <c r="I105" s="16" t="str">
        <f t="shared" si="57"/>
        <v>08-10</v>
      </c>
      <c r="J105" s="14">
        <f t="shared" si="58"/>
        <v>289</v>
      </c>
      <c r="K105" s="15">
        <f t="shared" si="59"/>
        <v>322</v>
      </c>
      <c r="L105" s="17">
        <f t="shared" si="60"/>
        <v>312</v>
      </c>
      <c r="M105" s="18">
        <f t="shared" si="61"/>
        <v>322</v>
      </c>
      <c r="N105" s="14">
        <f t="shared" si="62"/>
        <v>312</v>
      </c>
      <c r="O105" s="15">
        <f t="shared" si="63"/>
        <v>352</v>
      </c>
      <c r="P105" s="17">
        <f t="shared" si="64"/>
        <v>289</v>
      </c>
      <c r="Q105" s="18">
        <f t="shared" si="65"/>
        <v>352</v>
      </c>
      <c r="R105" s="4" t="s">
        <v>0</v>
      </c>
      <c r="S105" s="16" t="str">
        <f t="shared" si="66"/>
        <v>08-10</v>
      </c>
      <c r="T105" s="14">
        <f t="shared" si="67"/>
        <v>289</v>
      </c>
      <c r="U105" s="18">
        <f t="shared" si="68"/>
        <v>428</v>
      </c>
      <c r="V105" s="14">
        <f t="shared" si="69"/>
        <v>312</v>
      </c>
      <c r="W105" s="18">
        <f t="shared" si="70"/>
        <v>428</v>
      </c>
      <c r="X105" s="14">
        <f t="shared" si="71"/>
        <v>312</v>
      </c>
      <c r="Y105" s="18">
        <f t="shared" si="72"/>
        <v>398</v>
      </c>
      <c r="Z105" s="14">
        <f t="shared" si="73"/>
        <v>289</v>
      </c>
      <c r="AA105" s="18">
        <f t="shared" si="74"/>
        <v>398</v>
      </c>
      <c r="AB105" s="4" t="s">
        <v>0</v>
      </c>
    </row>
    <row r="106" spans="1:28">
      <c r="A106" s="9" t="s">
        <v>75</v>
      </c>
      <c r="B106" s="24"/>
      <c r="C106" s="4"/>
      <c r="D106" s="25">
        <f t="shared" si="47"/>
        <v>313</v>
      </c>
      <c r="E106" s="29">
        <f t="shared" si="84"/>
        <v>322</v>
      </c>
      <c r="F106" s="25">
        <f t="shared" si="49"/>
        <v>336</v>
      </c>
      <c r="G106" s="29">
        <f t="shared" si="86"/>
        <v>352</v>
      </c>
      <c r="H106" s="4" t="s">
        <v>0</v>
      </c>
      <c r="I106" s="16" t="str">
        <f t="shared" si="57"/>
        <v>08-08</v>
      </c>
      <c r="J106" s="14">
        <f t="shared" si="58"/>
        <v>313</v>
      </c>
      <c r="K106" s="15">
        <f t="shared" si="59"/>
        <v>322</v>
      </c>
      <c r="L106" s="17">
        <f t="shared" si="60"/>
        <v>336</v>
      </c>
      <c r="M106" s="18">
        <f t="shared" si="61"/>
        <v>322</v>
      </c>
      <c r="N106" s="14">
        <f t="shared" si="62"/>
        <v>336</v>
      </c>
      <c r="O106" s="15">
        <f t="shared" si="63"/>
        <v>352</v>
      </c>
      <c r="P106" s="17">
        <f t="shared" si="64"/>
        <v>313</v>
      </c>
      <c r="Q106" s="18">
        <f t="shared" si="65"/>
        <v>352</v>
      </c>
      <c r="R106" s="4" t="s">
        <v>0</v>
      </c>
      <c r="S106" s="16" t="str">
        <f t="shared" si="66"/>
        <v>08-08</v>
      </c>
      <c r="T106" s="14">
        <f t="shared" si="67"/>
        <v>313</v>
      </c>
      <c r="U106" s="18">
        <f t="shared" si="68"/>
        <v>428</v>
      </c>
      <c r="V106" s="14">
        <f t="shared" si="69"/>
        <v>336</v>
      </c>
      <c r="W106" s="18">
        <f t="shared" si="70"/>
        <v>428</v>
      </c>
      <c r="X106" s="14">
        <f t="shared" si="71"/>
        <v>336</v>
      </c>
      <c r="Y106" s="18">
        <f t="shared" si="72"/>
        <v>398</v>
      </c>
      <c r="Z106" s="14">
        <f t="shared" si="73"/>
        <v>313</v>
      </c>
      <c r="AA106" s="18">
        <f t="shared" si="74"/>
        <v>398</v>
      </c>
      <c r="AB106" s="4" t="s">
        <v>0</v>
      </c>
    </row>
    <row r="107" spans="1:28">
      <c r="A107" s="9" t="s">
        <v>74</v>
      </c>
      <c r="B107" s="24"/>
      <c r="C107" s="4"/>
      <c r="D107" s="25">
        <f t="shared" si="47"/>
        <v>337</v>
      </c>
      <c r="E107" s="29">
        <f t="shared" si="84"/>
        <v>322</v>
      </c>
      <c r="F107" s="25">
        <f t="shared" si="49"/>
        <v>360</v>
      </c>
      <c r="G107" s="29">
        <f t="shared" si="86"/>
        <v>352</v>
      </c>
      <c r="H107" s="4" t="s">
        <v>0</v>
      </c>
      <c r="I107" s="16" t="str">
        <f t="shared" si="57"/>
        <v>08-07</v>
      </c>
      <c r="J107" s="14">
        <f t="shared" si="58"/>
        <v>337</v>
      </c>
      <c r="K107" s="15">
        <f t="shared" si="59"/>
        <v>322</v>
      </c>
      <c r="L107" s="17">
        <f t="shared" si="60"/>
        <v>360</v>
      </c>
      <c r="M107" s="18">
        <f t="shared" si="61"/>
        <v>322</v>
      </c>
      <c r="N107" s="14">
        <f t="shared" si="62"/>
        <v>360</v>
      </c>
      <c r="O107" s="15">
        <f t="shared" si="63"/>
        <v>352</v>
      </c>
      <c r="P107" s="17">
        <f t="shared" si="64"/>
        <v>337</v>
      </c>
      <c r="Q107" s="18">
        <f t="shared" si="65"/>
        <v>352</v>
      </c>
      <c r="R107" s="4" t="s">
        <v>0</v>
      </c>
      <c r="S107" s="16" t="str">
        <f t="shared" si="66"/>
        <v>08-07</v>
      </c>
      <c r="T107" s="14">
        <f t="shared" si="67"/>
        <v>337</v>
      </c>
      <c r="U107" s="18">
        <f t="shared" si="68"/>
        <v>428</v>
      </c>
      <c r="V107" s="14">
        <f t="shared" si="69"/>
        <v>360</v>
      </c>
      <c r="W107" s="18">
        <f t="shared" si="70"/>
        <v>428</v>
      </c>
      <c r="X107" s="14">
        <f t="shared" si="71"/>
        <v>360</v>
      </c>
      <c r="Y107" s="18">
        <f t="shared" si="72"/>
        <v>398</v>
      </c>
      <c r="Z107" s="14">
        <f t="shared" si="73"/>
        <v>337</v>
      </c>
      <c r="AA107" s="18">
        <f t="shared" si="74"/>
        <v>398</v>
      </c>
      <c r="AB107" s="4" t="s">
        <v>0</v>
      </c>
    </row>
    <row r="108" spans="1:28">
      <c r="A108" s="9" t="s">
        <v>73</v>
      </c>
      <c r="B108" s="24"/>
      <c r="C108" s="4"/>
      <c r="D108" s="25">
        <f t="shared" si="47"/>
        <v>361</v>
      </c>
      <c r="E108" s="29">
        <f t="shared" si="84"/>
        <v>322</v>
      </c>
      <c r="F108" s="25">
        <f t="shared" si="49"/>
        <v>384</v>
      </c>
      <c r="G108" s="29">
        <f t="shared" si="86"/>
        <v>352</v>
      </c>
      <c r="H108" s="4" t="s">
        <v>0</v>
      </c>
      <c r="I108" s="16" t="str">
        <f t="shared" si="57"/>
        <v>08-06</v>
      </c>
      <c r="J108" s="14">
        <f t="shared" si="58"/>
        <v>361</v>
      </c>
      <c r="K108" s="15">
        <f t="shared" si="59"/>
        <v>322</v>
      </c>
      <c r="L108" s="17">
        <f t="shared" si="60"/>
        <v>384</v>
      </c>
      <c r="M108" s="18">
        <f t="shared" si="61"/>
        <v>322</v>
      </c>
      <c r="N108" s="14">
        <f t="shared" si="62"/>
        <v>384</v>
      </c>
      <c r="O108" s="15">
        <f t="shared" si="63"/>
        <v>352</v>
      </c>
      <c r="P108" s="17">
        <f t="shared" si="64"/>
        <v>361</v>
      </c>
      <c r="Q108" s="18">
        <f t="shared" si="65"/>
        <v>352</v>
      </c>
      <c r="R108" s="4" t="s">
        <v>0</v>
      </c>
      <c r="S108" s="16" t="str">
        <f t="shared" si="66"/>
        <v>08-06</v>
      </c>
      <c r="T108" s="14">
        <f t="shared" si="67"/>
        <v>361</v>
      </c>
      <c r="U108" s="18">
        <f t="shared" si="68"/>
        <v>428</v>
      </c>
      <c r="V108" s="14">
        <f t="shared" si="69"/>
        <v>384</v>
      </c>
      <c r="W108" s="18">
        <f t="shared" si="70"/>
        <v>428</v>
      </c>
      <c r="X108" s="14">
        <f t="shared" si="71"/>
        <v>384</v>
      </c>
      <c r="Y108" s="18">
        <f t="shared" si="72"/>
        <v>398</v>
      </c>
      <c r="Z108" s="14">
        <f t="shared" si="73"/>
        <v>361</v>
      </c>
      <c r="AA108" s="18">
        <f t="shared" si="74"/>
        <v>398</v>
      </c>
      <c r="AB108" s="4" t="s">
        <v>0</v>
      </c>
    </row>
    <row r="109" spans="1:28">
      <c r="A109" s="9" t="s">
        <v>72</v>
      </c>
      <c r="B109" s="24"/>
      <c r="C109" s="4"/>
      <c r="D109" s="25">
        <f t="shared" si="47"/>
        <v>386</v>
      </c>
      <c r="E109" s="29">
        <f t="shared" si="84"/>
        <v>322</v>
      </c>
      <c r="F109" s="25">
        <f t="shared" si="49"/>
        <v>409</v>
      </c>
      <c r="G109" s="29">
        <f t="shared" si="86"/>
        <v>352</v>
      </c>
      <c r="H109" s="4" t="s">
        <v>0</v>
      </c>
      <c r="I109" s="16" t="str">
        <f t="shared" si="57"/>
        <v>08-05</v>
      </c>
      <c r="J109" s="14">
        <f t="shared" si="58"/>
        <v>386</v>
      </c>
      <c r="K109" s="15">
        <f t="shared" si="59"/>
        <v>322</v>
      </c>
      <c r="L109" s="17">
        <f t="shared" si="60"/>
        <v>409</v>
      </c>
      <c r="M109" s="18">
        <f t="shared" si="61"/>
        <v>322</v>
      </c>
      <c r="N109" s="14">
        <f t="shared" si="62"/>
        <v>409</v>
      </c>
      <c r="O109" s="15">
        <f t="shared" si="63"/>
        <v>352</v>
      </c>
      <c r="P109" s="17">
        <f t="shared" si="64"/>
        <v>386</v>
      </c>
      <c r="Q109" s="18">
        <f t="shared" si="65"/>
        <v>352</v>
      </c>
      <c r="R109" s="4" t="s">
        <v>0</v>
      </c>
      <c r="S109" s="16" t="str">
        <f t="shared" si="66"/>
        <v>08-05</v>
      </c>
      <c r="T109" s="14">
        <f t="shared" si="67"/>
        <v>386</v>
      </c>
      <c r="U109" s="18">
        <f t="shared" si="68"/>
        <v>428</v>
      </c>
      <c r="V109" s="14">
        <f t="shared" si="69"/>
        <v>409</v>
      </c>
      <c r="W109" s="18">
        <f t="shared" si="70"/>
        <v>428</v>
      </c>
      <c r="X109" s="14">
        <f t="shared" si="71"/>
        <v>409</v>
      </c>
      <c r="Y109" s="18">
        <f t="shared" si="72"/>
        <v>398</v>
      </c>
      <c r="Z109" s="14">
        <f t="shared" si="73"/>
        <v>386</v>
      </c>
      <c r="AA109" s="18">
        <f t="shared" si="74"/>
        <v>398</v>
      </c>
      <c r="AB109" s="4" t="s">
        <v>0</v>
      </c>
    </row>
    <row r="110" spans="1:28">
      <c r="A110" s="9" t="s">
        <v>71</v>
      </c>
      <c r="B110" s="24"/>
      <c r="C110" s="4"/>
      <c r="D110" s="25">
        <f t="shared" ref="D110:D173" si="87">D93</f>
        <v>410</v>
      </c>
      <c r="E110" s="29">
        <f t="shared" si="84"/>
        <v>322</v>
      </c>
      <c r="F110" s="25">
        <f t="shared" ref="F110:F173" si="88">F93</f>
        <v>433</v>
      </c>
      <c r="G110" s="29">
        <f t="shared" si="86"/>
        <v>352</v>
      </c>
      <c r="H110" s="4" t="s">
        <v>0</v>
      </c>
      <c r="I110" s="16" t="str">
        <f t="shared" si="57"/>
        <v>08-03</v>
      </c>
      <c r="J110" s="14">
        <f t="shared" si="58"/>
        <v>410</v>
      </c>
      <c r="K110" s="15">
        <f t="shared" si="59"/>
        <v>322</v>
      </c>
      <c r="L110" s="17">
        <f t="shared" si="60"/>
        <v>433</v>
      </c>
      <c r="M110" s="18">
        <f t="shared" si="61"/>
        <v>322</v>
      </c>
      <c r="N110" s="14">
        <f t="shared" si="62"/>
        <v>433</v>
      </c>
      <c r="O110" s="15">
        <f t="shared" si="63"/>
        <v>352</v>
      </c>
      <c r="P110" s="17">
        <f t="shared" si="64"/>
        <v>410</v>
      </c>
      <c r="Q110" s="18">
        <f t="shared" si="65"/>
        <v>352</v>
      </c>
      <c r="R110" s="4" t="s">
        <v>0</v>
      </c>
      <c r="S110" s="16" t="str">
        <f t="shared" si="66"/>
        <v>08-03</v>
      </c>
      <c r="T110" s="14">
        <f t="shared" si="67"/>
        <v>410</v>
      </c>
      <c r="U110" s="18">
        <f t="shared" si="68"/>
        <v>428</v>
      </c>
      <c r="V110" s="14">
        <f t="shared" si="69"/>
        <v>433</v>
      </c>
      <c r="W110" s="18">
        <f t="shared" si="70"/>
        <v>428</v>
      </c>
      <c r="X110" s="14">
        <f t="shared" si="71"/>
        <v>433</v>
      </c>
      <c r="Y110" s="18">
        <f t="shared" si="72"/>
        <v>398</v>
      </c>
      <c r="Z110" s="14">
        <f t="shared" si="73"/>
        <v>410</v>
      </c>
      <c r="AA110" s="18">
        <f t="shared" si="74"/>
        <v>398</v>
      </c>
      <c r="AB110" s="4" t="s">
        <v>0</v>
      </c>
    </row>
    <row r="111" spans="1:28">
      <c r="A111" s="9" t="s">
        <v>70</v>
      </c>
      <c r="B111" s="24"/>
      <c r="C111" s="4"/>
      <c r="D111" s="25">
        <f t="shared" si="87"/>
        <v>434</v>
      </c>
      <c r="E111" s="29">
        <f t="shared" si="84"/>
        <v>322</v>
      </c>
      <c r="F111" s="25">
        <f t="shared" si="88"/>
        <v>457</v>
      </c>
      <c r="G111" s="29">
        <f t="shared" si="86"/>
        <v>352</v>
      </c>
      <c r="H111" s="4" t="s">
        <v>0</v>
      </c>
      <c r="I111" s="16" t="str">
        <f t="shared" si="57"/>
        <v>08-02</v>
      </c>
      <c r="J111" s="14">
        <f t="shared" si="58"/>
        <v>434</v>
      </c>
      <c r="K111" s="15">
        <f t="shared" si="59"/>
        <v>322</v>
      </c>
      <c r="L111" s="17">
        <f t="shared" si="60"/>
        <v>457</v>
      </c>
      <c r="M111" s="18">
        <f t="shared" si="61"/>
        <v>322</v>
      </c>
      <c r="N111" s="14">
        <f t="shared" si="62"/>
        <v>457</v>
      </c>
      <c r="O111" s="15">
        <f t="shared" si="63"/>
        <v>352</v>
      </c>
      <c r="P111" s="17">
        <f t="shared" si="64"/>
        <v>434</v>
      </c>
      <c r="Q111" s="18">
        <f t="shared" si="65"/>
        <v>352</v>
      </c>
      <c r="R111" s="4" t="s">
        <v>0</v>
      </c>
      <c r="S111" s="16" t="str">
        <f t="shared" si="66"/>
        <v>08-02</v>
      </c>
      <c r="T111" s="14">
        <f t="shared" si="67"/>
        <v>434</v>
      </c>
      <c r="U111" s="18">
        <f t="shared" si="68"/>
        <v>428</v>
      </c>
      <c r="V111" s="14">
        <f t="shared" si="69"/>
        <v>457</v>
      </c>
      <c r="W111" s="18">
        <f t="shared" si="70"/>
        <v>428</v>
      </c>
      <c r="X111" s="14">
        <f t="shared" si="71"/>
        <v>457</v>
      </c>
      <c r="Y111" s="18">
        <f t="shared" si="72"/>
        <v>398</v>
      </c>
      <c r="Z111" s="14">
        <f t="shared" si="73"/>
        <v>434</v>
      </c>
      <c r="AA111" s="18">
        <f t="shared" si="74"/>
        <v>398</v>
      </c>
      <c r="AB111" s="4" t="s">
        <v>0</v>
      </c>
    </row>
    <row r="112" spans="1:28">
      <c r="A112" s="9" t="s">
        <v>69</v>
      </c>
      <c r="B112" s="24"/>
      <c r="C112" s="4"/>
      <c r="D112" s="25">
        <f t="shared" si="87"/>
        <v>458</v>
      </c>
      <c r="E112" s="29">
        <f t="shared" si="84"/>
        <v>322</v>
      </c>
      <c r="F112" s="25">
        <f t="shared" si="88"/>
        <v>481</v>
      </c>
      <c r="G112" s="29">
        <f t="shared" si="86"/>
        <v>352</v>
      </c>
      <c r="H112" s="4" t="s">
        <v>0</v>
      </c>
      <c r="I112" s="16" t="str">
        <f t="shared" si="57"/>
        <v>08-01</v>
      </c>
      <c r="J112" s="14">
        <f t="shared" si="58"/>
        <v>458</v>
      </c>
      <c r="K112" s="15">
        <f t="shared" si="59"/>
        <v>322</v>
      </c>
      <c r="L112" s="17">
        <f t="shared" si="60"/>
        <v>481</v>
      </c>
      <c r="M112" s="18">
        <f t="shared" si="61"/>
        <v>322</v>
      </c>
      <c r="N112" s="14">
        <f t="shared" si="62"/>
        <v>481</v>
      </c>
      <c r="O112" s="15">
        <f t="shared" si="63"/>
        <v>352</v>
      </c>
      <c r="P112" s="17">
        <f t="shared" si="64"/>
        <v>458</v>
      </c>
      <c r="Q112" s="18">
        <f t="shared" si="65"/>
        <v>352</v>
      </c>
      <c r="R112" s="4" t="s">
        <v>0</v>
      </c>
      <c r="S112" s="16" t="str">
        <f t="shared" si="66"/>
        <v>08-01</v>
      </c>
      <c r="T112" s="14">
        <f t="shared" si="67"/>
        <v>458</v>
      </c>
      <c r="U112" s="18">
        <f t="shared" si="68"/>
        <v>428</v>
      </c>
      <c r="V112" s="14">
        <f t="shared" si="69"/>
        <v>481</v>
      </c>
      <c r="W112" s="18">
        <f t="shared" si="70"/>
        <v>428</v>
      </c>
      <c r="X112" s="14">
        <f t="shared" si="71"/>
        <v>481</v>
      </c>
      <c r="Y112" s="18">
        <f t="shared" si="72"/>
        <v>398</v>
      </c>
      <c r="Z112" s="14">
        <f t="shared" si="73"/>
        <v>458</v>
      </c>
      <c r="AA112" s="18">
        <f t="shared" si="74"/>
        <v>398</v>
      </c>
      <c r="AB112" s="4" t="s">
        <v>0</v>
      </c>
    </row>
    <row r="113" spans="1:28">
      <c r="A113" s="9" t="s">
        <v>179</v>
      </c>
      <c r="B113" s="24"/>
      <c r="C113" s="4"/>
      <c r="D113" s="27">
        <v>71</v>
      </c>
      <c r="E113" s="31">
        <f t="shared" ref="E113" si="89">ROUND(E96+39.8,0)</f>
        <v>362</v>
      </c>
      <c r="F113" s="31">
        <v>94</v>
      </c>
      <c r="G113" s="31">
        <f t="shared" ref="G113" si="90">ROUND(G96+39.8,0)</f>
        <v>392</v>
      </c>
      <c r="H113" s="4" t="s">
        <v>0</v>
      </c>
      <c r="I113" s="16" t="str">
        <f t="shared" si="57"/>
        <v>07-21</v>
      </c>
      <c r="J113" s="14">
        <f t="shared" si="58"/>
        <v>71</v>
      </c>
      <c r="K113" s="15">
        <f t="shared" si="59"/>
        <v>362</v>
      </c>
      <c r="L113" s="17">
        <f t="shared" si="60"/>
        <v>94</v>
      </c>
      <c r="M113" s="18">
        <f t="shared" si="61"/>
        <v>362</v>
      </c>
      <c r="N113" s="14">
        <f t="shared" si="62"/>
        <v>94</v>
      </c>
      <c r="O113" s="15">
        <f t="shared" si="63"/>
        <v>392</v>
      </c>
      <c r="P113" s="17">
        <f t="shared" si="64"/>
        <v>71</v>
      </c>
      <c r="Q113" s="18">
        <f t="shared" si="65"/>
        <v>392</v>
      </c>
      <c r="R113" s="4" t="s">
        <v>0</v>
      </c>
      <c r="S113" s="16" t="str">
        <f t="shared" si="66"/>
        <v>07-21</v>
      </c>
      <c r="T113" s="14">
        <f t="shared" si="67"/>
        <v>71</v>
      </c>
      <c r="U113" s="18">
        <f t="shared" si="68"/>
        <v>388</v>
      </c>
      <c r="V113" s="14">
        <f t="shared" si="69"/>
        <v>94</v>
      </c>
      <c r="W113" s="18">
        <f t="shared" si="70"/>
        <v>388</v>
      </c>
      <c r="X113" s="14">
        <f t="shared" si="71"/>
        <v>94</v>
      </c>
      <c r="Y113" s="18">
        <f t="shared" si="72"/>
        <v>358</v>
      </c>
      <c r="Z113" s="14">
        <f t="shared" si="73"/>
        <v>71</v>
      </c>
      <c r="AA113" s="18">
        <f t="shared" si="74"/>
        <v>358</v>
      </c>
      <c r="AB113" s="4" t="s">
        <v>0</v>
      </c>
    </row>
    <row r="114" spans="1:28">
      <c r="A114" s="9" t="s">
        <v>178</v>
      </c>
      <c r="B114" s="24"/>
      <c r="C114" s="4"/>
      <c r="D114" s="25">
        <f t="shared" ref="D114" si="91">D97</f>
        <v>95</v>
      </c>
      <c r="E114" s="29">
        <f t="shared" ref="E114:E129" si="92">E113</f>
        <v>362</v>
      </c>
      <c r="F114" s="25">
        <f t="shared" ref="F114" si="93">F97</f>
        <v>118</v>
      </c>
      <c r="G114" s="29">
        <f t="shared" ref="G114:G129" si="94">G113</f>
        <v>392</v>
      </c>
      <c r="H114" s="4" t="s">
        <v>0</v>
      </c>
      <c r="I114" s="16" t="str">
        <f t="shared" si="57"/>
        <v>07-20</v>
      </c>
      <c r="J114" s="14">
        <f t="shared" si="58"/>
        <v>95</v>
      </c>
      <c r="K114" s="15">
        <f t="shared" si="59"/>
        <v>362</v>
      </c>
      <c r="L114" s="17">
        <f t="shared" si="60"/>
        <v>118</v>
      </c>
      <c r="M114" s="18">
        <f t="shared" si="61"/>
        <v>362</v>
      </c>
      <c r="N114" s="14">
        <f t="shared" si="62"/>
        <v>118</v>
      </c>
      <c r="O114" s="15">
        <f t="shared" si="63"/>
        <v>392</v>
      </c>
      <c r="P114" s="17">
        <f t="shared" si="64"/>
        <v>95</v>
      </c>
      <c r="Q114" s="18">
        <f t="shared" si="65"/>
        <v>392</v>
      </c>
      <c r="R114" s="4" t="s">
        <v>0</v>
      </c>
      <c r="S114" s="16" t="str">
        <f t="shared" si="66"/>
        <v>07-20</v>
      </c>
      <c r="T114" s="14">
        <f t="shared" si="67"/>
        <v>95</v>
      </c>
      <c r="U114" s="18">
        <f t="shared" si="68"/>
        <v>388</v>
      </c>
      <c r="V114" s="14">
        <f t="shared" si="69"/>
        <v>118</v>
      </c>
      <c r="W114" s="18">
        <f t="shared" si="70"/>
        <v>388</v>
      </c>
      <c r="X114" s="14">
        <f t="shared" si="71"/>
        <v>118</v>
      </c>
      <c r="Y114" s="18">
        <f t="shared" si="72"/>
        <v>358</v>
      </c>
      <c r="Z114" s="14">
        <f t="shared" si="73"/>
        <v>95</v>
      </c>
      <c r="AA114" s="18">
        <f t="shared" si="74"/>
        <v>358</v>
      </c>
      <c r="AB114" s="4" t="s">
        <v>0</v>
      </c>
    </row>
    <row r="115" spans="1:28">
      <c r="A115" s="9" t="s">
        <v>177</v>
      </c>
      <c r="B115" s="24"/>
      <c r="C115" s="4"/>
      <c r="D115" s="25">
        <f t="shared" si="87"/>
        <v>119</v>
      </c>
      <c r="E115" s="29">
        <f t="shared" si="92"/>
        <v>362</v>
      </c>
      <c r="F115" s="25">
        <f t="shared" si="88"/>
        <v>142</v>
      </c>
      <c r="G115" s="29">
        <f t="shared" si="94"/>
        <v>392</v>
      </c>
      <c r="H115" s="4" t="s">
        <v>0</v>
      </c>
      <c r="I115" s="16" t="str">
        <f t="shared" si="57"/>
        <v>07-18</v>
      </c>
      <c r="J115" s="14">
        <f t="shared" si="58"/>
        <v>119</v>
      </c>
      <c r="K115" s="15">
        <f t="shared" si="59"/>
        <v>362</v>
      </c>
      <c r="L115" s="17">
        <f t="shared" si="60"/>
        <v>142</v>
      </c>
      <c r="M115" s="18">
        <f t="shared" si="61"/>
        <v>362</v>
      </c>
      <c r="N115" s="14">
        <f t="shared" si="62"/>
        <v>142</v>
      </c>
      <c r="O115" s="15">
        <f t="shared" si="63"/>
        <v>392</v>
      </c>
      <c r="P115" s="17">
        <f t="shared" si="64"/>
        <v>119</v>
      </c>
      <c r="Q115" s="18">
        <f t="shared" si="65"/>
        <v>392</v>
      </c>
      <c r="R115" s="4" t="s">
        <v>0</v>
      </c>
      <c r="S115" s="16" t="str">
        <f t="shared" si="66"/>
        <v>07-18</v>
      </c>
      <c r="T115" s="14">
        <f t="shared" si="67"/>
        <v>119</v>
      </c>
      <c r="U115" s="18">
        <f t="shared" si="68"/>
        <v>388</v>
      </c>
      <c r="V115" s="14">
        <f t="shared" si="69"/>
        <v>142</v>
      </c>
      <c r="W115" s="18">
        <f t="shared" si="70"/>
        <v>388</v>
      </c>
      <c r="X115" s="14">
        <f t="shared" si="71"/>
        <v>142</v>
      </c>
      <c r="Y115" s="18">
        <f t="shared" si="72"/>
        <v>358</v>
      </c>
      <c r="Z115" s="14">
        <f t="shared" si="73"/>
        <v>119</v>
      </c>
      <c r="AA115" s="18">
        <f t="shared" si="74"/>
        <v>358</v>
      </c>
      <c r="AB115" s="4" t="s">
        <v>0</v>
      </c>
    </row>
    <row r="116" spans="1:28">
      <c r="A116" s="9" t="s">
        <v>176</v>
      </c>
      <c r="B116" s="24"/>
      <c r="C116" s="4"/>
      <c r="D116" s="25">
        <f t="shared" si="87"/>
        <v>144</v>
      </c>
      <c r="E116" s="29">
        <f t="shared" si="92"/>
        <v>362</v>
      </c>
      <c r="F116" s="25">
        <f t="shared" si="88"/>
        <v>167</v>
      </c>
      <c r="G116" s="29">
        <f t="shared" si="94"/>
        <v>392</v>
      </c>
      <c r="H116" s="4" t="s">
        <v>0</v>
      </c>
      <c r="I116" s="16" t="str">
        <f t="shared" si="57"/>
        <v>07-17</v>
      </c>
      <c r="J116" s="14">
        <f t="shared" si="58"/>
        <v>144</v>
      </c>
      <c r="K116" s="15">
        <f t="shared" si="59"/>
        <v>362</v>
      </c>
      <c r="L116" s="17">
        <f t="shared" si="60"/>
        <v>167</v>
      </c>
      <c r="M116" s="18">
        <f t="shared" si="61"/>
        <v>362</v>
      </c>
      <c r="N116" s="14">
        <f t="shared" si="62"/>
        <v>167</v>
      </c>
      <c r="O116" s="15">
        <f t="shared" si="63"/>
        <v>392</v>
      </c>
      <c r="P116" s="17">
        <f t="shared" si="64"/>
        <v>144</v>
      </c>
      <c r="Q116" s="18">
        <f t="shared" si="65"/>
        <v>392</v>
      </c>
      <c r="R116" s="4" t="s">
        <v>0</v>
      </c>
      <c r="S116" s="16" t="str">
        <f t="shared" si="66"/>
        <v>07-17</v>
      </c>
      <c r="T116" s="14">
        <f t="shared" si="67"/>
        <v>144</v>
      </c>
      <c r="U116" s="18">
        <f t="shared" si="68"/>
        <v>388</v>
      </c>
      <c r="V116" s="14">
        <f t="shared" si="69"/>
        <v>167</v>
      </c>
      <c r="W116" s="18">
        <f t="shared" si="70"/>
        <v>388</v>
      </c>
      <c r="X116" s="14">
        <f t="shared" si="71"/>
        <v>167</v>
      </c>
      <c r="Y116" s="18">
        <f t="shared" si="72"/>
        <v>358</v>
      </c>
      <c r="Z116" s="14">
        <f t="shared" si="73"/>
        <v>144</v>
      </c>
      <c r="AA116" s="18">
        <f t="shared" si="74"/>
        <v>358</v>
      </c>
      <c r="AB116" s="4" t="s">
        <v>0</v>
      </c>
    </row>
    <row r="117" spans="1:28">
      <c r="A117" s="9" t="s">
        <v>175</v>
      </c>
      <c r="B117" s="24"/>
      <c r="C117" s="4"/>
      <c r="D117" s="25">
        <f t="shared" si="87"/>
        <v>168</v>
      </c>
      <c r="E117" s="29">
        <f t="shared" si="92"/>
        <v>362</v>
      </c>
      <c r="F117" s="25">
        <f t="shared" si="88"/>
        <v>191</v>
      </c>
      <c r="G117" s="29">
        <f t="shared" si="94"/>
        <v>392</v>
      </c>
      <c r="H117" s="4" t="s">
        <v>0</v>
      </c>
      <c r="I117" s="16" t="str">
        <f t="shared" si="57"/>
        <v>07-16</v>
      </c>
      <c r="J117" s="14">
        <f t="shared" si="58"/>
        <v>168</v>
      </c>
      <c r="K117" s="15">
        <f t="shared" si="59"/>
        <v>362</v>
      </c>
      <c r="L117" s="17">
        <f t="shared" si="60"/>
        <v>191</v>
      </c>
      <c r="M117" s="18">
        <f t="shared" si="61"/>
        <v>362</v>
      </c>
      <c r="N117" s="14">
        <f t="shared" si="62"/>
        <v>191</v>
      </c>
      <c r="O117" s="15">
        <f t="shared" si="63"/>
        <v>392</v>
      </c>
      <c r="P117" s="17">
        <f t="shared" si="64"/>
        <v>168</v>
      </c>
      <c r="Q117" s="18">
        <f t="shared" si="65"/>
        <v>392</v>
      </c>
      <c r="R117" s="4" t="s">
        <v>0</v>
      </c>
      <c r="S117" s="16" t="str">
        <f t="shared" si="66"/>
        <v>07-16</v>
      </c>
      <c r="T117" s="14">
        <f t="shared" si="67"/>
        <v>168</v>
      </c>
      <c r="U117" s="18">
        <f t="shared" si="68"/>
        <v>388</v>
      </c>
      <c r="V117" s="14">
        <f t="shared" si="69"/>
        <v>191</v>
      </c>
      <c r="W117" s="18">
        <f t="shared" si="70"/>
        <v>388</v>
      </c>
      <c r="X117" s="14">
        <f t="shared" si="71"/>
        <v>191</v>
      </c>
      <c r="Y117" s="18">
        <f t="shared" si="72"/>
        <v>358</v>
      </c>
      <c r="Z117" s="14">
        <f t="shared" si="73"/>
        <v>168</v>
      </c>
      <c r="AA117" s="18">
        <f t="shared" si="74"/>
        <v>358</v>
      </c>
      <c r="AB117" s="4" t="s">
        <v>0</v>
      </c>
    </row>
    <row r="118" spans="1:28">
      <c r="A118" s="9" t="s">
        <v>174</v>
      </c>
      <c r="B118" s="24"/>
      <c r="C118" s="4"/>
      <c r="D118" s="25">
        <f t="shared" si="87"/>
        <v>192</v>
      </c>
      <c r="E118" s="29">
        <f t="shared" si="92"/>
        <v>362</v>
      </c>
      <c r="F118" s="25">
        <f t="shared" si="88"/>
        <v>215</v>
      </c>
      <c r="G118" s="29">
        <f t="shared" si="94"/>
        <v>392</v>
      </c>
      <c r="H118" s="4" t="s">
        <v>0</v>
      </c>
      <c r="I118" s="16" t="str">
        <f t="shared" si="57"/>
        <v>07-15</v>
      </c>
      <c r="J118" s="14">
        <f t="shared" si="58"/>
        <v>192</v>
      </c>
      <c r="K118" s="15">
        <f t="shared" si="59"/>
        <v>362</v>
      </c>
      <c r="L118" s="17">
        <f t="shared" si="60"/>
        <v>215</v>
      </c>
      <c r="M118" s="18">
        <f t="shared" si="61"/>
        <v>362</v>
      </c>
      <c r="N118" s="14">
        <f t="shared" si="62"/>
        <v>215</v>
      </c>
      <c r="O118" s="15">
        <f t="shared" si="63"/>
        <v>392</v>
      </c>
      <c r="P118" s="17">
        <f t="shared" si="64"/>
        <v>192</v>
      </c>
      <c r="Q118" s="18">
        <f t="shared" si="65"/>
        <v>392</v>
      </c>
      <c r="R118" s="4" t="s">
        <v>0</v>
      </c>
      <c r="S118" s="16" t="str">
        <f t="shared" si="66"/>
        <v>07-15</v>
      </c>
      <c r="T118" s="14">
        <f t="shared" si="67"/>
        <v>192</v>
      </c>
      <c r="U118" s="18">
        <f t="shared" si="68"/>
        <v>388</v>
      </c>
      <c r="V118" s="14">
        <f t="shared" si="69"/>
        <v>215</v>
      </c>
      <c r="W118" s="18">
        <f t="shared" si="70"/>
        <v>388</v>
      </c>
      <c r="X118" s="14">
        <f t="shared" si="71"/>
        <v>215</v>
      </c>
      <c r="Y118" s="18">
        <f t="shared" si="72"/>
        <v>358</v>
      </c>
      <c r="Z118" s="14">
        <f t="shared" si="73"/>
        <v>192</v>
      </c>
      <c r="AA118" s="18">
        <f t="shared" si="74"/>
        <v>358</v>
      </c>
      <c r="AB118" s="4" t="s">
        <v>0</v>
      </c>
    </row>
    <row r="119" spans="1:28">
      <c r="A119" s="9" t="s">
        <v>173</v>
      </c>
      <c r="B119" s="24"/>
      <c r="C119" s="4"/>
      <c r="D119" s="25">
        <f t="shared" si="87"/>
        <v>216</v>
      </c>
      <c r="E119" s="29">
        <f t="shared" si="92"/>
        <v>362</v>
      </c>
      <c r="F119" s="25">
        <f t="shared" si="88"/>
        <v>239</v>
      </c>
      <c r="G119" s="29">
        <f t="shared" si="94"/>
        <v>392</v>
      </c>
      <c r="H119" s="4" t="s">
        <v>0</v>
      </c>
      <c r="I119" s="16" t="str">
        <f t="shared" si="57"/>
        <v>07-13</v>
      </c>
      <c r="J119" s="14">
        <f t="shared" si="58"/>
        <v>216</v>
      </c>
      <c r="K119" s="15">
        <f t="shared" si="59"/>
        <v>362</v>
      </c>
      <c r="L119" s="17">
        <f t="shared" si="60"/>
        <v>239</v>
      </c>
      <c r="M119" s="18">
        <f t="shared" si="61"/>
        <v>362</v>
      </c>
      <c r="N119" s="14">
        <f t="shared" si="62"/>
        <v>239</v>
      </c>
      <c r="O119" s="15">
        <f t="shared" si="63"/>
        <v>392</v>
      </c>
      <c r="P119" s="17">
        <f t="shared" si="64"/>
        <v>216</v>
      </c>
      <c r="Q119" s="18">
        <f t="shared" si="65"/>
        <v>392</v>
      </c>
      <c r="R119" s="4" t="s">
        <v>0</v>
      </c>
      <c r="S119" s="16" t="str">
        <f t="shared" si="66"/>
        <v>07-13</v>
      </c>
      <c r="T119" s="14">
        <f t="shared" si="67"/>
        <v>216</v>
      </c>
      <c r="U119" s="18">
        <f t="shared" si="68"/>
        <v>388</v>
      </c>
      <c r="V119" s="14">
        <f t="shared" si="69"/>
        <v>239</v>
      </c>
      <c r="W119" s="18">
        <f t="shared" si="70"/>
        <v>388</v>
      </c>
      <c r="X119" s="14">
        <f t="shared" si="71"/>
        <v>239</v>
      </c>
      <c r="Y119" s="18">
        <f t="shared" si="72"/>
        <v>358</v>
      </c>
      <c r="Z119" s="14">
        <f t="shared" si="73"/>
        <v>216</v>
      </c>
      <c r="AA119" s="18">
        <f t="shared" si="74"/>
        <v>358</v>
      </c>
      <c r="AB119" s="4" t="s">
        <v>0</v>
      </c>
    </row>
    <row r="120" spans="1:28">
      <c r="A120" s="9" t="s">
        <v>68</v>
      </c>
      <c r="B120" s="24"/>
      <c r="C120" s="4"/>
      <c r="D120" s="25">
        <f t="shared" si="87"/>
        <v>240</v>
      </c>
      <c r="E120" s="29">
        <f t="shared" si="92"/>
        <v>362</v>
      </c>
      <c r="F120" s="25">
        <f t="shared" si="88"/>
        <v>263</v>
      </c>
      <c r="G120" s="29">
        <f t="shared" si="94"/>
        <v>392</v>
      </c>
      <c r="H120" s="4" t="s">
        <v>0</v>
      </c>
      <c r="I120" s="16" t="str">
        <f t="shared" si="57"/>
        <v>07-12</v>
      </c>
      <c r="J120" s="14">
        <f t="shared" si="58"/>
        <v>240</v>
      </c>
      <c r="K120" s="15">
        <f t="shared" si="59"/>
        <v>362</v>
      </c>
      <c r="L120" s="17">
        <f t="shared" si="60"/>
        <v>263</v>
      </c>
      <c r="M120" s="18">
        <f t="shared" si="61"/>
        <v>362</v>
      </c>
      <c r="N120" s="14">
        <f t="shared" si="62"/>
        <v>263</v>
      </c>
      <c r="O120" s="15">
        <f t="shared" si="63"/>
        <v>392</v>
      </c>
      <c r="P120" s="17">
        <f t="shared" si="64"/>
        <v>240</v>
      </c>
      <c r="Q120" s="18">
        <f t="shared" si="65"/>
        <v>392</v>
      </c>
      <c r="R120" s="4" t="s">
        <v>0</v>
      </c>
      <c r="S120" s="16" t="str">
        <f t="shared" si="66"/>
        <v>07-12</v>
      </c>
      <c r="T120" s="14">
        <f t="shared" si="67"/>
        <v>240</v>
      </c>
      <c r="U120" s="18">
        <f t="shared" si="68"/>
        <v>388</v>
      </c>
      <c r="V120" s="14">
        <f t="shared" si="69"/>
        <v>263</v>
      </c>
      <c r="W120" s="18">
        <f t="shared" si="70"/>
        <v>388</v>
      </c>
      <c r="X120" s="14">
        <f t="shared" si="71"/>
        <v>263</v>
      </c>
      <c r="Y120" s="18">
        <f t="shared" si="72"/>
        <v>358</v>
      </c>
      <c r="Z120" s="14">
        <f t="shared" si="73"/>
        <v>240</v>
      </c>
      <c r="AA120" s="18">
        <f t="shared" si="74"/>
        <v>358</v>
      </c>
      <c r="AB120" s="4" t="s">
        <v>0</v>
      </c>
    </row>
    <row r="121" spans="1:28">
      <c r="A121" s="9" t="s">
        <v>67</v>
      </c>
      <c r="B121" s="24"/>
      <c r="C121" s="4"/>
      <c r="D121" s="25">
        <f t="shared" si="87"/>
        <v>265</v>
      </c>
      <c r="E121" s="29">
        <f t="shared" si="92"/>
        <v>362</v>
      </c>
      <c r="F121" s="25">
        <f t="shared" si="88"/>
        <v>288</v>
      </c>
      <c r="G121" s="29">
        <f t="shared" si="94"/>
        <v>392</v>
      </c>
      <c r="H121" s="4" t="s">
        <v>0</v>
      </c>
      <c r="I121" s="16" t="str">
        <f t="shared" si="57"/>
        <v>07-11</v>
      </c>
      <c r="J121" s="14">
        <f t="shared" si="58"/>
        <v>265</v>
      </c>
      <c r="K121" s="15">
        <f t="shared" si="59"/>
        <v>362</v>
      </c>
      <c r="L121" s="17">
        <f t="shared" si="60"/>
        <v>288</v>
      </c>
      <c r="M121" s="18">
        <f t="shared" si="61"/>
        <v>362</v>
      </c>
      <c r="N121" s="14">
        <f t="shared" si="62"/>
        <v>288</v>
      </c>
      <c r="O121" s="15">
        <f t="shared" si="63"/>
        <v>392</v>
      </c>
      <c r="P121" s="17">
        <f t="shared" si="64"/>
        <v>265</v>
      </c>
      <c r="Q121" s="18">
        <f t="shared" si="65"/>
        <v>392</v>
      </c>
      <c r="R121" s="4" t="s">
        <v>0</v>
      </c>
      <c r="S121" s="16" t="str">
        <f t="shared" si="66"/>
        <v>07-11</v>
      </c>
      <c r="T121" s="14">
        <f t="shared" si="67"/>
        <v>265</v>
      </c>
      <c r="U121" s="18">
        <f t="shared" si="68"/>
        <v>388</v>
      </c>
      <c r="V121" s="14">
        <f t="shared" si="69"/>
        <v>288</v>
      </c>
      <c r="W121" s="18">
        <f t="shared" si="70"/>
        <v>388</v>
      </c>
      <c r="X121" s="14">
        <f t="shared" si="71"/>
        <v>288</v>
      </c>
      <c r="Y121" s="18">
        <f t="shared" si="72"/>
        <v>358</v>
      </c>
      <c r="Z121" s="14">
        <f t="shared" si="73"/>
        <v>265</v>
      </c>
      <c r="AA121" s="18">
        <f t="shared" si="74"/>
        <v>358</v>
      </c>
      <c r="AB121" s="4" t="s">
        <v>0</v>
      </c>
    </row>
    <row r="122" spans="1:28">
      <c r="A122" s="9" t="s">
        <v>66</v>
      </c>
      <c r="B122" s="24"/>
      <c r="C122" s="4"/>
      <c r="D122" s="25">
        <f t="shared" si="87"/>
        <v>289</v>
      </c>
      <c r="E122" s="29">
        <f t="shared" si="92"/>
        <v>362</v>
      </c>
      <c r="F122" s="25">
        <f t="shared" si="88"/>
        <v>312</v>
      </c>
      <c r="G122" s="29">
        <f t="shared" si="94"/>
        <v>392</v>
      </c>
      <c r="H122" s="4" t="s">
        <v>0</v>
      </c>
      <c r="I122" s="16" t="str">
        <f t="shared" si="57"/>
        <v>07-10</v>
      </c>
      <c r="J122" s="14">
        <f t="shared" si="58"/>
        <v>289</v>
      </c>
      <c r="K122" s="15">
        <f t="shared" si="59"/>
        <v>362</v>
      </c>
      <c r="L122" s="17">
        <f t="shared" si="60"/>
        <v>312</v>
      </c>
      <c r="M122" s="18">
        <f t="shared" si="61"/>
        <v>362</v>
      </c>
      <c r="N122" s="14">
        <f t="shared" si="62"/>
        <v>312</v>
      </c>
      <c r="O122" s="15">
        <f t="shared" si="63"/>
        <v>392</v>
      </c>
      <c r="P122" s="17">
        <f t="shared" si="64"/>
        <v>289</v>
      </c>
      <c r="Q122" s="18">
        <f t="shared" si="65"/>
        <v>392</v>
      </c>
      <c r="R122" s="4" t="s">
        <v>0</v>
      </c>
      <c r="S122" s="16" t="str">
        <f t="shared" si="66"/>
        <v>07-10</v>
      </c>
      <c r="T122" s="14">
        <f t="shared" si="67"/>
        <v>289</v>
      </c>
      <c r="U122" s="18">
        <f t="shared" si="68"/>
        <v>388</v>
      </c>
      <c r="V122" s="14">
        <f t="shared" si="69"/>
        <v>312</v>
      </c>
      <c r="W122" s="18">
        <f t="shared" si="70"/>
        <v>388</v>
      </c>
      <c r="X122" s="14">
        <f t="shared" si="71"/>
        <v>312</v>
      </c>
      <c r="Y122" s="18">
        <f t="shared" si="72"/>
        <v>358</v>
      </c>
      <c r="Z122" s="14">
        <f t="shared" si="73"/>
        <v>289</v>
      </c>
      <c r="AA122" s="18">
        <f t="shared" si="74"/>
        <v>358</v>
      </c>
      <c r="AB122" s="4" t="s">
        <v>0</v>
      </c>
    </row>
    <row r="123" spans="1:28">
      <c r="A123" s="9" t="s">
        <v>65</v>
      </c>
      <c r="B123" s="24"/>
      <c r="C123" s="4"/>
      <c r="D123" s="25">
        <f t="shared" si="87"/>
        <v>313</v>
      </c>
      <c r="E123" s="29">
        <f t="shared" si="92"/>
        <v>362</v>
      </c>
      <c r="F123" s="25">
        <f t="shared" si="88"/>
        <v>336</v>
      </c>
      <c r="G123" s="29">
        <f t="shared" si="94"/>
        <v>392</v>
      </c>
      <c r="H123" s="4" t="s">
        <v>0</v>
      </c>
      <c r="I123" s="16" t="str">
        <f t="shared" si="57"/>
        <v>07-08</v>
      </c>
      <c r="J123" s="14">
        <f t="shared" si="58"/>
        <v>313</v>
      </c>
      <c r="K123" s="15">
        <f t="shared" si="59"/>
        <v>362</v>
      </c>
      <c r="L123" s="17">
        <f t="shared" si="60"/>
        <v>336</v>
      </c>
      <c r="M123" s="18">
        <f t="shared" si="61"/>
        <v>362</v>
      </c>
      <c r="N123" s="14">
        <f t="shared" si="62"/>
        <v>336</v>
      </c>
      <c r="O123" s="15">
        <f t="shared" si="63"/>
        <v>392</v>
      </c>
      <c r="P123" s="17">
        <f t="shared" si="64"/>
        <v>313</v>
      </c>
      <c r="Q123" s="18">
        <f t="shared" si="65"/>
        <v>392</v>
      </c>
      <c r="R123" s="4" t="s">
        <v>0</v>
      </c>
      <c r="S123" s="16" t="str">
        <f t="shared" si="66"/>
        <v>07-08</v>
      </c>
      <c r="T123" s="14">
        <f t="shared" si="67"/>
        <v>313</v>
      </c>
      <c r="U123" s="18">
        <f t="shared" si="68"/>
        <v>388</v>
      </c>
      <c r="V123" s="14">
        <f t="shared" si="69"/>
        <v>336</v>
      </c>
      <c r="W123" s="18">
        <f t="shared" si="70"/>
        <v>388</v>
      </c>
      <c r="X123" s="14">
        <f t="shared" si="71"/>
        <v>336</v>
      </c>
      <c r="Y123" s="18">
        <f t="shared" si="72"/>
        <v>358</v>
      </c>
      <c r="Z123" s="14">
        <f t="shared" si="73"/>
        <v>313</v>
      </c>
      <c r="AA123" s="18">
        <f t="shared" si="74"/>
        <v>358</v>
      </c>
      <c r="AB123" s="4" t="s">
        <v>0</v>
      </c>
    </row>
    <row r="124" spans="1:28">
      <c r="A124" s="9" t="s">
        <v>64</v>
      </c>
      <c r="B124" s="24"/>
      <c r="C124" s="4"/>
      <c r="D124" s="25">
        <f t="shared" si="87"/>
        <v>337</v>
      </c>
      <c r="E124" s="29">
        <f t="shared" si="92"/>
        <v>362</v>
      </c>
      <c r="F124" s="25">
        <f t="shared" si="88"/>
        <v>360</v>
      </c>
      <c r="G124" s="29">
        <f t="shared" si="94"/>
        <v>392</v>
      </c>
      <c r="H124" s="4" t="s">
        <v>0</v>
      </c>
      <c r="I124" s="16" t="str">
        <f t="shared" si="57"/>
        <v>07-07</v>
      </c>
      <c r="J124" s="14">
        <f t="shared" si="58"/>
        <v>337</v>
      </c>
      <c r="K124" s="15">
        <f t="shared" si="59"/>
        <v>362</v>
      </c>
      <c r="L124" s="17">
        <f t="shared" si="60"/>
        <v>360</v>
      </c>
      <c r="M124" s="18">
        <f t="shared" si="61"/>
        <v>362</v>
      </c>
      <c r="N124" s="14">
        <f t="shared" si="62"/>
        <v>360</v>
      </c>
      <c r="O124" s="15">
        <f t="shared" si="63"/>
        <v>392</v>
      </c>
      <c r="P124" s="17">
        <f t="shared" si="64"/>
        <v>337</v>
      </c>
      <c r="Q124" s="18">
        <f t="shared" si="65"/>
        <v>392</v>
      </c>
      <c r="R124" s="4" t="s">
        <v>0</v>
      </c>
      <c r="S124" s="16" t="str">
        <f t="shared" si="66"/>
        <v>07-07</v>
      </c>
      <c r="T124" s="14">
        <f t="shared" si="67"/>
        <v>337</v>
      </c>
      <c r="U124" s="18">
        <f t="shared" si="68"/>
        <v>388</v>
      </c>
      <c r="V124" s="14">
        <f t="shared" si="69"/>
        <v>360</v>
      </c>
      <c r="W124" s="18">
        <f t="shared" si="70"/>
        <v>388</v>
      </c>
      <c r="X124" s="14">
        <f t="shared" si="71"/>
        <v>360</v>
      </c>
      <c r="Y124" s="18">
        <f t="shared" si="72"/>
        <v>358</v>
      </c>
      <c r="Z124" s="14">
        <f t="shared" si="73"/>
        <v>337</v>
      </c>
      <c r="AA124" s="18">
        <f t="shared" si="74"/>
        <v>358</v>
      </c>
      <c r="AB124" s="4" t="s">
        <v>0</v>
      </c>
    </row>
    <row r="125" spans="1:28">
      <c r="A125" s="9" t="s">
        <v>63</v>
      </c>
      <c r="B125" s="24"/>
      <c r="C125" s="4"/>
      <c r="D125" s="25">
        <f t="shared" si="87"/>
        <v>361</v>
      </c>
      <c r="E125" s="29">
        <f t="shared" si="92"/>
        <v>362</v>
      </c>
      <c r="F125" s="25">
        <f t="shared" si="88"/>
        <v>384</v>
      </c>
      <c r="G125" s="29">
        <f t="shared" si="94"/>
        <v>392</v>
      </c>
      <c r="H125" s="4" t="s">
        <v>0</v>
      </c>
      <c r="I125" s="16" t="str">
        <f t="shared" si="57"/>
        <v>07-06</v>
      </c>
      <c r="J125" s="14">
        <f t="shared" si="58"/>
        <v>361</v>
      </c>
      <c r="K125" s="15">
        <f t="shared" si="59"/>
        <v>362</v>
      </c>
      <c r="L125" s="17">
        <f t="shared" si="60"/>
        <v>384</v>
      </c>
      <c r="M125" s="18">
        <f t="shared" si="61"/>
        <v>362</v>
      </c>
      <c r="N125" s="14">
        <f t="shared" si="62"/>
        <v>384</v>
      </c>
      <c r="O125" s="15">
        <f t="shared" si="63"/>
        <v>392</v>
      </c>
      <c r="P125" s="17">
        <f t="shared" si="64"/>
        <v>361</v>
      </c>
      <c r="Q125" s="18">
        <f t="shared" si="65"/>
        <v>392</v>
      </c>
      <c r="R125" s="4" t="s">
        <v>0</v>
      </c>
      <c r="S125" s="16" t="str">
        <f t="shared" si="66"/>
        <v>07-06</v>
      </c>
      <c r="T125" s="14">
        <f t="shared" si="67"/>
        <v>361</v>
      </c>
      <c r="U125" s="18">
        <f t="shared" si="68"/>
        <v>388</v>
      </c>
      <c r="V125" s="14">
        <f t="shared" si="69"/>
        <v>384</v>
      </c>
      <c r="W125" s="18">
        <f t="shared" si="70"/>
        <v>388</v>
      </c>
      <c r="X125" s="14">
        <f t="shared" si="71"/>
        <v>384</v>
      </c>
      <c r="Y125" s="18">
        <f t="shared" si="72"/>
        <v>358</v>
      </c>
      <c r="Z125" s="14">
        <f t="shared" si="73"/>
        <v>361</v>
      </c>
      <c r="AA125" s="18">
        <f t="shared" si="74"/>
        <v>358</v>
      </c>
      <c r="AB125" s="4" t="s">
        <v>0</v>
      </c>
    </row>
    <row r="126" spans="1:28">
      <c r="A126" s="9" t="s">
        <v>62</v>
      </c>
      <c r="B126" s="24"/>
      <c r="C126" s="4"/>
      <c r="D126" s="25">
        <f t="shared" si="87"/>
        <v>386</v>
      </c>
      <c r="E126" s="29">
        <f t="shared" si="92"/>
        <v>362</v>
      </c>
      <c r="F126" s="25">
        <f t="shared" si="88"/>
        <v>409</v>
      </c>
      <c r="G126" s="29">
        <f t="shared" si="94"/>
        <v>392</v>
      </c>
      <c r="H126" s="4" t="s">
        <v>0</v>
      </c>
      <c r="I126" s="16" t="str">
        <f t="shared" si="57"/>
        <v>07-05</v>
      </c>
      <c r="J126" s="14">
        <f t="shared" si="58"/>
        <v>386</v>
      </c>
      <c r="K126" s="15">
        <f t="shared" si="59"/>
        <v>362</v>
      </c>
      <c r="L126" s="17">
        <f t="shared" si="60"/>
        <v>409</v>
      </c>
      <c r="M126" s="18">
        <f t="shared" si="61"/>
        <v>362</v>
      </c>
      <c r="N126" s="14">
        <f t="shared" si="62"/>
        <v>409</v>
      </c>
      <c r="O126" s="15">
        <f t="shared" si="63"/>
        <v>392</v>
      </c>
      <c r="P126" s="17">
        <f t="shared" si="64"/>
        <v>386</v>
      </c>
      <c r="Q126" s="18">
        <f t="shared" si="65"/>
        <v>392</v>
      </c>
      <c r="R126" s="4" t="s">
        <v>0</v>
      </c>
      <c r="S126" s="16" t="str">
        <f t="shared" si="66"/>
        <v>07-05</v>
      </c>
      <c r="T126" s="14">
        <f t="shared" si="67"/>
        <v>386</v>
      </c>
      <c r="U126" s="18">
        <f t="shared" si="68"/>
        <v>388</v>
      </c>
      <c r="V126" s="14">
        <f t="shared" si="69"/>
        <v>409</v>
      </c>
      <c r="W126" s="18">
        <f t="shared" si="70"/>
        <v>388</v>
      </c>
      <c r="X126" s="14">
        <f t="shared" si="71"/>
        <v>409</v>
      </c>
      <c r="Y126" s="18">
        <f t="shared" si="72"/>
        <v>358</v>
      </c>
      <c r="Z126" s="14">
        <f t="shared" si="73"/>
        <v>386</v>
      </c>
      <c r="AA126" s="18">
        <f t="shared" si="74"/>
        <v>358</v>
      </c>
      <c r="AB126" s="4" t="s">
        <v>0</v>
      </c>
    </row>
    <row r="127" spans="1:28">
      <c r="A127" s="9" t="s">
        <v>3</v>
      </c>
      <c r="B127" s="24"/>
      <c r="C127" s="4"/>
      <c r="D127" s="25">
        <f t="shared" si="87"/>
        <v>410</v>
      </c>
      <c r="E127" s="29">
        <f t="shared" si="92"/>
        <v>362</v>
      </c>
      <c r="F127" s="25">
        <f t="shared" si="88"/>
        <v>433</v>
      </c>
      <c r="G127" s="29">
        <f t="shared" si="94"/>
        <v>392</v>
      </c>
      <c r="H127" s="4" t="s">
        <v>0</v>
      </c>
      <c r="I127" s="16" t="str">
        <f t="shared" si="57"/>
        <v>07-03</v>
      </c>
      <c r="J127" s="14">
        <f t="shared" si="58"/>
        <v>410</v>
      </c>
      <c r="K127" s="15">
        <f t="shared" si="59"/>
        <v>362</v>
      </c>
      <c r="L127" s="17">
        <f t="shared" si="60"/>
        <v>433</v>
      </c>
      <c r="M127" s="18">
        <f t="shared" si="61"/>
        <v>362</v>
      </c>
      <c r="N127" s="14">
        <f t="shared" si="62"/>
        <v>433</v>
      </c>
      <c r="O127" s="15">
        <f t="shared" si="63"/>
        <v>392</v>
      </c>
      <c r="P127" s="17">
        <f t="shared" si="64"/>
        <v>410</v>
      </c>
      <c r="Q127" s="18">
        <f t="shared" si="65"/>
        <v>392</v>
      </c>
      <c r="R127" s="4" t="s">
        <v>0</v>
      </c>
      <c r="S127" s="16" t="str">
        <f t="shared" si="66"/>
        <v>07-03</v>
      </c>
      <c r="T127" s="14">
        <f t="shared" si="67"/>
        <v>410</v>
      </c>
      <c r="U127" s="18">
        <f t="shared" si="68"/>
        <v>388</v>
      </c>
      <c r="V127" s="14">
        <f t="shared" si="69"/>
        <v>433</v>
      </c>
      <c r="W127" s="18">
        <f t="shared" si="70"/>
        <v>388</v>
      </c>
      <c r="X127" s="14">
        <f t="shared" si="71"/>
        <v>433</v>
      </c>
      <c r="Y127" s="18">
        <f t="shared" si="72"/>
        <v>358</v>
      </c>
      <c r="Z127" s="14">
        <f t="shared" si="73"/>
        <v>410</v>
      </c>
      <c r="AA127" s="18">
        <f t="shared" si="74"/>
        <v>358</v>
      </c>
      <c r="AB127" s="4" t="s">
        <v>0</v>
      </c>
    </row>
    <row r="128" spans="1:28">
      <c r="A128" s="9" t="s">
        <v>61</v>
      </c>
      <c r="B128" s="24"/>
      <c r="C128" s="4"/>
      <c r="D128" s="25">
        <f t="shared" si="87"/>
        <v>434</v>
      </c>
      <c r="E128" s="29">
        <f t="shared" si="92"/>
        <v>362</v>
      </c>
      <c r="F128" s="25">
        <f t="shared" si="88"/>
        <v>457</v>
      </c>
      <c r="G128" s="29">
        <f t="shared" si="94"/>
        <v>392</v>
      </c>
      <c r="H128" s="4" t="s">
        <v>0</v>
      </c>
      <c r="I128" s="16" t="str">
        <f t="shared" si="57"/>
        <v>07-02</v>
      </c>
      <c r="J128" s="14">
        <f t="shared" si="58"/>
        <v>434</v>
      </c>
      <c r="K128" s="15">
        <f t="shared" si="59"/>
        <v>362</v>
      </c>
      <c r="L128" s="17">
        <f t="shared" si="60"/>
        <v>457</v>
      </c>
      <c r="M128" s="18">
        <f t="shared" si="61"/>
        <v>362</v>
      </c>
      <c r="N128" s="14">
        <f t="shared" si="62"/>
        <v>457</v>
      </c>
      <c r="O128" s="15">
        <f t="shared" si="63"/>
        <v>392</v>
      </c>
      <c r="P128" s="17">
        <f t="shared" si="64"/>
        <v>434</v>
      </c>
      <c r="Q128" s="18">
        <f t="shared" si="65"/>
        <v>392</v>
      </c>
      <c r="R128" s="4" t="s">
        <v>0</v>
      </c>
      <c r="S128" s="16" t="str">
        <f t="shared" si="66"/>
        <v>07-02</v>
      </c>
      <c r="T128" s="14">
        <f t="shared" si="67"/>
        <v>434</v>
      </c>
      <c r="U128" s="18">
        <f t="shared" si="68"/>
        <v>388</v>
      </c>
      <c r="V128" s="14">
        <f t="shared" si="69"/>
        <v>457</v>
      </c>
      <c r="W128" s="18">
        <f t="shared" si="70"/>
        <v>388</v>
      </c>
      <c r="X128" s="14">
        <f t="shared" si="71"/>
        <v>457</v>
      </c>
      <c r="Y128" s="18">
        <f t="shared" si="72"/>
        <v>358</v>
      </c>
      <c r="Z128" s="14">
        <f t="shared" si="73"/>
        <v>434</v>
      </c>
      <c r="AA128" s="18">
        <f t="shared" si="74"/>
        <v>358</v>
      </c>
      <c r="AB128" s="4" t="s">
        <v>0</v>
      </c>
    </row>
    <row r="129" spans="1:28">
      <c r="A129" s="9" t="s">
        <v>60</v>
      </c>
      <c r="B129" s="24"/>
      <c r="C129" s="4"/>
      <c r="D129" s="25">
        <f t="shared" si="87"/>
        <v>458</v>
      </c>
      <c r="E129" s="29">
        <f t="shared" si="92"/>
        <v>362</v>
      </c>
      <c r="F129" s="25">
        <f t="shared" si="88"/>
        <v>481</v>
      </c>
      <c r="G129" s="29">
        <f t="shared" si="94"/>
        <v>392</v>
      </c>
      <c r="H129" s="4" t="s">
        <v>0</v>
      </c>
      <c r="I129" s="16" t="str">
        <f t="shared" si="57"/>
        <v>07-01</v>
      </c>
      <c r="J129" s="14">
        <f t="shared" si="58"/>
        <v>458</v>
      </c>
      <c r="K129" s="15">
        <f t="shared" si="59"/>
        <v>362</v>
      </c>
      <c r="L129" s="17">
        <f t="shared" si="60"/>
        <v>481</v>
      </c>
      <c r="M129" s="18">
        <f t="shared" si="61"/>
        <v>362</v>
      </c>
      <c r="N129" s="14">
        <f t="shared" si="62"/>
        <v>481</v>
      </c>
      <c r="O129" s="15">
        <f t="shared" si="63"/>
        <v>392</v>
      </c>
      <c r="P129" s="17">
        <f t="shared" si="64"/>
        <v>458</v>
      </c>
      <c r="Q129" s="18">
        <f t="shared" si="65"/>
        <v>392</v>
      </c>
      <c r="R129" s="4" t="s">
        <v>0</v>
      </c>
      <c r="S129" s="16" t="str">
        <f t="shared" si="66"/>
        <v>07-01</v>
      </c>
      <c r="T129" s="14">
        <f t="shared" si="67"/>
        <v>458</v>
      </c>
      <c r="U129" s="18">
        <f t="shared" si="68"/>
        <v>388</v>
      </c>
      <c r="V129" s="14">
        <f t="shared" si="69"/>
        <v>481</v>
      </c>
      <c r="W129" s="18">
        <f t="shared" si="70"/>
        <v>388</v>
      </c>
      <c r="X129" s="14">
        <f t="shared" si="71"/>
        <v>481</v>
      </c>
      <c r="Y129" s="18">
        <f t="shared" si="72"/>
        <v>358</v>
      </c>
      <c r="Z129" s="14">
        <f t="shared" si="73"/>
        <v>458</v>
      </c>
      <c r="AA129" s="18">
        <f t="shared" si="74"/>
        <v>358</v>
      </c>
      <c r="AB129" s="4" t="s">
        <v>0</v>
      </c>
    </row>
    <row r="130" spans="1:28">
      <c r="A130" s="9" t="s">
        <v>172</v>
      </c>
      <c r="B130" s="24"/>
      <c r="C130" s="4"/>
      <c r="D130" s="27">
        <v>71</v>
      </c>
      <c r="E130" s="31">
        <f t="shared" ref="E130" si="95">ROUND(E113+39.8,0)</f>
        <v>402</v>
      </c>
      <c r="F130" s="31">
        <v>94</v>
      </c>
      <c r="G130" s="31">
        <f t="shared" ref="G130" si="96">ROUND(G113+39.8,0)</f>
        <v>432</v>
      </c>
      <c r="H130" s="4" t="s">
        <v>0</v>
      </c>
      <c r="I130" s="16" t="str">
        <f t="shared" si="57"/>
        <v>06-21</v>
      </c>
      <c r="J130" s="14">
        <f t="shared" si="58"/>
        <v>71</v>
      </c>
      <c r="K130" s="15">
        <f t="shared" si="59"/>
        <v>402</v>
      </c>
      <c r="L130" s="17">
        <f t="shared" si="60"/>
        <v>94</v>
      </c>
      <c r="M130" s="18">
        <f t="shared" si="61"/>
        <v>402</v>
      </c>
      <c r="N130" s="14">
        <f t="shared" si="62"/>
        <v>94</v>
      </c>
      <c r="O130" s="15">
        <f t="shared" si="63"/>
        <v>432</v>
      </c>
      <c r="P130" s="17">
        <f t="shared" si="64"/>
        <v>71</v>
      </c>
      <c r="Q130" s="18">
        <f t="shared" si="65"/>
        <v>432</v>
      </c>
      <c r="R130" s="4" t="s">
        <v>0</v>
      </c>
      <c r="S130" s="16" t="str">
        <f t="shared" si="66"/>
        <v>06-21</v>
      </c>
      <c r="T130" s="14">
        <f t="shared" si="67"/>
        <v>71</v>
      </c>
      <c r="U130" s="18">
        <f t="shared" si="68"/>
        <v>348</v>
      </c>
      <c r="V130" s="14">
        <f t="shared" si="69"/>
        <v>94</v>
      </c>
      <c r="W130" s="18">
        <f t="shared" si="70"/>
        <v>348</v>
      </c>
      <c r="X130" s="14">
        <f t="shared" si="71"/>
        <v>94</v>
      </c>
      <c r="Y130" s="18">
        <f t="shared" si="72"/>
        <v>318</v>
      </c>
      <c r="Z130" s="14">
        <f t="shared" si="73"/>
        <v>71</v>
      </c>
      <c r="AA130" s="18">
        <f t="shared" si="74"/>
        <v>318</v>
      </c>
      <c r="AB130" s="4" t="s">
        <v>0</v>
      </c>
    </row>
    <row r="131" spans="1:28">
      <c r="A131" s="9" t="s">
        <v>171</v>
      </c>
      <c r="B131" s="24"/>
      <c r="C131" s="4"/>
      <c r="D131" s="25">
        <f t="shared" ref="D131" si="97">D114</f>
        <v>95</v>
      </c>
      <c r="E131" s="29">
        <f t="shared" ref="E131:E146" si="98">E130</f>
        <v>402</v>
      </c>
      <c r="F131" s="25">
        <f t="shared" ref="F131" si="99">F114</f>
        <v>118</v>
      </c>
      <c r="G131" s="29">
        <f t="shared" ref="G131:G146" si="100">G130</f>
        <v>432</v>
      </c>
      <c r="H131" s="4" t="s">
        <v>0</v>
      </c>
      <c r="I131" s="16" t="str">
        <f t="shared" si="57"/>
        <v>06-20</v>
      </c>
      <c r="J131" s="14">
        <f t="shared" si="58"/>
        <v>95</v>
      </c>
      <c r="K131" s="15">
        <f t="shared" si="59"/>
        <v>402</v>
      </c>
      <c r="L131" s="17">
        <f t="shared" si="60"/>
        <v>118</v>
      </c>
      <c r="M131" s="18">
        <f t="shared" si="61"/>
        <v>402</v>
      </c>
      <c r="N131" s="14">
        <f t="shared" si="62"/>
        <v>118</v>
      </c>
      <c r="O131" s="15">
        <f t="shared" si="63"/>
        <v>432</v>
      </c>
      <c r="P131" s="17">
        <f t="shared" si="64"/>
        <v>95</v>
      </c>
      <c r="Q131" s="18">
        <f t="shared" si="65"/>
        <v>432</v>
      </c>
      <c r="R131" s="4" t="s">
        <v>0</v>
      </c>
      <c r="S131" s="16" t="str">
        <f t="shared" si="66"/>
        <v>06-20</v>
      </c>
      <c r="T131" s="14">
        <f t="shared" si="67"/>
        <v>95</v>
      </c>
      <c r="U131" s="18">
        <f t="shared" si="68"/>
        <v>348</v>
      </c>
      <c r="V131" s="14">
        <f t="shared" si="69"/>
        <v>118</v>
      </c>
      <c r="W131" s="18">
        <f t="shared" si="70"/>
        <v>348</v>
      </c>
      <c r="X131" s="14">
        <f t="shared" si="71"/>
        <v>118</v>
      </c>
      <c r="Y131" s="18">
        <f t="shared" si="72"/>
        <v>318</v>
      </c>
      <c r="Z131" s="14">
        <f t="shared" si="73"/>
        <v>95</v>
      </c>
      <c r="AA131" s="18">
        <f t="shared" si="74"/>
        <v>318</v>
      </c>
      <c r="AB131" s="4" t="s">
        <v>0</v>
      </c>
    </row>
    <row r="132" spans="1:28">
      <c r="A132" s="9" t="s">
        <v>170</v>
      </c>
      <c r="B132" s="24"/>
      <c r="C132" s="4"/>
      <c r="D132" s="25">
        <f t="shared" si="87"/>
        <v>119</v>
      </c>
      <c r="E132" s="29">
        <f t="shared" si="98"/>
        <v>402</v>
      </c>
      <c r="F132" s="25">
        <f t="shared" si="88"/>
        <v>142</v>
      </c>
      <c r="G132" s="29">
        <f t="shared" si="100"/>
        <v>432</v>
      </c>
      <c r="H132" s="4" t="s">
        <v>0</v>
      </c>
      <c r="I132" s="16" t="str">
        <f t="shared" si="57"/>
        <v>06-18</v>
      </c>
      <c r="J132" s="14">
        <f t="shared" si="58"/>
        <v>119</v>
      </c>
      <c r="K132" s="15">
        <f t="shared" si="59"/>
        <v>402</v>
      </c>
      <c r="L132" s="17">
        <f t="shared" si="60"/>
        <v>142</v>
      </c>
      <c r="M132" s="18">
        <f t="shared" si="61"/>
        <v>402</v>
      </c>
      <c r="N132" s="14">
        <f t="shared" si="62"/>
        <v>142</v>
      </c>
      <c r="O132" s="15">
        <f t="shared" si="63"/>
        <v>432</v>
      </c>
      <c r="P132" s="17">
        <f t="shared" si="64"/>
        <v>119</v>
      </c>
      <c r="Q132" s="18">
        <f t="shared" si="65"/>
        <v>432</v>
      </c>
      <c r="R132" s="4" t="s">
        <v>0</v>
      </c>
      <c r="S132" s="16" t="str">
        <f t="shared" si="66"/>
        <v>06-18</v>
      </c>
      <c r="T132" s="14">
        <f t="shared" si="67"/>
        <v>119</v>
      </c>
      <c r="U132" s="18">
        <f t="shared" si="68"/>
        <v>348</v>
      </c>
      <c r="V132" s="14">
        <f t="shared" si="69"/>
        <v>142</v>
      </c>
      <c r="W132" s="18">
        <f t="shared" si="70"/>
        <v>348</v>
      </c>
      <c r="X132" s="14">
        <f t="shared" si="71"/>
        <v>142</v>
      </c>
      <c r="Y132" s="18">
        <f t="shared" si="72"/>
        <v>318</v>
      </c>
      <c r="Z132" s="14">
        <f t="shared" si="73"/>
        <v>119</v>
      </c>
      <c r="AA132" s="18">
        <f t="shared" si="74"/>
        <v>318</v>
      </c>
      <c r="AB132" s="4" t="s">
        <v>0</v>
      </c>
    </row>
    <row r="133" spans="1:28">
      <c r="A133" s="9" t="s">
        <v>137</v>
      </c>
      <c r="B133" s="24"/>
      <c r="C133" s="4"/>
      <c r="D133" s="25">
        <f t="shared" si="87"/>
        <v>144</v>
      </c>
      <c r="E133" s="29">
        <f t="shared" si="98"/>
        <v>402</v>
      </c>
      <c r="F133" s="25">
        <f t="shared" si="88"/>
        <v>167</v>
      </c>
      <c r="G133" s="29">
        <f t="shared" si="100"/>
        <v>432</v>
      </c>
      <c r="H133" s="4" t="s">
        <v>0</v>
      </c>
      <c r="I133" s="16" t="str">
        <f t="shared" si="57"/>
        <v>06-17</v>
      </c>
      <c r="J133" s="14">
        <f t="shared" si="58"/>
        <v>144</v>
      </c>
      <c r="K133" s="15">
        <f t="shared" si="59"/>
        <v>402</v>
      </c>
      <c r="L133" s="17">
        <f t="shared" si="60"/>
        <v>167</v>
      </c>
      <c r="M133" s="18">
        <f t="shared" si="61"/>
        <v>402</v>
      </c>
      <c r="N133" s="14">
        <f t="shared" si="62"/>
        <v>167</v>
      </c>
      <c r="O133" s="15">
        <f t="shared" si="63"/>
        <v>432</v>
      </c>
      <c r="P133" s="17">
        <f t="shared" si="64"/>
        <v>144</v>
      </c>
      <c r="Q133" s="18">
        <f t="shared" si="65"/>
        <v>432</v>
      </c>
      <c r="R133" s="4" t="s">
        <v>0</v>
      </c>
      <c r="S133" s="16" t="str">
        <f t="shared" si="66"/>
        <v>06-17</v>
      </c>
      <c r="T133" s="14">
        <f t="shared" si="67"/>
        <v>144</v>
      </c>
      <c r="U133" s="18">
        <f t="shared" si="68"/>
        <v>348</v>
      </c>
      <c r="V133" s="14">
        <f t="shared" si="69"/>
        <v>167</v>
      </c>
      <c r="W133" s="18">
        <f t="shared" si="70"/>
        <v>348</v>
      </c>
      <c r="X133" s="14">
        <f t="shared" si="71"/>
        <v>167</v>
      </c>
      <c r="Y133" s="18">
        <f t="shared" si="72"/>
        <v>318</v>
      </c>
      <c r="Z133" s="14">
        <f t="shared" si="73"/>
        <v>144</v>
      </c>
      <c r="AA133" s="18">
        <f t="shared" si="74"/>
        <v>318</v>
      </c>
      <c r="AB133" s="4" t="s">
        <v>0</v>
      </c>
    </row>
    <row r="134" spans="1:28">
      <c r="A134" s="9" t="s">
        <v>169</v>
      </c>
      <c r="B134" s="24"/>
      <c r="C134" s="4"/>
      <c r="D134" s="25">
        <f t="shared" si="87"/>
        <v>168</v>
      </c>
      <c r="E134" s="29">
        <f t="shared" si="98"/>
        <v>402</v>
      </c>
      <c r="F134" s="25">
        <f t="shared" si="88"/>
        <v>191</v>
      </c>
      <c r="G134" s="29">
        <f t="shared" si="100"/>
        <v>432</v>
      </c>
      <c r="H134" s="4" t="s">
        <v>0</v>
      </c>
      <c r="I134" s="16" t="str">
        <f t="shared" si="57"/>
        <v>06-16</v>
      </c>
      <c r="J134" s="14">
        <f t="shared" si="58"/>
        <v>168</v>
      </c>
      <c r="K134" s="15">
        <f t="shared" si="59"/>
        <v>402</v>
      </c>
      <c r="L134" s="17">
        <f t="shared" si="60"/>
        <v>191</v>
      </c>
      <c r="M134" s="18">
        <f t="shared" si="61"/>
        <v>402</v>
      </c>
      <c r="N134" s="14">
        <f t="shared" si="62"/>
        <v>191</v>
      </c>
      <c r="O134" s="15">
        <f t="shared" si="63"/>
        <v>432</v>
      </c>
      <c r="P134" s="17">
        <f t="shared" si="64"/>
        <v>168</v>
      </c>
      <c r="Q134" s="18">
        <f t="shared" si="65"/>
        <v>432</v>
      </c>
      <c r="R134" s="4" t="s">
        <v>0</v>
      </c>
      <c r="S134" s="16" t="str">
        <f t="shared" si="66"/>
        <v>06-16</v>
      </c>
      <c r="T134" s="14">
        <f t="shared" si="67"/>
        <v>168</v>
      </c>
      <c r="U134" s="18">
        <f t="shared" si="68"/>
        <v>348</v>
      </c>
      <c r="V134" s="14">
        <f t="shared" si="69"/>
        <v>191</v>
      </c>
      <c r="W134" s="18">
        <f t="shared" si="70"/>
        <v>348</v>
      </c>
      <c r="X134" s="14">
        <f t="shared" si="71"/>
        <v>191</v>
      </c>
      <c r="Y134" s="18">
        <f t="shared" si="72"/>
        <v>318</v>
      </c>
      <c r="Z134" s="14">
        <f t="shared" si="73"/>
        <v>168</v>
      </c>
      <c r="AA134" s="18">
        <f t="shared" si="74"/>
        <v>318</v>
      </c>
      <c r="AB134" s="4" t="s">
        <v>0</v>
      </c>
    </row>
    <row r="135" spans="1:28">
      <c r="A135" s="9" t="s">
        <v>168</v>
      </c>
      <c r="B135" s="24"/>
      <c r="C135" s="4"/>
      <c r="D135" s="25">
        <f t="shared" si="87"/>
        <v>192</v>
      </c>
      <c r="E135" s="29">
        <f t="shared" si="98"/>
        <v>402</v>
      </c>
      <c r="F135" s="25">
        <f t="shared" si="88"/>
        <v>215</v>
      </c>
      <c r="G135" s="29">
        <f t="shared" si="100"/>
        <v>432</v>
      </c>
      <c r="H135" s="4" t="s">
        <v>0</v>
      </c>
      <c r="I135" s="16" t="str">
        <f t="shared" si="57"/>
        <v>06-15</v>
      </c>
      <c r="J135" s="14">
        <f t="shared" si="58"/>
        <v>192</v>
      </c>
      <c r="K135" s="15">
        <f t="shared" si="59"/>
        <v>402</v>
      </c>
      <c r="L135" s="17">
        <f t="shared" si="60"/>
        <v>215</v>
      </c>
      <c r="M135" s="18">
        <f t="shared" si="61"/>
        <v>402</v>
      </c>
      <c r="N135" s="14">
        <f t="shared" si="62"/>
        <v>215</v>
      </c>
      <c r="O135" s="15">
        <f t="shared" si="63"/>
        <v>432</v>
      </c>
      <c r="P135" s="17">
        <f t="shared" si="64"/>
        <v>192</v>
      </c>
      <c r="Q135" s="18">
        <f t="shared" si="65"/>
        <v>432</v>
      </c>
      <c r="R135" s="4" t="s">
        <v>0</v>
      </c>
      <c r="S135" s="16" t="str">
        <f t="shared" si="66"/>
        <v>06-15</v>
      </c>
      <c r="T135" s="14">
        <f t="shared" si="67"/>
        <v>192</v>
      </c>
      <c r="U135" s="18">
        <f t="shared" si="68"/>
        <v>348</v>
      </c>
      <c r="V135" s="14">
        <f t="shared" si="69"/>
        <v>215</v>
      </c>
      <c r="W135" s="18">
        <f t="shared" si="70"/>
        <v>348</v>
      </c>
      <c r="X135" s="14">
        <f t="shared" si="71"/>
        <v>215</v>
      </c>
      <c r="Y135" s="18">
        <f t="shared" si="72"/>
        <v>318</v>
      </c>
      <c r="Z135" s="14">
        <f t="shared" si="73"/>
        <v>192</v>
      </c>
      <c r="AA135" s="18">
        <f t="shared" si="74"/>
        <v>318</v>
      </c>
      <c r="AB135" s="4" t="s">
        <v>0</v>
      </c>
    </row>
    <row r="136" spans="1:28">
      <c r="A136" s="9" t="s">
        <v>167</v>
      </c>
      <c r="B136" s="24"/>
      <c r="C136" s="4"/>
      <c r="D136" s="25">
        <f t="shared" si="87"/>
        <v>216</v>
      </c>
      <c r="E136" s="29">
        <f t="shared" si="98"/>
        <v>402</v>
      </c>
      <c r="F136" s="25">
        <f t="shared" si="88"/>
        <v>239</v>
      </c>
      <c r="G136" s="29">
        <f t="shared" si="100"/>
        <v>432</v>
      </c>
      <c r="H136" s="4" t="s">
        <v>0</v>
      </c>
      <c r="I136" s="16" t="str">
        <f t="shared" si="57"/>
        <v>06-13</v>
      </c>
      <c r="J136" s="14">
        <f t="shared" si="58"/>
        <v>216</v>
      </c>
      <c r="K136" s="15">
        <f t="shared" si="59"/>
        <v>402</v>
      </c>
      <c r="L136" s="17">
        <f t="shared" si="60"/>
        <v>239</v>
      </c>
      <c r="M136" s="18">
        <f t="shared" si="61"/>
        <v>402</v>
      </c>
      <c r="N136" s="14">
        <f t="shared" si="62"/>
        <v>239</v>
      </c>
      <c r="O136" s="15">
        <f t="shared" si="63"/>
        <v>432</v>
      </c>
      <c r="P136" s="17">
        <f t="shared" si="64"/>
        <v>216</v>
      </c>
      <c r="Q136" s="18">
        <f t="shared" si="65"/>
        <v>432</v>
      </c>
      <c r="R136" s="4" t="s">
        <v>0</v>
      </c>
      <c r="S136" s="16" t="str">
        <f t="shared" si="66"/>
        <v>06-13</v>
      </c>
      <c r="T136" s="14">
        <f t="shared" si="67"/>
        <v>216</v>
      </c>
      <c r="U136" s="18">
        <f t="shared" si="68"/>
        <v>348</v>
      </c>
      <c r="V136" s="14">
        <f t="shared" si="69"/>
        <v>239</v>
      </c>
      <c r="W136" s="18">
        <f t="shared" si="70"/>
        <v>348</v>
      </c>
      <c r="X136" s="14">
        <f t="shared" si="71"/>
        <v>239</v>
      </c>
      <c r="Y136" s="18">
        <f t="shared" si="72"/>
        <v>318</v>
      </c>
      <c r="Z136" s="14">
        <f t="shared" si="73"/>
        <v>216</v>
      </c>
      <c r="AA136" s="18">
        <f t="shared" si="74"/>
        <v>318</v>
      </c>
      <c r="AB136" s="4" t="s">
        <v>0</v>
      </c>
    </row>
    <row r="137" spans="1:28">
      <c r="A137" s="9" t="s">
        <v>59</v>
      </c>
      <c r="B137" s="24"/>
      <c r="C137" s="4"/>
      <c r="D137" s="25">
        <f t="shared" si="87"/>
        <v>240</v>
      </c>
      <c r="E137" s="29">
        <f t="shared" si="98"/>
        <v>402</v>
      </c>
      <c r="F137" s="25">
        <f t="shared" si="88"/>
        <v>263</v>
      </c>
      <c r="G137" s="29">
        <f t="shared" si="100"/>
        <v>432</v>
      </c>
      <c r="H137" s="4" t="s">
        <v>0</v>
      </c>
      <c r="I137" s="16" t="str">
        <f t="shared" si="57"/>
        <v>06-12</v>
      </c>
      <c r="J137" s="14">
        <f t="shared" si="58"/>
        <v>240</v>
      </c>
      <c r="K137" s="15">
        <f t="shared" si="59"/>
        <v>402</v>
      </c>
      <c r="L137" s="17">
        <f t="shared" si="60"/>
        <v>263</v>
      </c>
      <c r="M137" s="18">
        <f t="shared" si="61"/>
        <v>402</v>
      </c>
      <c r="N137" s="14">
        <f t="shared" si="62"/>
        <v>263</v>
      </c>
      <c r="O137" s="15">
        <f t="shared" si="63"/>
        <v>432</v>
      </c>
      <c r="P137" s="17">
        <f t="shared" si="64"/>
        <v>240</v>
      </c>
      <c r="Q137" s="18">
        <f t="shared" si="65"/>
        <v>432</v>
      </c>
      <c r="R137" s="4" t="s">
        <v>0</v>
      </c>
      <c r="S137" s="16" t="str">
        <f t="shared" si="66"/>
        <v>06-12</v>
      </c>
      <c r="T137" s="14">
        <f t="shared" si="67"/>
        <v>240</v>
      </c>
      <c r="U137" s="18">
        <f t="shared" si="68"/>
        <v>348</v>
      </c>
      <c r="V137" s="14">
        <f t="shared" si="69"/>
        <v>263</v>
      </c>
      <c r="W137" s="18">
        <f t="shared" si="70"/>
        <v>348</v>
      </c>
      <c r="X137" s="14">
        <f t="shared" si="71"/>
        <v>263</v>
      </c>
      <c r="Y137" s="18">
        <f t="shared" si="72"/>
        <v>318</v>
      </c>
      <c r="Z137" s="14">
        <f t="shared" si="73"/>
        <v>240</v>
      </c>
      <c r="AA137" s="18">
        <f t="shared" si="74"/>
        <v>318</v>
      </c>
      <c r="AB137" s="4" t="s">
        <v>0</v>
      </c>
    </row>
    <row r="138" spans="1:28">
      <c r="A138" s="9" t="s">
        <v>58</v>
      </c>
      <c r="B138" s="24"/>
      <c r="C138" s="4"/>
      <c r="D138" s="25">
        <f t="shared" si="87"/>
        <v>265</v>
      </c>
      <c r="E138" s="29">
        <f t="shared" si="98"/>
        <v>402</v>
      </c>
      <c r="F138" s="25">
        <f t="shared" si="88"/>
        <v>288</v>
      </c>
      <c r="G138" s="29">
        <f t="shared" si="100"/>
        <v>432</v>
      </c>
      <c r="H138" s="4" t="s">
        <v>0</v>
      </c>
      <c r="I138" s="16" t="str">
        <f t="shared" si="57"/>
        <v>06-11</v>
      </c>
      <c r="J138" s="14">
        <f t="shared" si="58"/>
        <v>265</v>
      </c>
      <c r="K138" s="15">
        <f t="shared" si="59"/>
        <v>402</v>
      </c>
      <c r="L138" s="17">
        <f t="shared" si="60"/>
        <v>288</v>
      </c>
      <c r="M138" s="18">
        <f t="shared" si="61"/>
        <v>402</v>
      </c>
      <c r="N138" s="14">
        <f t="shared" si="62"/>
        <v>288</v>
      </c>
      <c r="O138" s="15">
        <f t="shared" si="63"/>
        <v>432</v>
      </c>
      <c r="P138" s="17">
        <f t="shared" si="64"/>
        <v>265</v>
      </c>
      <c r="Q138" s="18">
        <f t="shared" si="65"/>
        <v>432</v>
      </c>
      <c r="R138" s="4" t="s">
        <v>0</v>
      </c>
      <c r="S138" s="16" t="str">
        <f t="shared" si="66"/>
        <v>06-11</v>
      </c>
      <c r="T138" s="14">
        <f t="shared" si="67"/>
        <v>265</v>
      </c>
      <c r="U138" s="18">
        <f t="shared" si="68"/>
        <v>348</v>
      </c>
      <c r="V138" s="14">
        <f t="shared" si="69"/>
        <v>288</v>
      </c>
      <c r="W138" s="18">
        <f t="shared" si="70"/>
        <v>348</v>
      </c>
      <c r="X138" s="14">
        <f t="shared" si="71"/>
        <v>288</v>
      </c>
      <c r="Y138" s="18">
        <f t="shared" si="72"/>
        <v>318</v>
      </c>
      <c r="Z138" s="14">
        <f t="shared" si="73"/>
        <v>265</v>
      </c>
      <c r="AA138" s="18">
        <f t="shared" si="74"/>
        <v>318</v>
      </c>
      <c r="AB138" s="4" t="s">
        <v>0</v>
      </c>
    </row>
    <row r="139" spans="1:28">
      <c r="A139" s="9" t="s">
        <v>57</v>
      </c>
      <c r="B139" s="24"/>
      <c r="C139" s="4"/>
      <c r="D139" s="25">
        <f t="shared" si="87"/>
        <v>289</v>
      </c>
      <c r="E139" s="29">
        <f t="shared" si="98"/>
        <v>402</v>
      </c>
      <c r="F139" s="25">
        <f t="shared" si="88"/>
        <v>312</v>
      </c>
      <c r="G139" s="29">
        <f t="shared" si="100"/>
        <v>432</v>
      </c>
      <c r="H139" s="4" t="s">
        <v>0</v>
      </c>
      <c r="I139" s="16" t="str">
        <f t="shared" ref="I139:I171" si="101">A139</f>
        <v>06-10</v>
      </c>
      <c r="J139" s="14">
        <f t="shared" ref="J139:J171" si="102">IF(D139&lt;&gt;"",D139,0)</f>
        <v>289</v>
      </c>
      <c r="K139" s="15">
        <f t="shared" ref="K139:K171" si="103">IF(E139&lt;&gt;"",E139,0)</f>
        <v>402</v>
      </c>
      <c r="L139" s="17">
        <f t="shared" ref="L139:L171" si="104">N139</f>
        <v>312</v>
      </c>
      <c r="M139" s="18">
        <f t="shared" ref="M139:M171" si="105">K139</f>
        <v>402</v>
      </c>
      <c r="N139" s="14">
        <f t="shared" ref="N139:N171" si="106">IF(F139&lt;&gt;"",F139,0)</f>
        <v>312</v>
      </c>
      <c r="O139" s="15">
        <f t="shared" ref="O139:O171" si="107">IF(G139&lt;&gt;"",G139,0)</f>
        <v>432</v>
      </c>
      <c r="P139" s="17">
        <f t="shared" ref="P139:P171" si="108">J139</f>
        <v>289</v>
      </c>
      <c r="Q139" s="18">
        <f t="shared" ref="Q139:Q171" si="109">O139</f>
        <v>432</v>
      </c>
      <c r="R139" s="4" t="s">
        <v>0</v>
      </c>
      <c r="S139" s="16" t="str">
        <f t="shared" ref="S139:S171" si="110">I139</f>
        <v>06-10</v>
      </c>
      <c r="T139" s="14">
        <f t="shared" ref="T139:T171" si="111">IF(J139&lt;&gt;"",J139,"")</f>
        <v>289</v>
      </c>
      <c r="U139" s="18">
        <f t="shared" ref="U139:U171" si="112">IF(K139&lt;&gt;"",U$6-K139,"")</f>
        <v>348</v>
      </c>
      <c r="V139" s="14">
        <f t="shared" ref="V139:V171" si="113">IF(L139&lt;&gt;"",L139,"")</f>
        <v>312</v>
      </c>
      <c r="W139" s="18">
        <f t="shared" ref="W139:W171" si="114">IF(M139&lt;&gt;"",W$6-M139,"")</f>
        <v>348</v>
      </c>
      <c r="X139" s="14">
        <f t="shared" ref="X139:X171" si="115">IF(N139&lt;&gt;"",N139,"")</f>
        <v>312</v>
      </c>
      <c r="Y139" s="18">
        <f t="shared" ref="Y139:Y171" si="116">IF(O139&lt;&gt;"",Y$6-O139,"")</f>
        <v>318</v>
      </c>
      <c r="Z139" s="14">
        <f t="shared" ref="Z139:Z171" si="117">IF(P139&lt;&gt;"",P139,"")</f>
        <v>289</v>
      </c>
      <c r="AA139" s="18">
        <f t="shared" ref="AA139:AA171" si="118">IF(Q139&lt;&gt;"",AA$6-Q139,"")</f>
        <v>318</v>
      </c>
      <c r="AB139" s="4" t="s">
        <v>0</v>
      </c>
    </row>
    <row r="140" spans="1:28">
      <c r="A140" s="9" t="s">
        <v>56</v>
      </c>
      <c r="B140" s="24"/>
      <c r="C140" s="4"/>
      <c r="D140" s="25">
        <f t="shared" si="87"/>
        <v>313</v>
      </c>
      <c r="E140" s="29">
        <f t="shared" si="98"/>
        <v>402</v>
      </c>
      <c r="F140" s="25">
        <f t="shared" si="88"/>
        <v>336</v>
      </c>
      <c r="G140" s="29">
        <f t="shared" si="100"/>
        <v>432</v>
      </c>
      <c r="H140" s="4" t="s">
        <v>0</v>
      </c>
      <c r="I140" s="16" t="str">
        <f t="shared" si="101"/>
        <v>06-08</v>
      </c>
      <c r="J140" s="14">
        <f t="shared" si="102"/>
        <v>313</v>
      </c>
      <c r="K140" s="15">
        <f t="shared" si="103"/>
        <v>402</v>
      </c>
      <c r="L140" s="17">
        <f t="shared" si="104"/>
        <v>336</v>
      </c>
      <c r="M140" s="18">
        <f t="shared" si="105"/>
        <v>402</v>
      </c>
      <c r="N140" s="14">
        <f t="shared" si="106"/>
        <v>336</v>
      </c>
      <c r="O140" s="15">
        <f t="shared" si="107"/>
        <v>432</v>
      </c>
      <c r="P140" s="17">
        <f t="shared" si="108"/>
        <v>313</v>
      </c>
      <c r="Q140" s="18">
        <f t="shared" si="109"/>
        <v>432</v>
      </c>
      <c r="R140" s="4" t="s">
        <v>0</v>
      </c>
      <c r="S140" s="16" t="str">
        <f t="shared" si="110"/>
        <v>06-08</v>
      </c>
      <c r="T140" s="14">
        <f t="shared" si="111"/>
        <v>313</v>
      </c>
      <c r="U140" s="18">
        <f t="shared" si="112"/>
        <v>348</v>
      </c>
      <c r="V140" s="14">
        <f t="shared" si="113"/>
        <v>336</v>
      </c>
      <c r="W140" s="18">
        <f t="shared" si="114"/>
        <v>348</v>
      </c>
      <c r="X140" s="14">
        <f t="shared" si="115"/>
        <v>336</v>
      </c>
      <c r="Y140" s="18">
        <f t="shared" si="116"/>
        <v>318</v>
      </c>
      <c r="Z140" s="14">
        <f t="shared" si="117"/>
        <v>313</v>
      </c>
      <c r="AA140" s="18">
        <f t="shared" si="118"/>
        <v>318</v>
      </c>
      <c r="AB140" s="4" t="s">
        <v>0</v>
      </c>
    </row>
    <row r="141" spans="1:28">
      <c r="A141" s="9" t="s">
        <v>55</v>
      </c>
      <c r="B141" s="24"/>
      <c r="C141" s="4"/>
      <c r="D141" s="25">
        <f t="shared" si="87"/>
        <v>337</v>
      </c>
      <c r="E141" s="29">
        <f t="shared" si="98"/>
        <v>402</v>
      </c>
      <c r="F141" s="25">
        <f t="shared" si="88"/>
        <v>360</v>
      </c>
      <c r="G141" s="29">
        <f t="shared" si="100"/>
        <v>432</v>
      </c>
      <c r="H141" s="4" t="s">
        <v>0</v>
      </c>
      <c r="I141" s="16" t="str">
        <f t="shared" si="101"/>
        <v>06-07</v>
      </c>
      <c r="J141" s="14">
        <f t="shared" si="102"/>
        <v>337</v>
      </c>
      <c r="K141" s="15">
        <f t="shared" si="103"/>
        <v>402</v>
      </c>
      <c r="L141" s="17">
        <f t="shared" si="104"/>
        <v>360</v>
      </c>
      <c r="M141" s="18">
        <f t="shared" si="105"/>
        <v>402</v>
      </c>
      <c r="N141" s="14">
        <f t="shared" si="106"/>
        <v>360</v>
      </c>
      <c r="O141" s="15">
        <f t="shared" si="107"/>
        <v>432</v>
      </c>
      <c r="P141" s="17">
        <f t="shared" si="108"/>
        <v>337</v>
      </c>
      <c r="Q141" s="18">
        <f t="shared" si="109"/>
        <v>432</v>
      </c>
      <c r="R141" s="4" t="s">
        <v>0</v>
      </c>
      <c r="S141" s="16" t="str">
        <f t="shared" si="110"/>
        <v>06-07</v>
      </c>
      <c r="T141" s="14">
        <f t="shared" si="111"/>
        <v>337</v>
      </c>
      <c r="U141" s="18">
        <f t="shared" si="112"/>
        <v>348</v>
      </c>
      <c r="V141" s="14">
        <f t="shared" si="113"/>
        <v>360</v>
      </c>
      <c r="W141" s="18">
        <f t="shared" si="114"/>
        <v>348</v>
      </c>
      <c r="X141" s="14">
        <f t="shared" si="115"/>
        <v>360</v>
      </c>
      <c r="Y141" s="18">
        <f t="shared" si="116"/>
        <v>318</v>
      </c>
      <c r="Z141" s="14">
        <f t="shared" si="117"/>
        <v>337</v>
      </c>
      <c r="AA141" s="18">
        <f t="shared" si="118"/>
        <v>318</v>
      </c>
      <c r="AB141" s="4" t="s">
        <v>0</v>
      </c>
    </row>
    <row r="142" spans="1:28">
      <c r="A142" s="9" t="s">
        <v>54</v>
      </c>
      <c r="B142" s="24"/>
      <c r="C142" s="4"/>
      <c r="D142" s="25">
        <f t="shared" si="87"/>
        <v>361</v>
      </c>
      <c r="E142" s="29">
        <f t="shared" si="98"/>
        <v>402</v>
      </c>
      <c r="F142" s="25">
        <f t="shared" si="88"/>
        <v>384</v>
      </c>
      <c r="G142" s="29">
        <f t="shared" si="100"/>
        <v>432</v>
      </c>
      <c r="H142" s="4" t="s">
        <v>0</v>
      </c>
      <c r="I142" s="16" t="str">
        <f t="shared" si="101"/>
        <v>06-06</v>
      </c>
      <c r="J142" s="14">
        <f t="shared" si="102"/>
        <v>361</v>
      </c>
      <c r="K142" s="15">
        <f t="shared" si="103"/>
        <v>402</v>
      </c>
      <c r="L142" s="17">
        <f t="shared" si="104"/>
        <v>384</v>
      </c>
      <c r="M142" s="18">
        <f t="shared" si="105"/>
        <v>402</v>
      </c>
      <c r="N142" s="14">
        <f t="shared" si="106"/>
        <v>384</v>
      </c>
      <c r="O142" s="15">
        <f t="shared" si="107"/>
        <v>432</v>
      </c>
      <c r="P142" s="17">
        <f t="shared" si="108"/>
        <v>361</v>
      </c>
      <c r="Q142" s="18">
        <f t="shared" si="109"/>
        <v>432</v>
      </c>
      <c r="R142" s="4" t="s">
        <v>0</v>
      </c>
      <c r="S142" s="16" t="str">
        <f t="shared" si="110"/>
        <v>06-06</v>
      </c>
      <c r="T142" s="14">
        <f t="shared" si="111"/>
        <v>361</v>
      </c>
      <c r="U142" s="18">
        <f t="shared" si="112"/>
        <v>348</v>
      </c>
      <c r="V142" s="14">
        <f t="shared" si="113"/>
        <v>384</v>
      </c>
      <c r="W142" s="18">
        <f t="shared" si="114"/>
        <v>348</v>
      </c>
      <c r="X142" s="14">
        <f t="shared" si="115"/>
        <v>384</v>
      </c>
      <c r="Y142" s="18">
        <f t="shared" si="116"/>
        <v>318</v>
      </c>
      <c r="Z142" s="14">
        <f t="shared" si="117"/>
        <v>361</v>
      </c>
      <c r="AA142" s="18">
        <f t="shared" si="118"/>
        <v>318</v>
      </c>
      <c r="AB142" s="4" t="s">
        <v>0</v>
      </c>
    </row>
    <row r="143" spans="1:28">
      <c r="A143" s="9" t="s">
        <v>53</v>
      </c>
      <c r="B143" s="24"/>
      <c r="C143" s="4"/>
      <c r="D143" s="25">
        <f t="shared" si="87"/>
        <v>386</v>
      </c>
      <c r="E143" s="29">
        <f t="shared" si="98"/>
        <v>402</v>
      </c>
      <c r="F143" s="25">
        <f t="shared" si="88"/>
        <v>409</v>
      </c>
      <c r="G143" s="29">
        <f t="shared" si="100"/>
        <v>432</v>
      </c>
      <c r="H143" s="4" t="s">
        <v>0</v>
      </c>
      <c r="I143" s="16" t="str">
        <f t="shared" si="101"/>
        <v>06-05</v>
      </c>
      <c r="J143" s="14">
        <f t="shared" si="102"/>
        <v>386</v>
      </c>
      <c r="K143" s="15">
        <f t="shared" si="103"/>
        <v>402</v>
      </c>
      <c r="L143" s="17">
        <f t="shared" si="104"/>
        <v>409</v>
      </c>
      <c r="M143" s="18">
        <f t="shared" si="105"/>
        <v>402</v>
      </c>
      <c r="N143" s="14">
        <f t="shared" si="106"/>
        <v>409</v>
      </c>
      <c r="O143" s="15">
        <f t="shared" si="107"/>
        <v>432</v>
      </c>
      <c r="P143" s="17">
        <f t="shared" si="108"/>
        <v>386</v>
      </c>
      <c r="Q143" s="18">
        <f t="shared" si="109"/>
        <v>432</v>
      </c>
      <c r="R143" s="4" t="s">
        <v>0</v>
      </c>
      <c r="S143" s="16" t="str">
        <f t="shared" si="110"/>
        <v>06-05</v>
      </c>
      <c r="T143" s="14">
        <f t="shared" si="111"/>
        <v>386</v>
      </c>
      <c r="U143" s="18">
        <f t="shared" si="112"/>
        <v>348</v>
      </c>
      <c r="V143" s="14">
        <f t="shared" si="113"/>
        <v>409</v>
      </c>
      <c r="W143" s="18">
        <f t="shared" si="114"/>
        <v>348</v>
      </c>
      <c r="X143" s="14">
        <f t="shared" si="115"/>
        <v>409</v>
      </c>
      <c r="Y143" s="18">
        <f t="shared" si="116"/>
        <v>318</v>
      </c>
      <c r="Z143" s="14">
        <f t="shared" si="117"/>
        <v>386</v>
      </c>
      <c r="AA143" s="18">
        <f t="shared" si="118"/>
        <v>318</v>
      </c>
      <c r="AB143" s="4" t="s">
        <v>0</v>
      </c>
    </row>
    <row r="144" spans="1:28">
      <c r="A144" s="9" t="s">
        <v>52</v>
      </c>
      <c r="B144" s="24"/>
      <c r="C144" s="4"/>
      <c r="D144" s="25">
        <f t="shared" si="87"/>
        <v>410</v>
      </c>
      <c r="E144" s="29">
        <f t="shared" si="98"/>
        <v>402</v>
      </c>
      <c r="F144" s="25">
        <f t="shared" si="88"/>
        <v>433</v>
      </c>
      <c r="G144" s="29">
        <f t="shared" si="100"/>
        <v>432</v>
      </c>
      <c r="H144" s="4" t="s">
        <v>0</v>
      </c>
      <c r="I144" s="16" t="str">
        <f t="shared" si="101"/>
        <v>06-03</v>
      </c>
      <c r="J144" s="14">
        <f t="shared" si="102"/>
        <v>410</v>
      </c>
      <c r="K144" s="15">
        <f t="shared" si="103"/>
        <v>402</v>
      </c>
      <c r="L144" s="17">
        <f t="shared" si="104"/>
        <v>433</v>
      </c>
      <c r="M144" s="18">
        <f t="shared" si="105"/>
        <v>402</v>
      </c>
      <c r="N144" s="14">
        <f t="shared" si="106"/>
        <v>433</v>
      </c>
      <c r="O144" s="15">
        <f t="shared" si="107"/>
        <v>432</v>
      </c>
      <c r="P144" s="17">
        <f t="shared" si="108"/>
        <v>410</v>
      </c>
      <c r="Q144" s="18">
        <f t="shared" si="109"/>
        <v>432</v>
      </c>
      <c r="R144" s="4" t="s">
        <v>0</v>
      </c>
      <c r="S144" s="16" t="str">
        <f t="shared" si="110"/>
        <v>06-03</v>
      </c>
      <c r="T144" s="14">
        <f t="shared" si="111"/>
        <v>410</v>
      </c>
      <c r="U144" s="18">
        <f t="shared" si="112"/>
        <v>348</v>
      </c>
      <c r="V144" s="14">
        <f t="shared" si="113"/>
        <v>433</v>
      </c>
      <c r="W144" s="18">
        <f t="shared" si="114"/>
        <v>348</v>
      </c>
      <c r="X144" s="14">
        <f t="shared" si="115"/>
        <v>433</v>
      </c>
      <c r="Y144" s="18">
        <f t="shared" si="116"/>
        <v>318</v>
      </c>
      <c r="Z144" s="14">
        <f t="shared" si="117"/>
        <v>410</v>
      </c>
      <c r="AA144" s="18">
        <f t="shared" si="118"/>
        <v>318</v>
      </c>
      <c r="AB144" s="4" t="s">
        <v>0</v>
      </c>
    </row>
    <row r="145" spans="1:28">
      <c r="A145" s="9" t="s">
        <v>51</v>
      </c>
      <c r="B145" s="24"/>
      <c r="C145" s="4"/>
      <c r="D145" s="25">
        <f t="shared" si="87"/>
        <v>434</v>
      </c>
      <c r="E145" s="29">
        <f t="shared" si="98"/>
        <v>402</v>
      </c>
      <c r="F145" s="25">
        <f t="shared" si="88"/>
        <v>457</v>
      </c>
      <c r="G145" s="29">
        <f t="shared" si="100"/>
        <v>432</v>
      </c>
      <c r="H145" s="4" t="s">
        <v>0</v>
      </c>
      <c r="I145" s="16" t="str">
        <f t="shared" si="101"/>
        <v>06-02</v>
      </c>
      <c r="J145" s="14">
        <f t="shared" si="102"/>
        <v>434</v>
      </c>
      <c r="K145" s="15">
        <f t="shared" si="103"/>
        <v>402</v>
      </c>
      <c r="L145" s="17">
        <f t="shared" si="104"/>
        <v>457</v>
      </c>
      <c r="M145" s="18">
        <f t="shared" si="105"/>
        <v>402</v>
      </c>
      <c r="N145" s="14">
        <f t="shared" si="106"/>
        <v>457</v>
      </c>
      <c r="O145" s="15">
        <f t="shared" si="107"/>
        <v>432</v>
      </c>
      <c r="P145" s="17">
        <f t="shared" si="108"/>
        <v>434</v>
      </c>
      <c r="Q145" s="18">
        <f t="shared" si="109"/>
        <v>432</v>
      </c>
      <c r="R145" s="4" t="s">
        <v>0</v>
      </c>
      <c r="S145" s="16" t="str">
        <f t="shared" si="110"/>
        <v>06-02</v>
      </c>
      <c r="T145" s="14">
        <f t="shared" si="111"/>
        <v>434</v>
      </c>
      <c r="U145" s="18">
        <f t="shared" si="112"/>
        <v>348</v>
      </c>
      <c r="V145" s="14">
        <f t="shared" si="113"/>
        <v>457</v>
      </c>
      <c r="W145" s="18">
        <f t="shared" si="114"/>
        <v>348</v>
      </c>
      <c r="X145" s="14">
        <f t="shared" si="115"/>
        <v>457</v>
      </c>
      <c r="Y145" s="18">
        <f t="shared" si="116"/>
        <v>318</v>
      </c>
      <c r="Z145" s="14">
        <f t="shared" si="117"/>
        <v>434</v>
      </c>
      <c r="AA145" s="18">
        <f t="shared" si="118"/>
        <v>318</v>
      </c>
      <c r="AB145" s="4" t="s">
        <v>0</v>
      </c>
    </row>
    <row r="146" spans="1:28">
      <c r="A146" s="9" t="s">
        <v>50</v>
      </c>
      <c r="B146" s="24"/>
      <c r="C146" s="4"/>
      <c r="D146" s="25">
        <f t="shared" si="87"/>
        <v>458</v>
      </c>
      <c r="E146" s="29">
        <f t="shared" si="98"/>
        <v>402</v>
      </c>
      <c r="F146" s="25">
        <f t="shared" si="88"/>
        <v>481</v>
      </c>
      <c r="G146" s="29">
        <f t="shared" si="100"/>
        <v>432</v>
      </c>
      <c r="H146" s="4" t="s">
        <v>0</v>
      </c>
      <c r="I146" s="16" t="str">
        <f t="shared" si="101"/>
        <v>06-01</v>
      </c>
      <c r="J146" s="14">
        <f t="shared" si="102"/>
        <v>458</v>
      </c>
      <c r="K146" s="15">
        <f t="shared" si="103"/>
        <v>402</v>
      </c>
      <c r="L146" s="17">
        <f t="shared" si="104"/>
        <v>481</v>
      </c>
      <c r="M146" s="18">
        <f t="shared" si="105"/>
        <v>402</v>
      </c>
      <c r="N146" s="14">
        <f t="shared" si="106"/>
        <v>481</v>
      </c>
      <c r="O146" s="15">
        <f t="shared" si="107"/>
        <v>432</v>
      </c>
      <c r="P146" s="17">
        <f t="shared" si="108"/>
        <v>458</v>
      </c>
      <c r="Q146" s="18">
        <f t="shared" si="109"/>
        <v>432</v>
      </c>
      <c r="R146" s="4" t="s">
        <v>0</v>
      </c>
      <c r="S146" s="16" t="str">
        <f t="shared" si="110"/>
        <v>06-01</v>
      </c>
      <c r="T146" s="14">
        <f t="shared" si="111"/>
        <v>458</v>
      </c>
      <c r="U146" s="18">
        <f t="shared" si="112"/>
        <v>348</v>
      </c>
      <c r="V146" s="14">
        <f t="shared" si="113"/>
        <v>481</v>
      </c>
      <c r="W146" s="18">
        <f t="shared" si="114"/>
        <v>348</v>
      </c>
      <c r="X146" s="14">
        <f t="shared" si="115"/>
        <v>481</v>
      </c>
      <c r="Y146" s="18">
        <f t="shared" si="116"/>
        <v>318</v>
      </c>
      <c r="Z146" s="14">
        <f t="shared" si="117"/>
        <v>458</v>
      </c>
      <c r="AA146" s="18">
        <f t="shared" si="118"/>
        <v>318</v>
      </c>
      <c r="AB146" s="4" t="s">
        <v>0</v>
      </c>
    </row>
    <row r="147" spans="1:28">
      <c r="A147" s="9" t="s">
        <v>166</v>
      </c>
      <c r="B147" s="24"/>
      <c r="C147" s="4"/>
      <c r="D147" s="27">
        <v>71</v>
      </c>
      <c r="E147" s="31">
        <f t="shared" ref="E147" si="119">ROUND(E130+39.8,0)</f>
        <v>442</v>
      </c>
      <c r="F147" s="31">
        <v>94</v>
      </c>
      <c r="G147" s="31">
        <f t="shared" ref="G147" si="120">ROUND(G130+39.8,0)</f>
        <v>472</v>
      </c>
      <c r="H147" s="4" t="s">
        <v>0</v>
      </c>
      <c r="I147" s="16" t="str">
        <f t="shared" si="101"/>
        <v>05-21</v>
      </c>
      <c r="J147" s="14">
        <f t="shared" si="102"/>
        <v>71</v>
      </c>
      <c r="K147" s="15">
        <f t="shared" si="103"/>
        <v>442</v>
      </c>
      <c r="L147" s="17">
        <f t="shared" si="104"/>
        <v>94</v>
      </c>
      <c r="M147" s="18">
        <f t="shared" si="105"/>
        <v>442</v>
      </c>
      <c r="N147" s="14">
        <f t="shared" si="106"/>
        <v>94</v>
      </c>
      <c r="O147" s="15">
        <f t="shared" si="107"/>
        <v>472</v>
      </c>
      <c r="P147" s="17">
        <f t="shared" si="108"/>
        <v>71</v>
      </c>
      <c r="Q147" s="18">
        <f t="shared" si="109"/>
        <v>472</v>
      </c>
      <c r="R147" s="4" t="s">
        <v>0</v>
      </c>
      <c r="S147" s="16" t="str">
        <f t="shared" si="110"/>
        <v>05-21</v>
      </c>
      <c r="T147" s="14">
        <f t="shared" si="111"/>
        <v>71</v>
      </c>
      <c r="U147" s="18">
        <f t="shared" si="112"/>
        <v>308</v>
      </c>
      <c r="V147" s="14">
        <f t="shared" si="113"/>
        <v>94</v>
      </c>
      <c r="W147" s="18">
        <f t="shared" si="114"/>
        <v>308</v>
      </c>
      <c r="X147" s="14">
        <f t="shared" si="115"/>
        <v>94</v>
      </c>
      <c r="Y147" s="18">
        <f t="shared" si="116"/>
        <v>278</v>
      </c>
      <c r="Z147" s="14">
        <f t="shared" si="117"/>
        <v>71</v>
      </c>
      <c r="AA147" s="18">
        <f t="shared" si="118"/>
        <v>278</v>
      </c>
      <c r="AB147" s="4" t="s">
        <v>0</v>
      </c>
    </row>
    <row r="148" spans="1:28">
      <c r="A148" s="9" t="s">
        <v>165</v>
      </c>
      <c r="B148" s="24"/>
      <c r="C148" s="4"/>
      <c r="D148" s="25">
        <f t="shared" ref="D148" si="121">D131</f>
        <v>95</v>
      </c>
      <c r="E148" s="29">
        <f t="shared" ref="E148:E163" si="122">E147</f>
        <v>442</v>
      </c>
      <c r="F148" s="25">
        <f t="shared" ref="F148" si="123">F131</f>
        <v>118</v>
      </c>
      <c r="G148" s="29">
        <f t="shared" ref="G148:G163" si="124">G147</f>
        <v>472</v>
      </c>
      <c r="H148" s="4" t="s">
        <v>0</v>
      </c>
      <c r="I148" s="16" t="str">
        <f t="shared" si="101"/>
        <v>05-20</v>
      </c>
      <c r="J148" s="14">
        <f t="shared" si="102"/>
        <v>95</v>
      </c>
      <c r="K148" s="15">
        <f t="shared" si="103"/>
        <v>442</v>
      </c>
      <c r="L148" s="17">
        <f t="shared" si="104"/>
        <v>118</v>
      </c>
      <c r="M148" s="18">
        <f t="shared" si="105"/>
        <v>442</v>
      </c>
      <c r="N148" s="14">
        <f t="shared" si="106"/>
        <v>118</v>
      </c>
      <c r="O148" s="15">
        <f t="shared" si="107"/>
        <v>472</v>
      </c>
      <c r="P148" s="17">
        <f t="shared" si="108"/>
        <v>95</v>
      </c>
      <c r="Q148" s="18">
        <f t="shared" si="109"/>
        <v>472</v>
      </c>
      <c r="R148" s="4" t="s">
        <v>0</v>
      </c>
      <c r="S148" s="16" t="str">
        <f t="shared" si="110"/>
        <v>05-20</v>
      </c>
      <c r="T148" s="14">
        <f t="shared" si="111"/>
        <v>95</v>
      </c>
      <c r="U148" s="18">
        <f t="shared" si="112"/>
        <v>308</v>
      </c>
      <c r="V148" s="14">
        <f t="shared" si="113"/>
        <v>118</v>
      </c>
      <c r="W148" s="18">
        <f t="shared" si="114"/>
        <v>308</v>
      </c>
      <c r="X148" s="14">
        <f t="shared" si="115"/>
        <v>118</v>
      </c>
      <c r="Y148" s="18">
        <f t="shared" si="116"/>
        <v>278</v>
      </c>
      <c r="Z148" s="14">
        <f t="shared" si="117"/>
        <v>95</v>
      </c>
      <c r="AA148" s="18">
        <f t="shared" si="118"/>
        <v>278</v>
      </c>
      <c r="AB148" s="4" t="s">
        <v>0</v>
      </c>
    </row>
    <row r="149" spans="1:28">
      <c r="A149" s="9" t="s">
        <v>164</v>
      </c>
      <c r="B149" s="24"/>
      <c r="C149" s="4"/>
      <c r="D149" s="25">
        <f t="shared" si="87"/>
        <v>119</v>
      </c>
      <c r="E149" s="29">
        <f t="shared" si="122"/>
        <v>442</v>
      </c>
      <c r="F149" s="25">
        <f t="shared" si="88"/>
        <v>142</v>
      </c>
      <c r="G149" s="29">
        <f t="shared" si="124"/>
        <v>472</v>
      </c>
      <c r="H149" s="4" t="s">
        <v>0</v>
      </c>
      <c r="I149" s="16" t="str">
        <f t="shared" si="101"/>
        <v>05-18</v>
      </c>
      <c r="J149" s="14">
        <f t="shared" si="102"/>
        <v>119</v>
      </c>
      <c r="K149" s="15">
        <f t="shared" si="103"/>
        <v>442</v>
      </c>
      <c r="L149" s="17">
        <f t="shared" si="104"/>
        <v>142</v>
      </c>
      <c r="M149" s="18">
        <f t="shared" si="105"/>
        <v>442</v>
      </c>
      <c r="N149" s="14">
        <f t="shared" si="106"/>
        <v>142</v>
      </c>
      <c r="O149" s="15">
        <f t="shared" si="107"/>
        <v>472</v>
      </c>
      <c r="P149" s="17">
        <f t="shared" si="108"/>
        <v>119</v>
      </c>
      <c r="Q149" s="18">
        <f t="shared" si="109"/>
        <v>472</v>
      </c>
      <c r="R149" s="4" t="s">
        <v>0</v>
      </c>
      <c r="S149" s="16" t="str">
        <f t="shared" si="110"/>
        <v>05-18</v>
      </c>
      <c r="T149" s="14">
        <f t="shared" si="111"/>
        <v>119</v>
      </c>
      <c r="U149" s="18">
        <f t="shared" si="112"/>
        <v>308</v>
      </c>
      <c r="V149" s="14">
        <f t="shared" si="113"/>
        <v>142</v>
      </c>
      <c r="W149" s="18">
        <f t="shared" si="114"/>
        <v>308</v>
      </c>
      <c r="X149" s="14">
        <f t="shared" si="115"/>
        <v>142</v>
      </c>
      <c r="Y149" s="18">
        <f t="shared" si="116"/>
        <v>278</v>
      </c>
      <c r="Z149" s="14">
        <f t="shared" si="117"/>
        <v>119</v>
      </c>
      <c r="AA149" s="18">
        <f t="shared" si="118"/>
        <v>278</v>
      </c>
      <c r="AB149" s="4" t="s">
        <v>0</v>
      </c>
    </row>
    <row r="150" spans="1:28">
      <c r="A150" s="9" t="s">
        <v>135</v>
      </c>
      <c r="B150" s="24"/>
      <c r="C150" s="4"/>
      <c r="D150" s="25">
        <f t="shared" si="87"/>
        <v>144</v>
      </c>
      <c r="E150" s="29">
        <f t="shared" si="122"/>
        <v>442</v>
      </c>
      <c r="F150" s="25">
        <f t="shared" si="88"/>
        <v>167</v>
      </c>
      <c r="G150" s="29">
        <f t="shared" si="124"/>
        <v>472</v>
      </c>
      <c r="H150" s="4" t="s">
        <v>0</v>
      </c>
      <c r="I150" s="16" t="str">
        <f t="shared" si="101"/>
        <v>05-17</v>
      </c>
      <c r="J150" s="14">
        <f t="shared" si="102"/>
        <v>144</v>
      </c>
      <c r="K150" s="15">
        <f t="shared" si="103"/>
        <v>442</v>
      </c>
      <c r="L150" s="17">
        <f t="shared" si="104"/>
        <v>167</v>
      </c>
      <c r="M150" s="18">
        <f t="shared" si="105"/>
        <v>442</v>
      </c>
      <c r="N150" s="14">
        <f t="shared" si="106"/>
        <v>167</v>
      </c>
      <c r="O150" s="15">
        <f t="shared" si="107"/>
        <v>472</v>
      </c>
      <c r="P150" s="17">
        <f t="shared" si="108"/>
        <v>144</v>
      </c>
      <c r="Q150" s="18">
        <f t="shared" si="109"/>
        <v>472</v>
      </c>
      <c r="R150" s="4" t="s">
        <v>0</v>
      </c>
      <c r="S150" s="16" t="str">
        <f t="shared" si="110"/>
        <v>05-17</v>
      </c>
      <c r="T150" s="14">
        <f t="shared" si="111"/>
        <v>144</v>
      </c>
      <c r="U150" s="18">
        <f t="shared" si="112"/>
        <v>308</v>
      </c>
      <c r="V150" s="14">
        <f t="shared" si="113"/>
        <v>167</v>
      </c>
      <c r="W150" s="18">
        <f t="shared" si="114"/>
        <v>308</v>
      </c>
      <c r="X150" s="14">
        <f t="shared" si="115"/>
        <v>167</v>
      </c>
      <c r="Y150" s="18">
        <f t="shared" si="116"/>
        <v>278</v>
      </c>
      <c r="Z150" s="14">
        <f t="shared" si="117"/>
        <v>144</v>
      </c>
      <c r="AA150" s="18">
        <f t="shared" si="118"/>
        <v>278</v>
      </c>
      <c r="AB150" s="4" t="s">
        <v>0</v>
      </c>
    </row>
    <row r="151" spans="1:28">
      <c r="A151" s="9" t="s">
        <v>163</v>
      </c>
      <c r="B151" s="24"/>
      <c r="C151" s="4"/>
      <c r="D151" s="25">
        <f t="shared" si="87"/>
        <v>168</v>
      </c>
      <c r="E151" s="29">
        <f t="shared" si="122"/>
        <v>442</v>
      </c>
      <c r="F151" s="25">
        <f t="shared" si="88"/>
        <v>191</v>
      </c>
      <c r="G151" s="29">
        <f t="shared" si="124"/>
        <v>472</v>
      </c>
      <c r="H151" s="4" t="s">
        <v>0</v>
      </c>
      <c r="I151" s="16" t="str">
        <f t="shared" si="101"/>
        <v>05-16</v>
      </c>
      <c r="J151" s="14">
        <f t="shared" si="102"/>
        <v>168</v>
      </c>
      <c r="K151" s="15">
        <f t="shared" si="103"/>
        <v>442</v>
      </c>
      <c r="L151" s="17">
        <f t="shared" si="104"/>
        <v>191</v>
      </c>
      <c r="M151" s="18">
        <f t="shared" si="105"/>
        <v>442</v>
      </c>
      <c r="N151" s="14">
        <f t="shared" si="106"/>
        <v>191</v>
      </c>
      <c r="O151" s="15">
        <f t="shared" si="107"/>
        <v>472</v>
      </c>
      <c r="P151" s="17">
        <f t="shared" si="108"/>
        <v>168</v>
      </c>
      <c r="Q151" s="18">
        <f t="shared" si="109"/>
        <v>472</v>
      </c>
      <c r="R151" s="4" t="s">
        <v>0</v>
      </c>
      <c r="S151" s="16" t="str">
        <f t="shared" si="110"/>
        <v>05-16</v>
      </c>
      <c r="T151" s="14">
        <f t="shared" si="111"/>
        <v>168</v>
      </c>
      <c r="U151" s="18">
        <f t="shared" si="112"/>
        <v>308</v>
      </c>
      <c r="V151" s="14">
        <f t="shared" si="113"/>
        <v>191</v>
      </c>
      <c r="W151" s="18">
        <f t="shared" si="114"/>
        <v>308</v>
      </c>
      <c r="X151" s="14">
        <f t="shared" si="115"/>
        <v>191</v>
      </c>
      <c r="Y151" s="18">
        <f t="shared" si="116"/>
        <v>278</v>
      </c>
      <c r="Z151" s="14">
        <f t="shared" si="117"/>
        <v>168</v>
      </c>
      <c r="AA151" s="18">
        <f t="shared" si="118"/>
        <v>278</v>
      </c>
      <c r="AB151" s="4" t="s">
        <v>0</v>
      </c>
    </row>
    <row r="152" spans="1:28">
      <c r="A152" s="9" t="s">
        <v>162</v>
      </c>
      <c r="B152" s="24"/>
      <c r="C152" s="4"/>
      <c r="D152" s="25">
        <f t="shared" si="87"/>
        <v>192</v>
      </c>
      <c r="E152" s="29">
        <f t="shared" si="122"/>
        <v>442</v>
      </c>
      <c r="F152" s="25">
        <f t="shared" si="88"/>
        <v>215</v>
      </c>
      <c r="G152" s="29">
        <f t="shared" si="124"/>
        <v>472</v>
      </c>
      <c r="H152" s="4" t="s">
        <v>0</v>
      </c>
      <c r="I152" s="16" t="str">
        <f t="shared" si="101"/>
        <v>05-15</v>
      </c>
      <c r="J152" s="14">
        <f t="shared" si="102"/>
        <v>192</v>
      </c>
      <c r="K152" s="15">
        <f t="shared" si="103"/>
        <v>442</v>
      </c>
      <c r="L152" s="17">
        <f t="shared" si="104"/>
        <v>215</v>
      </c>
      <c r="M152" s="18">
        <f t="shared" si="105"/>
        <v>442</v>
      </c>
      <c r="N152" s="14">
        <f t="shared" si="106"/>
        <v>215</v>
      </c>
      <c r="O152" s="15">
        <f t="shared" si="107"/>
        <v>472</v>
      </c>
      <c r="P152" s="17">
        <f t="shared" si="108"/>
        <v>192</v>
      </c>
      <c r="Q152" s="18">
        <f t="shared" si="109"/>
        <v>472</v>
      </c>
      <c r="R152" s="4" t="s">
        <v>0</v>
      </c>
      <c r="S152" s="16" t="str">
        <f t="shared" si="110"/>
        <v>05-15</v>
      </c>
      <c r="T152" s="14">
        <f t="shared" si="111"/>
        <v>192</v>
      </c>
      <c r="U152" s="18">
        <f t="shared" si="112"/>
        <v>308</v>
      </c>
      <c r="V152" s="14">
        <f t="shared" si="113"/>
        <v>215</v>
      </c>
      <c r="W152" s="18">
        <f t="shared" si="114"/>
        <v>308</v>
      </c>
      <c r="X152" s="14">
        <f t="shared" si="115"/>
        <v>215</v>
      </c>
      <c r="Y152" s="18">
        <f t="shared" si="116"/>
        <v>278</v>
      </c>
      <c r="Z152" s="14">
        <f t="shared" si="117"/>
        <v>192</v>
      </c>
      <c r="AA152" s="18">
        <f t="shared" si="118"/>
        <v>278</v>
      </c>
      <c r="AB152" s="4" t="s">
        <v>0</v>
      </c>
    </row>
    <row r="153" spans="1:28">
      <c r="A153" s="9" t="s">
        <v>161</v>
      </c>
      <c r="B153" s="24"/>
      <c r="C153" s="4"/>
      <c r="D153" s="25">
        <f t="shared" si="87"/>
        <v>216</v>
      </c>
      <c r="E153" s="29">
        <f t="shared" si="122"/>
        <v>442</v>
      </c>
      <c r="F153" s="25">
        <f t="shared" si="88"/>
        <v>239</v>
      </c>
      <c r="G153" s="29">
        <f t="shared" si="124"/>
        <v>472</v>
      </c>
      <c r="H153" s="4" t="s">
        <v>0</v>
      </c>
      <c r="I153" s="16" t="str">
        <f t="shared" si="101"/>
        <v>05-13</v>
      </c>
      <c r="J153" s="14">
        <f t="shared" si="102"/>
        <v>216</v>
      </c>
      <c r="K153" s="15">
        <f t="shared" si="103"/>
        <v>442</v>
      </c>
      <c r="L153" s="17">
        <f t="shared" si="104"/>
        <v>239</v>
      </c>
      <c r="M153" s="18">
        <f t="shared" si="105"/>
        <v>442</v>
      </c>
      <c r="N153" s="14">
        <f t="shared" si="106"/>
        <v>239</v>
      </c>
      <c r="O153" s="15">
        <f t="shared" si="107"/>
        <v>472</v>
      </c>
      <c r="P153" s="17">
        <f t="shared" si="108"/>
        <v>216</v>
      </c>
      <c r="Q153" s="18">
        <f t="shared" si="109"/>
        <v>472</v>
      </c>
      <c r="R153" s="4" t="s">
        <v>0</v>
      </c>
      <c r="S153" s="16" t="str">
        <f t="shared" si="110"/>
        <v>05-13</v>
      </c>
      <c r="T153" s="14">
        <f t="shared" si="111"/>
        <v>216</v>
      </c>
      <c r="U153" s="18">
        <f t="shared" si="112"/>
        <v>308</v>
      </c>
      <c r="V153" s="14">
        <f t="shared" si="113"/>
        <v>239</v>
      </c>
      <c r="W153" s="18">
        <f t="shared" si="114"/>
        <v>308</v>
      </c>
      <c r="X153" s="14">
        <f t="shared" si="115"/>
        <v>239</v>
      </c>
      <c r="Y153" s="18">
        <f t="shared" si="116"/>
        <v>278</v>
      </c>
      <c r="Z153" s="14">
        <f t="shared" si="117"/>
        <v>216</v>
      </c>
      <c r="AA153" s="18">
        <f t="shared" si="118"/>
        <v>278</v>
      </c>
      <c r="AB153" s="4" t="s">
        <v>0</v>
      </c>
    </row>
    <row r="154" spans="1:28">
      <c r="A154" s="9" t="s">
        <v>49</v>
      </c>
      <c r="B154" s="24"/>
      <c r="C154" s="4"/>
      <c r="D154" s="25">
        <f t="shared" si="87"/>
        <v>240</v>
      </c>
      <c r="E154" s="29">
        <f t="shared" si="122"/>
        <v>442</v>
      </c>
      <c r="F154" s="25">
        <f t="shared" si="88"/>
        <v>263</v>
      </c>
      <c r="G154" s="29">
        <f t="shared" si="124"/>
        <v>472</v>
      </c>
      <c r="H154" s="4" t="s">
        <v>0</v>
      </c>
      <c r="I154" s="16" t="str">
        <f t="shared" si="101"/>
        <v>05-12</v>
      </c>
      <c r="J154" s="14">
        <f t="shared" si="102"/>
        <v>240</v>
      </c>
      <c r="K154" s="15">
        <f t="shared" si="103"/>
        <v>442</v>
      </c>
      <c r="L154" s="17">
        <f t="shared" si="104"/>
        <v>263</v>
      </c>
      <c r="M154" s="18">
        <f t="shared" si="105"/>
        <v>442</v>
      </c>
      <c r="N154" s="14">
        <f t="shared" si="106"/>
        <v>263</v>
      </c>
      <c r="O154" s="15">
        <f t="shared" si="107"/>
        <v>472</v>
      </c>
      <c r="P154" s="17">
        <f t="shared" si="108"/>
        <v>240</v>
      </c>
      <c r="Q154" s="18">
        <f t="shared" si="109"/>
        <v>472</v>
      </c>
      <c r="R154" s="4" t="s">
        <v>0</v>
      </c>
      <c r="S154" s="16" t="str">
        <f t="shared" si="110"/>
        <v>05-12</v>
      </c>
      <c r="T154" s="14">
        <f t="shared" si="111"/>
        <v>240</v>
      </c>
      <c r="U154" s="18">
        <f t="shared" si="112"/>
        <v>308</v>
      </c>
      <c r="V154" s="14">
        <f t="shared" si="113"/>
        <v>263</v>
      </c>
      <c r="W154" s="18">
        <f t="shared" si="114"/>
        <v>308</v>
      </c>
      <c r="X154" s="14">
        <f t="shared" si="115"/>
        <v>263</v>
      </c>
      <c r="Y154" s="18">
        <f t="shared" si="116"/>
        <v>278</v>
      </c>
      <c r="Z154" s="14">
        <f t="shared" si="117"/>
        <v>240</v>
      </c>
      <c r="AA154" s="18">
        <f t="shared" si="118"/>
        <v>278</v>
      </c>
      <c r="AB154" s="4" t="s">
        <v>0</v>
      </c>
    </row>
    <row r="155" spans="1:28">
      <c r="A155" s="9" t="s">
        <v>48</v>
      </c>
      <c r="B155" s="24"/>
      <c r="C155" s="4"/>
      <c r="D155" s="25">
        <f t="shared" si="87"/>
        <v>265</v>
      </c>
      <c r="E155" s="29">
        <f t="shared" si="122"/>
        <v>442</v>
      </c>
      <c r="F155" s="25">
        <f t="shared" si="88"/>
        <v>288</v>
      </c>
      <c r="G155" s="29">
        <f t="shared" si="124"/>
        <v>472</v>
      </c>
      <c r="H155" s="4" t="s">
        <v>0</v>
      </c>
      <c r="I155" s="16" t="str">
        <f t="shared" si="101"/>
        <v>05-11</v>
      </c>
      <c r="J155" s="14">
        <f t="shared" si="102"/>
        <v>265</v>
      </c>
      <c r="K155" s="15">
        <f t="shared" si="103"/>
        <v>442</v>
      </c>
      <c r="L155" s="17">
        <f t="shared" si="104"/>
        <v>288</v>
      </c>
      <c r="M155" s="18">
        <f t="shared" si="105"/>
        <v>442</v>
      </c>
      <c r="N155" s="14">
        <f t="shared" si="106"/>
        <v>288</v>
      </c>
      <c r="O155" s="15">
        <f t="shared" si="107"/>
        <v>472</v>
      </c>
      <c r="P155" s="17">
        <f t="shared" si="108"/>
        <v>265</v>
      </c>
      <c r="Q155" s="18">
        <f t="shared" si="109"/>
        <v>472</v>
      </c>
      <c r="R155" s="4" t="s">
        <v>0</v>
      </c>
      <c r="S155" s="16" t="str">
        <f t="shared" si="110"/>
        <v>05-11</v>
      </c>
      <c r="T155" s="14">
        <f t="shared" si="111"/>
        <v>265</v>
      </c>
      <c r="U155" s="18">
        <f t="shared" si="112"/>
        <v>308</v>
      </c>
      <c r="V155" s="14">
        <f t="shared" si="113"/>
        <v>288</v>
      </c>
      <c r="W155" s="18">
        <f t="shared" si="114"/>
        <v>308</v>
      </c>
      <c r="X155" s="14">
        <f t="shared" si="115"/>
        <v>288</v>
      </c>
      <c r="Y155" s="18">
        <f t="shared" si="116"/>
        <v>278</v>
      </c>
      <c r="Z155" s="14">
        <f t="shared" si="117"/>
        <v>265</v>
      </c>
      <c r="AA155" s="18">
        <f t="shared" si="118"/>
        <v>278</v>
      </c>
      <c r="AB155" s="4" t="s">
        <v>0</v>
      </c>
    </row>
    <row r="156" spans="1:28">
      <c r="A156" s="9" t="s">
        <v>47</v>
      </c>
      <c r="B156" s="24"/>
      <c r="C156" s="4"/>
      <c r="D156" s="25">
        <f t="shared" si="87"/>
        <v>289</v>
      </c>
      <c r="E156" s="29">
        <f t="shared" si="122"/>
        <v>442</v>
      </c>
      <c r="F156" s="25">
        <f t="shared" si="88"/>
        <v>312</v>
      </c>
      <c r="G156" s="29">
        <f t="shared" si="124"/>
        <v>472</v>
      </c>
      <c r="H156" s="4" t="s">
        <v>0</v>
      </c>
      <c r="I156" s="16" t="str">
        <f t="shared" si="101"/>
        <v>05-10</v>
      </c>
      <c r="J156" s="14">
        <f t="shared" si="102"/>
        <v>289</v>
      </c>
      <c r="K156" s="15">
        <f t="shared" si="103"/>
        <v>442</v>
      </c>
      <c r="L156" s="17">
        <f t="shared" si="104"/>
        <v>312</v>
      </c>
      <c r="M156" s="18">
        <f t="shared" si="105"/>
        <v>442</v>
      </c>
      <c r="N156" s="14">
        <f t="shared" si="106"/>
        <v>312</v>
      </c>
      <c r="O156" s="15">
        <f t="shared" si="107"/>
        <v>472</v>
      </c>
      <c r="P156" s="17">
        <f t="shared" si="108"/>
        <v>289</v>
      </c>
      <c r="Q156" s="18">
        <f t="shared" si="109"/>
        <v>472</v>
      </c>
      <c r="R156" s="4" t="s">
        <v>0</v>
      </c>
      <c r="S156" s="16" t="str">
        <f t="shared" si="110"/>
        <v>05-10</v>
      </c>
      <c r="T156" s="14">
        <f t="shared" si="111"/>
        <v>289</v>
      </c>
      <c r="U156" s="18">
        <f t="shared" si="112"/>
        <v>308</v>
      </c>
      <c r="V156" s="14">
        <f t="shared" si="113"/>
        <v>312</v>
      </c>
      <c r="W156" s="18">
        <f t="shared" si="114"/>
        <v>308</v>
      </c>
      <c r="X156" s="14">
        <f t="shared" si="115"/>
        <v>312</v>
      </c>
      <c r="Y156" s="18">
        <f t="shared" si="116"/>
        <v>278</v>
      </c>
      <c r="Z156" s="14">
        <f t="shared" si="117"/>
        <v>289</v>
      </c>
      <c r="AA156" s="18">
        <f t="shared" si="118"/>
        <v>278</v>
      </c>
      <c r="AB156" s="4" t="s">
        <v>0</v>
      </c>
    </row>
    <row r="157" spans="1:28">
      <c r="A157" s="9" t="s">
        <v>46</v>
      </c>
      <c r="B157" s="24"/>
      <c r="C157" s="4"/>
      <c r="D157" s="25">
        <f t="shared" si="87"/>
        <v>313</v>
      </c>
      <c r="E157" s="29">
        <f t="shared" si="122"/>
        <v>442</v>
      </c>
      <c r="F157" s="25">
        <f t="shared" si="88"/>
        <v>336</v>
      </c>
      <c r="G157" s="29">
        <f t="shared" si="124"/>
        <v>472</v>
      </c>
      <c r="H157" s="4" t="s">
        <v>0</v>
      </c>
      <c r="I157" s="16" t="str">
        <f t="shared" si="101"/>
        <v>05-08</v>
      </c>
      <c r="J157" s="14">
        <f t="shared" si="102"/>
        <v>313</v>
      </c>
      <c r="K157" s="15">
        <f t="shared" si="103"/>
        <v>442</v>
      </c>
      <c r="L157" s="17">
        <f t="shared" si="104"/>
        <v>336</v>
      </c>
      <c r="M157" s="18">
        <f t="shared" si="105"/>
        <v>442</v>
      </c>
      <c r="N157" s="14">
        <f t="shared" si="106"/>
        <v>336</v>
      </c>
      <c r="O157" s="15">
        <f t="shared" si="107"/>
        <v>472</v>
      </c>
      <c r="P157" s="17">
        <f t="shared" si="108"/>
        <v>313</v>
      </c>
      <c r="Q157" s="18">
        <f t="shared" si="109"/>
        <v>472</v>
      </c>
      <c r="R157" s="4" t="s">
        <v>0</v>
      </c>
      <c r="S157" s="16" t="str">
        <f t="shared" si="110"/>
        <v>05-08</v>
      </c>
      <c r="T157" s="14">
        <f t="shared" si="111"/>
        <v>313</v>
      </c>
      <c r="U157" s="18">
        <f t="shared" si="112"/>
        <v>308</v>
      </c>
      <c r="V157" s="14">
        <f t="shared" si="113"/>
        <v>336</v>
      </c>
      <c r="W157" s="18">
        <f t="shared" si="114"/>
        <v>308</v>
      </c>
      <c r="X157" s="14">
        <f t="shared" si="115"/>
        <v>336</v>
      </c>
      <c r="Y157" s="18">
        <f t="shared" si="116"/>
        <v>278</v>
      </c>
      <c r="Z157" s="14">
        <f t="shared" si="117"/>
        <v>313</v>
      </c>
      <c r="AA157" s="18">
        <f t="shared" si="118"/>
        <v>278</v>
      </c>
      <c r="AB157" s="4" t="s">
        <v>0</v>
      </c>
    </row>
    <row r="158" spans="1:28">
      <c r="A158" s="9" t="s">
        <v>45</v>
      </c>
      <c r="B158" s="24"/>
      <c r="C158" s="4"/>
      <c r="D158" s="25">
        <f t="shared" si="87"/>
        <v>337</v>
      </c>
      <c r="E158" s="29">
        <f t="shared" si="122"/>
        <v>442</v>
      </c>
      <c r="F158" s="25">
        <f t="shared" si="88"/>
        <v>360</v>
      </c>
      <c r="G158" s="29">
        <f t="shared" si="124"/>
        <v>472</v>
      </c>
      <c r="H158" s="4" t="s">
        <v>0</v>
      </c>
      <c r="I158" s="16" t="str">
        <f t="shared" si="101"/>
        <v>05-07</v>
      </c>
      <c r="J158" s="14">
        <f t="shared" si="102"/>
        <v>337</v>
      </c>
      <c r="K158" s="15">
        <f t="shared" si="103"/>
        <v>442</v>
      </c>
      <c r="L158" s="17">
        <f t="shared" si="104"/>
        <v>360</v>
      </c>
      <c r="M158" s="18">
        <f t="shared" si="105"/>
        <v>442</v>
      </c>
      <c r="N158" s="14">
        <f t="shared" si="106"/>
        <v>360</v>
      </c>
      <c r="O158" s="15">
        <f t="shared" si="107"/>
        <v>472</v>
      </c>
      <c r="P158" s="17">
        <f t="shared" si="108"/>
        <v>337</v>
      </c>
      <c r="Q158" s="18">
        <f t="shared" si="109"/>
        <v>472</v>
      </c>
      <c r="R158" s="4" t="s">
        <v>0</v>
      </c>
      <c r="S158" s="16" t="str">
        <f t="shared" si="110"/>
        <v>05-07</v>
      </c>
      <c r="T158" s="14">
        <f t="shared" si="111"/>
        <v>337</v>
      </c>
      <c r="U158" s="18">
        <f t="shared" si="112"/>
        <v>308</v>
      </c>
      <c r="V158" s="14">
        <f t="shared" si="113"/>
        <v>360</v>
      </c>
      <c r="W158" s="18">
        <f t="shared" si="114"/>
        <v>308</v>
      </c>
      <c r="X158" s="14">
        <f t="shared" si="115"/>
        <v>360</v>
      </c>
      <c r="Y158" s="18">
        <f t="shared" si="116"/>
        <v>278</v>
      </c>
      <c r="Z158" s="14">
        <f t="shared" si="117"/>
        <v>337</v>
      </c>
      <c r="AA158" s="18">
        <f t="shared" si="118"/>
        <v>278</v>
      </c>
      <c r="AB158" s="4" t="s">
        <v>0</v>
      </c>
    </row>
    <row r="159" spans="1:28">
      <c r="A159" s="9" t="s">
        <v>44</v>
      </c>
      <c r="B159" s="24"/>
      <c r="C159" s="4"/>
      <c r="D159" s="25">
        <f t="shared" si="87"/>
        <v>361</v>
      </c>
      <c r="E159" s="29">
        <f t="shared" si="122"/>
        <v>442</v>
      </c>
      <c r="F159" s="25">
        <f t="shared" si="88"/>
        <v>384</v>
      </c>
      <c r="G159" s="29">
        <f t="shared" si="124"/>
        <v>472</v>
      </c>
      <c r="H159" s="4" t="s">
        <v>0</v>
      </c>
      <c r="I159" s="16" t="str">
        <f t="shared" si="101"/>
        <v>05-06</v>
      </c>
      <c r="J159" s="14">
        <f t="shared" si="102"/>
        <v>361</v>
      </c>
      <c r="K159" s="15">
        <f t="shared" si="103"/>
        <v>442</v>
      </c>
      <c r="L159" s="17">
        <f t="shared" si="104"/>
        <v>384</v>
      </c>
      <c r="M159" s="18">
        <f t="shared" si="105"/>
        <v>442</v>
      </c>
      <c r="N159" s="14">
        <f t="shared" si="106"/>
        <v>384</v>
      </c>
      <c r="O159" s="15">
        <f t="shared" si="107"/>
        <v>472</v>
      </c>
      <c r="P159" s="17">
        <f t="shared" si="108"/>
        <v>361</v>
      </c>
      <c r="Q159" s="18">
        <f t="shared" si="109"/>
        <v>472</v>
      </c>
      <c r="R159" s="4" t="s">
        <v>0</v>
      </c>
      <c r="S159" s="16" t="str">
        <f t="shared" si="110"/>
        <v>05-06</v>
      </c>
      <c r="T159" s="14">
        <f t="shared" si="111"/>
        <v>361</v>
      </c>
      <c r="U159" s="18">
        <f t="shared" si="112"/>
        <v>308</v>
      </c>
      <c r="V159" s="14">
        <f t="shared" si="113"/>
        <v>384</v>
      </c>
      <c r="W159" s="18">
        <f t="shared" si="114"/>
        <v>308</v>
      </c>
      <c r="X159" s="14">
        <f t="shared" si="115"/>
        <v>384</v>
      </c>
      <c r="Y159" s="18">
        <f t="shared" si="116"/>
        <v>278</v>
      </c>
      <c r="Z159" s="14">
        <f t="shared" si="117"/>
        <v>361</v>
      </c>
      <c r="AA159" s="18">
        <f t="shared" si="118"/>
        <v>278</v>
      </c>
      <c r="AB159" s="4" t="s">
        <v>0</v>
      </c>
    </row>
    <row r="160" spans="1:28">
      <c r="A160" s="9" t="s">
        <v>43</v>
      </c>
      <c r="B160" s="24"/>
      <c r="C160" s="4"/>
      <c r="D160" s="25">
        <f t="shared" si="87"/>
        <v>386</v>
      </c>
      <c r="E160" s="29">
        <f t="shared" si="122"/>
        <v>442</v>
      </c>
      <c r="F160" s="25">
        <f t="shared" si="88"/>
        <v>409</v>
      </c>
      <c r="G160" s="29">
        <f t="shared" si="124"/>
        <v>472</v>
      </c>
      <c r="H160" s="4" t="s">
        <v>0</v>
      </c>
      <c r="I160" s="16" t="str">
        <f t="shared" si="101"/>
        <v>05-05</v>
      </c>
      <c r="J160" s="14">
        <f t="shared" si="102"/>
        <v>386</v>
      </c>
      <c r="K160" s="15">
        <f t="shared" si="103"/>
        <v>442</v>
      </c>
      <c r="L160" s="17">
        <f t="shared" si="104"/>
        <v>409</v>
      </c>
      <c r="M160" s="18">
        <f t="shared" si="105"/>
        <v>442</v>
      </c>
      <c r="N160" s="14">
        <f t="shared" si="106"/>
        <v>409</v>
      </c>
      <c r="O160" s="15">
        <f t="shared" si="107"/>
        <v>472</v>
      </c>
      <c r="P160" s="17">
        <f t="shared" si="108"/>
        <v>386</v>
      </c>
      <c r="Q160" s="18">
        <f t="shared" si="109"/>
        <v>472</v>
      </c>
      <c r="R160" s="4" t="s">
        <v>0</v>
      </c>
      <c r="S160" s="16" t="str">
        <f t="shared" si="110"/>
        <v>05-05</v>
      </c>
      <c r="T160" s="14">
        <f t="shared" si="111"/>
        <v>386</v>
      </c>
      <c r="U160" s="18">
        <f t="shared" si="112"/>
        <v>308</v>
      </c>
      <c r="V160" s="14">
        <f t="shared" si="113"/>
        <v>409</v>
      </c>
      <c r="W160" s="18">
        <f t="shared" si="114"/>
        <v>308</v>
      </c>
      <c r="X160" s="14">
        <f t="shared" si="115"/>
        <v>409</v>
      </c>
      <c r="Y160" s="18">
        <f t="shared" si="116"/>
        <v>278</v>
      </c>
      <c r="Z160" s="14">
        <f t="shared" si="117"/>
        <v>386</v>
      </c>
      <c r="AA160" s="18">
        <f t="shared" si="118"/>
        <v>278</v>
      </c>
      <c r="AB160" s="4" t="s">
        <v>0</v>
      </c>
    </row>
    <row r="161" spans="1:28">
      <c r="A161" s="9" t="s">
        <v>42</v>
      </c>
      <c r="B161" s="24"/>
      <c r="C161" s="4"/>
      <c r="D161" s="25">
        <f t="shared" si="87"/>
        <v>410</v>
      </c>
      <c r="E161" s="29">
        <f t="shared" si="122"/>
        <v>442</v>
      </c>
      <c r="F161" s="25">
        <f t="shared" si="88"/>
        <v>433</v>
      </c>
      <c r="G161" s="29">
        <f t="shared" si="124"/>
        <v>472</v>
      </c>
      <c r="H161" s="4" t="s">
        <v>0</v>
      </c>
      <c r="I161" s="16" t="str">
        <f t="shared" si="101"/>
        <v>05-03</v>
      </c>
      <c r="J161" s="14">
        <f t="shared" si="102"/>
        <v>410</v>
      </c>
      <c r="K161" s="15">
        <f t="shared" si="103"/>
        <v>442</v>
      </c>
      <c r="L161" s="17">
        <f t="shared" si="104"/>
        <v>433</v>
      </c>
      <c r="M161" s="18">
        <f t="shared" si="105"/>
        <v>442</v>
      </c>
      <c r="N161" s="14">
        <f t="shared" si="106"/>
        <v>433</v>
      </c>
      <c r="O161" s="15">
        <f t="shared" si="107"/>
        <v>472</v>
      </c>
      <c r="P161" s="17">
        <f t="shared" si="108"/>
        <v>410</v>
      </c>
      <c r="Q161" s="18">
        <f t="shared" si="109"/>
        <v>472</v>
      </c>
      <c r="R161" s="4" t="s">
        <v>0</v>
      </c>
      <c r="S161" s="16" t="str">
        <f t="shared" si="110"/>
        <v>05-03</v>
      </c>
      <c r="T161" s="14">
        <f t="shared" si="111"/>
        <v>410</v>
      </c>
      <c r="U161" s="18">
        <f t="shared" si="112"/>
        <v>308</v>
      </c>
      <c r="V161" s="14">
        <f t="shared" si="113"/>
        <v>433</v>
      </c>
      <c r="W161" s="18">
        <f t="shared" si="114"/>
        <v>308</v>
      </c>
      <c r="X161" s="14">
        <f t="shared" si="115"/>
        <v>433</v>
      </c>
      <c r="Y161" s="18">
        <f t="shared" si="116"/>
        <v>278</v>
      </c>
      <c r="Z161" s="14">
        <f t="shared" si="117"/>
        <v>410</v>
      </c>
      <c r="AA161" s="18">
        <f t="shared" si="118"/>
        <v>278</v>
      </c>
      <c r="AB161" s="4" t="s">
        <v>0</v>
      </c>
    </row>
    <row r="162" spans="1:28">
      <c r="A162" s="9" t="s">
        <v>41</v>
      </c>
      <c r="B162" s="24"/>
      <c r="C162" s="4"/>
      <c r="D162" s="25">
        <f t="shared" si="87"/>
        <v>434</v>
      </c>
      <c r="E162" s="29">
        <f t="shared" si="122"/>
        <v>442</v>
      </c>
      <c r="F162" s="25">
        <f t="shared" si="88"/>
        <v>457</v>
      </c>
      <c r="G162" s="29">
        <f t="shared" si="124"/>
        <v>472</v>
      </c>
      <c r="H162" s="4" t="s">
        <v>0</v>
      </c>
      <c r="I162" s="16" t="str">
        <f t="shared" si="101"/>
        <v>05-02</v>
      </c>
      <c r="J162" s="14">
        <f t="shared" si="102"/>
        <v>434</v>
      </c>
      <c r="K162" s="15">
        <f t="shared" si="103"/>
        <v>442</v>
      </c>
      <c r="L162" s="17">
        <f t="shared" si="104"/>
        <v>457</v>
      </c>
      <c r="M162" s="18">
        <f t="shared" si="105"/>
        <v>442</v>
      </c>
      <c r="N162" s="14">
        <f t="shared" si="106"/>
        <v>457</v>
      </c>
      <c r="O162" s="15">
        <f t="shared" si="107"/>
        <v>472</v>
      </c>
      <c r="P162" s="17">
        <f t="shared" si="108"/>
        <v>434</v>
      </c>
      <c r="Q162" s="18">
        <f t="shared" si="109"/>
        <v>472</v>
      </c>
      <c r="R162" s="4" t="s">
        <v>0</v>
      </c>
      <c r="S162" s="16" t="str">
        <f t="shared" si="110"/>
        <v>05-02</v>
      </c>
      <c r="T162" s="14">
        <f t="shared" si="111"/>
        <v>434</v>
      </c>
      <c r="U162" s="18">
        <f t="shared" si="112"/>
        <v>308</v>
      </c>
      <c r="V162" s="14">
        <f t="shared" si="113"/>
        <v>457</v>
      </c>
      <c r="W162" s="18">
        <f t="shared" si="114"/>
        <v>308</v>
      </c>
      <c r="X162" s="14">
        <f t="shared" si="115"/>
        <v>457</v>
      </c>
      <c r="Y162" s="18">
        <f t="shared" si="116"/>
        <v>278</v>
      </c>
      <c r="Z162" s="14">
        <f t="shared" si="117"/>
        <v>434</v>
      </c>
      <c r="AA162" s="18">
        <f t="shared" si="118"/>
        <v>278</v>
      </c>
      <c r="AB162" s="4" t="s">
        <v>0</v>
      </c>
    </row>
    <row r="163" spans="1:28">
      <c r="A163" s="9" t="s">
        <v>40</v>
      </c>
      <c r="B163" s="24"/>
      <c r="C163" s="4"/>
      <c r="D163" s="25">
        <f t="shared" si="87"/>
        <v>458</v>
      </c>
      <c r="E163" s="29">
        <f t="shared" si="122"/>
        <v>442</v>
      </c>
      <c r="F163" s="25">
        <f t="shared" si="88"/>
        <v>481</v>
      </c>
      <c r="G163" s="29">
        <f t="shared" si="124"/>
        <v>472</v>
      </c>
      <c r="H163" s="4" t="s">
        <v>0</v>
      </c>
      <c r="I163" s="16" t="str">
        <f t="shared" si="101"/>
        <v>05-01</v>
      </c>
      <c r="J163" s="14">
        <f t="shared" si="102"/>
        <v>458</v>
      </c>
      <c r="K163" s="15">
        <f t="shared" si="103"/>
        <v>442</v>
      </c>
      <c r="L163" s="17">
        <f t="shared" si="104"/>
        <v>481</v>
      </c>
      <c r="M163" s="18">
        <f t="shared" si="105"/>
        <v>442</v>
      </c>
      <c r="N163" s="14">
        <f t="shared" si="106"/>
        <v>481</v>
      </c>
      <c r="O163" s="15">
        <f t="shared" si="107"/>
        <v>472</v>
      </c>
      <c r="P163" s="17">
        <f t="shared" si="108"/>
        <v>458</v>
      </c>
      <c r="Q163" s="18">
        <f t="shared" si="109"/>
        <v>472</v>
      </c>
      <c r="R163" s="4" t="s">
        <v>0</v>
      </c>
      <c r="S163" s="16" t="str">
        <f t="shared" si="110"/>
        <v>05-01</v>
      </c>
      <c r="T163" s="14">
        <f t="shared" si="111"/>
        <v>458</v>
      </c>
      <c r="U163" s="18">
        <f t="shared" si="112"/>
        <v>308</v>
      </c>
      <c r="V163" s="14">
        <f t="shared" si="113"/>
        <v>481</v>
      </c>
      <c r="W163" s="18">
        <f t="shared" si="114"/>
        <v>308</v>
      </c>
      <c r="X163" s="14">
        <f t="shared" si="115"/>
        <v>481</v>
      </c>
      <c r="Y163" s="18">
        <f t="shared" si="116"/>
        <v>278</v>
      </c>
      <c r="Z163" s="14">
        <f t="shared" si="117"/>
        <v>458</v>
      </c>
      <c r="AA163" s="18">
        <f t="shared" si="118"/>
        <v>278</v>
      </c>
      <c r="AB163" s="4" t="s">
        <v>0</v>
      </c>
    </row>
    <row r="164" spans="1:28">
      <c r="A164" s="9" t="s">
        <v>160</v>
      </c>
      <c r="B164" s="24"/>
      <c r="C164" s="4"/>
      <c r="D164" s="27">
        <v>71</v>
      </c>
      <c r="E164" s="31">
        <f t="shared" ref="E164" si="125">ROUND(E147+39.8,0)</f>
        <v>482</v>
      </c>
      <c r="F164" s="31">
        <v>94</v>
      </c>
      <c r="G164" s="31">
        <f t="shared" ref="G164" si="126">ROUND(G147+39.8,0)</f>
        <v>512</v>
      </c>
      <c r="H164" s="4" t="s">
        <v>0</v>
      </c>
      <c r="I164" s="16" t="str">
        <f t="shared" si="101"/>
        <v>03-21</v>
      </c>
      <c r="J164" s="14">
        <f t="shared" si="102"/>
        <v>71</v>
      </c>
      <c r="K164" s="15">
        <f t="shared" si="103"/>
        <v>482</v>
      </c>
      <c r="L164" s="17">
        <f t="shared" si="104"/>
        <v>94</v>
      </c>
      <c r="M164" s="18">
        <f t="shared" si="105"/>
        <v>482</v>
      </c>
      <c r="N164" s="14">
        <f t="shared" si="106"/>
        <v>94</v>
      </c>
      <c r="O164" s="15">
        <f t="shared" si="107"/>
        <v>512</v>
      </c>
      <c r="P164" s="17">
        <f t="shared" si="108"/>
        <v>71</v>
      </c>
      <c r="Q164" s="18">
        <f t="shared" si="109"/>
        <v>512</v>
      </c>
      <c r="R164" s="4" t="s">
        <v>0</v>
      </c>
      <c r="S164" s="16" t="str">
        <f t="shared" si="110"/>
        <v>03-21</v>
      </c>
      <c r="T164" s="14">
        <f t="shared" si="111"/>
        <v>71</v>
      </c>
      <c r="U164" s="18">
        <f t="shared" si="112"/>
        <v>268</v>
      </c>
      <c r="V164" s="14">
        <f t="shared" si="113"/>
        <v>94</v>
      </c>
      <c r="W164" s="18">
        <f t="shared" si="114"/>
        <v>268</v>
      </c>
      <c r="X164" s="14">
        <f t="shared" si="115"/>
        <v>94</v>
      </c>
      <c r="Y164" s="18">
        <f t="shared" si="116"/>
        <v>238</v>
      </c>
      <c r="Z164" s="14">
        <f t="shared" si="117"/>
        <v>71</v>
      </c>
      <c r="AA164" s="18">
        <f t="shared" si="118"/>
        <v>238</v>
      </c>
      <c r="AB164" s="4" t="s">
        <v>0</v>
      </c>
    </row>
    <row r="165" spans="1:28">
      <c r="A165" s="9" t="s">
        <v>159</v>
      </c>
      <c r="B165" s="24"/>
      <c r="C165" s="4"/>
      <c r="D165" s="25">
        <f t="shared" ref="D165" si="127">D148</f>
        <v>95</v>
      </c>
      <c r="E165" s="29">
        <f t="shared" ref="E165:E180" si="128">E164</f>
        <v>482</v>
      </c>
      <c r="F165" s="25">
        <f t="shared" ref="F165" si="129">F148</f>
        <v>118</v>
      </c>
      <c r="G165" s="29">
        <f t="shared" ref="G165:G180" si="130">G164</f>
        <v>512</v>
      </c>
      <c r="H165" s="4" t="s">
        <v>0</v>
      </c>
      <c r="I165" s="16" t="str">
        <f t="shared" si="101"/>
        <v>03-20</v>
      </c>
      <c r="J165" s="14">
        <f t="shared" si="102"/>
        <v>95</v>
      </c>
      <c r="K165" s="15">
        <f t="shared" si="103"/>
        <v>482</v>
      </c>
      <c r="L165" s="17">
        <f t="shared" si="104"/>
        <v>118</v>
      </c>
      <c r="M165" s="18">
        <f t="shared" si="105"/>
        <v>482</v>
      </c>
      <c r="N165" s="14">
        <f t="shared" si="106"/>
        <v>118</v>
      </c>
      <c r="O165" s="15">
        <f t="shared" si="107"/>
        <v>512</v>
      </c>
      <c r="P165" s="17">
        <f t="shared" si="108"/>
        <v>95</v>
      </c>
      <c r="Q165" s="18">
        <f t="shared" si="109"/>
        <v>512</v>
      </c>
      <c r="R165" s="4" t="s">
        <v>0</v>
      </c>
      <c r="S165" s="16" t="str">
        <f t="shared" si="110"/>
        <v>03-20</v>
      </c>
      <c r="T165" s="14">
        <f t="shared" si="111"/>
        <v>95</v>
      </c>
      <c r="U165" s="18">
        <f t="shared" si="112"/>
        <v>268</v>
      </c>
      <c r="V165" s="14">
        <f t="shared" si="113"/>
        <v>118</v>
      </c>
      <c r="W165" s="18">
        <f t="shared" si="114"/>
        <v>268</v>
      </c>
      <c r="X165" s="14">
        <f t="shared" si="115"/>
        <v>118</v>
      </c>
      <c r="Y165" s="18">
        <f t="shared" si="116"/>
        <v>238</v>
      </c>
      <c r="Z165" s="14">
        <f t="shared" si="117"/>
        <v>95</v>
      </c>
      <c r="AA165" s="18">
        <f t="shared" si="118"/>
        <v>238</v>
      </c>
      <c r="AB165" s="4" t="s">
        <v>0</v>
      </c>
    </row>
    <row r="166" spans="1:28">
      <c r="A166" s="9" t="s">
        <v>158</v>
      </c>
      <c r="B166" s="24"/>
      <c r="C166" s="4"/>
      <c r="D166" s="25">
        <f t="shared" si="87"/>
        <v>119</v>
      </c>
      <c r="E166" s="29">
        <f t="shared" si="128"/>
        <v>482</v>
      </c>
      <c r="F166" s="25">
        <f t="shared" si="88"/>
        <v>142</v>
      </c>
      <c r="G166" s="29">
        <f t="shared" si="130"/>
        <v>512</v>
      </c>
      <c r="H166" s="4" t="s">
        <v>0</v>
      </c>
      <c r="I166" s="16" t="str">
        <f t="shared" si="101"/>
        <v>03-18</v>
      </c>
      <c r="J166" s="14">
        <f t="shared" si="102"/>
        <v>119</v>
      </c>
      <c r="K166" s="15">
        <f t="shared" si="103"/>
        <v>482</v>
      </c>
      <c r="L166" s="17">
        <f t="shared" si="104"/>
        <v>142</v>
      </c>
      <c r="M166" s="18">
        <f t="shared" si="105"/>
        <v>482</v>
      </c>
      <c r="N166" s="14">
        <f t="shared" si="106"/>
        <v>142</v>
      </c>
      <c r="O166" s="15">
        <f t="shared" si="107"/>
        <v>512</v>
      </c>
      <c r="P166" s="17">
        <f t="shared" si="108"/>
        <v>119</v>
      </c>
      <c r="Q166" s="18">
        <f t="shared" si="109"/>
        <v>512</v>
      </c>
      <c r="R166" s="4" t="s">
        <v>0</v>
      </c>
      <c r="S166" s="16" t="str">
        <f t="shared" si="110"/>
        <v>03-18</v>
      </c>
      <c r="T166" s="14">
        <f t="shared" si="111"/>
        <v>119</v>
      </c>
      <c r="U166" s="18">
        <f t="shared" si="112"/>
        <v>268</v>
      </c>
      <c r="V166" s="14">
        <f t="shared" si="113"/>
        <v>142</v>
      </c>
      <c r="W166" s="18">
        <f t="shared" si="114"/>
        <v>268</v>
      </c>
      <c r="X166" s="14">
        <f t="shared" si="115"/>
        <v>142</v>
      </c>
      <c r="Y166" s="18">
        <f t="shared" si="116"/>
        <v>238</v>
      </c>
      <c r="Z166" s="14">
        <f t="shared" si="117"/>
        <v>119</v>
      </c>
      <c r="AA166" s="18">
        <f t="shared" si="118"/>
        <v>238</v>
      </c>
      <c r="AB166" s="4" t="s">
        <v>0</v>
      </c>
    </row>
    <row r="167" spans="1:28">
      <c r="A167" s="9" t="s">
        <v>157</v>
      </c>
      <c r="B167" s="24"/>
      <c r="C167" s="4"/>
      <c r="D167" s="25">
        <f t="shared" si="87"/>
        <v>144</v>
      </c>
      <c r="E167" s="29">
        <f t="shared" si="128"/>
        <v>482</v>
      </c>
      <c r="F167" s="25">
        <f t="shared" si="88"/>
        <v>167</v>
      </c>
      <c r="G167" s="29">
        <f t="shared" si="130"/>
        <v>512</v>
      </c>
      <c r="H167" s="4" t="s">
        <v>0</v>
      </c>
      <c r="I167" s="16" t="str">
        <f t="shared" si="101"/>
        <v>03-17</v>
      </c>
      <c r="J167" s="14">
        <f t="shared" si="102"/>
        <v>144</v>
      </c>
      <c r="K167" s="15">
        <f t="shared" si="103"/>
        <v>482</v>
      </c>
      <c r="L167" s="17">
        <f t="shared" si="104"/>
        <v>167</v>
      </c>
      <c r="M167" s="18">
        <f t="shared" si="105"/>
        <v>482</v>
      </c>
      <c r="N167" s="14">
        <f t="shared" si="106"/>
        <v>167</v>
      </c>
      <c r="O167" s="15">
        <f t="shared" si="107"/>
        <v>512</v>
      </c>
      <c r="P167" s="17">
        <f t="shared" si="108"/>
        <v>144</v>
      </c>
      <c r="Q167" s="18">
        <f t="shared" si="109"/>
        <v>512</v>
      </c>
      <c r="R167" s="4" t="s">
        <v>0</v>
      </c>
      <c r="S167" s="16" t="str">
        <f t="shared" si="110"/>
        <v>03-17</v>
      </c>
      <c r="T167" s="14">
        <f t="shared" si="111"/>
        <v>144</v>
      </c>
      <c r="U167" s="18">
        <f t="shared" si="112"/>
        <v>268</v>
      </c>
      <c r="V167" s="14">
        <f t="shared" si="113"/>
        <v>167</v>
      </c>
      <c r="W167" s="18">
        <f t="shared" si="114"/>
        <v>268</v>
      </c>
      <c r="X167" s="14">
        <f t="shared" si="115"/>
        <v>167</v>
      </c>
      <c r="Y167" s="18">
        <f t="shared" si="116"/>
        <v>238</v>
      </c>
      <c r="Z167" s="14">
        <f t="shared" si="117"/>
        <v>144</v>
      </c>
      <c r="AA167" s="18">
        <f t="shared" si="118"/>
        <v>238</v>
      </c>
      <c r="AB167" s="4" t="s">
        <v>0</v>
      </c>
    </row>
    <row r="168" spans="1:28">
      <c r="A168" s="9" t="s">
        <v>156</v>
      </c>
      <c r="B168" s="24"/>
      <c r="C168" s="4"/>
      <c r="D168" s="25">
        <f t="shared" si="87"/>
        <v>168</v>
      </c>
      <c r="E168" s="29">
        <f t="shared" si="128"/>
        <v>482</v>
      </c>
      <c r="F168" s="25">
        <f t="shared" si="88"/>
        <v>191</v>
      </c>
      <c r="G168" s="29">
        <f t="shared" si="130"/>
        <v>512</v>
      </c>
      <c r="H168" s="4" t="s">
        <v>0</v>
      </c>
      <c r="I168" s="16" t="str">
        <f t="shared" si="101"/>
        <v>03-16</v>
      </c>
      <c r="J168" s="14">
        <f t="shared" si="102"/>
        <v>168</v>
      </c>
      <c r="K168" s="15">
        <f t="shared" si="103"/>
        <v>482</v>
      </c>
      <c r="L168" s="17">
        <f t="shared" si="104"/>
        <v>191</v>
      </c>
      <c r="M168" s="18">
        <f t="shared" si="105"/>
        <v>482</v>
      </c>
      <c r="N168" s="14">
        <f t="shared" si="106"/>
        <v>191</v>
      </c>
      <c r="O168" s="15">
        <f t="shared" si="107"/>
        <v>512</v>
      </c>
      <c r="P168" s="17">
        <f t="shared" si="108"/>
        <v>168</v>
      </c>
      <c r="Q168" s="18">
        <f t="shared" si="109"/>
        <v>512</v>
      </c>
      <c r="R168" s="4" t="s">
        <v>0</v>
      </c>
      <c r="S168" s="16" t="str">
        <f t="shared" si="110"/>
        <v>03-16</v>
      </c>
      <c r="T168" s="14">
        <f t="shared" si="111"/>
        <v>168</v>
      </c>
      <c r="U168" s="18">
        <f t="shared" si="112"/>
        <v>268</v>
      </c>
      <c r="V168" s="14">
        <f t="shared" si="113"/>
        <v>191</v>
      </c>
      <c r="W168" s="18">
        <f t="shared" si="114"/>
        <v>268</v>
      </c>
      <c r="X168" s="14">
        <f t="shared" si="115"/>
        <v>191</v>
      </c>
      <c r="Y168" s="18">
        <f t="shared" si="116"/>
        <v>238</v>
      </c>
      <c r="Z168" s="14">
        <f t="shared" si="117"/>
        <v>168</v>
      </c>
      <c r="AA168" s="18">
        <f t="shared" si="118"/>
        <v>238</v>
      </c>
      <c r="AB168" s="4" t="s">
        <v>0</v>
      </c>
    </row>
    <row r="169" spans="1:28">
      <c r="A169" s="9" t="s">
        <v>155</v>
      </c>
      <c r="B169" s="24"/>
      <c r="C169" s="4"/>
      <c r="D169" s="25">
        <f t="shared" si="87"/>
        <v>192</v>
      </c>
      <c r="E169" s="29">
        <f t="shared" si="128"/>
        <v>482</v>
      </c>
      <c r="F169" s="25">
        <f t="shared" si="88"/>
        <v>215</v>
      </c>
      <c r="G169" s="29">
        <f t="shared" si="130"/>
        <v>512</v>
      </c>
      <c r="H169" s="4" t="s">
        <v>0</v>
      </c>
      <c r="I169" s="16" t="str">
        <f t="shared" si="101"/>
        <v>03-15</v>
      </c>
      <c r="J169" s="14">
        <f t="shared" si="102"/>
        <v>192</v>
      </c>
      <c r="K169" s="15">
        <f t="shared" si="103"/>
        <v>482</v>
      </c>
      <c r="L169" s="17">
        <f t="shared" si="104"/>
        <v>215</v>
      </c>
      <c r="M169" s="18">
        <f t="shared" si="105"/>
        <v>482</v>
      </c>
      <c r="N169" s="14">
        <f t="shared" si="106"/>
        <v>215</v>
      </c>
      <c r="O169" s="15">
        <f t="shared" si="107"/>
        <v>512</v>
      </c>
      <c r="P169" s="17">
        <f t="shared" si="108"/>
        <v>192</v>
      </c>
      <c r="Q169" s="18">
        <f t="shared" si="109"/>
        <v>512</v>
      </c>
      <c r="R169" s="4" t="s">
        <v>0</v>
      </c>
      <c r="S169" s="16" t="str">
        <f t="shared" si="110"/>
        <v>03-15</v>
      </c>
      <c r="T169" s="14">
        <f t="shared" si="111"/>
        <v>192</v>
      </c>
      <c r="U169" s="18">
        <f t="shared" si="112"/>
        <v>268</v>
      </c>
      <c r="V169" s="14">
        <f t="shared" si="113"/>
        <v>215</v>
      </c>
      <c r="W169" s="18">
        <f t="shared" si="114"/>
        <v>268</v>
      </c>
      <c r="X169" s="14">
        <f t="shared" si="115"/>
        <v>215</v>
      </c>
      <c r="Y169" s="18">
        <f t="shared" si="116"/>
        <v>238</v>
      </c>
      <c r="Z169" s="14">
        <f t="shared" si="117"/>
        <v>192</v>
      </c>
      <c r="AA169" s="18">
        <f t="shared" si="118"/>
        <v>238</v>
      </c>
      <c r="AB169" s="4" t="s">
        <v>0</v>
      </c>
    </row>
    <row r="170" spans="1:28">
      <c r="A170" s="9" t="s">
        <v>154</v>
      </c>
      <c r="B170" s="24"/>
      <c r="C170" s="4"/>
      <c r="D170" s="25">
        <f t="shared" si="87"/>
        <v>216</v>
      </c>
      <c r="E170" s="29">
        <f t="shared" si="128"/>
        <v>482</v>
      </c>
      <c r="F170" s="25">
        <f t="shared" si="88"/>
        <v>239</v>
      </c>
      <c r="G170" s="29">
        <f t="shared" si="130"/>
        <v>512</v>
      </c>
      <c r="H170" s="4" t="s">
        <v>0</v>
      </c>
      <c r="I170" s="16" t="str">
        <f t="shared" si="101"/>
        <v>03-13</v>
      </c>
      <c r="J170" s="14">
        <f t="shared" si="102"/>
        <v>216</v>
      </c>
      <c r="K170" s="15">
        <f t="shared" si="103"/>
        <v>482</v>
      </c>
      <c r="L170" s="17">
        <f t="shared" si="104"/>
        <v>239</v>
      </c>
      <c r="M170" s="18">
        <f t="shared" si="105"/>
        <v>482</v>
      </c>
      <c r="N170" s="14">
        <f t="shared" si="106"/>
        <v>239</v>
      </c>
      <c r="O170" s="15">
        <f t="shared" si="107"/>
        <v>512</v>
      </c>
      <c r="P170" s="17">
        <f t="shared" si="108"/>
        <v>216</v>
      </c>
      <c r="Q170" s="18">
        <f t="shared" si="109"/>
        <v>512</v>
      </c>
      <c r="R170" s="4" t="s">
        <v>0</v>
      </c>
      <c r="S170" s="16" t="str">
        <f t="shared" si="110"/>
        <v>03-13</v>
      </c>
      <c r="T170" s="14">
        <f t="shared" si="111"/>
        <v>216</v>
      </c>
      <c r="U170" s="18">
        <f t="shared" si="112"/>
        <v>268</v>
      </c>
      <c r="V170" s="14">
        <f t="shared" si="113"/>
        <v>239</v>
      </c>
      <c r="W170" s="18">
        <f t="shared" si="114"/>
        <v>268</v>
      </c>
      <c r="X170" s="14">
        <f t="shared" si="115"/>
        <v>239</v>
      </c>
      <c r="Y170" s="18">
        <f t="shared" si="116"/>
        <v>238</v>
      </c>
      <c r="Z170" s="14">
        <f t="shared" si="117"/>
        <v>216</v>
      </c>
      <c r="AA170" s="18">
        <f t="shared" si="118"/>
        <v>238</v>
      </c>
      <c r="AB170" s="4" t="s">
        <v>0</v>
      </c>
    </row>
    <row r="171" spans="1:28">
      <c r="A171" s="9" t="s">
        <v>39</v>
      </c>
      <c r="B171" s="24"/>
      <c r="C171" s="4"/>
      <c r="D171" s="25">
        <f t="shared" si="87"/>
        <v>240</v>
      </c>
      <c r="E171" s="29">
        <f t="shared" si="128"/>
        <v>482</v>
      </c>
      <c r="F171" s="25">
        <f t="shared" si="88"/>
        <v>263</v>
      </c>
      <c r="G171" s="29">
        <f t="shared" si="130"/>
        <v>512</v>
      </c>
      <c r="H171" s="4" t="s">
        <v>0</v>
      </c>
      <c r="I171" s="16" t="str">
        <f t="shared" si="101"/>
        <v>03-12</v>
      </c>
      <c r="J171" s="14">
        <f t="shared" si="102"/>
        <v>240</v>
      </c>
      <c r="K171" s="15">
        <f t="shared" si="103"/>
        <v>482</v>
      </c>
      <c r="L171" s="17">
        <f t="shared" si="104"/>
        <v>263</v>
      </c>
      <c r="M171" s="18">
        <f t="shared" si="105"/>
        <v>482</v>
      </c>
      <c r="N171" s="14">
        <f t="shared" si="106"/>
        <v>263</v>
      </c>
      <c r="O171" s="15">
        <f t="shared" si="107"/>
        <v>512</v>
      </c>
      <c r="P171" s="17">
        <f t="shared" si="108"/>
        <v>240</v>
      </c>
      <c r="Q171" s="18">
        <f t="shared" si="109"/>
        <v>512</v>
      </c>
      <c r="R171" s="4" t="s">
        <v>0</v>
      </c>
      <c r="S171" s="16" t="str">
        <f t="shared" si="110"/>
        <v>03-12</v>
      </c>
      <c r="T171" s="14">
        <f t="shared" si="111"/>
        <v>240</v>
      </c>
      <c r="U171" s="18">
        <f t="shared" si="112"/>
        <v>268</v>
      </c>
      <c r="V171" s="14">
        <f t="shared" si="113"/>
        <v>263</v>
      </c>
      <c r="W171" s="18">
        <f t="shared" si="114"/>
        <v>268</v>
      </c>
      <c r="X171" s="14">
        <f t="shared" si="115"/>
        <v>263</v>
      </c>
      <c r="Y171" s="18">
        <f t="shared" si="116"/>
        <v>238</v>
      </c>
      <c r="Z171" s="14">
        <f t="shared" si="117"/>
        <v>240</v>
      </c>
      <c r="AA171" s="18">
        <f t="shared" si="118"/>
        <v>238</v>
      </c>
      <c r="AB171" s="4" t="s">
        <v>0</v>
      </c>
    </row>
    <row r="172" spans="1:28">
      <c r="A172" s="9" t="s">
        <v>38</v>
      </c>
      <c r="B172" s="24"/>
      <c r="C172" s="4"/>
      <c r="D172" s="25">
        <f t="shared" si="87"/>
        <v>265</v>
      </c>
      <c r="E172" s="29">
        <f t="shared" si="128"/>
        <v>482</v>
      </c>
      <c r="F172" s="25">
        <f t="shared" si="88"/>
        <v>288</v>
      </c>
      <c r="G172" s="29">
        <f t="shared" si="130"/>
        <v>512</v>
      </c>
      <c r="H172" s="4" t="s">
        <v>0</v>
      </c>
      <c r="I172" s="16" t="str">
        <f t="shared" si="0"/>
        <v>03-11</v>
      </c>
      <c r="J172" s="14">
        <f t="shared" si="2"/>
        <v>265</v>
      </c>
      <c r="K172" s="15">
        <f t="shared" si="3"/>
        <v>482</v>
      </c>
      <c r="L172" s="17">
        <f t="shared" si="4"/>
        <v>288</v>
      </c>
      <c r="M172" s="18">
        <f t="shared" si="5"/>
        <v>482</v>
      </c>
      <c r="N172" s="14">
        <f t="shared" si="6"/>
        <v>288</v>
      </c>
      <c r="O172" s="15">
        <f t="shared" si="7"/>
        <v>512</v>
      </c>
      <c r="P172" s="17">
        <f t="shared" si="8"/>
        <v>265</v>
      </c>
      <c r="Q172" s="18">
        <f t="shared" si="9"/>
        <v>512</v>
      </c>
      <c r="R172" s="4" t="s">
        <v>0</v>
      </c>
      <c r="S172" s="16" t="str">
        <f t="shared" si="10"/>
        <v>03-11</v>
      </c>
      <c r="T172" s="14">
        <f t="shared" si="11"/>
        <v>265</v>
      </c>
      <c r="U172" s="18">
        <f t="shared" si="12"/>
        <v>268</v>
      </c>
      <c r="V172" s="14">
        <f t="shared" si="13"/>
        <v>288</v>
      </c>
      <c r="W172" s="18">
        <f t="shared" si="14"/>
        <v>268</v>
      </c>
      <c r="X172" s="14">
        <f t="shared" si="15"/>
        <v>288</v>
      </c>
      <c r="Y172" s="18">
        <f t="shared" si="16"/>
        <v>238</v>
      </c>
      <c r="Z172" s="14">
        <f t="shared" si="17"/>
        <v>265</v>
      </c>
      <c r="AA172" s="18">
        <f t="shared" si="18"/>
        <v>238</v>
      </c>
      <c r="AB172" s="4" t="s">
        <v>0</v>
      </c>
    </row>
    <row r="173" spans="1:28">
      <c r="A173" s="9" t="s">
        <v>37</v>
      </c>
      <c r="B173" s="24"/>
      <c r="C173" s="4"/>
      <c r="D173" s="25">
        <f t="shared" si="87"/>
        <v>289</v>
      </c>
      <c r="E173" s="29">
        <f t="shared" si="128"/>
        <v>482</v>
      </c>
      <c r="F173" s="25">
        <f t="shared" si="88"/>
        <v>312</v>
      </c>
      <c r="G173" s="29">
        <f t="shared" si="130"/>
        <v>512</v>
      </c>
      <c r="H173" s="4" t="s">
        <v>0</v>
      </c>
      <c r="I173" s="16" t="str">
        <f t="shared" si="0"/>
        <v>03-10</v>
      </c>
      <c r="J173" s="14">
        <f t="shared" si="2"/>
        <v>289</v>
      </c>
      <c r="K173" s="15">
        <f t="shared" si="3"/>
        <v>482</v>
      </c>
      <c r="L173" s="17">
        <f t="shared" si="4"/>
        <v>312</v>
      </c>
      <c r="M173" s="18">
        <f t="shared" si="5"/>
        <v>482</v>
      </c>
      <c r="N173" s="14">
        <f t="shared" si="6"/>
        <v>312</v>
      </c>
      <c r="O173" s="15">
        <f t="shared" si="7"/>
        <v>512</v>
      </c>
      <c r="P173" s="17">
        <f t="shared" si="8"/>
        <v>289</v>
      </c>
      <c r="Q173" s="18">
        <f t="shared" si="9"/>
        <v>512</v>
      </c>
      <c r="R173" s="4" t="s">
        <v>0</v>
      </c>
      <c r="S173" s="16" t="str">
        <f t="shared" si="10"/>
        <v>03-10</v>
      </c>
      <c r="T173" s="14">
        <f t="shared" si="11"/>
        <v>289</v>
      </c>
      <c r="U173" s="18">
        <f t="shared" si="12"/>
        <v>268</v>
      </c>
      <c r="V173" s="14">
        <f t="shared" si="13"/>
        <v>312</v>
      </c>
      <c r="W173" s="18">
        <f t="shared" si="14"/>
        <v>268</v>
      </c>
      <c r="X173" s="14">
        <f t="shared" si="15"/>
        <v>312</v>
      </c>
      <c r="Y173" s="18">
        <f t="shared" si="16"/>
        <v>238</v>
      </c>
      <c r="Z173" s="14">
        <f t="shared" si="17"/>
        <v>289</v>
      </c>
      <c r="AA173" s="18">
        <f t="shared" si="18"/>
        <v>238</v>
      </c>
      <c r="AB173" s="4" t="s">
        <v>0</v>
      </c>
    </row>
    <row r="174" spans="1:28">
      <c r="A174" s="9" t="s">
        <v>36</v>
      </c>
      <c r="B174" s="24"/>
      <c r="C174" s="4"/>
      <c r="D174" s="25">
        <f t="shared" ref="D174:D197" si="131">D157</f>
        <v>313</v>
      </c>
      <c r="E174" s="29">
        <f t="shared" si="128"/>
        <v>482</v>
      </c>
      <c r="F174" s="25">
        <f t="shared" ref="F174:F197" si="132">F157</f>
        <v>336</v>
      </c>
      <c r="G174" s="29">
        <f t="shared" si="130"/>
        <v>512</v>
      </c>
      <c r="H174" s="4" t="s">
        <v>0</v>
      </c>
      <c r="I174" s="11" t="str">
        <f t="shared" si="0"/>
        <v>03-08</v>
      </c>
      <c r="J174" s="14">
        <f t="shared" si="2"/>
        <v>313</v>
      </c>
      <c r="K174" s="15">
        <f t="shared" si="3"/>
        <v>482</v>
      </c>
      <c r="L174" s="17">
        <f t="shared" si="4"/>
        <v>336</v>
      </c>
      <c r="M174" s="18">
        <f t="shared" si="5"/>
        <v>482</v>
      </c>
      <c r="N174" s="14">
        <f t="shared" si="6"/>
        <v>336</v>
      </c>
      <c r="O174" s="15">
        <f t="shared" si="7"/>
        <v>512</v>
      </c>
      <c r="P174" s="17">
        <f t="shared" si="8"/>
        <v>313</v>
      </c>
      <c r="Q174" s="18">
        <f t="shared" si="9"/>
        <v>512</v>
      </c>
      <c r="R174" s="4" t="s">
        <v>0</v>
      </c>
      <c r="S174" s="16" t="str">
        <f t="shared" si="10"/>
        <v>03-08</v>
      </c>
      <c r="T174" s="14">
        <f t="shared" si="11"/>
        <v>313</v>
      </c>
      <c r="U174" s="18">
        <f t="shared" si="12"/>
        <v>268</v>
      </c>
      <c r="V174" s="14">
        <f t="shared" si="13"/>
        <v>336</v>
      </c>
      <c r="W174" s="18">
        <f t="shared" si="14"/>
        <v>268</v>
      </c>
      <c r="X174" s="14">
        <f t="shared" si="15"/>
        <v>336</v>
      </c>
      <c r="Y174" s="18">
        <f t="shared" si="16"/>
        <v>238</v>
      </c>
      <c r="Z174" s="14">
        <f t="shared" si="17"/>
        <v>313</v>
      </c>
      <c r="AA174" s="18">
        <f t="shared" si="18"/>
        <v>238</v>
      </c>
      <c r="AB174" s="4" t="s">
        <v>0</v>
      </c>
    </row>
    <row r="175" spans="1:28">
      <c r="A175" s="9" t="s">
        <v>35</v>
      </c>
      <c r="B175" s="24"/>
      <c r="C175" s="4"/>
      <c r="D175" s="25">
        <f t="shared" si="131"/>
        <v>337</v>
      </c>
      <c r="E175" s="29">
        <f t="shared" si="128"/>
        <v>482</v>
      </c>
      <c r="F175" s="25">
        <f t="shared" si="132"/>
        <v>360</v>
      </c>
      <c r="G175" s="29">
        <f t="shared" si="130"/>
        <v>512</v>
      </c>
      <c r="H175" s="4" t="s">
        <v>0</v>
      </c>
      <c r="I175" s="11" t="str">
        <f t="shared" si="0"/>
        <v>03-07</v>
      </c>
      <c r="J175" s="14">
        <f t="shared" si="2"/>
        <v>337</v>
      </c>
      <c r="K175" s="15">
        <f t="shared" si="3"/>
        <v>482</v>
      </c>
      <c r="L175" s="17">
        <f t="shared" si="4"/>
        <v>360</v>
      </c>
      <c r="M175" s="18">
        <f t="shared" si="5"/>
        <v>482</v>
      </c>
      <c r="N175" s="14">
        <f t="shared" si="6"/>
        <v>360</v>
      </c>
      <c r="O175" s="15">
        <f t="shared" si="7"/>
        <v>512</v>
      </c>
      <c r="P175" s="17">
        <f t="shared" si="8"/>
        <v>337</v>
      </c>
      <c r="Q175" s="18">
        <f t="shared" si="9"/>
        <v>512</v>
      </c>
      <c r="R175" s="4" t="s">
        <v>0</v>
      </c>
      <c r="S175" s="16" t="str">
        <f t="shared" si="10"/>
        <v>03-07</v>
      </c>
      <c r="T175" s="14">
        <f t="shared" si="11"/>
        <v>337</v>
      </c>
      <c r="U175" s="18">
        <f t="shared" si="12"/>
        <v>268</v>
      </c>
      <c r="V175" s="14">
        <f t="shared" si="13"/>
        <v>360</v>
      </c>
      <c r="W175" s="18">
        <f t="shared" si="14"/>
        <v>268</v>
      </c>
      <c r="X175" s="14">
        <f t="shared" si="15"/>
        <v>360</v>
      </c>
      <c r="Y175" s="18">
        <f t="shared" si="16"/>
        <v>238</v>
      </c>
      <c r="Z175" s="14">
        <f t="shared" si="17"/>
        <v>337</v>
      </c>
      <c r="AA175" s="18">
        <f t="shared" si="18"/>
        <v>238</v>
      </c>
      <c r="AB175" s="4" t="s">
        <v>0</v>
      </c>
    </row>
    <row r="176" spans="1:28">
      <c r="A176" s="9" t="s">
        <v>34</v>
      </c>
      <c r="B176" s="24"/>
      <c r="C176" s="4"/>
      <c r="D176" s="25">
        <f t="shared" si="131"/>
        <v>361</v>
      </c>
      <c r="E176" s="29">
        <f t="shared" si="128"/>
        <v>482</v>
      </c>
      <c r="F176" s="25">
        <f t="shared" si="132"/>
        <v>384</v>
      </c>
      <c r="G176" s="29">
        <f t="shared" si="130"/>
        <v>512</v>
      </c>
      <c r="H176" s="4" t="s">
        <v>0</v>
      </c>
      <c r="I176" s="11" t="str">
        <f t="shared" si="0"/>
        <v>03-06</v>
      </c>
      <c r="J176" s="14">
        <f t="shared" si="2"/>
        <v>361</v>
      </c>
      <c r="K176" s="15">
        <f t="shared" si="3"/>
        <v>482</v>
      </c>
      <c r="L176" s="17">
        <f t="shared" si="4"/>
        <v>384</v>
      </c>
      <c r="M176" s="18">
        <f t="shared" si="5"/>
        <v>482</v>
      </c>
      <c r="N176" s="14">
        <f t="shared" si="6"/>
        <v>384</v>
      </c>
      <c r="O176" s="15">
        <f t="shared" si="7"/>
        <v>512</v>
      </c>
      <c r="P176" s="17">
        <f t="shared" si="8"/>
        <v>361</v>
      </c>
      <c r="Q176" s="18">
        <f t="shared" si="9"/>
        <v>512</v>
      </c>
      <c r="R176" s="4" t="s">
        <v>0</v>
      </c>
      <c r="S176" s="16" t="str">
        <f t="shared" si="10"/>
        <v>03-06</v>
      </c>
      <c r="T176" s="14">
        <f t="shared" si="11"/>
        <v>361</v>
      </c>
      <c r="U176" s="18">
        <f t="shared" si="12"/>
        <v>268</v>
      </c>
      <c r="V176" s="14">
        <f t="shared" si="13"/>
        <v>384</v>
      </c>
      <c r="W176" s="18">
        <f t="shared" si="14"/>
        <v>268</v>
      </c>
      <c r="X176" s="14">
        <f t="shared" si="15"/>
        <v>384</v>
      </c>
      <c r="Y176" s="18">
        <f t="shared" si="16"/>
        <v>238</v>
      </c>
      <c r="Z176" s="14">
        <f t="shared" si="17"/>
        <v>361</v>
      </c>
      <c r="AA176" s="18">
        <f t="shared" si="18"/>
        <v>238</v>
      </c>
      <c r="AB176" s="4" t="s">
        <v>0</v>
      </c>
    </row>
    <row r="177" spans="1:28">
      <c r="A177" s="9" t="s">
        <v>33</v>
      </c>
      <c r="B177" s="24"/>
      <c r="C177" s="4"/>
      <c r="D177" s="25">
        <f t="shared" si="131"/>
        <v>386</v>
      </c>
      <c r="E177" s="29">
        <f t="shared" si="128"/>
        <v>482</v>
      </c>
      <c r="F177" s="25">
        <f t="shared" si="132"/>
        <v>409</v>
      </c>
      <c r="G177" s="29">
        <f t="shared" si="130"/>
        <v>512</v>
      </c>
      <c r="H177" s="4" t="s">
        <v>0</v>
      </c>
      <c r="I177" s="11" t="str">
        <f t="shared" si="0"/>
        <v>03-05</v>
      </c>
      <c r="J177" s="14">
        <f t="shared" si="2"/>
        <v>386</v>
      </c>
      <c r="K177" s="15">
        <f t="shared" si="3"/>
        <v>482</v>
      </c>
      <c r="L177" s="17">
        <f t="shared" si="4"/>
        <v>409</v>
      </c>
      <c r="M177" s="18">
        <f t="shared" si="5"/>
        <v>482</v>
      </c>
      <c r="N177" s="14">
        <f t="shared" si="6"/>
        <v>409</v>
      </c>
      <c r="O177" s="15">
        <f t="shared" si="7"/>
        <v>512</v>
      </c>
      <c r="P177" s="17">
        <f t="shared" si="8"/>
        <v>386</v>
      </c>
      <c r="Q177" s="18">
        <f t="shared" si="9"/>
        <v>512</v>
      </c>
      <c r="R177" s="4" t="s">
        <v>0</v>
      </c>
      <c r="S177" s="16" t="str">
        <f t="shared" si="10"/>
        <v>03-05</v>
      </c>
      <c r="T177" s="14">
        <f t="shared" si="11"/>
        <v>386</v>
      </c>
      <c r="U177" s="18">
        <f t="shared" si="12"/>
        <v>268</v>
      </c>
      <c r="V177" s="14">
        <f t="shared" si="13"/>
        <v>409</v>
      </c>
      <c r="W177" s="18">
        <f t="shared" si="14"/>
        <v>268</v>
      </c>
      <c r="X177" s="14">
        <f t="shared" si="15"/>
        <v>409</v>
      </c>
      <c r="Y177" s="18">
        <f t="shared" si="16"/>
        <v>238</v>
      </c>
      <c r="Z177" s="14">
        <f t="shared" si="17"/>
        <v>386</v>
      </c>
      <c r="AA177" s="18">
        <f t="shared" si="18"/>
        <v>238</v>
      </c>
      <c r="AB177" s="4" t="s">
        <v>0</v>
      </c>
    </row>
    <row r="178" spans="1:28">
      <c r="A178" s="9" t="s">
        <v>32</v>
      </c>
      <c r="B178" s="24"/>
      <c r="C178" s="4"/>
      <c r="D178" s="25">
        <f t="shared" si="131"/>
        <v>410</v>
      </c>
      <c r="E178" s="29">
        <f t="shared" si="128"/>
        <v>482</v>
      </c>
      <c r="F178" s="25">
        <f t="shared" si="132"/>
        <v>433</v>
      </c>
      <c r="G178" s="29">
        <f t="shared" si="130"/>
        <v>512</v>
      </c>
      <c r="H178" s="4" t="s">
        <v>0</v>
      </c>
      <c r="I178" s="11" t="str">
        <f t="shared" si="0"/>
        <v>03-03</v>
      </c>
      <c r="J178" s="14">
        <f t="shared" si="2"/>
        <v>410</v>
      </c>
      <c r="K178" s="15">
        <f t="shared" si="3"/>
        <v>482</v>
      </c>
      <c r="L178" s="17">
        <f t="shared" si="4"/>
        <v>433</v>
      </c>
      <c r="M178" s="18">
        <f t="shared" si="5"/>
        <v>482</v>
      </c>
      <c r="N178" s="14">
        <f t="shared" si="6"/>
        <v>433</v>
      </c>
      <c r="O178" s="15">
        <f t="shared" si="7"/>
        <v>512</v>
      </c>
      <c r="P178" s="17">
        <f t="shared" si="8"/>
        <v>410</v>
      </c>
      <c r="Q178" s="18">
        <f t="shared" si="9"/>
        <v>512</v>
      </c>
      <c r="R178" s="4" t="s">
        <v>0</v>
      </c>
      <c r="S178" s="16" t="str">
        <f t="shared" si="10"/>
        <v>03-03</v>
      </c>
      <c r="T178" s="14">
        <f t="shared" si="11"/>
        <v>410</v>
      </c>
      <c r="U178" s="18">
        <f t="shared" si="12"/>
        <v>268</v>
      </c>
      <c r="V178" s="14">
        <f t="shared" si="13"/>
        <v>433</v>
      </c>
      <c r="W178" s="18">
        <f t="shared" si="14"/>
        <v>268</v>
      </c>
      <c r="X178" s="14">
        <f t="shared" si="15"/>
        <v>433</v>
      </c>
      <c r="Y178" s="18">
        <f t="shared" si="16"/>
        <v>238</v>
      </c>
      <c r="Z178" s="14">
        <f t="shared" si="17"/>
        <v>410</v>
      </c>
      <c r="AA178" s="18">
        <f t="shared" si="18"/>
        <v>238</v>
      </c>
      <c r="AB178" s="4" t="s">
        <v>0</v>
      </c>
    </row>
    <row r="179" spans="1:28">
      <c r="A179" s="9" t="s">
        <v>31</v>
      </c>
      <c r="B179" s="24"/>
      <c r="C179" s="4"/>
      <c r="D179" s="25">
        <f t="shared" si="131"/>
        <v>434</v>
      </c>
      <c r="E179" s="29">
        <f t="shared" si="128"/>
        <v>482</v>
      </c>
      <c r="F179" s="25">
        <f t="shared" si="132"/>
        <v>457</v>
      </c>
      <c r="G179" s="29">
        <f t="shared" si="130"/>
        <v>512</v>
      </c>
      <c r="H179" s="4" t="s">
        <v>0</v>
      </c>
      <c r="I179" s="11" t="str">
        <f t="shared" si="0"/>
        <v>03-02</v>
      </c>
      <c r="J179" s="14">
        <f t="shared" si="2"/>
        <v>434</v>
      </c>
      <c r="K179" s="15">
        <f t="shared" si="3"/>
        <v>482</v>
      </c>
      <c r="L179" s="17">
        <f t="shared" si="4"/>
        <v>457</v>
      </c>
      <c r="M179" s="18">
        <f t="shared" si="5"/>
        <v>482</v>
      </c>
      <c r="N179" s="14">
        <f t="shared" si="6"/>
        <v>457</v>
      </c>
      <c r="O179" s="15">
        <f t="shared" si="7"/>
        <v>512</v>
      </c>
      <c r="P179" s="17">
        <f t="shared" si="8"/>
        <v>434</v>
      </c>
      <c r="Q179" s="18">
        <f t="shared" si="9"/>
        <v>512</v>
      </c>
      <c r="R179" s="4" t="s">
        <v>0</v>
      </c>
      <c r="S179" s="16" t="str">
        <f t="shared" si="10"/>
        <v>03-02</v>
      </c>
      <c r="T179" s="14">
        <f t="shared" si="11"/>
        <v>434</v>
      </c>
      <c r="U179" s="18">
        <f t="shared" si="12"/>
        <v>268</v>
      </c>
      <c r="V179" s="14">
        <f t="shared" si="13"/>
        <v>457</v>
      </c>
      <c r="W179" s="18">
        <f t="shared" si="14"/>
        <v>268</v>
      </c>
      <c r="X179" s="14">
        <f t="shared" si="15"/>
        <v>457</v>
      </c>
      <c r="Y179" s="18">
        <f t="shared" si="16"/>
        <v>238</v>
      </c>
      <c r="Z179" s="14">
        <f t="shared" si="17"/>
        <v>434</v>
      </c>
      <c r="AA179" s="18">
        <f t="shared" si="18"/>
        <v>238</v>
      </c>
      <c r="AB179" s="4" t="s">
        <v>0</v>
      </c>
    </row>
    <row r="180" spans="1:28">
      <c r="A180" s="9" t="s">
        <v>30</v>
      </c>
      <c r="B180" s="24"/>
      <c r="C180" s="4"/>
      <c r="D180" s="25">
        <f t="shared" si="131"/>
        <v>458</v>
      </c>
      <c r="E180" s="29">
        <f t="shared" si="128"/>
        <v>482</v>
      </c>
      <c r="F180" s="25">
        <f t="shared" si="132"/>
        <v>481</v>
      </c>
      <c r="G180" s="29">
        <f t="shared" si="130"/>
        <v>512</v>
      </c>
      <c r="H180" s="4" t="s">
        <v>0</v>
      </c>
      <c r="I180" s="11" t="str">
        <f t="shared" si="0"/>
        <v>03-01</v>
      </c>
      <c r="J180" s="14">
        <f t="shared" si="2"/>
        <v>458</v>
      </c>
      <c r="K180" s="15">
        <f t="shared" si="3"/>
        <v>482</v>
      </c>
      <c r="L180" s="17">
        <f t="shared" si="4"/>
        <v>481</v>
      </c>
      <c r="M180" s="18">
        <f t="shared" si="5"/>
        <v>482</v>
      </c>
      <c r="N180" s="14">
        <f t="shared" si="6"/>
        <v>481</v>
      </c>
      <c r="O180" s="15">
        <f t="shared" si="7"/>
        <v>512</v>
      </c>
      <c r="P180" s="17">
        <f t="shared" si="8"/>
        <v>458</v>
      </c>
      <c r="Q180" s="18">
        <f t="shared" si="9"/>
        <v>512</v>
      </c>
      <c r="R180" s="4" t="s">
        <v>0</v>
      </c>
      <c r="S180" s="16" t="str">
        <f t="shared" si="10"/>
        <v>03-01</v>
      </c>
      <c r="T180" s="14">
        <f t="shared" si="11"/>
        <v>458</v>
      </c>
      <c r="U180" s="18">
        <f t="shared" si="12"/>
        <v>268</v>
      </c>
      <c r="V180" s="14">
        <f t="shared" si="13"/>
        <v>481</v>
      </c>
      <c r="W180" s="18">
        <f t="shared" si="14"/>
        <v>268</v>
      </c>
      <c r="X180" s="14">
        <f t="shared" si="15"/>
        <v>481</v>
      </c>
      <c r="Y180" s="18">
        <f t="shared" si="16"/>
        <v>238</v>
      </c>
      <c r="Z180" s="14">
        <f t="shared" si="17"/>
        <v>458</v>
      </c>
      <c r="AA180" s="18">
        <f t="shared" si="18"/>
        <v>238</v>
      </c>
      <c r="AB180" s="4" t="s">
        <v>0</v>
      </c>
    </row>
    <row r="181" spans="1:28">
      <c r="A181" s="9" t="s">
        <v>241</v>
      </c>
      <c r="B181" s="24"/>
      <c r="C181" s="4"/>
      <c r="D181" s="27">
        <v>71</v>
      </c>
      <c r="E181" s="31">
        <f t="shared" ref="E181" si="133">ROUND(E164+39.8,0)</f>
        <v>522</v>
      </c>
      <c r="F181" s="31">
        <v>94</v>
      </c>
      <c r="G181" s="31">
        <f t="shared" ref="G181" si="134">ROUND(G164+39.8,0)</f>
        <v>552</v>
      </c>
      <c r="H181" s="4" t="s">
        <v>0</v>
      </c>
      <c r="I181" s="11" t="str">
        <f t="shared" si="0"/>
        <v>02-21</v>
      </c>
      <c r="J181" s="14">
        <f t="shared" si="2"/>
        <v>71</v>
      </c>
      <c r="K181" s="15">
        <f t="shared" si="3"/>
        <v>522</v>
      </c>
      <c r="L181" s="17">
        <f t="shared" si="4"/>
        <v>94</v>
      </c>
      <c r="M181" s="18">
        <f t="shared" si="5"/>
        <v>522</v>
      </c>
      <c r="N181" s="14">
        <f t="shared" si="6"/>
        <v>94</v>
      </c>
      <c r="O181" s="15">
        <f t="shared" si="7"/>
        <v>552</v>
      </c>
      <c r="P181" s="17">
        <f t="shared" si="8"/>
        <v>71</v>
      </c>
      <c r="Q181" s="18">
        <f t="shared" si="9"/>
        <v>552</v>
      </c>
      <c r="R181" s="4" t="s">
        <v>0</v>
      </c>
      <c r="S181" s="16" t="str">
        <f t="shared" si="10"/>
        <v>02-21</v>
      </c>
      <c r="T181" s="14">
        <f t="shared" si="11"/>
        <v>71</v>
      </c>
      <c r="U181" s="18">
        <f t="shared" si="12"/>
        <v>228</v>
      </c>
      <c r="V181" s="14">
        <f t="shared" si="13"/>
        <v>94</v>
      </c>
      <c r="W181" s="18">
        <f t="shared" si="14"/>
        <v>228</v>
      </c>
      <c r="X181" s="14">
        <f t="shared" si="15"/>
        <v>94</v>
      </c>
      <c r="Y181" s="18">
        <f t="shared" si="16"/>
        <v>198</v>
      </c>
      <c r="Z181" s="14">
        <f t="shared" si="17"/>
        <v>71</v>
      </c>
      <c r="AA181" s="18">
        <f t="shared" si="18"/>
        <v>198</v>
      </c>
      <c r="AB181" s="4" t="s">
        <v>0</v>
      </c>
    </row>
    <row r="182" spans="1:28">
      <c r="A182" s="9" t="s">
        <v>153</v>
      </c>
      <c r="B182" s="24"/>
      <c r="C182" s="4"/>
      <c r="D182" s="25">
        <f t="shared" ref="D182" si="135">D165</f>
        <v>95</v>
      </c>
      <c r="E182" s="29">
        <f t="shared" ref="E182:E197" si="136">E181</f>
        <v>522</v>
      </c>
      <c r="F182" s="25">
        <f t="shared" ref="F182" si="137">F165</f>
        <v>118</v>
      </c>
      <c r="G182" s="29">
        <f t="shared" ref="G182:G197" si="138">G181</f>
        <v>552</v>
      </c>
      <c r="H182" s="4" t="s">
        <v>0</v>
      </c>
      <c r="I182" s="11" t="str">
        <f t="shared" si="0"/>
        <v>02-20</v>
      </c>
      <c r="J182" s="14">
        <f t="shared" si="2"/>
        <v>95</v>
      </c>
      <c r="K182" s="15">
        <f t="shared" si="3"/>
        <v>522</v>
      </c>
      <c r="L182" s="17">
        <f t="shared" si="4"/>
        <v>118</v>
      </c>
      <c r="M182" s="18">
        <f t="shared" si="5"/>
        <v>522</v>
      </c>
      <c r="N182" s="14">
        <f t="shared" si="6"/>
        <v>118</v>
      </c>
      <c r="O182" s="15">
        <f t="shared" si="7"/>
        <v>552</v>
      </c>
      <c r="P182" s="17">
        <f t="shared" si="8"/>
        <v>95</v>
      </c>
      <c r="Q182" s="18">
        <f t="shared" si="9"/>
        <v>552</v>
      </c>
      <c r="R182" s="4" t="s">
        <v>0</v>
      </c>
      <c r="S182" s="16" t="str">
        <f t="shared" si="10"/>
        <v>02-20</v>
      </c>
      <c r="T182" s="14">
        <f t="shared" si="11"/>
        <v>95</v>
      </c>
      <c r="U182" s="18">
        <f t="shared" si="12"/>
        <v>228</v>
      </c>
      <c r="V182" s="14">
        <f t="shared" si="13"/>
        <v>118</v>
      </c>
      <c r="W182" s="18">
        <f t="shared" si="14"/>
        <v>228</v>
      </c>
      <c r="X182" s="14">
        <f t="shared" si="15"/>
        <v>118</v>
      </c>
      <c r="Y182" s="18">
        <f t="shared" si="16"/>
        <v>198</v>
      </c>
      <c r="Z182" s="14">
        <f t="shared" si="17"/>
        <v>95</v>
      </c>
      <c r="AA182" s="18">
        <f t="shared" si="18"/>
        <v>198</v>
      </c>
      <c r="AB182" s="4" t="s">
        <v>0</v>
      </c>
    </row>
    <row r="183" spans="1:28">
      <c r="A183" s="9" t="s">
        <v>152</v>
      </c>
      <c r="B183" s="24"/>
      <c r="C183" s="4"/>
      <c r="D183" s="25">
        <f t="shared" si="131"/>
        <v>119</v>
      </c>
      <c r="E183" s="29">
        <f t="shared" si="136"/>
        <v>522</v>
      </c>
      <c r="F183" s="25">
        <f t="shared" si="132"/>
        <v>142</v>
      </c>
      <c r="G183" s="29">
        <f t="shared" si="138"/>
        <v>552</v>
      </c>
      <c r="H183" s="4" t="s">
        <v>0</v>
      </c>
      <c r="I183" s="11" t="str">
        <f t="shared" si="0"/>
        <v>02-18</v>
      </c>
      <c r="J183" s="14">
        <f t="shared" si="2"/>
        <v>119</v>
      </c>
      <c r="K183" s="15">
        <f t="shared" si="3"/>
        <v>522</v>
      </c>
      <c r="L183" s="17">
        <f t="shared" si="4"/>
        <v>142</v>
      </c>
      <c r="M183" s="18">
        <f t="shared" si="5"/>
        <v>522</v>
      </c>
      <c r="N183" s="14">
        <f t="shared" si="6"/>
        <v>142</v>
      </c>
      <c r="O183" s="15">
        <f t="shared" si="7"/>
        <v>552</v>
      </c>
      <c r="P183" s="17">
        <f t="shared" si="8"/>
        <v>119</v>
      </c>
      <c r="Q183" s="18">
        <f t="shared" si="9"/>
        <v>552</v>
      </c>
      <c r="R183" s="4" t="s">
        <v>0</v>
      </c>
      <c r="S183" s="16" t="str">
        <f t="shared" si="10"/>
        <v>02-18</v>
      </c>
      <c r="T183" s="14">
        <f t="shared" si="11"/>
        <v>119</v>
      </c>
      <c r="U183" s="18">
        <f t="shared" si="12"/>
        <v>228</v>
      </c>
      <c r="V183" s="14">
        <f t="shared" si="13"/>
        <v>142</v>
      </c>
      <c r="W183" s="18">
        <f t="shared" si="14"/>
        <v>228</v>
      </c>
      <c r="X183" s="14">
        <f t="shared" si="15"/>
        <v>142</v>
      </c>
      <c r="Y183" s="18">
        <f t="shared" si="16"/>
        <v>198</v>
      </c>
      <c r="Z183" s="14">
        <f t="shared" si="17"/>
        <v>119</v>
      </c>
      <c r="AA183" s="18">
        <f t="shared" si="18"/>
        <v>198</v>
      </c>
      <c r="AB183" s="4" t="s">
        <v>0</v>
      </c>
    </row>
    <row r="184" spans="1:28">
      <c r="A184" s="9" t="s">
        <v>151</v>
      </c>
      <c r="B184" s="24"/>
      <c r="C184" s="4"/>
      <c r="D184" s="25">
        <f t="shared" si="131"/>
        <v>144</v>
      </c>
      <c r="E184" s="29">
        <f t="shared" si="136"/>
        <v>522</v>
      </c>
      <c r="F184" s="25">
        <f t="shared" si="132"/>
        <v>167</v>
      </c>
      <c r="G184" s="29">
        <f t="shared" si="138"/>
        <v>552</v>
      </c>
      <c r="H184" s="4" t="s">
        <v>0</v>
      </c>
      <c r="I184" s="11" t="str">
        <f t="shared" si="0"/>
        <v>02-17</v>
      </c>
      <c r="J184" s="14">
        <f t="shared" si="2"/>
        <v>144</v>
      </c>
      <c r="K184" s="15">
        <f t="shared" si="3"/>
        <v>522</v>
      </c>
      <c r="L184" s="17">
        <f t="shared" si="4"/>
        <v>167</v>
      </c>
      <c r="M184" s="18">
        <f t="shared" si="5"/>
        <v>522</v>
      </c>
      <c r="N184" s="14">
        <f t="shared" si="6"/>
        <v>167</v>
      </c>
      <c r="O184" s="15">
        <f t="shared" si="7"/>
        <v>552</v>
      </c>
      <c r="P184" s="17">
        <f t="shared" si="8"/>
        <v>144</v>
      </c>
      <c r="Q184" s="18">
        <f t="shared" si="9"/>
        <v>552</v>
      </c>
      <c r="R184" s="4" t="s">
        <v>0</v>
      </c>
      <c r="S184" s="16" t="str">
        <f t="shared" si="10"/>
        <v>02-17</v>
      </c>
      <c r="T184" s="14">
        <f t="shared" si="11"/>
        <v>144</v>
      </c>
      <c r="U184" s="18">
        <f t="shared" si="12"/>
        <v>228</v>
      </c>
      <c r="V184" s="14">
        <f t="shared" si="13"/>
        <v>167</v>
      </c>
      <c r="W184" s="18">
        <f t="shared" si="14"/>
        <v>228</v>
      </c>
      <c r="X184" s="14">
        <f t="shared" si="15"/>
        <v>167</v>
      </c>
      <c r="Y184" s="18">
        <f t="shared" si="16"/>
        <v>198</v>
      </c>
      <c r="Z184" s="14">
        <f t="shared" si="17"/>
        <v>144</v>
      </c>
      <c r="AA184" s="18">
        <f t="shared" si="18"/>
        <v>198</v>
      </c>
      <c r="AB184" s="4" t="s">
        <v>0</v>
      </c>
    </row>
    <row r="185" spans="1:28">
      <c r="A185" s="9" t="s">
        <v>150</v>
      </c>
      <c r="B185" s="24"/>
      <c r="C185" s="4"/>
      <c r="D185" s="25">
        <f t="shared" si="131"/>
        <v>168</v>
      </c>
      <c r="E185" s="29">
        <f t="shared" si="136"/>
        <v>522</v>
      </c>
      <c r="F185" s="25">
        <f t="shared" si="132"/>
        <v>191</v>
      </c>
      <c r="G185" s="29">
        <f t="shared" si="138"/>
        <v>552</v>
      </c>
      <c r="H185" s="4" t="s">
        <v>0</v>
      </c>
      <c r="I185" s="11" t="str">
        <f t="shared" si="0"/>
        <v>02-16</v>
      </c>
      <c r="J185" s="14">
        <f t="shared" si="2"/>
        <v>168</v>
      </c>
      <c r="K185" s="15">
        <f t="shared" si="3"/>
        <v>522</v>
      </c>
      <c r="L185" s="17">
        <f t="shared" si="4"/>
        <v>191</v>
      </c>
      <c r="M185" s="18">
        <f t="shared" si="5"/>
        <v>522</v>
      </c>
      <c r="N185" s="14">
        <f t="shared" si="6"/>
        <v>191</v>
      </c>
      <c r="O185" s="15">
        <f t="shared" si="7"/>
        <v>552</v>
      </c>
      <c r="P185" s="17">
        <f t="shared" si="8"/>
        <v>168</v>
      </c>
      <c r="Q185" s="18">
        <f t="shared" si="9"/>
        <v>552</v>
      </c>
      <c r="R185" s="4" t="s">
        <v>0</v>
      </c>
      <c r="S185" s="16" t="str">
        <f t="shared" si="10"/>
        <v>02-16</v>
      </c>
      <c r="T185" s="14">
        <f t="shared" si="11"/>
        <v>168</v>
      </c>
      <c r="U185" s="18">
        <f t="shared" si="12"/>
        <v>228</v>
      </c>
      <c r="V185" s="14">
        <f t="shared" si="13"/>
        <v>191</v>
      </c>
      <c r="W185" s="18">
        <f t="shared" si="14"/>
        <v>228</v>
      </c>
      <c r="X185" s="14">
        <f t="shared" si="15"/>
        <v>191</v>
      </c>
      <c r="Y185" s="18">
        <f t="shared" si="16"/>
        <v>198</v>
      </c>
      <c r="Z185" s="14">
        <f t="shared" si="17"/>
        <v>168</v>
      </c>
      <c r="AA185" s="18">
        <f t="shared" si="18"/>
        <v>198</v>
      </c>
      <c r="AB185" s="4" t="s">
        <v>0</v>
      </c>
    </row>
    <row r="186" spans="1:28">
      <c r="A186" s="9" t="s">
        <v>149</v>
      </c>
      <c r="B186" s="24"/>
      <c r="C186" s="4"/>
      <c r="D186" s="25">
        <f t="shared" si="131"/>
        <v>192</v>
      </c>
      <c r="E186" s="29">
        <f t="shared" si="136"/>
        <v>522</v>
      </c>
      <c r="F186" s="25">
        <f t="shared" si="132"/>
        <v>215</v>
      </c>
      <c r="G186" s="29">
        <f t="shared" si="138"/>
        <v>552</v>
      </c>
      <c r="H186" s="4" t="s">
        <v>0</v>
      </c>
      <c r="I186" s="11" t="str">
        <f t="shared" si="0"/>
        <v>02-15</v>
      </c>
      <c r="J186" s="14">
        <f t="shared" si="2"/>
        <v>192</v>
      </c>
      <c r="K186" s="15">
        <f t="shared" si="3"/>
        <v>522</v>
      </c>
      <c r="L186" s="17">
        <f t="shared" si="4"/>
        <v>215</v>
      </c>
      <c r="M186" s="18">
        <f t="shared" si="5"/>
        <v>522</v>
      </c>
      <c r="N186" s="14">
        <f t="shared" si="6"/>
        <v>215</v>
      </c>
      <c r="O186" s="15">
        <f t="shared" si="7"/>
        <v>552</v>
      </c>
      <c r="P186" s="17">
        <f t="shared" si="8"/>
        <v>192</v>
      </c>
      <c r="Q186" s="18">
        <f t="shared" si="9"/>
        <v>552</v>
      </c>
      <c r="R186" s="4" t="s">
        <v>0</v>
      </c>
      <c r="S186" s="16" t="str">
        <f t="shared" si="10"/>
        <v>02-15</v>
      </c>
      <c r="T186" s="14">
        <f t="shared" si="11"/>
        <v>192</v>
      </c>
      <c r="U186" s="18">
        <f t="shared" si="12"/>
        <v>228</v>
      </c>
      <c r="V186" s="14">
        <f t="shared" si="13"/>
        <v>215</v>
      </c>
      <c r="W186" s="18">
        <f t="shared" si="14"/>
        <v>228</v>
      </c>
      <c r="X186" s="14">
        <f t="shared" si="15"/>
        <v>215</v>
      </c>
      <c r="Y186" s="18">
        <f t="shared" si="16"/>
        <v>198</v>
      </c>
      <c r="Z186" s="14">
        <f t="shared" si="17"/>
        <v>192</v>
      </c>
      <c r="AA186" s="18">
        <f t="shared" si="18"/>
        <v>198</v>
      </c>
      <c r="AB186" s="4" t="s">
        <v>0</v>
      </c>
    </row>
    <row r="187" spans="1:28">
      <c r="A187" s="9" t="s">
        <v>148</v>
      </c>
      <c r="B187" s="24"/>
      <c r="C187" s="4"/>
      <c r="D187" s="25">
        <f t="shared" si="131"/>
        <v>216</v>
      </c>
      <c r="E187" s="29">
        <f t="shared" si="136"/>
        <v>522</v>
      </c>
      <c r="F187" s="25">
        <f t="shared" si="132"/>
        <v>239</v>
      </c>
      <c r="G187" s="29">
        <f t="shared" si="138"/>
        <v>552</v>
      </c>
      <c r="H187" s="4" t="s">
        <v>0</v>
      </c>
      <c r="I187" s="11" t="str">
        <f t="shared" si="0"/>
        <v>02-13</v>
      </c>
      <c r="J187" s="14">
        <f t="shared" si="2"/>
        <v>216</v>
      </c>
      <c r="K187" s="15">
        <f t="shared" si="3"/>
        <v>522</v>
      </c>
      <c r="L187" s="17">
        <f t="shared" si="4"/>
        <v>239</v>
      </c>
      <c r="M187" s="18">
        <f t="shared" si="5"/>
        <v>522</v>
      </c>
      <c r="N187" s="14">
        <f t="shared" si="6"/>
        <v>239</v>
      </c>
      <c r="O187" s="15">
        <f t="shared" si="7"/>
        <v>552</v>
      </c>
      <c r="P187" s="17">
        <f t="shared" si="8"/>
        <v>216</v>
      </c>
      <c r="Q187" s="18">
        <f t="shared" si="9"/>
        <v>552</v>
      </c>
      <c r="R187" s="4" t="s">
        <v>0</v>
      </c>
      <c r="S187" s="16" t="str">
        <f t="shared" si="10"/>
        <v>02-13</v>
      </c>
      <c r="T187" s="14">
        <f t="shared" si="11"/>
        <v>216</v>
      </c>
      <c r="U187" s="18">
        <f t="shared" si="12"/>
        <v>228</v>
      </c>
      <c r="V187" s="14">
        <f t="shared" si="13"/>
        <v>239</v>
      </c>
      <c r="W187" s="18">
        <f t="shared" si="14"/>
        <v>228</v>
      </c>
      <c r="X187" s="14">
        <f t="shared" si="15"/>
        <v>239</v>
      </c>
      <c r="Y187" s="18">
        <f t="shared" si="16"/>
        <v>198</v>
      </c>
      <c r="Z187" s="14">
        <f t="shared" si="17"/>
        <v>216</v>
      </c>
      <c r="AA187" s="18">
        <f t="shared" si="18"/>
        <v>198</v>
      </c>
      <c r="AB187" s="4" t="s">
        <v>0</v>
      </c>
    </row>
    <row r="188" spans="1:28">
      <c r="A188" s="9" t="s">
        <v>29</v>
      </c>
      <c r="B188" s="24"/>
      <c r="C188" s="4"/>
      <c r="D188" s="25">
        <f t="shared" si="131"/>
        <v>240</v>
      </c>
      <c r="E188" s="29">
        <f t="shared" si="136"/>
        <v>522</v>
      </c>
      <c r="F188" s="25">
        <f t="shared" si="132"/>
        <v>263</v>
      </c>
      <c r="G188" s="29">
        <f t="shared" si="138"/>
        <v>552</v>
      </c>
      <c r="H188" s="4" t="s">
        <v>0</v>
      </c>
      <c r="I188" s="11" t="str">
        <f t="shared" si="0"/>
        <v>02-12</v>
      </c>
      <c r="J188" s="14">
        <f t="shared" si="2"/>
        <v>240</v>
      </c>
      <c r="K188" s="15">
        <f t="shared" si="3"/>
        <v>522</v>
      </c>
      <c r="L188" s="17">
        <f t="shared" si="4"/>
        <v>263</v>
      </c>
      <c r="M188" s="18">
        <f t="shared" si="5"/>
        <v>522</v>
      </c>
      <c r="N188" s="14">
        <f t="shared" si="6"/>
        <v>263</v>
      </c>
      <c r="O188" s="15">
        <f t="shared" si="7"/>
        <v>552</v>
      </c>
      <c r="P188" s="17">
        <f t="shared" si="8"/>
        <v>240</v>
      </c>
      <c r="Q188" s="18">
        <f t="shared" si="9"/>
        <v>552</v>
      </c>
      <c r="R188" s="4" t="s">
        <v>0</v>
      </c>
      <c r="S188" s="16" t="str">
        <f t="shared" si="10"/>
        <v>02-12</v>
      </c>
      <c r="T188" s="14">
        <f t="shared" si="11"/>
        <v>240</v>
      </c>
      <c r="U188" s="18">
        <f t="shared" si="12"/>
        <v>228</v>
      </c>
      <c r="V188" s="14">
        <f t="shared" si="13"/>
        <v>263</v>
      </c>
      <c r="W188" s="18">
        <f t="shared" si="14"/>
        <v>228</v>
      </c>
      <c r="X188" s="14">
        <f t="shared" si="15"/>
        <v>263</v>
      </c>
      <c r="Y188" s="18">
        <f t="shared" si="16"/>
        <v>198</v>
      </c>
      <c r="Z188" s="14">
        <f t="shared" si="17"/>
        <v>240</v>
      </c>
      <c r="AA188" s="18">
        <f t="shared" si="18"/>
        <v>198</v>
      </c>
      <c r="AB188" s="4" t="s">
        <v>0</v>
      </c>
    </row>
    <row r="189" spans="1:28">
      <c r="A189" s="9" t="s">
        <v>28</v>
      </c>
      <c r="B189" s="24"/>
      <c r="C189" s="4"/>
      <c r="D189" s="25">
        <f t="shared" si="131"/>
        <v>265</v>
      </c>
      <c r="E189" s="29">
        <f t="shared" si="136"/>
        <v>522</v>
      </c>
      <c r="F189" s="25">
        <f t="shared" si="132"/>
        <v>288</v>
      </c>
      <c r="G189" s="29">
        <f t="shared" si="138"/>
        <v>552</v>
      </c>
      <c r="H189" s="4" t="s">
        <v>0</v>
      </c>
      <c r="I189" s="11" t="str">
        <f t="shared" si="0"/>
        <v>02-11</v>
      </c>
      <c r="J189" s="14">
        <f t="shared" si="2"/>
        <v>265</v>
      </c>
      <c r="K189" s="15">
        <f t="shared" si="3"/>
        <v>522</v>
      </c>
      <c r="L189" s="17">
        <f t="shared" si="4"/>
        <v>288</v>
      </c>
      <c r="M189" s="18">
        <f t="shared" si="5"/>
        <v>522</v>
      </c>
      <c r="N189" s="14">
        <f t="shared" si="6"/>
        <v>288</v>
      </c>
      <c r="O189" s="15">
        <f t="shared" si="7"/>
        <v>552</v>
      </c>
      <c r="P189" s="17">
        <f t="shared" si="8"/>
        <v>265</v>
      </c>
      <c r="Q189" s="18">
        <f t="shared" si="9"/>
        <v>552</v>
      </c>
      <c r="R189" s="4" t="s">
        <v>0</v>
      </c>
      <c r="S189" s="16" t="str">
        <f t="shared" si="10"/>
        <v>02-11</v>
      </c>
      <c r="T189" s="14">
        <f t="shared" si="11"/>
        <v>265</v>
      </c>
      <c r="U189" s="18">
        <f t="shared" si="12"/>
        <v>228</v>
      </c>
      <c r="V189" s="14">
        <f t="shared" si="13"/>
        <v>288</v>
      </c>
      <c r="W189" s="18">
        <f t="shared" si="14"/>
        <v>228</v>
      </c>
      <c r="X189" s="14">
        <f t="shared" si="15"/>
        <v>288</v>
      </c>
      <c r="Y189" s="18">
        <f t="shared" si="16"/>
        <v>198</v>
      </c>
      <c r="Z189" s="14">
        <f t="shared" si="17"/>
        <v>265</v>
      </c>
      <c r="AA189" s="18">
        <f t="shared" si="18"/>
        <v>198</v>
      </c>
      <c r="AB189" s="4" t="s">
        <v>0</v>
      </c>
    </row>
    <row r="190" spans="1:28">
      <c r="A190" s="9" t="s">
        <v>27</v>
      </c>
      <c r="B190" s="24"/>
      <c r="C190" s="4"/>
      <c r="D190" s="25">
        <f t="shared" si="131"/>
        <v>289</v>
      </c>
      <c r="E190" s="29">
        <f t="shared" si="136"/>
        <v>522</v>
      </c>
      <c r="F190" s="25">
        <f t="shared" si="132"/>
        <v>312</v>
      </c>
      <c r="G190" s="29">
        <f t="shared" si="138"/>
        <v>552</v>
      </c>
      <c r="H190" s="4" t="s">
        <v>0</v>
      </c>
      <c r="I190" s="11" t="str">
        <f t="shared" si="0"/>
        <v>02-10</v>
      </c>
      <c r="J190" s="14">
        <f t="shared" si="2"/>
        <v>289</v>
      </c>
      <c r="K190" s="15">
        <f t="shared" si="3"/>
        <v>522</v>
      </c>
      <c r="L190" s="17">
        <f t="shared" si="4"/>
        <v>312</v>
      </c>
      <c r="M190" s="18">
        <f t="shared" si="5"/>
        <v>522</v>
      </c>
      <c r="N190" s="14">
        <f t="shared" si="6"/>
        <v>312</v>
      </c>
      <c r="O190" s="15">
        <f t="shared" si="7"/>
        <v>552</v>
      </c>
      <c r="P190" s="17">
        <f t="shared" si="8"/>
        <v>289</v>
      </c>
      <c r="Q190" s="18">
        <f t="shared" si="9"/>
        <v>552</v>
      </c>
      <c r="R190" s="4" t="s">
        <v>0</v>
      </c>
      <c r="S190" s="16" t="str">
        <f t="shared" si="10"/>
        <v>02-10</v>
      </c>
      <c r="T190" s="14">
        <f t="shared" si="11"/>
        <v>289</v>
      </c>
      <c r="U190" s="18">
        <f t="shared" si="12"/>
        <v>228</v>
      </c>
      <c r="V190" s="14">
        <f t="shared" si="13"/>
        <v>312</v>
      </c>
      <c r="W190" s="18">
        <f t="shared" si="14"/>
        <v>228</v>
      </c>
      <c r="X190" s="14">
        <f t="shared" si="15"/>
        <v>312</v>
      </c>
      <c r="Y190" s="18">
        <f t="shared" si="16"/>
        <v>198</v>
      </c>
      <c r="Z190" s="14">
        <f t="shared" si="17"/>
        <v>289</v>
      </c>
      <c r="AA190" s="18">
        <f t="shared" si="18"/>
        <v>198</v>
      </c>
      <c r="AB190" s="4" t="s">
        <v>0</v>
      </c>
    </row>
    <row r="191" spans="1:28">
      <c r="A191" s="9" t="s">
        <v>26</v>
      </c>
      <c r="B191" s="24"/>
      <c r="C191" s="4"/>
      <c r="D191" s="25">
        <f t="shared" si="131"/>
        <v>313</v>
      </c>
      <c r="E191" s="29">
        <f t="shared" si="136"/>
        <v>522</v>
      </c>
      <c r="F191" s="25">
        <f t="shared" si="132"/>
        <v>336</v>
      </c>
      <c r="G191" s="29">
        <f t="shared" si="138"/>
        <v>552</v>
      </c>
      <c r="H191" s="4" t="s">
        <v>0</v>
      </c>
      <c r="I191" s="11" t="str">
        <f t="shared" si="0"/>
        <v>02-08</v>
      </c>
      <c r="J191" s="14">
        <f t="shared" si="2"/>
        <v>313</v>
      </c>
      <c r="K191" s="15">
        <f t="shared" si="3"/>
        <v>522</v>
      </c>
      <c r="L191" s="17">
        <f t="shared" si="4"/>
        <v>336</v>
      </c>
      <c r="M191" s="18">
        <f t="shared" si="5"/>
        <v>522</v>
      </c>
      <c r="N191" s="14">
        <f t="shared" si="6"/>
        <v>336</v>
      </c>
      <c r="O191" s="15">
        <f t="shared" si="7"/>
        <v>552</v>
      </c>
      <c r="P191" s="17">
        <f t="shared" si="8"/>
        <v>313</v>
      </c>
      <c r="Q191" s="18">
        <f t="shared" si="9"/>
        <v>552</v>
      </c>
      <c r="R191" s="4" t="s">
        <v>0</v>
      </c>
      <c r="S191" s="16" t="str">
        <f t="shared" si="10"/>
        <v>02-08</v>
      </c>
      <c r="T191" s="14">
        <f t="shared" si="11"/>
        <v>313</v>
      </c>
      <c r="U191" s="18">
        <f t="shared" si="12"/>
        <v>228</v>
      </c>
      <c r="V191" s="14">
        <f t="shared" si="13"/>
        <v>336</v>
      </c>
      <c r="W191" s="18">
        <f t="shared" si="14"/>
        <v>228</v>
      </c>
      <c r="X191" s="14">
        <f t="shared" si="15"/>
        <v>336</v>
      </c>
      <c r="Y191" s="18">
        <f t="shared" si="16"/>
        <v>198</v>
      </c>
      <c r="Z191" s="14">
        <f t="shared" si="17"/>
        <v>313</v>
      </c>
      <c r="AA191" s="18">
        <f t="shared" si="18"/>
        <v>198</v>
      </c>
      <c r="AB191" s="4" t="s">
        <v>0</v>
      </c>
    </row>
    <row r="192" spans="1:28">
      <c r="A192" s="9" t="s">
        <v>25</v>
      </c>
      <c r="B192" s="24"/>
      <c r="C192" s="4"/>
      <c r="D192" s="25">
        <f t="shared" si="131"/>
        <v>337</v>
      </c>
      <c r="E192" s="29">
        <f t="shared" si="136"/>
        <v>522</v>
      </c>
      <c r="F192" s="25">
        <f t="shared" si="132"/>
        <v>360</v>
      </c>
      <c r="G192" s="29">
        <f t="shared" si="138"/>
        <v>552</v>
      </c>
      <c r="H192" s="4" t="s">
        <v>0</v>
      </c>
      <c r="I192" s="11" t="str">
        <f t="shared" si="0"/>
        <v>02-07</v>
      </c>
      <c r="J192" s="14">
        <f t="shared" si="2"/>
        <v>337</v>
      </c>
      <c r="K192" s="15">
        <f t="shared" si="3"/>
        <v>522</v>
      </c>
      <c r="L192" s="17">
        <f t="shared" si="4"/>
        <v>360</v>
      </c>
      <c r="M192" s="18">
        <f t="shared" si="5"/>
        <v>522</v>
      </c>
      <c r="N192" s="14">
        <f t="shared" si="6"/>
        <v>360</v>
      </c>
      <c r="O192" s="15">
        <f t="shared" si="7"/>
        <v>552</v>
      </c>
      <c r="P192" s="17">
        <f t="shared" si="8"/>
        <v>337</v>
      </c>
      <c r="Q192" s="18">
        <f t="shared" si="9"/>
        <v>552</v>
      </c>
      <c r="R192" s="4" t="s">
        <v>0</v>
      </c>
      <c r="S192" s="16" t="str">
        <f t="shared" si="10"/>
        <v>02-07</v>
      </c>
      <c r="T192" s="14">
        <f t="shared" si="11"/>
        <v>337</v>
      </c>
      <c r="U192" s="18">
        <f t="shared" si="12"/>
        <v>228</v>
      </c>
      <c r="V192" s="14">
        <f t="shared" si="13"/>
        <v>360</v>
      </c>
      <c r="W192" s="18">
        <f t="shared" si="14"/>
        <v>228</v>
      </c>
      <c r="X192" s="14">
        <f t="shared" si="15"/>
        <v>360</v>
      </c>
      <c r="Y192" s="18">
        <f t="shared" si="16"/>
        <v>198</v>
      </c>
      <c r="Z192" s="14">
        <f t="shared" si="17"/>
        <v>337</v>
      </c>
      <c r="AA192" s="18">
        <f t="shared" si="18"/>
        <v>198</v>
      </c>
      <c r="AB192" s="4" t="s">
        <v>0</v>
      </c>
    </row>
    <row r="193" spans="1:28">
      <c r="A193" s="9" t="s">
        <v>24</v>
      </c>
      <c r="B193" s="24"/>
      <c r="C193" s="4"/>
      <c r="D193" s="25">
        <f t="shared" si="131"/>
        <v>361</v>
      </c>
      <c r="E193" s="29">
        <f t="shared" si="136"/>
        <v>522</v>
      </c>
      <c r="F193" s="25">
        <f t="shared" si="132"/>
        <v>384</v>
      </c>
      <c r="G193" s="29">
        <f t="shared" si="138"/>
        <v>552</v>
      </c>
      <c r="H193" s="4" t="s">
        <v>0</v>
      </c>
      <c r="I193" s="11" t="str">
        <f t="shared" si="0"/>
        <v>02-06</v>
      </c>
      <c r="J193" s="14">
        <f t="shared" si="2"/>
        <v>361</v>
      </c>
      <c r="K193" s="15">
        <f t="shared" si="3"/>
        <v>522</v>
      </c>
      <c r="L193" s="17">
        <f t="shared" si="4"/>
        <v>384</v>
      </c>
      <c r="M193" s="18">
        <f t="shared" si="5"/>
        <v>522</v>
      </c>
      <c r="N193" s="14">
        <f t="shared" si="6"/>
        <v>384</v>
      </c>
      <c r="O193" s="15">
        <f t="shared" si="7"/>
        <v>552</v>
      </c>
      <c r="P193" s="17">
        <f t="shared" si="8"/>
        <v>361</v>
      </c>
      <c r="Q193" s="18">
        <f t="shared" si="9"/>
        <v>552</v>
      </c>
      <c r="R193" s="4" t="s">
        <v>0</v>
      </c>
      <c r="S193" s="16" t="str">
        <f t="shared" si="10"/>
        <v>02-06</v>
      </c>
      <c r="T193" s="14">
        <f t="shared" si="11"/>
        <v>361</v>
      </c>
      <c r="U193" s="18">
        <f t="shared" si="12"/>
        <v>228</v>
      </c>
      <c r="V193" s="14">
        <f t="shared" si="13"/>
        <v>384</v>
      </c>
      <c r="W193" s="18">
        <f t="shared" si="14"/>
        <v>228</v>
      </c>
      <c r="X193" s="14">
        <f t="shared" si="15"/>
        <v>384</v>
      </c>
      <c r="Y193" s="18">
        <f t="shared" si="16"/>
        <v>198</v>
      </c>
      <c r="Z193" s="14">
        <f t="shared" si="17"/>
        <v>361</v>
      </c>
      <c r="AA193" s="18">
        <f t="shared" si="18"/>
        <v>198</v>
      </c>
      <c r="AB193" s="4" t="s">
        <v>0</v>
      </c>
    </row>
    <row r="194" spans="1:28">
      <c r="A194" s="9" t="s">
        <v>23</v>
      </c>
      <c r="B194" s="24"/>
      <c r="C194" s="4"/>
      <c r="D194" s="25">
        <f t="shared" si="131"/>
        <v>386</v>
      </c>
      <c r="E194" s="29">
        <f t="shared" si="136"/>
        <v>522</v>
      </c>
      <c r="F194" s="25">
        <f t="shared" si="132"/>
        <v>409</v>
      </c>
      <c r="G194" s="29">
        <f t="shared" si="138"/>
        <v>552</v>
      </c>
      <c r="H194" s="4" t="s">
        <v>0</v>
      </c>
      <c r="I194" s="11" t="str">
        <f t="shared" si="0"/>
        <v>02-05</v>
      </c>
      <c r="J194" s="14">
        <f t="shared" si="2"/>
        <v>386</v>
      </c>
      <c r="K194" s="15">
        <f t="shared" si="3"/>
        <v>522</v>
      </c>
      <c r="L194" s="17">
        <f t="shared" si="4"/>
        <v>409</v>
      </c>
      <c r="M194" s="18">
        <f t="shared" si="5"/>
        <v>522</v>
      </c>
      <c r="N194" s="14">
        <f t="shared" si="6"/>
        <v>409</v>
      </c>
      <c r="O194" s="15">
        <f t="shared" si="7"/>
        <v>552</v>
      </c>
      <c r="P194" s="17">
        <f t="shared" si="8"/>
        <v>386</v>
      </c>
      <c r="Q194" s="18">
        <f t="shared" si="9"/>
        <v>552</v>
      </c>
      <c r="R194" s="4" t="s">
        <v>0</v>
      </c>
      <c r="S194" s="16" t="str">
        <f t="shared" si="10"/>
        <v>02-05</v>
      </c>
      <c r="T194" s="14">
        <f t="shared" si="11"/>
        <v>386</v>
      </c>
      <c r="U194" s="18">
        <f t="shared" si="12"/>
        <v>228</v>
      </c>
      <c r="V194" s="14">
        <f t="shared" si="13"/>
        <v>409</v>
      </c>
      <c r="W194" s="18">
        <f t="shared" si="14"/>
        <v>228</v>
      </c>
      <c r="X194" s="14">
        <f t="shared" si="15"/>
        <v>409</v>
      </c>
      <c r="Y194" s="18">
        <f t="shared" si="16"/>
        <v>198</v>
      </c>
      <c r="Z194" s="14">
        <f t="shared" si="17"/>
        <v>386</v>
      </c>
      <c r="AA194" s="18">
        <f t="shared" si="18"/>
        <v>198</v>
      </c>
      <c r="AB194" s="4" t="s">
        <v>0</v>
      </c>
    </row>
    <row r="195" spans="1:28">
      <c r="A195" s="9" t="s">
        <v>22</v>
      </c>
      <c r="B195" s="24"/>
      <c r="C195" s="4"/>
      <c r="D195" s="25">
        <f t="shared" si="131"/>
        <v>410</v>
      </c>
      <c r="E195" s="29">
        <f t="shared" si="136"/>
        <v>522</v>
      </c>
      <c r="F195" s="25">
        <f t="shared" si="132"/>
        <v>433</v>
      </c>
      <c r="G195" s="29">
        <f t="shared" si="138"/>
        <v>552</v>
      </c>
      <c r="H195" s="4" t="s">
        <v>0</v>
      </c>
      <c r="I195" s="11" t="str">
        <f t="shared" si="0"/>
        <v>02-03</v>
      </c>
      <c r="J195" s="14">
        <f t="shared" si="2"/>
        <v>410</v>
      </c>
      <c r="K195" s="15">
        <f t="shared" si="3"/>
        <v>522</v>
      </c>
      <c r="L195" s="17">
        <f t="shared" si="4"/>
        <v>433</v>
      </c>
      <c r="M195" s="18">
        <f t="shared" si="5"/>
        <v>522</v>
      </c>
      <c r="N195" s="14">
        <f t="shared" si="6"/>
        <v>433</v>
      </c>
      <c r="O195" s="15">
        <f t="shared" si="7"/>
        <v>552</v>
      </c>
      <c r="P195" s="17">
        <f t="shared" si="8"/>
        <v>410</v>
      </c>
      <c r="Q195" s="18">
        <f t="shared" si="9"/>
        <v>552</v>
      </c>
      <c r="R195" s="4" t="s">
        <v>0</v>
      </c>
      <c r="S195" s="16" t="str">
        <f t="shared" si="10"/>
        <v>02-03</v>
      </c>
      <c r="T195" s="14">
        <f t="shared" si="11"/>
        <v>410</v>
      </c>
      <c r="U195" s="18">
        <f t="shared" si="12"/>
        <v>228</v>
      </c>
      <c r="V195" s="14">
        <f t="shared" si="13"/>
        <v>433</v>
      </c>
      <c r="W195" s="18">
        <f t="shared" si="14"/>
        <v>228</v>
      </c>
      <c r="X195" s="14">
        <f t="shared" si="15"/>
        <v>433</v>
      </c>
      <c r="Y195" s="18">
        <f t="shared" si="16"/>
        <v>198</v>
      </c>
      <c r="Z195" s="14">
        <f t="shared" si="17"/>
        <v>410</v>
      </c>
      <c r="AA195" s="18">
        <f t="shared" si="18"/>
        <v>198</v>
      </c>
      <c r="AB195" s="4" t="s">
        <v>0</v>
      </c>
    </row>
    <row r="196" spans="1:28">
      <c r="A196" s="9" t="s">
        <v>21</v>
      </c>
      <c r="B196" s="24"/>
      <c r="C196" s="4"/>
      <c r="D196" s="25">
        <f t="shared" si="131"/>
        <v>434</v>
      </c>
      <c r="E196" s="29">
        <f t="shared" si="136"/>
        <v>522</v>
      </c>
      <c r="F196" s="25">
        <f t="shared" si="132"/>
        <v>457</v>
      </c>
      <c r="G196" s="29">
        <f t="shared" si="138"/>
        <v>552</v>
      </c>
      <c r="H196" s="4" t="s">
        <v>0</v>
      </c>
      <c r="I196" s="11" t="str">
        <f t="shared" si="0"/>
        <v>02-02</v>
      </c>
      <c r="J196" s="14">
        <f t="shared" si="2"/>
        <v>434</v>
      </c>
      <c r="K196" s="15">
        <f t="shared" si="3"/>
        <v>522</v>
      </c>
      <c r="L196" s="17">
        <f t="shared" si="4"/>
        <v>457</v>
      </c>
      <c r="M196" s="18">
        <f t="shared" si="5"/>
        <v>522</v>
      </c>
      <c r="N196" s="14">
        <f t="shared" si="6"/>
        <v>457</v>
      </c>
      <c r="O196" s="15">
        <f t="shared" si="7"/>
        <v>552</v>
      </c>
      <c r="P196" s="17">
        <f t="shared" si="8"/>
        <v>434</v>
      </c>
      <c r="Q196" s="18">
        <f t="shared" si="9"/>
        <v>552</v>
      </c>
      <c r="R196" s="4" t="s">
        <v>0</v>
      </c>
      <c r="S196" s="16" t="str">
        <f t="shared" si="10"/>
        <v>02-02</v>
      </c>
      <c r="T196" s="14">
        <f t="shared" si="11"/>
        <v>434</v>
      </c>
      <c r="U196" s="18">
        <f t="shared" si="12"/>
        <v>228</v>
      </c>
      <c r="V196" s="14">
        <f t="shared" si="13"/>
        <v>457</v>
      </c>
      <c r="W196" s="18">
        <f t="shared" si="14"/>
        <v>228</v>
      </c>
      <c r="X196" s="14">
        <f t="shared" si="15"/>
        <v>457</v>
      </c>
      <c r="Y196" s="18">
        <f t="shared" si="16"/>
        <v>198</v>
      </c>
      <c r="Z196" s="14">
        <f t="shared" si="17"/>
        <v>434</v>
      </c>
      <c r="AA196" s="18">
        <f t="shared" si="18"/>
        <v>198</v>
      </c>
      <c r="AB196" s="4" t="s">
        <v>0</v>
      </c>
    </row>
    <row r="197" spans="1:28">
      <c r="A197" s="9" t="s">
        <v>20</v>
      </c>
      <c r="B197" s="24"/>
      <c r="C197" s="4"/>
      <c r="D197" s="25">
        <f t="shared" si="131"/>
        <v>458</v>
      </c>
      <c r="E197" s="29">
        <f t="shared" si="136"/>
        <v>522</v>
      </c>
      <c r="F197" s="25">
        <f t="shared" si="132"/>
        <v>481</v>
      </c>
      <c r="G197" s="29">
        <f t="shared" si="138"/>
        <v>552</v>
      </c>
      <c r="H197" s="4" t="s">
        <v>0</v>
      </c>
      <c r="I197" s="11" t="str">
        <f t="shared" si="0"/>
        <v>02-01</v>
      </c>
      <c r="J197" s="14">
        <f t="shared" si="2"/>
        <v>458</v>
      </c>
      <c r="K197" s="15">
        <f t="shared" si="3"/>
        <v>522</v>
      </c>
      <c r="L197" s="17">
        <f t="shared" si="4"/>
        <v>481</v>
      </c>
      <c r="M197" s="18">
        <f t="shared" si="5"/>
        <v>522</v>
      </c>
      <c r="N197" s="14">
        <f t="shared" si="6"/>
        <v>481</v>
      </c>
      <c r="O197" s="15">
        <f t="shared" si="7"/>
        <v>552</v>
      </c>
      <c r="P197" s="17">
        <f t="shared" si="8"/>
        <v>458</v>
      </c>
      <c r="Q197" s="18">
        <f t="shared" si="9"/>
        <v>552</v>
      </c>
      <c r="R197" s="4" t="s">
        <v>0</v>
      </c>
      <c r="S197" s="16" t="str">
        <f t="shared" si="10"/>
        <v>02-01</v>
      </c>
      <c r="T197" s="14">
        <f t="shared" si="11"/>
        <v>458</v>
      </c>
      <c r="U197" s="18">
        <f t="shared" si="12"/>
        <v>228</v>
      </c>
      <c r="V197" s="14">
        <f t="shared" si="13"/>
        <v>481</v>
      </c>
      <c r="W197" s="18">
        <f t="shared" si="14"/>
        <v>228</v>
      </c>
      <c r="X197" s="14">
        <f t="shared" si="15"/>
        <v>481</v>
      </c>
      <c r="Y197" s="18">
        <f t="shared" si="16"/>
        <v>198</v>
      </c>
      <c r="Z197" s="14">
        <f t="shared" si="17"/>
        <v>458</v>
      </c>
      <c r="AA197" s="18">
        <f t="shared" si="18"/>
        <v>198</v>
      </c>
      <c r="AB197" s="4" t="s">
        <v>0</v>
      </c>
    </row>
    <row r="198" spans="1:28">
      <c r="A198" s="9" t="s">
        <v>147</v>
      </c>
      <c r="B198" s="24"/>
      <c r="C198" s="4"/>
      <c r="D198" s="27">
        <v>95</v>
      </c>
      <c r="E198" s="31">
        <f t="shared" ref="E198" si="139">ROUND(E181+39.8,0)</f>
        <v>562</v>
      </c>
      <c r="F198" s="31">
        <v>118</v>
      </c>
      <c r="G198" s="31">
        <f t="shared" ref="G198" si="140">ROUND(G181+39.8,0)</f>
        <v>592</v>
      </c>
      <c r="H198" s="4" t="s">
        <v>0</v>
      </c>
      <c r="I198" s="11" t="str">
        <f t="shared" si="0"/>
        <v>01-18</v>
      </c>
      <c r="J198" s="14">
        <f t="shared" si="2"/>
        <v>95</v>
      </c>
      <c r="K198" s="15">
        <f t="shared" si="3"/>
        <v>562</v>
      </c>
      <c r="L198" s="17">
        <f t="shared" si="4"/>
        <v>118</v>
      </c>
      <c r="M198" s="18">
        <f t="shared" si="5"/>
        <v>562</v>
      </c>
      <c r="N198" s="14">
        <f t="shared" si="6"/>
        <v>118</v>
      </c>
      <c r="O198" s="15">
        <f t="shared" si="7"/>
        <v>592</v>
      </c>
      <c r="P198" s="17">
        <f t="shared" si="8"/>
        <v>95</v>
      </c>
      <c r="Q198" s="18">
        <f t="shared" si="9"/>
        <v>592</v>
      </c>
      <c r="R198" s="4" t="s">
        <v>0</v>
      </c>
      <c r="S198" s="16" t="str">
        <f t="shared" si="10"/>
        <v>01-18</v>
      </c>
      <c r="T198" s="14">
        <f t="shared" si="11"/>
        <v>95</v>
      </c>
      <c r="U198" s="18">
        <f t="shared" si="12"/>
        <v>188</v>
      </c>
      <c r="V198" s="14">
        <f t="shared" si="13"/>
        <v>118</v>
      </c>
      <c r="W198" s="18">
        <f t="shared" si="14"/>
        <v>188</v>
      </c>
      <c r="X198" s="14">
        <f t="shared" si="15"/>
        <v>118</v>
      </c>
      <c r="Y198" s="18">
        <f t="shared" si="16"/>
        <v>158</v>
      </c>
      <c r="Z198" s="14">
        <f t="shared" si="17"/>
        <v>95</v>
      </c>
      <c r="AA198" s="18">
        <f t="shared" si="18"/>
        <v>158</v>
      </c>
      <c r="AB198" s="4" t="s">
        <v>0</v>
      </c>
    </row>
    <row r="199" spans="1:28">
      <c r="A199" s="9" t="s">
        <v>146</v>
      </c>
      <c r="B199" s="24"/>
      <c r="C199" s="4"/>
      <c r="D199" s="25">
        <f>D183</f>
        <v>119</v>
      </c>
      <c r="E199" s="29">
        <f t="shared" ref="E199" si="141">E198</f>
        <v>562</v>
      </c>
      <c r="F199" s="25">
        <f>F183</f>
        <v>142</v>
      </c>
      <c r="G199" s="29">
        <f t="shared" ref="G199" si="142">G198</f>
        <v>592</v>
      </c>
      <c r="H199" s="4" t="s">
        <v>0</v>
      </c>
      <c r="I199" s="11" t="str">
        <f t="shared" si="0"/>
        <v>01-17</v>
      </c>
      <c r="J199" s="14">
        <f t="shared" si="2"/>
        <v>119</v>
      </c>
      <c r="K199" s="15">
        <f t="shared" si="3"/>
        <v>562</v>
      </c>
      <c r="L199" s="17">
        <f t="shared" si="4"/>
        <v>142</v>
      </c>
      <c r="M199" s="18">
        <f t="shared" si="5"/>
        <v>562</v>
      </c>
      <c r="N199" s="14">
        <f t="shared" si="6"/>
        <v>142</v>
      </c>
      <c r="O199" s="15">
        <f t="shared" si="7"/>
        <v>592</v>
      </c>
      <c r="P199" s="17">
        <f t="shared" si="8"/>
        <v>119</v>
      </c>
      <c r="Q199" s="18">
        <f t="shared" si="9"/>
        <v>592</v>
      </c>
      <c r="R199" s="4" t="s">
        <v>0</v>
      </c>
      <c r="S199" s="16" t="str">
        <f t="shared" si="10"/>
        <v>01-17</v>
      </c>
      <c r="T199" s="14">
        <f t="shared" si="11"/>
        <v>119</v>
      </c>
      <c r="U199" s="18">
        <f t="shared" si="12"/>
        <v>188</v>
      </c>
      <c r="V199" s="14">
        <f t="shared" si="13"/>
        <v>142</v>
      </c>
      <c r="W199" s="18">
        <f t="shared" si="14"/>
        <v>188</v>
      </c>
      <c r="X199" s="14">
        <f t="shared" si="15"/>
        <v>142</v>
      </c>
      <c r="Y199" s="18">
        <f t="shared" si="16"/>
        <v>158</v>
      </c>
      <c r="Z199" s="14">
        <f t="shared" si="17"/>
        <v>119</v>
      </c>
      <c r="AA199" s="18">
        <f t="shared" si="18"/>
        <v>158</v>
      </c>
      <c r="AB199" s="4" t="s">
        <v>0</v>
      </c>
    </row>
    <row r="200" spans="1:28">
      <c r="A200" s="9" t="s">
        <v>145</v>
      </c>
      <c r="B200" s="24"/>
      <c r="C200" s="4"/>
      <c r="D200" s="25">
        <f t="shared" ref="D200:D212" si="143">D184</f>
        <v>144</v>
      </c>
      <c r="E200" s="29">
        <f t="shared" ref="E200:E202" si="144">E199</f>
        <v>562</v>
      </c>
      <c r="F200" s="25">
        <f t="shared" ref="F200:F212" si="145">F184</f>
        <v>167</v>
      </c>
      <c r="G200" s="29">
        <f t="shared" ref="G200:G202" si="146">G199</f>
        <v>592</v>
      </c>
      <c r="H200" s="4" t="s">
        <v>0</v>
      </c>
      <c r="I200" s="11" t="str">
        <f t="shared" si="0"/>
        <v>01-16</v>
      </c>
      <c r="J200" s="14">
        <f t="shared" si="2"/>
        <v>144</v>
      </c>
      <c r="K200" s="15">
        <f t="shared" si="3"/>
        <v>562</v>
      </c>
      <c r="L200" s="17">
        <f t="shared" si="4"/>
        <v>167</v>
      </c>
      <c r="M200" s="18">
        <f t="shared" si="5"/>
        <v>562</v>
      </c>
      <c r="N200" s="14">
        <f t="shared" si="6"/>
        <v>167</v>
      </c>
      <c r="O200" s="15">
        <f t="shared" si="7"/>
        <v>592</v>
      </c>
      <c r="P200" s="17">
        <f t="shared" si="8"/>
        <v>144</v>
      </c>
      <c r="Q200" s="18">
        <f t="shared" si="9"/>
        <v>592</v>
      </c>
      <c r="R200" s="4" t="s">
        <v>0</v>
      </c>
      <c r="S200" s="16" t="str">
        <f t="shared" si="10"/>
        <v>01-16</v>
      </c>
      <c r="T200" s="14">
        <f t="shared" si="11"/>
        <v>144</v>
      </c>
      <c r="U200" s="18">
        <f t="shared" si="12"/>
        <v>188</v>
      </c>
      <c r="V200" s="14">
        <f t="shared" si="13"/>
        <v>167</v>
      </c>
      <c r="W200" s="18">
        <f t="shared" si="14"/>
        <v>188</v>
      </c>
      <c r="X200" s="14">
        <f t="shared" si="15"/>
        <v>167</v>
      </c>
      <c r="Y200" s="18">
        <f t="shared" si="16"/>
        <v>158</v>
      </c>
      <c r="Z200" s="14">
        <f t="shared" si="17"/>
        <v>144</v>
      </c>
      <c r="AA200" s="18">
        <f t="shared" si="18"/>
        <v>158</v>
      </c>
      <c r="AB200" s="4" t="s">
        <v>0</v>
      </c>
    </row>
    <row r="201" spans="1:28">
      <c r="A201" s="9" t="s">
        <v>144</v>
      </c>
      <c r="B201" s="24"/>
      <c r="C201" s="4"/>
      <c r="D201" s="25">
        <f t="shared" si="143"/>
        <v>168</v>
      </c>
      <c r="E201" s="29">
        <f t="shared" si="144"/>
        <v>562</v>
      </c>
      <c r="F201" s="25">
        <f t="shared" si="145"/>
        <v>191</v>
      </c>
      <c r="G201" s="29">
        <f t="shared" si="146"/>
        <v>592</v>
      </c>
      <c r="H201" s="4" t="s">
        <v>0</v>
      </c>
      <c r="I201" s="11" t="str">
        <f t="shared" ref="I201:I212" si="147">A201</f>
        <v>01-15</v>
      </c>
      <c r="J201" s="14">
        <f t="shared" si="2"/>
        <v>168</v>
      </c>
      <c r="K201" s="15">
        <f t="shared" si="3"/>
        <v>562</v>
      </c>
      <c r="L201" s="17">
        <f t="shared" si="4"/>
        <v>191</v>
      </c>
      <c r="M201" s="18">
        <f t="shared" si="5"/>
        <v>562</v>
      </c>
      <c r="N201" s="14">
        <f t="shared" si="6"/>
        <v>191</v>
      </c>
      <c r="O201" s="15">
        <f t="shared" si="7"/>
        <v>592</v>
      </c>
      <c r="P201" s="17">
        <f t="shared" si="8"/>
        <v>168</v>
      </c>
      <c r="Q201" s="18">
        <f t="shared" si="9"/>
        <v>592</v>
      </c>
      <c r="R201" s="4" t="s">
        <v>0</v>
      </c>
      <c r="S201" s="16" t="str">
        <f t="shared" si="10"/>
        <v>01-15</v>
      </c>
      <c r="T201" s="14">
        <f t="shared" si="11"/>
        <v>168</v>
      </c>
      <c r="U201" s="18">
        <f t="shared" si="12"/>
        <v>188</v>
      </c>
      <c r="V201" s="14">
        <f t="shared" si="13"/>
        <v>191</v>
      </c>
      <c r="W201" s="18">
        <f t="shared" si="14"/>
        <v>188</v>
      </c>
      <c r="X201" s="14">
        <f t="shared" si="15"/>
        <v>191</v>
      </c>
      <c r="Y201" s="18">
        <f t="shared" si="16"/>
        <v>158</v>
      </c>
      <c r="Z201" s="14">
        <f t="shared" si="17"/>
        <v>168</v>
      </c>
      <c r="AA201" s="18">
        <f t="shared" si="18"/>
        <v>158</v>
      </c>
      <c r="AB201" s="4" t="s">
        <v>0</v>
      </c>
    </row>
    <row r="202" spans="1:28">
      <c r="A202" s="9" t="s">
        <v>143</v>
      </c>
      <c r="B202" s="24"/>
      <c r="C202" s="4"/>
      <c r="D202" s="25">
        <f t="shared" si="143"/>
        <v>192</v>
      </c>
      <c r="E202" s="29">
        <f t="shared" si="144"/>
        <v>562</v>
      </c>
      <c r="F202" s="25">
        <f t="shared" si="145"/>
        <v>215</v>
      </c>
      <c r="G202" s="29">
        <f t="shared" si="146"/>
        <v>592</v>
      </c>
      <c r="H202" s="4" t="s">
        <v>0</v>
      </c>
      <c r="I202" s="11" t="str">
        <f t="shared" si="147"/>
        <v>01-13</v>
      </c>
      <c r="J202" s="14">
        <f t="shared" si="2"/>
        <v>192</v>
      </c>
      <c r="K202" s="15">
        <f t="shared" si="3"/>
        <v>562</v>
      </c>
      <c r="L202" s="17">
        <f t="shared" si="4"/>
        <v>215</v>
      </c>
      <c r="M202" s="18">
        <f t="shared" si="5"/>
        <v>562</v>
      </c>
      <c r="N202" s="14">
        <f t="shared" si="6"/>
        <v>215</v>
      </c>
      <c r="O202" s="15">
        <f t="shared" si="7"/>
        <v>592</v>
      </c>
      <c r="P202" s="17">
        <f t="shared" si="8"/>
        <v>192</v>
      </c>
      <c r="Q202" s="18">
        <f t="shared" si="9"/>
        <v>592</v>
      </c>
      <c r="R202" s="4" t="s">
        <v>0</v>
      </c>
      <c r="S202" s="16" t="str">
        <f t="shared" si="10"/>
        <v>01-13</v>
      </c>
      <c r="T202" s="14">
        <f t="shared" si="11"/>
        <v>192</v>
      </c>
      <c r="U202" s="18">
        <f t="shared" si="12"/>
        <v>188</v>
      </c>
      <c r="V202" s="14">
        <f t="shared" si="13"/>
        <v>215</v>
      </c>
      <c r="W202" s="18">
        <f t="shared" si="14"/>
        <v>188</v>
      </c>
      <c r="X202" s="14">
        <f t="shared" si="15"/>
        <v>215</v>
      </c>
      <c r="Y202" s="18">
        <f t="shared" si="16"/>
        <v>158</v>
      </c>
      <c r="Z202" s="14">
        <f t="shared" si="17"/>
        <v>192</v>
      </c>
      <c r="AA202" s="18">
        <f t="shared" si="18"/>
        <v>158</v>
      </c>
      <c r="AB202" s="4" t="s">
        <v>0</v>
      </c>
    </row>
    <row r="203" spans="1:28">
      <c r="A203" s="9" t="s">
        <v>11</v>
      </c>
      <c r="B203" s="24"/>
      <c r="C203" s="4"/>
      <c r="D203" s="25">
        <f t="shared" si="143"/>
        <v>216</v>
      </c>
      <c r="E203" s="29">
        <f t="shared" ref="E203:E212" si="148">E202</f>
        <v>562</v>
      </c>
      <c r="F203" s="25">
        <f t="shared" si="145"/>
        <v>239</v>
      </c>
      <c r="G203" s="29">
        <f t="shared" ref="G203:G212" si="149">G202</f>
        <v>592</v>
      </c>
      <c r="H203" s="4" t="s">
        <v>0</v>
      </c>
      <c r="I203" s="11" t="str">
        <f t="shared" si="147"/>
        <v>01-12</v>
      </c>
      <c r="J203" s="14">
        <f t="shared" si="2"/>
        <v>216</v>
      </c>
      <c r="K203" s="15">
        <f t="shared" si="3"/>
        <v>562</v>
      </c>
      <c r="L203" s="17">
        <f t="shared" si="4"/>
        <v>239</v>
      </c>
      <c r="M203" s="18">
        <f t="shared" si="5"/>
        <v>562</v>
      </c>
      <c r="N203" s="14">
        <f t="shared" si="6"/>
        <v>239</v>
      </c>
      <c r="O203" s="15">
        <f t="shared" si="7"/>
        <v>592</v>
      </c>
      <c r="P203" s="17">
        <f t="shared" si="8"/>
        <v>216</v>
      </c>
      <c r="Q203" s="18">
        <f t="shared" si="9"/>
        <v>592</v>
      </c>
      <c r="R203" s="4" t="s">
        <v>0</v>
      </c>
      <c r="S203" s="16" t="str">
        <f t="shared" si="10"/>
        <v>01-12</v>
      </c>
      <c r="T203" s="14">
        <f t="shared" si="11"/>
        <v>216</v>
      </c>
      <c r="U203" s="18">
        <f t="shared" si="12"/>
        <v>188</v>
      </c>
      <c r="V203" s="14">
        <f t="shared" si="13"/>
        <v>239</v>
      </c>
      <c r="W203" s="18">
        <f t="shared" si="14"/>
        <v>188</v>
      </c>
      <c r="X203" s="14">
        <f t="shared" si="15"/>
        <v>239</v>
      </c>
      <c r="Y203" s="18">
        <f t="shared" si="16"/>
        <v>158</v>
      </c>
      <c r="Z203" s="14">
        <f t="shared" si="17"/>
        <v>216</v>
      </c>
      <c r="AA203" s="18">
        <f t="shared" si="18"/>
        <v>158</v>
      </c>
      <c r="AB203" s="4" t="s">
        <v>0</v>
      </c>
    </row>
    <row r="204" spans="1:28">
      <c r="A204" s="9" t="s">
        <v>10</v>
      </c>
      <c r="B204" s="24"/>
      <c r="C204" s="4"/>
      <c r="D204" s="25">
        <f t="shared" si="143"/>
        <v>240</v>
      </c>
      <c r="E204" s="29">
        <f t="shared" si="148"/>
        <v>562</v>
      </c>
      <c r="F204" s="25">
        <f t="shared" si="145"/>
        <v>263</v>
      </c>
      <c r="G204" s="29">
        <f t="shared" si="149"/>
        <v>592</v>
      </c>
      <c r="H204" s="4" t="s">
        <v>0</v>
      </c>
      <c r="I204" s="11" t="str">
        <f t="shared" si="147"/>
        <v>01-11</v>
      </c>
      <c r="J204" s="14">
        <f t="shared" si="2"/>
        <v>240</v>
      </c>
      <c r="K204" s="15">
        <f t="shared" si="3"/>
        <v>562</v>
      </c>
      <c r="L204" s="17">
        <f t="shared" si="4"/>
        <v>263</v>
      </c>
      <c r="M204" s="18">
        <f t="shared" si="5"/>
        <v>562</v>
      </c>
      <c r="N204" s="14">
        <f t="shared" si="6"/>
        <v>263</v>
      </c>
      <c r="O204" s="15">
        <f t="shared" si="7"/>
        <v>592</v>
      </c>
      <c r="P204" s="17">
        <f t="shared" si="8"/>
        <v>240</v>
      </c>
      <c r="Q204" s="18">
        <f t="shared" si="9"/>
        <v>592</v>
      </c>
      <c r="R204" s="4" t="s">
        <v>0</v>
      </c>
      <c r="S204" s="16" t="str">
        <f t="shared" si="10"/>
        <v>01-11</v>
      </c>
      <c r="T204" s="14">
        <f t="shared" si="11"/>
        <v>240</v>
      </c>
      <c r="U204" s="18">
        <f t="shared" si="12"/>
        <v>188</v>
      </c>
      <c r="V204" s="14">
        <f t="shared" si="13"/>
        <v>263</v>
      </c>
      <c r="W204" s="18">
        <f t="shared" si="14"/>
        <v>188</v>
      </c>
      <c r="X204" s="14">
        <f t="shared" si="15"/>
        <v>263</v>
      </c>
      <c r="Y204" s="18">
        <f t="shared" si="16"/>
        <v>158</v>
      </c>
      <c r="Z204" s="14">
        <f t="shared" si="17"/>
        <v>240</v>
      </c>
      <c r="AA204" s="18">
        <f t="shared" si="18"/>
        <v>158</v>
      </c>
      <c r="AB204" s="4" t="s">
        <v>0</v>
      </c>
    </row>
    <row r="205" spans="1:28">
      <c r="A205" s="9" t="s">
        <v>9</v>
      </c>
      <c r="B205" s="24"/>
      <c r="C205" s="4"/>
      <c r="D205" s="25">
        <f t="shared" si="143"/>
        <v>265</v>
      </c>
      <c r="E205" s="29">
        <f t="shared" si="148"/>
        <v>562</v>
      </c>
      <c r="F205" s="25">
        <f t="shared" si="145"/>
        <v>288</v>
      </c>
      <c r="G205" s="29">
        <f t="shared" si="149"/>
        <v>592</v>
      </c>
      <c r="H205" s="4" t="s">
        <v>0</v>
      </c>
      <c r="I205" s="11" t="str">
        <f t="shared" si="147"/>
        <v>01-10</v>
      </c>
      <c r="J205" s="14">
        <f t="shared" si="2"/>
        <v>265</v>
      </c>
      <c r="K205" s="15">
        <f t="shared" si="3"/>
        <v>562</v>
      </c>
      <c r="L205" s="17">
        <f t="shared" si="4"/>
        <v>288</v>
      </c>
      <c r="M205" s="18">
        <f t="shared" si="5"/>
        <v>562</v>
      </c>
      <c r="N205" s="14">
        <f t="shared" si="6"/>
        <v>288</v>
      </c>
      <c r="O205" s="15">
        <f t="shared" si="7"/>
        <v>592</v>
      </c>
      <c r="P205" s="17">
        <f t="shared" si="8"/>
        <v>265</v>
      </c>
      <c r="Q205" s="18">
        <f t="shared" si="9"/>
        <v>592</v>
      </c>
      <c r="R205" s="4" t="s">
        <v>0</v>
      </c>
      <c r="S205" s="16" t="str">
        <f t="shared" si="10"/>
        <v>01-10</v>
      </c>
      <c r="T205" s="14">
        <f t="shared" si="11"/>
        <v>265</v>
      </c>
      <c r="U205" s="18">
        <f t="shared" si="12"/>
        <v>188</v>
      </c>
      <c r="V205" s="14">
        <f t="shared" si="13"/>
        <v>288</v>
      </c>
      <c r="W205" s="18">
        <f t="shared" si="14"/>
        <v>188</v>
      </c>
      <c r="X205" s="14">
        <f t="shared" si="15"/>
        <v>288</v>
      </c>
      <c r="Y205" s="18">
        <f t="shared" si="16"/>
        <v>158</v>
      </c>
      <c r="Z205" s="14">
        <f t="shared" si="17"/>
        <v>265</v>
      </c>
      <c r="AA205" s="18">
        <f t="shared" si="18"/>
        <v>158</v>
      </c>
      <c r="AB205" s="4" t="s">
        <v>0</v>
      </c>
    </row>
    <row r="206" spans="1:28">
      <c r="A206" s="9" t="s">
        <v>8</v>
      </c>
      <c r="B206" s="24"/>
      <c r="C206" s="4"/>
      <c r="D206" s="25">
        <f t="shared" si="143"/>
        <v>289</v>
      </c>
      <c r="E206" s="29">
        <f t="shared" si="148"/>
        <v>562</v>
      </c>
      <c r="F206" s="25">
        <f t="shared" si="145"/>
        <v>312</v>
      </c>
      <c r="G206" s="29">
        <f t="shared" si="149"/>
        <v>592</v>
      </c>
      <c r="H206" s="4" t="s">
        <v>0</v>
      </c>
      <c r="I206" s="11" t="str">
        <f t="shared" si="147"/>
        <v>01-08</v>
      </c>
      <c r="J206" s="14">
        <f t="shared" si="2"/>
        <v>289</v>
      </c>
      <c r="K206" s="15">
        <f t="shared" si="3"/>
        <v>562</v>
      </c>
      <c r="L206" s="17">
        <f t="shared" si="4"/>
        <v>312</v>
      </c>
      <c r="M206" s="18">
        <f t="shared" si="5"/>
        <v>562</v>
      </c>
      <c r="N206" s="14">
        <f t="shared" si="6"/>
        <v>312</v>
      </c>
      <c r="O206" s="15">
        <f t="shared" si="7"/>
        <v>592</v>
      </c>
      <c r="P206" s="17">
        <f t="shared" si="8"/>
        <v>289</v>
      </c>
      <c r="Q206" s="18">
        <f t="shared" si="9"/>
        <v>592</v>
      </c>
      <c r="R206" s="4" t="s">
        <v>0</v>
      </c>
      <c r="S206" s="16" t="str">
        <f t="shared" si="10"/>
        <v>01-08</v>
      </c>
      <c r="T206" s="14">
        <f t="shared" si="11"/>
        <v>289</v>
      </c>
      <c r="U206" s="18">
        <f t="shared" si="12"/>
        <v>188</v>
      </c>
      <c r="V206" s="14">
        <f t="shared" si="13"/>
        <v>312</v>
      </c>
      <c r="W206" s="18">
        <f t="shared" si="14"/>
        <v>188</v>
      </c>
      <c r="X206" s="14">
        <f t="shared" si="15"/>
        <v>312</v>
      </c>
      <c r="Y206" s="18">
        <f t="shared" si="16"/>
        <v>158</v>
      </c>
      <c r="Z206" s="14">
        <f t="shared" si="17"/>
        <v>289</v>
      </c>
      <c r="AA206" s="18">
        <f t="shared" si="18"/>
        <v>158</v>
      </c>
      <c r="AB206" s="4" t="s">
        <v>0</v>
      </c>
    </row>
    <row r="207" spans="1:28">
      <c r="A207" s="9" t="s">
        <v>7</v>
      </c>
      <c r="B207" s="24"/>
      <c r="C207" s="4"/>
      <c r="D207" s="25">
        <f t="shared" si="143"/>
        <v>313</v>
      </c>
      <c r="E207" s="29">
        <f t="shared" si="148"/>
        <v>562</v>
      </c>
      <c r="F207" s="25">
        <f t="shared" si="145"/>
        <v>336</v>
      </c>
      <c r="G207" s="29">
        <f t="shared" si="149"/>
        <v>592</v>
      </c>
      <c r="H207" s="4" t="s">
        <v>0</v>
      </c>
      <c r="I207" s="11" t="str">
        <f t="shared" si="147"/>
        <v>01-07</v>
      </c>
      <c r="J207" s="14">
        <f t="shared" si="2"/>
        <v>313</v>
      </c>
      <c r="K207" s="15">
        <f t="shared" si="3"/>
        <v>562</v>
      </c>
      <c r="L207" s="17">
        <f t="shared" si="4"/>
        <v>336</v>
      </c>
      <c r="M207" s="18">
        <f t="shared" si="5"/>
        <v>562</v>
      </c>
      <c r="N207" s="14">
        <f t="shared" si="6"/>
        <v>336</v>
      </c>
      <c r="O207" s="15">
        <f t="shared" si="7"/>
        <v>592</v>
      </c>
      <c r="P207" s="17">
        <f t="shared" si="8"/>
        <v>313</v>
      </c>
      <c r="Q207" s="18">
        <f t="shared" si="9"/>
        <v>592</v>
      </c>
      <c r="R207" s="4" t="s">
        <v>0</v>
      </c>
      <c r="S207" s="16" t="str">
        <f t="shared" si="10"/>
        <v>01-07</v>
      </c>
      <c r="T207" s="14">
        <f t="shared" si="11"/>
        <v>313</v>
      </c>
      <c r="U207" s="18">
        <f t="shared" si="12"/>
        <v>188</v>
      </c>
      <c r="V207" s="14">
        <f t="shared" si="13"/>
        <v>336</v>
      </c>
      <c r="W207" s="18">
        <f t="shared" si="14"/>
        <v>188</v>
      </c>
      <c r="X207" s="14">
        <f t="shared" si="15"/>
        <v>336</v>
      </c>
      <c r="Y207" s="18">
        <f t="shared" si="16"/>
        <v>158</v>
      </c>
      <c r="Z207" s="14">
        <f t="shared" si="17"/>
        <v>313</v>
      </c>
      <c r="AA207" s="18">
        <f t="shared" si="18"/>
        <v>158</v>
      </c>
      <c r="AB207" s="4" t="s">
        <v>0</v>
      </c>
    </row>
    <row r="208" spans="1:28">
      <c r="A208" s="9" t="s">
        <v>6</v>
      </c>
      <c r="B208" s="24"/>
      <c r="C208" s="4"/>
      <c r="D208" s="25">
        <f t="shared" si="143"/>
        <v>337</v>
      </c>
      <c r="E208" s="29">
        <f t="shared" si="148"/>
        <v>562</v>
      </c>
      <c r="F208" s="25">
        <f t="shared" si="145"/>
        <v>360</v>
      </c>
      <c r="G208" s="29">
        <f t="shared" si="149"/>
        <v>592</v>
      </c>
      <c r="H208" s="4" t="s">
        <v>0</v>
      </c>
      <c r="I208" s="11" t="str">
        <f t="shared" si="147"/>
        <v>01-06</v>
      </c>
      <c r="J208" s="14">
        <f t="shared" si="2"/>
        <v>337</v>
      </c>
      <c r="K208" s="15">
        <f t="shared" si="3"/>
        <v>562</v>
      </c>
      <c r="L208" s="17">
        <f t="shared" si="4"/>
        <v>360</v>
      </c>
      <c r="M208" s="18">
        <f t="shared" si="5"/>
        <v>562</v>
      </c>
      <c r="N208" s="14">
        <f t="shared" si="6"/>
        <v>360</v>
      </c>
      <c r="O208" s="15">
        <f t="shared" si="7"/>
        <v>592</v>
      </c>
      <c r="P208" s="17">
        <f t="shared" si="8"/>
        <v>337</v>
      </c>
      <c r="Q208" s="18">
        <f t="shared" si="9"/>
        <v>592</v>
      </c>
      <c r="R208" s="4" t="s">
        <v>0</v>
      </c>
      <c r="S208" s="16" t="str">
        <f t="shared" si="10"/>
        <v>01-06</v>
      </c>
      <c r="T208" s="14">
        <f t="shared" si="11"/>
        <v>337</v>
      </c>
      <c r="U208" s="18">
        <f t="shared" si="12"/>
        <v>188</v>
      </c>
      <c r="V208" s="14">
        <f t="shared" si="13"/>
        <v>360</v>
      </c>
      <c r="W208" s="18">
        <f t="shared" si="14"/>
        <v>188</v>
      </c>
      <c r="X208" s="14">
        <f t="shared" si="15"/>
        <v>360</v>
      </c>
      <c r="Y208" s="18">
        <f t="shared" si="16"/>
        <v>158</v>
      </c>
      <c r="Z208" s="14">
        <f t="shared" si="17"/>
        <v>337</v>
      </c>
      <c r="AA208" s="18">
        <f t="shared" si="18"/>
        <v>158</v>
      </c>
      <c r="AB208" s="4" t="s">
        <v>0</v>
      </c>
    </row>
    <row r="209" spans="1:28">
      <c r="A209" s="9" t="s">
        <v>5</v>
      </c>
      <c r="B209" s="24"/>
      <c r="C209" s="4"/>
      <c r="D209" s="25">
        <f t="shared" si="143"/>
        <v>361</v>
      </c>
      <c r="E209" s="29">
        <f t="shared" si="148"/>
        <v>562</v>
      </c>
      <c r="F209" s="25">
        <f t="shared" si="145"/>
        <v>384</v>
      </c>
      <c r="G209" s="29">
        <f t="shared" si="149"/>
        <v>592</v>
      </c>
      <c r="H209" s="4" t="s">
        <v>0</v>
      </c>
      <c r="I209" s="11" t="str">
        <f t="shared" si="147"/>
        <v>01-05</v>
      </c>
      <c r="J209" s="14">
        <f t="shared" si="2"/>
        <v>361</v>
      </c>
      <c r="K209" s="15">
        <f t="shared" si="3"/>
        <v>562</v>
      </c>
      <c r="L209" s="17">
        <f t="shared" si="4"/>
        <v>384</v>
      </c>
      <c r="M209" s="18">
        <f t="shared" si="5"/>
        <v>562</v>
      </c>
      <c r="N209" s="14">
        <f t="shared" si="6"/>
        <v>384</v>
      </c>
      <c r="O209" s="15">
        <f t="shared" si="7"/>
        <v>592</v>
      </c>
      <c r="P209" s="17">
        <f t="shared" si="8"/>
        <v>361</v>
      </c>
      <c r="Q209" s="18">
        <f t="shared" si="9"/>
        <v>592</v>
      </c>
      <c r="R209" s="4" t="s">
        <v>0</v>
      </c>
      <c r="S209" s="16" t="str">
        <f t="shared" si="10"/>
        <v>01-05</v>
      </c>
      <c r="T209" s="14">
        <f t="shared" si="11"/>
        <v>361</v>
      </c>
      <c r="U209" s="18">
        <f t="shared" si="12"/>
        <v>188</v>
      </c>
      <c r="V209" s="14">
        <f t="shared" si="13"/>
        <v>384</v>
      </c>
      <c r="W209" s="18">
        <f t="shared" si="14"/>
        <v>188</v>
      </c>
      <c r="X209" s="14">
        <f t="shared" si="15"/>
        <v>384</v>
      </c>
      <c r="Y209" s="18">
        <f t="shared" si="16"/>
        <v>158</v>
      </c>
      <c r="Z209" s="14">
        <f t="shared" si="17"/>
        <v>361</v>
      </c>
      <c r="AA209" s="18">
        <f t="shared" si="18"/>
        <v>158</v>
      </c>
      <c r="AB209" s="4" t="s">
        <v>0</v>
      </c>
    </row>
    <row r="210" spans="1:28">
      <c r="A210" s="9" t="s">
        <v>4</v>
      </c>
      <c r="B210" s="24"/>
      <c r="C210" s="4"/>
      <c r="D210" s="25">
        <f t="shared" si="143"/>
        <v>386</v>
      </c>
      <c r="E210" s="29">
        <f t="shared" si="148"/>
        <v>562</v>
      </c>
      <c r="F210" s="25">
        <f t="shared" si="145"/>
        <v>409</v>
      </c>
      <c r="G210" s="29">
        <f t="shared" si="149"/>
        <v>592</v>
      </c>
      <c r="H210" s="4" t="s">
        <v>0</v>
      </c>
      <c r="I210" s="11" t="str">
        <f t="shared" si="147"/>
        <v>01-03</v>
      </c>
      <c r="J210" s="14">
        <f t="shared" si="2"/>
        <v>386</v>
      </c>
      <c r="K210" s="15">
        <f t="shared" si="3"/>
        <v>562</v>
      </c>
      <c r="L210" s="17">
        <f t="shared" si="4"/>
        <v>409</v>
      </c>
      <c r="M210" s="18">
        <f t="shared" si="5"/>
        <v>562</v>
      </c>
      <c r="N210" s="14">
        <f t="shared" si="6"/>
        <v>409</v>
      </c>
      <c r="O210" s="15">
        <f t="shared" si="7"/>
        <v>592</v>
      </c>
      <c r="P210" s="17">
        <f t="shared" si="8"/>
        <v>386</v>
      </c>
      <c r="Q210" s="18">
        <f t="shared" si="9"/>
        <v>592</v>
      </c>
      <c r="R210" s="4" t="s">
        <v>0</v>
      </c>
      <c r="S210" s="16" t="str">
        <f t="shared" si="10"/>
        <v>01-03</v>
      </c>
      <c r="T210" s="14">
        <f t="shared" si="11"/>
        <v>386</v>
      </c>
      <c r="U210" s="18">
        <f t="shared" si="12"/>
        <v>188</v>
      </c>
      <c r="V210" s="14">
        <f t="shared" si="13"/>
        <v>409</v>
      </c>
      <c r="W210" s="18">
        <f t="shared" si="14"/>
        <v>188</v>
      </c>
      <c r="X210" s="14">
        <f t="shared" si="15"/>
        <v>409</v>
      </c>
      <c r="Y210" s="18">
        <f t="shared" si="16"/>
        <v>158</v>
      </c>
      <c r="Z210" s="14">
        <f t="shared" si="17"/>
        <v>386</v>
      </c>
      <c r="AA210" s="18">
        <f t="shared" si="18"/>
        <v>158</v>
      </c>
      <c r="AB210" s="4" t="s">
        <v>0</v>
      </c>
    </row>
    <row r="211" spans="1:28">
      <c r="A211" s="9" t="s">
        <v>142</v>
      </c>
      <c r="B211" s="24"/>
      <c r="C211" s="4"/>
      <c r="D211" s="25">
        <f t="shared" si="143"/>
        <v>410</v>
      </c>
      <c r="E211" s="29">
        <f t="shared" si="148"/>
        <v>562</v>
      </c>
      <c r="F211" s="25">
        <f t="shared" si="145"/>
        <v>433</v>
      </c>
      <c r="G211" s="29">
        <f t="shared" si="149"/>
        <v>592</v>
      </c>
      <c r="H211" s="4" t="s">
        <v>0</v>
      </c>
      <c r="I211" s="11" t="str">
        <f t="shared" si="147"/>
        <v>01-02</v>
      </c>
      <c r="J211" s="14">
        <f t="shared" si="2"/>
        <v>410</v>
      </c>
      <c r="K211" s="15">
        <f t="shared" si="3"/>
        <v>562</v>
      </c>
      <c r="L211" s="17">
        <f t="shared" si="4"/>
        <v>433</v>
      </c>
      <c r="M211" s="18">
        <f t="shared" si="5"/>
        <v>562</v>
      </c>
      <c r="N211" s="14">
        <f t="shared" si="6"/>
        <v>433</v>
      </c>
      <c r="O211" s="15">
        <f t="shared" si="7"/>
        <v>592</v>
      </c>
      <c r="P211" s="17">
        <f t="shared" si="8"/>
        <v>410</v>
      </c>
      <c r="Q211" s="18">
        <f t="shared" si="9"/>
        <v>592</v>
      </c>
      <c r="R211" s="4" t="s">
        <v>0</v>
      </c>
      <c r="S211" s="16" t="str">
        <f t="shared" si="10"/>
        <v>01-02</v>
      </c>
      <c r="T211" s="14">
        <f t="shared" si="11"/>
        <v>410</v>
      </c>
      <c r="U211" s="18">
        <f t="shared" si="12"/>
        <v>188</v>
      </c>
      <c r="V211" s="14">
        <f t="shared" si="13"/>
        <v>433</v>
      </c>
      <c r="W211" s="18">
        <f t="shared" si="14"/>
        <v>188</v>
      </c>
      <c r="X211" s="14">
        <f t="shared" si="15"/>
        <v>433</v>
      </c>
      <c r="Y211" s="18">
        <f t="shared" si="16"/>
        <v>158</v>
      </c>
      <c r="Z211" s="14">
        <f t="shared" si="17"/>
        <v>410</v>
      </c>
      <c r="AA211" s="18">
        <f t="shared" si="18"/>
        <v>158</v>
      </c>
      <c r="AB211" s="4" t="s">
        <v>0</v>
      </c>
    </row>
    <row r="212" spans="1:28">
      <c r="A212" s="9" t="s">
        <v>141</v>
      </c>
      <c r="B212" s="24"/>
      <c r="C212" s="4"/>
      <c r="D212" s="25">
        <f t="shared" si="143"/>
        <v>434</v>
      </c>
      <c r="E212" s="29">
        <f t="shared" si="148"/>
        <v>562</v>
      </c>
      <c r="F212" s="25">
        <f t="shared" si="145"/>
        <v>457</v>
      </c>
      <c r="G212" s="29">
        <f t="shared" si="149"/>
        <v>592</v>
      </c>
      <c r="H212" s="4" t="s">
        <v>0</v>
      </c>
      <c r="I212" s="11" t="str">
        <f t="shared" si="147"/>
        <v>01-01</v>
      </c>
      <c r="J212" s="14">
        <f t="shared" si="2"/>
        <v>434</v>
      </c>
      <c r="K212" s="15">
        <f t="shared" si="3"/>
        <v>562</v>
      </c>
      <c r="L212" s="17">
        <f t="shared" si="4"/>
        <v>457</v>
      </c>
      <c r="M212" s="18">
        <f t="shared" si="5"/>
        <v>562</v>
      </c>
      <c r="N212" s="14">
        <f t="shared" si="6"/>
        <v>457</v>
      </c>
      <c r="O212" s="15">
        <f t="shared" si="7"/>
        <v>592</v>
      </c>
      <c r="P212" s="17">
        <f t="shared" si="8"/>
        <v>434</v>
      </c>
      <c r="Q212" s="18">
        <f t="shared" si="9"/>
        <v>592</v>
      </c>
      <c r="R212" s="4" t="s">
        <v>0</v>
      </c>
      <c r="S212" s="16" t="str">
        <f t="shared" si="10"/>
        <v>01-01</v>
      </c>
      <c r="T212" s="14">
        <f t="shared" si="11"/>
        <v>434</v>
      </c>
      <c r="U212" s="18">
        <f t="shared" si="12"/>
        <v>188</v>
      </c>
      <c r="V212" s="14">
        <f t="shared" si="13"/>
        <v>457</v>
      </c>
      <c r="W212" s="18">
        <f t="shared" si="14"/>
        <v>188</v>
      </c>
      <c r="X212" s="14">
        <f t="shared" si="15"/>
        <v>457</v>
      </c>
      <c r="Y212" s="18">
        <f t="shared" si="16"/>
        <v>158</v>
      </c>
      <c r="Z212" s="14">
        <f t="shared" si="17"/>
        <v>434</v>
      </c>
      <c r="AA212" s="18">
        <f t="shared" si="18"/>
        <v>158</v>
      </c>
      <c r="AB212" s="4" t="s">
        <v>0</v>
      </c>
    </row>
  </sheetData>
  <autoFilter ref="A10:AB212" xr:uid="{00000000-0001-0000-0000-000000000000}"/>
  <mergeCells count="2">
    <mergeCell ref="D4:G4"/>
    <mergeCell ref="D3:G3"/>
  </mergeCells>
  <phoneticPr fontId="1"/>
  <hyperlinks>
    <hyperlink ref="N4" r:id="rId1" xr:uid="{B135FF4E-F1AD-41C3-8975-7BFAFF86B6AE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A3746-70C7-402B-8A15-24C594775F14}">
  <sheetPr codeName="Sheet3">
    <pageSetUpPr fitToPage="1"/>
  </sheetPr>
  <dimension ref="A1:AB174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SEC_11_3_日B.json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SEC_11_3_日B.png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405</v>
      </c>
      <c r="B11" s="30" t="s">
        <v>698</v>
      </c>
      <c r="C11" s="4" t="s">
        <v>0</v>
      </c>
      <c r="D11" s="27">
        <v>26</v>
      </c>
      <c r="E11" s="31">
        <v>84</v>
      </c>
      <c r="F11" s="31">
        <v>41</v>
      </c>
      <c r="G11" s="31">
        <v>98</v>
      </c>
      <c r="H11" s="4" t="s">
        <v>0</v>
      </c>
      <c r="I11" s="16" t="str">
        <f t="shared" ref="I11:I12" si="0">A11</f>
        <v>23-31</v>
      </c>
      <c r="J11" s="14">
        <f>IF(D11&lt;&gt;"",D11,0)</f>
        <v>26</v>
      </c>
      <c r="K11" s="15">
        <f>IF(E11&lt;&gt;"",E11,0)</f>
        <v>84</v>
      </c>
      <c r="L11" s="17">
        <f>N11</f>
        <v>41</v>
      </c>
      <c r="M11" s="18">
        <f>K11</f>
        <v>84</v>
      </c>
      <c r="N11" s="14">
        <f>IF(F11&lt;&gt;"",F11,0)</f>
        <v>41</v>
      </c>
      <c r="O11" s="15">
        <f>IF(G11&lt;&gt;"",G11,0)</f>
        <v>98</v>
      </c>
      <c r="P11" s="17">
        <f>J11</f>
        <v>26</v>
      </c>
      <c r="Q11" s="18">
        <f>O11</f>
        <v>98</v>
      </c>
      <c r="R11" s="4" t="s">
        <v>0</v>
      </c>
      <c r="S11" s="16" t="str">
        <f>I11</f>
        <v>23-31</v>
      </c>
      <c r="T11" s="14">
        <f>IF(J11&lt;&gt;"",J11,"")</f>
        <v>26</v>
      </c>
      <c r="U11" s="18">
        <f>IF(K11&lt;&gt;"",U$6-K11,"")</f>
        <v>666</v>
      </c>
      <c r="V11" s="14">
        <f t="shared" ref="V11:Z12" si="1">IF(L11&lt;&gt;"",L11,"")</f>
        <v>41</v>
      </c>
      <c r="W11" s="18">
        <f>IF(M11&lt;&gt;"",W$6-M11,"")</f>
        <v>666</v>
      </c>
      <c r="X11" s="14">
        <f t="shared" si="1"/>
        <v>41</v>
      </c>
      <c r="Y11" s="18">
        <f>IF(O11&lt;&gt;"",Y$6-O11,"")</f>
        <v>652</v>
      </c>
      <c r="Z11" s="14">
        <f t="shared" si="1"/>
        <v>26</v>
      </c>
      <c r="AA11" s="18">
        <f>IF(Q11&lt;&gt;"",AA$6-Q11,"")</f>
        <v>652</v>
      </c>
      <c r="AB11" s="4" t="s">
        <v>0</v>
      </c>
    </row>
    <row r="12" spans="1:28">
      <c r="A12" s="9" t="s">
        <v>404</v>
      </c>
      <c r="B12" s="24"/>
      <c r="C12" s="26">
        <v>1</v>
      </c>
      <c r="D12" s="28">
        <f>ROUND(D$11+15*$C12, 0)</f>
        <v>41</v>
      </c>
      <c r="E12" s="29">
        <f>E11</f>
        <v>84</v>
      </c>
      <c r="F12" s="28">
        <f>ROUND(F$11+15*$C12, 0)</f>
        <v>56</v>
      </c>
      <c r="G12" s="29">
        <f>G11</f>
        <v>98</v>
      </c>
      <c r="H12" s="4" t="s">
        <v>0</v>
      </c>
      <c r="I12" s="16" t="str">
        <f t="shared" si="0"/>
        <v>23-30</v>
      </c>
      <c r="J12" s="14">
        <f t="shared" ref="J12:K12" si="2">IF(D12&lt;&gt;"",D12,0)</f>
        <v>41</v>
      </c>
      <c r="K12" s="15">
        <f t="shared" si="2"/>
        <v>84</v>
      </c>
      <c r="L12" s="17">
        <f t="shared" ref="L12" si="3">N12</f>
        <v>56</v>
      </c>
      <c r="M12" s="18">
        <f t="shared" ref="M12" si="4">K12</f>
        <v>84</v>
      </c>
      <c r="N12" s="14">
        <f t="shared" ref="N12:O12" si="5">IF(F12&lt;&gt;"",F12,0)</f>
        <v>56</v>
      </c>
      <c r="O12" s="15">
        <f t="shared" si="5"/>
        <v>98</v>
      </c>
      <c r="P12" s="17">
        <f t="shared" ref="P12" si="6">J12</f>
        <v>41</v>
      </c>
      <c r="Q12" s="18">
        <f t="shared" ref="Q12" si="7">O12</f>
        <v>98</v>
      </c>
      <c r="R12" s="4" t="s">
        <v>0</v>
      </c>
      <c r="S12" s="16" t="str">
        <f t="shared" ref="S12" si="8">I12</f>
        <v>23-30</v>
      </c>
      <c r="T12" s="14">
        <f t="shared" ref="T12" si="9">IF(J12&lt;&gt;"",J12,"")</f>
        <v>41</v>
      </c>
      <c r="U12" s="18">
        <f t="shared" ref="U12" si="10">IF(K12&lt;&gt;"",U$6-K12,"")</f>
        <v>666</v>
      </c>
      <c r="V12" s="14">
        <f t="shared" si="1"/>
        <v>56</v>
      </c>
      <c r="W12" s="18">
        <f t="shared" ref="W12" si="11">IF(M12&lt;&gt;"",W$6-M12,"")</f>
        <v>666</v>
      </c>
      <c r="X12" s="14">
        <f t="shared" si="1"/>
        <v>56</v>
      </c>
      <c r="Y12" s="18">
        <f t="shared" ref="Y12" si="12">IF(O12&lt;&gt;"",Y$6-O12,"")</f>
        <v>652</v>
      </c>
      <c r="Z12" s="14">
        <f t="shared" si="1"/>
        <v>41</v>
      </c>
      <c r="AA12" s="18">
        <f t="shared" ref="AA12" si="13">IF(Q12&lt;&gt;"",AA$6-Q12,"")</f>
        <v>652</v>
      </c>
      <c r="AB12" s="4" t="s">
        <v>0</v>
      </c>
    </row>
    <row r="13" spans="1:28">
      <c r="A13" s="9" t="s">
        <v>403</v>
      </c>
      <c r="B13" s="24"/>
      <c r="C13" s="26">
        <v>2</v>
      </c>
      <c r="D13" s="28">
        <f t="shared" ref="D13:D23" si="14">ROUND(D$11+15*$C13, 0)</f>
        <v>56</v>
      </c>
      <c r="E13" s="29">
        <f t="shared" ref="E13:G25" si="15">E12</f>
        <v>84</v>
      </c>
      <c r="F13" s="28">
        <f t="shared" ref="F13:F23" si="16">ROUND(F$11+15*$C13, 0)</f>
        <v>71</v>
      </c>
      <c r="G13" s="29">
        <f t="shared" ref="G13:G23" si="17">G12</f>
        <v>98</v>
      </c>
      <c r="H13" s="4" t="s">
        <v>0</v>
      </c>
      <c r="I13" s="16" t="str">
        <f t="shared" ref="I13:I76" si="18">A13</f>
        <v>23-28</v>
      </c>
      <c r="J13" s="14">
        <f t="shared" ref="J13:J76" si="19">IF(D13&lt;&gt;"",D13,0)</f>
        <v>56</v>
      </c>
      <c r="K13" s="15">
        <f t="shared" ref="K13:K76" si="20">IF(E13&lt;&gt;"",E13,0)</f>
        <v>84</v>
      </c>
      <c r="L13" s="17">
        <f t="shared" ref="L13:L76" si="21">N13</f>
        <v>71</v>
      </c>
      <c r="M13" s="18">
        <f t="shared" ref="M13:M76" si="22">K13</f>
        <v>84</v>
      </c>
      <c r="N13" s="14">
        <f t="shared" ref="N13:N76" si="23">IF(F13&lt;&gt;"",F13,0)</f>
        <v>71</v>
      </c>
      <c r="O13" s="15">
        <f t="shared" ref="O13:O76" si="24">IF(G13&lt;&gt;"",G13,0)</f>
        <v>98</v>
      </c>
      <c r="P13" s="17">
        <f t="shared" ref="P13:P76" si="25">J13</f>
        <v>56</v>
      </c>
      <c r="Q13" s="18">
        <f t="shared" ref="Q13:Q76" si="26">O13</f>
        <v>98</v>
      </c>
      <c r="R13" s="4" t="s">
        <v>0</v>
      </c>
      <c r="S13" s="16" t="str">
        <f t="shared" ref="S13:S76" si="27">I13</f>
        <v>23-28</v>
      </c>
      <c r="T13" s="14">
        <f t="shared" ref="T13:T76" si="28">IF(J13&lt;&gt;"",J13,"")</f>
        <v>56</v>
      </c>
      <c r="U13" s="18">
        <f t="shared" ref="U13:U76" si="29">IF(K13&lt;&gt;"",U$6-K13,"")</f>
        <v>666</v>
      </c>
      <c r="V13" s="14">
        <f t="shared" ref="V13:V76" si="30">IF(L13&lt;&gt;"",L13,"")</f>
        <v>71</v>
      </c>
      <c r="W13" s="18">
        <f t="shared" ref="W13:W76" si="31">IF(M13&lt;&gt;"",W$6-M13,"")</f>
        <v>666</v>
      </c>
      <c r="X13" s="14">
        <f t="shared" ref="X13:X76" si="32">IF(N13&lt;&gt;"",N13,"")</f>
        <v>71</v>
      </c>
      <c r="Y13" s="18">
        <f t="shared" ref="Y13:Y76" si="33">IF(O13&lt;&gt;"",Y$6-O13,"")</f>
        <v>652</v>
      </c>
      <c r="Z13" s="14">
        <f t="shared" ref="Z13:Z76" si="34">IF(P13&lt;&gt;"",P13,"")</f>
        <v>56</v>
      </c>
      <c r="AA13" s="18">
        <f t="shared" ref="AA13:AA76" si="35">IF(Q13&lt;&gt;"",AA$6-Q13,"")</f>
        <v>652</v>
      </c>
      <c r="AB13" s="4" t="s">
        <v>0</v>
      </c>
    </row>
    <row r="14" spans="1:28">
      <c r="A14" s="9" t="s">
        <v>402</v>
      </c>
      <c r="B14" s="24"/>
      <c r="C14" s="26">
        <v>3</v>
      </c>
      <c r="D14" s="28">
        <f t="shared" si="14"/>
        <v>71</v>
      </c>
      <c r="E14" s="29">
        <f t="shared" si="15"/>
        <v>84</v>
      </c>
      <c r="F14" s="28">
        <f t="shared" si="16"/>
        <v>86</v>
      </c>
      <c r="G14" s="29">
        <f t="shared" si="17"/>
        <v>98</v>
      </c>
      <c r="H14" s="4" t="s">
        <v>0</v>
      </c>
      <c r="I14" s="16" t="str">
        <f t="shared" si="18"/>
        <v>23-27</v>
      </c>
      <c r="J14" s="14">
        <f t="shared" si="19"/>
        <v>71</v>
      </c>
      <c r="K14" s="15">
        <f t="shared" si="20"/>
        <v>84</v>
      </c>
      <c r="L14" s="17">
        <f t="shared" si="21"/>
        <v>86</v>
      </c>
      <c r="M14" s="18">
        <f t="shared" si="22"/>
        <v>84</v>
      </c>
      <c r="N14" s="14">
        <f t="shared" si="23"/>
        <v>86</v>
      </c>
      <c r="O14" s="15">
        <f t="shared" si="24"/>
        <v>98</v>
      </c>
      <c r="P14" s="17">
        <f t="shared" si="25"/>
        <v>71</v>
      </c>
      <c r="Q14" s="18">
        <f t="shared" si="26"/>
        <v>98</v>
      </c>
      <c r="R14" s="4" t="s">
        <v>0</v>
      </c>
      <c r="S14" s="16" t="str">
        <f t="shared" si="27"/>
        <v>23-27</v>
      </c>
      <c r="T14" s="14">
        <f t="shared" si="28"/>
        <v>71</v>
      </c>
      <c r="U14" s="18">
        <f t="shared" si="29"/>
        <v>666</v>
      </c>
      <c r="V14" s="14">
        <f t="shared" si="30"/>
        <v>86</v>
      </c>
      <c r="W14" s="18">
        <f t="shared" si="31"/>
        <v>666</v>
      </c>
      <c r="X14" s="14">
        <f t="shared" si="32"/>
        <v>86</v>
      </c>
      <c r="Y14" s="18">
        <f t="shared" si="33"/>
        <v>652</v>
      </c>
      <c r="Z14" s="14">
        <f t="shared" si="34"/>
        <v>71</v>
      </c>
      <c r="AA14" s="18">
        <f t="shared" si="35"/>
        <v>652</v>
      </c>
      <c r="AB14" s="4" t="s">
        <v>0</v>
      </c>
    </row>
    <row r="15" spans="1:28">
      <c r="A15" s="9" t="s">
        <v>401</v>
      </c>
      <c r="B15" s="24"/>
      <c r="C15" s="26">
        <v>4</v>
      </c>
      <c r="D15" s="28">
        <f t="shared" si="14"/>
        <v>86</v>
      </c>
      <c r="E15" s="29">
        <f t="shared" si="15"/>
        <v>84</v>
      </c>
      <c r="F15" s="28">
        <f t="shared" si="16"/>
        <v>101</v>
      </c>
      <c r="G15" s="29">
        <f t="shared" si="17"/>
        <v>98</v>
      </c>
      <c r="H15" s="4" t="s">
        <v>0</v>
      </c>
      <c r="I15" s="16" t="str">
        <f t="shared" si="18"/>
        <v>23-26</v>
      </c>
      <c r="J15" s="14">
        <f t="shared" si="19"/>
        <v>86</v>
      </c>
      <c r="K15" s="15">
        <f t="shared" si="20"/>
        <v>84</v>
      </c>
      <c r="L15" s="17">
        <f t="shared" si="21"/>
        <v>101</v>
      </c>
      <c r="M15" s="18">
        <f t="shared" si="22"/>
        <v>84</v>
      </c>
      <c r="N15" s="14">
        <f t="shared" si="23"/>
        <v>101</v>
      </c>
      <c r="O15" s="15">
        <f t="shared" si="24"/>
        <v>98</v>
      </c>
      <c r="P15" s="17">
        <f t="shared" si="25"/>
        <v>86</v>
      </c>
      <c r="Q15" s="18">
        <f t="shared" si="26"/>
        <v>98</v>
      </c>
      <c r="R15" s="4" t="s">
        <v>0</v>
      </c>
      <c r="S15" s="16" t="str">
        <f t="shared" si="27"/>
        <v>23-26</v>
      </c>
      <c r="T15" s="14">
        <f t="shared" si="28"/>
        <v>86</v>
      </c>
      <c r="U15" s="18">
        <f t="shared" si="29"/>
        <v>666</v>
      </c>
      <c r="V15" s="14">
        <f t="shared" si="30"/>
        <v>101</v>
      </c>
      <c r="W15" s="18">
        <f t="shared" si="31"/>
        <v>666</v>
      </c>
      <c r="X15" s="14">
        <f t="shared" si="32"/>
        <v>101</v>
      </c>
      <c r="Y15" s="18">
        <f t="shared" si="33"/>
        <v>652</v>
      </c>
      <c r="Z15" s="14">
        <f t="shared" si="34"/>
        <v>86</v>
      </c>
      <c r="AA15" s="18">
        <f t="shared" si="35"/>
        <v>652</v>
      </c>
      <c r="AB15" s="4" t="s">
        <v>0</v>
      </c>
    </row>
    <row r="16" spans="1:28">
      <c r="A16" s="9" t="s">
        <v>400</v>
      </c>
      <c r="B16" s="24"/>
      <c r="C16" s="26">
        <v>5</v>
      </c>
      <c r="D16" s="28">
        <f t="shared" si="14"/>
        <v>101</v>
      </c>
      <c r="E16" s="29">
        <f t="shared" si="15"/>
        <v>84</v>
      </c>
      <c r="F16" s="28">
        <f t="shared" si="16"/>
        <v>116</v>
      </c>
      <c r="G16" s="29">
        <f t="shared" si="17"/>
        <v>98</v>
      </c>
      <c r="H16" s="4" t="s">
        <v>0</v>
      </c>
      <c r="I16" s="16" t="str">
        <f t="shared" si="18"/>
        <v>23-25</v>
      </c>
      <c r="J16" s="14">
        <f t="shared" si="19"/>
        <v>101</v>
      </c>
      <c r="K16" s="15">
        <f t="shared" si="20"/>
        <v>84</v>
      </c>
      <c r="L16" s="17">
        <f t="shared" si="21"/>
        <v>116</v>
      </c>
      <c r="M16" s="18">
        <f t="shared" si="22"/>
        <v>84</v>
      </c>
      <c r="N16" s="14">
        <f t="shared" si="23"/>
        <v>116</v>
      </c>
      <c r="O16" s="15">
        <f t="shared" si="24"/>
        <v>98</v>
      </c>
      <c r="P16" s="17">
        <f t="shared" si="25"/>
        <v>101</v>
      </c>
      <c r="Q16" s="18">
        <f t="shared" si="26"/>
        <v>98</v>
      </c>
      <c r="R16" s="4" t="s">
        <v>0</v>
      </c>
      <c r="S16" s="16" t="str">
        <f t="shared" si="27"/>
        <v>23-25</v>
      </c>
      <c r="T16" s="14">
        <f t="shared" si="28"/>
        <v>101</v>
      </c>
      <c r="U16" s="18">
        <f t="shared" si="29"/>
        <v>666</v>
      </c>
      <c r="V16" s="14">
        <f t="shared" si="30"/>
        <v>116</v>
      </c>
      <c r="W16" s="18">
        <f t="shared" si="31"/>
        <v>666</v>
      </c>
      <c r="X16" s="14">
        <f t="shared" si="32"/>
        <v>116</v>
      </c>
      <c r="Y16" s="18">
        <f t="shared" si="33"/>
        <v>652</v>
      </c>
      <c r="Z16" s="14">
        <f t="shared" si="34"/>
        <v>101</v>
      </c>
      <c r="AA16" s="18">
        <f t="shared" si="35"/>
        <v>652</v>
      </c>
      <c r="AB16" s="4" t="s">
        <v>0</v>
      </c>
    </row>
    <row r="17" spans="1:28">
      <c r="A17" s="9" t="s">
        <v>399</v>
      </c>
      <c r="B17" s="24"/>
      <c r="C17" s="26">
        <v>6</v>
      </c>
      <c r="D17" s="28">
        <f t="shared" si="14"/>
        <v>116</v>
      </c>
      <c r="E17" s="29">
        <f t="shared" si="15"/>
        <v>84</v>
      </c>
      <c r="F17" s="28">
        <f t="shared" si="16"/>
        <v>131</v>
      </c>
      <c r="G17" s="29">
        <f t="shared" si="17"/>
        <v>98</v>
      </c>
      <c r="H17" s="4" t="s">
        <v>0</v>
      </c>
      <c r="I17" s="16" t="str">
        <f t="shared" si="18"/>
        <v>23-23</v>
      </c>
      <c r="J17" s="14">
        <f t="shared" si="19"/>
        <v>116</v>
      </c>
      <c r="K17" s="15">
        <f t="shared" si="20"/>
        <v>84</v>
      </c>
      <c r="L17" s="17">
        <f t="shared" si="21"/>
        <v>131</v>
      </c>
      <c r="M17" s="18">
        <f t="shared" si="22"/>
        <v>84</v>
      </c>
      <c r="N17" s="14">
        <f t="shared" si="23"/>
        <v>131</v>
      </c>
      <c r="O17" s="15">
        <f t="shared" si="24"/>
        <v>98</v>
      </c>
      <c r="P17" s="17">
        <f t="shared" si="25"/>
        <v>116</v>
      </c>
      <c r="Q17" s="18">
        <f t="shared" si="26"/>
        <v>98</v>
      </c>
      <c r="R17" s="4" t="s">
        <v>0</v>
      </c>
      <c r="S17" s="16" t="str">
        <f t="shared" si="27"/>
        <v>23-23</v>
      </c>
      <c r="T17" s="14">
        <f t="shared" si="28"/>
        <v>116</v>
      </c>
      <c r="U17" s="18">
        <f t="shared" si="29"/>
        <v>666</v>
      </c>
      <c r="V17" s="14">
        <f t="shared" si="30"/>
        <v>131</v>
      </c>
      <c r="W17" s="18">
        <f t="shared" si="31"/>
        <v>666</v>
      </c>
      <c r="X17" s="14">
        <f t="shared" si="32"/>
        <v>131</v>
      </c>
      <c r="Y17" s="18">
        <f t="shared" si="33"/>
        <v>652</v>
      </c>
      <c r="Z17" s="14">
        <f t="shared" si="34"/>
        <v>116</v>
      </c>
      <c r="AA17" s="18">
        <f t="shared" si="35"/>
        <v>652</v>
      </c>
      <c r="AB17" s="4" t="s">
        <v>0</v>
      </c>
    </row>
    <row r="18" spans="1:28">
      <c r="A18" s="9" t="s">
        <v>398</v>
      </c>
      <c r="B18" s="24"/>
      <c r="C18" s="26">
        <v>7</v>
      </c>
      <c r="D18" s="28">
        <f t="shared" si="14"/>
        <v>131</v>
      </c>
      <c r="E18" s="29">
        <f t="shared" si="15"/>
        <v>84</v>
      </c>
      <c r="F18" s="28">
        <f t="shared" si="16"/>
        <v>146</v>
      </c>
      <c r="G18" s="29">
        <f t="shared" si="17"/>
        <v>98</v>
      </c>
      <c r="H18" s="4" t="s">
        <v>0</v>
      </c>
      <c r="I18" s="16" t="str">
        <f t="shared" si="18"/>
        <v>23-22</v>
      </c>
      <c r="J18" s="14">
        <f t="shared" si="19"/>
        <v>131</v>
      </c>
      <c r="K18" s="15">
        <f t="shared" si="20"/>
        <v>84</v>
      </c>
      <c r="L18" s="17">
        <f t="shared" si="21"/>
        <v>146</v>
      </c>
      <c r="M18" s="18">
        <f t="shared" si="22"/>
        <v>84</v>
      </c>
      <c r="N18" s="14">
        <f t="shared" si="23"/>
        <v>146</v>
      </c>
      <c r="O18" s="15">
        <f t="shared" si="24"/>
        <v>98</v>
      </c>
      <c r="P18" s="17">
        <f t="shared" si="25"/>
        <v>131</v>
      </c>
      <c r="Q18" s="18">
        <f t="shared" si="26"/>
        <v>98</v>
      </c>
      <c r="R18" s="4" t="s">
        <v>0</v>
      </c>
      <c r="S18" s="16" t="str">
        <f t="shared" si="27"/>
        <v>23-22</v>
      </c>
      <c r="T18" s="14">
        <f t="shared" si="28"/>
        <v>131</v>
      </c>
      <c r="U18" s="18">
        <f t="shared" si="29"/>
        <v>666</v>
      </c>
      <c r="V18" s="14">
        <f t="shared" si="30"/>
        <v>146</v>
      </c>
      <c r="W18" s="18">
        <f t="shared" si="31"/>
        <v>666</v>
      </c>
      <c r="X18" s="14">
        <f t="shared" si="32"/>
        <v>146</v>
      </c>
      <c r="Y18" s="18">
        <f t="shared" si="33"/>
        <v>652</v>
      </c>
      <c r="Z18" s="14">
        <f t="shared" si="34"/>
        <v>131</v>
      </c>
      <c r="AA18" s="18">
        <f t="shared" si="35"/>
        <v>652</v>
      </c>
      <c r="AB18" s="4" t="s">
        <v>0</v>
      </c>
    </row>
    <row r="19" spans="1:28">
      <c r="A19" s="9" t="s">
        <v>397</v>
      </c>
      <c r="B19" s="24"/>
      <c r="C19" s="26">
        <v>8</v>
      </c>
      <c r="D19" s="28">
        <f t="shared" si="14"/>
        <v>146</v>
      </c>
      <c r="E19" s="29">
        <f t="shared" si="15"/>
        <v>84</v>
      </c>
      <c r="F19" s="28">
        <f t="shared" si="16"/>
        <v>161</v>
      </c>
      <c r="G19" s="29">
        <f t="shared" si="17"/>
        <v>98</v>
      </c>
      <c r="H19" s="4" t="s">
        <v>0</v>
      </c>
      <c r="I19" s="16" t="str">
        <f t="shared" si="18"/>
        <v>23-21</v>
      </c>
      <c r="J19" s="14">
        <f t="shared" si="19"/>
        <v>146</v>
      </c>
      <c r="K19" s="15">
        <f t="shared" si="20"/>
        <v>84</v>
      </c>
      <c r="L19" s="17">
        <f t="shared" si="21"/>
        <v>161</v>
      </c>
      <c r="M19" s="18">
        <f t="shared" si="22"/>
        <v>84</v>
      </c>
      <c r="N19" s="14">
        <f t="shared" si="23"/>
        <v>161</v>
      </c>
      <c r="O19" s="15">
        <f t="shared" si="24"/>
        <v>98</v>
      </c>
      <c r="P19" s="17">
        <f t="shared" si="25"/>
        <v>146</v>
      </c>
      <c r="Q19" s="18">
        <f t="shared" si="26"/>
        <v>98</v>
      </c>
      <c r="R19" s="4" t="s">
        <v>0</v>
      </c>
      <c r="S19" s="16" t="str">
        <f t="shared" si="27"/>
        <v>23-21</v>
      </c>
      <c r="T19" s="14">
        <f t="shared" si="28"/>
        <v>146</v>
      </c>
      <c r="U19" s="18">
        <f t="shared" si="29"/>
        <v>666</v>
      </c>
      <c r="V19" s="14">
        <f t="shared" si="30"/>
        <v>161</v>
      </c>
      <c r="W19" s="18">
        <f t="shared" si="31"/>
        <v>666</v>
      </c>
      <c r="X19" s="14">
        <f t="shared" si="32"/>
        <v>161</v>
      </c>
      <c r="Y19" s="18">
        <f t="shared" si="33"/>
        <v>652</v>
      </c>
      <c r="Z19" s="14">
        <f t="shared" si="34"/>
        <v>146</v>
      </c>
      <c r="AA19" s="18">
        <f t="shared" si="35"/>
        <v>652</v>
      </c>
      <c r="AB19" s="4" t="s">
        <v>0</v>
      </c>
    </row>
    <row r="20" spans="1:28">
      <c r="A20" s="9" t="s">
        <v>396</v>
      </c>
      <c r="B20" s="24"/>
      <c r="C20" s="26">
        <v>9</v>
      </c>
      <c r="D20" s="28">
        <f t="shared" si="14"/>
        <v>161</v>
      </c>
      <c r="E20" s="29">
        <f t="shared" si="15"/>
        <v>84</v>
      </c>
      <c r="F20" s="28">
        <f t="shared" si="16"/>
        <v>176</v>
      </c>
      <c r="G20" s="29">
        <f t="shared" si="17"/>
        <v>98</v>
      </c>
      <c r="H20" s="4" t="s">
        <v>0</v>
      </c>
      <c r="I20" s="16" t="str">
        <f t="shared" si="18"/>
        <v>23-20</v>
      </c>
      <c r="J20" s="14">
        <f t="shared" si="19"/>
        <v>161</v>
      </c>
      <c r="K20" s="15">
        <f t="shared" si="20"/>
        <v>84</v>
      </c>
      <c r="L20" s="17">
        <f t="shared" si="21"/>
        <v>176</v>
      </c>
      <c r="M20" s="18">
        <f t="shared" si="22"/>
        <v>84</v>
      </c>
      <c r="N20" s="14">
        <f t="shared" si="23"/>
        <v>176</v>
      </c>
      <c r="O20" s="15">
        <f t="shared" si="24"/>
        <v>98</v>
      </c>
      <c r="P20" s="17">
        <f t="shared" si="25"/>
        <v>161</v>
      </c>
      <c r="Q20" s="18">
        <f t="shared" si="26"/>
        <v>98</v>
      </c>
      <c r="R20" s="4" t="s">
        <v>0</v>
      </c>
      <c r="S20" s="16" t="str">
        <f t="shared" si="27"/>
        <v>23-20</v>
      </c>
      <c r="T20" s="14">
        <f t="shared" si="28"/>
        <v>161</v>
      </c>
      <c r="U20" s="18">
        <f t="shared" si="29"/>
        <v>666</v>
      </c>
      <c r="V20" s="14">
        <f t="shared" si="30"/>
        <v>176</v>
      </c>
      <c r="W20" s="18">
        <f t="shared" si="31"/>
        <v>666</v>
      </c>
      <c r="X20" s="14">
        <f t="shared" si="32"/>
        <v>176</v>
      </c>
      <c r="Y20" s="18">
        <f t="shared" si="33"/>
        <v>652</v>
      </c>
      <c r="Z20" s="14">
        <f t="shared" si="34"/>
        <v>161</v>
      </c>
      <c r="AA20" s="18">
        <f t="shared" si="35"/>
        <v>652</v>
      </c>
      <c r="AB20" s="4" t="s">
        <v>0</v>
      </c>
    </row>
    <row r="21" spans="1:28">
      <c r="A21" s="9" t="s">
        <v>395</v>
      </c>
      <c r="B21" s="24"/>
      <c r="C21" s="26">
        <v>10</v>
      </c>
      <c r="D21" s="28">
        <f t="shared" si="14"/>
        <v>176</v>
      </c>
      <c r="E21" s="29">
        <f t="shared" si="15"/>
        <v>84</v>
      </c>
      <c r="F21" s="28">
        <f t="shared" si="16"/>
        <v>191</v>
      </c>
      <c r="G21" s="29">
        <f t="shared" si="17"/>
        <v>98</v>
      </c>
      <c r="H21" s="4" t="s">
        <v>0</v>
      </c>
      <c r="I21" s="16" t="str">
        <f t="shared" si="18"/>
        <v>23-18</v>
      </c>
      <c r="J21" s="14">
        <f t="shared" si="19"/>
        <v>176</v>
      </c>
      <c r="K21" s="15">
        <f t="shared" si="20"/>
        <v>84</v>
      </c>
      <c r="L21" s="17">
        <f t="shared" si="21"/>
        <v>191</v>
      </c>
      <c r="M21" s="18">
        <f t="shared" si="22"/>
        <v>84</v>
      </c>
      <c r="N21" s="14">
        <f t="shared" si="23"/>
        <v>191</v>
      </c>
      <c r="O21" s="15">
        <f t="shared" si="24"/>
        <v>98</v>
      </c>
      <c r="P21" s="17">
        <f t="shared" si="25"/>
        <v>176</v>
      </c>
      <c r="Q21" s="18">
        <f t="shared" si="26"/>
        <v>98</v>
      </c>
      <c r="R21" s="4" t="s">
        <v>0</v>
      </c>
      <c r="S21" s="16" t="str">
        <f t="shared" si="27"/>
        <v>23-18</v>
      </c>
      <c r="T21" s="14">
        <f t="shared" si="28"/>
        <v>176</v>
      </c>
      <c r="U21" s="18">
        <f t="shared" si="29"/>
        <v>666</v>
      </c>
      <c r="V21" s="14">
        <f t="shared" si="30"/>
        <v>191</v>
      </c>
      <c r="W21" s="18">
        <f t="shared" si="31"/>
        <v>666</v>
      </c>
      <c r="X21" s="14">
        <f t="shared" si="32"/>
        <v>191</v>
      </c>
      <c r="Y21" s="18">
        <f t="shared" si="33"/>
        <v>652</v>
      </c>
      <c r="Z21" s="14">
        <f t="shared" si="34"/>
        <v>176</v>
      </c>
      <c r="AA21" s="18">
        <f t="shared" si="35"/>
        <v>652</v>
      </c>
      <c r="AB21" s="4" t="s">
        <v>0</v>
      </c>
    </row>
    <row r="22" spans="1:28">
      <c r="A22" s="9" t="s">
        <v>394</v>
      </c>
      <c r="B22" s="24"/>
      <c r="C22" s="26">
        <v>11</v>
      </c>
      <c r="D22" s="28">
        <f t="shared" si="14"/>
        <v>191</v>
      </c>
      <c r="E22" s="29">
        <f t="shared" si="15"/>
        <v>84</v>
      </c>
      <c r="F22" s="28">
        <f t="shared" si="16"/>
        <v>206</v>
      </c>
      <c r="G22" s="29">
        <f t="shared" si="17"/>
        <v>98</v>
      </c>
      <c r="H22" s="4" t="s">
        <v>0</v>
      </c>
      <c r="I22" s="16" t="str">
        <f t="shared" si="18"/>
        <v>23-17</v>
      </c>
      <c r="J22" s="14">
        <f t="shared" si="19"/>
        <v>191</v>
      </c>
      <c r="K22" s="15">
        <f t="shared" si="20"/>
        <v>84</v>
      </c>
      <c r="L22" s="17">
        <f t="shared" si="21"/>
        <v>206</v>
      </c>
      <c r="M22" s="18">
        <f t="shared" si="22"/>
        <v>84</v>
      </c>
      <c r="N22" s="14">
        <f t="shared" si="23"/>
        <v>206</v>
      </c>
      <c r="O22" s="15">
        <f t="shared" si="24"/>
        <v>98</v>
      </c>
      <c r="P22" s="17">
        <f t="shared" si="25"/>
        <v>191</v>
      </c>
      <c r="Q22" s="18">
        <f t="shared" si="26"/>
        <v>98</v>
      </c>
      <c r="R22" s="4" t="s">
        <v>0</v>
      </c>
      <c r="S22" s="16" t="str">
        <f t="shared" si="27"/>
        <v>23-17</v>
      </c>
      <c r="T22" s="14">
        <f t="shared" si="28"/>
        <v>191</v>
      </c>
      <c r="U22" s="18">
        <f t="shared" si="29"/>
        <v>666</v>
      </c>
      <c r="V22" s="14">
        <f t="shared" si="30"/>
        <v>206</v>
      </c>
      <c r="W22" s="18">
        <f t="shared" si="31"/>
        <v>666</v>
      </c>
      <c r="X22" s="14">
        <f t="shared" si="32"/>
        <v>206</v>
      </c>
      <c r="Y22" s="18">
        <f t="shared" si="33"/>
        <v>652</v>
      </c>
      <c r="Z22" s="14">
        <f t="shared" si="34"/>
        <v>191</v>
      </c>
      <c r="AA22" s="18">
        <f t="shared" si="35"/>
        <v>652</v>
      </c>
      <c r="AB22" s="4" t="s">
        <v>0</v>
      </c>
    </row>
    <row r="23" spans="1:28">
      <c r="A23" s="9" t="s">
        <v>393</v>
      </c>
      <c r="B23" s="24"/>
      <c r="C23" s="26">
        <v>12</v>
      </c>
      <c r="D23" s="28">
        <f t="shared" si="14"/>
        <v>206</v>
      </c>
      <c r="E23" s="29">
        <f t="shared" si="15"/>
        <v>84</v>
      </c>
      <c r="F23" s="28">
        <f t="shared" si="16"/>
        <v>221</v>
      </c>
      <c r="G23" s="29">
        <f t="shared" si="17"/>
        <v>98</v>
      </c>
      <c r="H23" s="4" t="s">
        <v>0</v>
      </c>
      <c r="I23" s="16" t="str">
        <f t="shared" si="18"/>
        <v>23-16</v>
      </c>
      <c r="J23" s="14">
        <f t="shared" si="19"/>
        <v>206</v>
      </c>
      <c r="K23" s="15">
        <f t="shared" si="20"/>
        <v>84</v>
      </c>
      <c r="L23" s="17">
        <f t="shared" si="21"/>
        <v>221</v>
      </c>
      <c r="M23" s="18">
        <f t="shared" si="22"/>
        <v>84</v>
      </c>
      <c r="N23" s="14">
        <f t="shared" si="23"/>
        <v>221</v>
      </c>
      <c r="O23" s="15">
        <f t="shared" si="24"/>
        <v>98</v>
      </c>
      <c r="P23" s="17">
        <f t="shared" si="25"/>
        <v>206</v>
      </c>
      <c r="Q23" s="18">
        <f t="shared" si="26"/>
        <v>98</v>
      </c>
      <c r="R23" s="4" t="s">
        <v>0</v>
      </c>
      <c r="S23" s="16" t="str">
        <f t="shared" si="27"/>
        <v>23-16</v>
      </c>
      <c r="T23" s="14">
        <f t="shared" si="28"/>
        <v>206</v>
      </c>
      <c r="U23" s="18">
        <f t="shared" si="29"/>
        <v>666</v>
      </c>
      <c r="V23" s="14">
        <f t="shared" si="30"/>
        <v>221</v>
      </c>
      <c r="W23" s="18">
        <f t="shared" si="31"/>
        <v>666</v>
      </c>
      <c r="X23" s="14">
        <f t="shared" si="32"/>
        <v>221</v>
      </c>
      <c r="Y23" s="18">
        <f t="shared" si="33"/>
        <v>652</v>
      </c>
      <c r="Z23" s="14">
        <f t="shared" si="34"/>
        <v>206</v>
      </c>
      <c r="AA23" s="18">
        <f t="shared" si="35"/>
        <v>652</v>
      </c>
      <c r="AB23" s="4" t="s">
        <v>0</v>
      </c>
    </row>
    <row r="24" spans="1:28">
      <c r="A24" s="9" t="s">
        <v>392</v>
      </c>
      <c r="B24" s="24"/>
      <c r="C24" s="26"/>
      <c r="D24" s="27">
        <v>245</v>
      </c>
      <c r="E24" s="31">
        <v>84</v>
      </c>
      <c r="F24" s="31">
        <v>260</v>
      </c>
      <c r="G24" s="31">
        <v>98</v>
      </c>
      <c r="H24" s="4" t="s">
        <v>0</v>
      </c>
      <c r="I24" s="16" t="str">
        <f t="shared" si="18"/>
        <v>23-15</v>
      </c>
      <c r="J24" s="14">
        <f t="shared" si="19"/>
        <v>245</v>
      </c>
      <c r="K24" s="15">
        <f t="shared" si="20"/>
        <v>84</v>
      </c>
      <c r="L24" s="17">
        <f t="shared" si="21"/>
        <v>260</v>
      </c>
      <c r="M24" s="18">
        <f t="shared" si="22"/>
        <v>84</v>
      </c>
      <c r="N24" s="14">
        <f t="shared" si="23"/>
        <v>260</v>
      </c>
      <c r="O24" s="15">
        <f t="shared" si="24"/>
        <v>98</v>
      </c>
      <c r="P24" s="17">
        <f t="shared" si="25"/>
        <v>245</v>
      </c>
      <c r="Q24" s="18">
        <f t="shared" si="26"/>
        <v>98</v>
      </c>
      <c r="R24" s="4" t="s">
        <v>0</v>
      </c>
      <c r="S24" s="16" t="str">
        <f t="shared" si="27"/>
        <v>23-15</v>
      </c>
      <c r="T24" s="14">
        <f t="shared" si="28"/>
        <v>245</v>
      </c>
      <c r="U24" s="18">
        <f t="shared" si="29"/>
        <v>666</v>
      </c>
      <c r="V24" s="14">
        <f t="shared" si="30"/>
        <v>260</v>
      </c>
      <c r="W24" s="18">
        <f t="shared" si="31"/>
        <v>666</v>
      </c>
      <c r="X24" s="14">
        <f t="shared" si="32"/>
        <v>260</v>
      </c>
      <c r="Y24" s="18">
        <f t="shared" si="33"/>
        <v>652</v>
      </c>
      <c r="Z24" s="14">
        <f t="shared" si="34"/>
        <v>245</v>
      </c>
      <c r="AA24" s="18">
        <f t="shared" si="35"/>
        <v>652</v>
      </c>
      <c r="AB24" s="4" t="s">
        <v>0</v>
      </c>
    </row>
    <row r="25" spans="1:28">
      <c r="A25" s="9" t="s">
        <v>391</v>
      </c>
      <c r="B25" s="24"/>
      <c r="C25" s="26">
        <v>1</v>
      </c>
      <c r="D25" s="28">
        <f>ROUND(D$24+15*$C25, 0)</f>
        <v>260</v>
      </c>
      <c r="E25" s="29">
        <f t="shared" si="15"/>
        <v>84</v>
      </c>
      <c r="F25" s="28">
        <f>ROUND(F$24+15*$C25, 0)</f>
        <v>275</v>
      </c>
      <c r="G25" s="29">
        <f t="shared" si="15"/>
        <v>98</v>
      </c>
      <c r="H25" s="4" t="s">
        <v>0</v>
      </c>
      <c r="I25" s="16" t="str">
        <f t="shared" si="18"/>
        <v>23-13</v>
      </c>
      <c r="J25" s="14">
        <f t="shared" si="19"/>
        <v>260</v>
      </c>
      <c r="K25" s="15">
        <f t="shared" si="20"/>
        <v>84</v>
      </c>
      <c r="L25" s="17">
        <f t="shared" si="21"/>
        <v>275</v>
      </c>
      <c r="M25" s="18">
        <f t="shared" si="22"/>
        <v>84</v>
      </c>
      <c r="N25" s="14">
        <f t="shared" si="23"/>
        <v>275</v>
      </c>
      <c r="O25" s="15">
        <f t="shared" si="24"/>
        <v>98</v>
      </c>
      <c r="P25" s="17">
        <f t="shared" si="25"/>
        <v>260</v>
      </c>
      <c r="Q25" s="18">
        <f t="shared" si="26"/>
        <v>98</v>
      </c>
      <c r="R25" s="4" t="s">
        <v>0</v>
      </c>
      <c r="S25" s="16" t="str">
        <f t="shared" si="27"/>
        <v>23-13</v>
      </c>
      <c r="T25" s="14">
        <f t="shared" si="28"/>
        <v>260</v>
      </c>
      <c r="U25" s="18">
        <f t="shared" si="29"/>
        <v>666</v>
      </c>
      <c r="V25" s="14">
        <f t="shared" si="30"/>
        <v>275</v>
      </c>
      <c r="W25" s="18">
        <f t="shared" si="31"/>
        <v>666</v>
      </c>
      <c r="X25" s="14">
        <f t="shared" si="32"/>
        <v>275</v>
      </c>
      <c r="Y25" s="18">
        <f t="shared" si="33"/>
        <v>652</v>
      </c>
      <c r="Z25" s="14">
        <f t="shared" si="34"/>
        <v>260</v>
      </c>
      <c r="AA25" s="18">
        <f t="shared" si="35"/>
        <v>652</v>
      </c>
      <c r="AB25" s="4" t="s">
        <v>0</v>
      </c>
    </row>
    <row r="26" spans="1:28">
      <c r="A26" s="9" t="s">
        <v>390</v>
      </c>
      <c r="B26" s="24"/>
      <c r="C26" s="26">
        <v>2</v>
      </c>
      <c r="D26" s="28">
        <f t="shared" ref="D26:D35" si="36">ROUND(D$24+15*$C26, 0)</f>
        <v>275</v>
      </c>
      <c r="E26" s="29">
        <f t="shared" ref="E26:G37" si="37">E25</f>
        <v>84</v>
      </c>
      <c r="F26" s="28">
        <f t="shared" ref="F26:F35" si="38">ROUND(F$24+15*$C26, 0)</f>
        <v>290</v>
      </c>
      <c r="G26" s="29">
        <f t="shared" ref="G26:G35" si="39">G25</f>
        <v>98</v>
      </c>
      <c r="H26" s="4" t="s">
        <v>0</v>
      </c>
      <c r="I26" s="16" t="str">
        <f t="shared" si="18"/>
        <v>23-12</v>
      </c>
      <c r="J26" s="14">
        <f t="shared" si="19"/>
        <v>275</v>
      </c>
      <c r="K26" s="15">
        <f t="shared" si="20"/>
        <v>84</v>
      </c>
      <c r="L26" s="17">
        <f t="shared" si="21"/>
        <v>290</v>
      </c>
      <c r="M26" s="18">
        <f t="shared" si="22"/>
        <v>84</v>
      </c>
      <c r="N26" s="14">
        <f t="shared" si="23"/>
        <v>290</v>
      </c>
      <c r="O26" s="15">
        <f t="shared" si="24"/>
        <v>98</v>
      </c>
      <c r="P26" s="17">
        <f t="shared" si="25"/>
        <v>275</v>
      </c>
      <c r="Q26" s="18">
        <f t="shared" si="26"/>
        <v>98</v>
      </c>
      <c r="R26" s="4" t="s">
        <v>0</v>
      </c>
      <c r="S26" s="16" t="str">
        <f t="shared" si="27"/>
        <v>23-12</v>
      </c>
      <c r="T26" s="14">
        <f t="shared" si="28"/>
        <v>275</v>
      </c>
      <c r="U26" s="18">
        <f t="shared" si="29"/>
        <v>666</v>
      </c>
      <c r="V26" s="14">
        <f t="shared" si="30"/>
        <v>290</v>
      </c>
      <c r="W26" s="18">
        <f t="shared" si="31"/>
        <v>666</v>
      </c>
      <c r="X26" s="14">
        <f t="shared" si="32"/>
        <v>290</v>
      </c>
      <c r="Y26" s="18">
        <f t="shared" si="33"/>
        <v>652</v>
      </c>
      <c r="Z26" s="14">
        <f t="shared" si="34"/>
        <v>275</v>
      </c>
      <c r="AA26" s="18">
        <f t="shared" si="35"/>
        <v>652</v>
      </c>
      <c r="AB26" s="4" t="s">
        <v>0</v>
      </c>
    </row>
    <row r="27" spans="1:28">
      <c r="A27" s="9" t="s">
        <v>389</v>
      </c>
      <c r="B27" s="24"/>
      <c r="C27" s="26">
        <v>3</v>
      </c>
      <c r="D27" s="28">
        <f t="shared" si="36"/>
        <v>290</v>
      </c>
      <c r="E27" s="29">
        <f t="shared" si="37"/>
        <v>84</v>
      </c>
      <c r="F27" s="28">
        <f t="shared" si="38"/>
        <v>305</v>
      </c>
      <c r="G27" s="29">
        <f t="shared" si="39"/>
        <v>98</v>
      </c>
      <c r="H27" s="4" t="s">
        <v>0</v>
      </c>
      <c r="I27" s="16" t="str">
        <f t="shared" si="18"/>
        <v>23-11</v>
      </c>
      <c r="J27" s="14">
        <f t="shared" si="19"/>
        <v>290</v>
      </c>
      <c r="K27" s="15">
        <f t="shared" si="20"/>
        <v>84</v>
      </c>
      <c r="L27" s="17">
        <f t="shared" si="21"/>
        <v>305</v>
      </c>
      <c r="M27" s="18">
        <f t="shared" si="22"/>
        <v>84</v>
      </c>
      <c r="N27" s="14">
        <f t="shared" si="23"/>
        <v>305</v>
      </c>
      <c r="O27" s="15">
        <f t="shared" si="24"/>
        <v>98</v>
      </c>
      <c r="P27" s="17">
        <f t="shared" si="25"/>
        <v>290</v>
      </c>
      <c r="Q27" s="18">
        <f t="shared" si="26"/>
        <v>98</v>
      </c>
      <c r="R27" s="4" t="s">
        <v>0</v>
      </c>
      <c r="S27" s="16" t="str">
        <f t="shared" si="27"/>
        <v>23-11</v>
      </c>
      <c r="T27" s="14">
        <f t="shared" si="28"/>
        <v>290</v>
      </c>
      <c r="U27" s="18">
        <f t="shared" si="29"/>
        <v>666</v>
      </c>
      <c r="V27" s="14">
        <f t="shared" si="30"/>
        <v>305</v>
      </c>
      <c r="W27" s="18">
        <f t="shared" si="31"/>
        <v>666</v>
      </c>
      <c r="X27" s="14">
        <f t="shared" si="32"/>
        <v>305</v>
      </c>
      <c r="Y27" s="18">
        <f t="shared" si="33"/>
        <v>652</v>
      </c>
      <c r="Z27" s="14">
        <f t="shared" si="34"/>
        <v>290</v>
      </c>
      <c r="AA27" s="18">
        <f t="shared" si="35"/>
        <v>652</v>
      </c>
      <c r="AB27" s="4" t="s">
        <v>0</v>
      </c>
    </row>
    <row r="28" spans="1:28">
      <c r="A28" s="9" t="s">
        <v>406</v>
      </c>
      <c r="B28" s="24"/>
      <c r="C28" s="26">
        <v>4</v>
      </c>
      <c r="D28" s="28">
        <f t="shared" si="36"/>
        <v>305</v>
      </c>
      <c r="E28" s="29">
        <f t="shared" si="37"/>
        <v>84</v>
      </c>
      <c r="F28" s="28">
        <f t="shared" si="38"/>
        <v>320</v>
      </c>
      <c r="G28" s="29">
        <f t="shared" si="39"/>
        <v>98</v>
      </c>
      <c r="H28" s="4" t="s">
        <v>0</v>
      </c>
      <c r="I28" s="16" t="str">
        <f t="shared" si="18"/>
        <v>23-10</v>
      </c>
      <c r="J28" s="14">
        <f t="shared" si="19"/>
        <v>305</v>
      </c>
      <c r="K28" s="15">
        <f t="shared" si="20"/>
        <v>84</v>
      </c>
      <c r="L28" s="17">
        <f t="shared" si="21"/>
        <v>320</v>
      </c>
      <c r="M28" s="18">
        <f t="shared" si="22"/>
        <v>84</v>
      </c>
      <c r="N28" s="14">
        <f t="shared" si="23"/>
        <v>320</v>
      </c>
      <c r="O28" s="15">
        <f t="shared" si="24"/>
        <v>98</v>
      </c>
      <c r="P28" s="17">
        <f t="shared" si="25"/>
        <v>305</v>
      </c>
      <c r="Q28" s="18">
        <f t="shared" si="26"/>
        <v>98</v>
      </c>
      <c r="R28" s="4" t="s">
        <v>0</v>
      </c>
      <c r="S28" s="16" t="str">
        <f t="shared" si="27"/>
        <v>23-10</v>
      </c>
      <c r="T28" s="14">
        <f t="shared" si="28"/>
        <v>305</v>
      </c>
      <c r="U28" s="18">
        <f t="shared" si="29"/>
        <v>666</v>
      </c>
      <c r="V28" s="14">
        <f t="shared" si="30"/>
        <v>320</v>
      </c>
      <c r="W28" s="18">
        <f t="shared" si="31"/>
        <v>666</v>
      </c>
      <c r="X28" s="14">
        <f t="shared" si="32"/>
        <v>320</v>
      </c>
      <c r="Y28" s="18">
        <f t="shared" si="33"/>
        <v>652</v>
      </c>
      <c r="Z28" s="14">
        <f t="shared" si="34"/>
        <v>305</v>
      </c>
      <c r="AA28" s="18">
        <f t="shared" si="35"/>
        <v>652</v>
      </c>
      <c r="AB28" s="4" t="s">
        <v>0</v>
      </c>
    </row>
    <row r="29" spans="1:28">
      <c r="A29" s="9" t="s">
        <v>388</v>
      </c>
      <c r="B29" s="24"/>
      <c r="C29" s="26">
        <v>5</v>
      </c>
      <c r="D29" s="28">
        <f t="shared" si="36"/>
        <v>320</v>
      </c>
      <c r="E29" s="29">
        <f t="shared" si="37"/>
        <v>84</v>
      </c>
      <c r="F29" s="28">
        <f t="shared" si="38"/>
        <v>335</v>
      </c>
      <c r="G29" s="29">
        <f t="shared" si="39"/>
        <v>98</v>
      </c>
      <c r="H29" s="4" t="s">
        <v>0</v>
      </c>
      <c r="I29" s="16" t="str">
        <f t="shared" si="18"/>
        <v>23-08</v>
      </c>
      <c r="J29" s="14">
        <f t="shared" si="19"/>
        <v>320</v>
      </c>
      <c r="K29" s="15">
        <f t="shared" si="20"/>
        <v>84</v>
      </c>
      <c r="L29" s="17">
        <f t="shared" si="21"/>
        <v>335</v>
      </c>
      <c r="M29" s="18">
        <f t="shared" si="22"/>
        <v>84</v>
      </c>
      <c r="N29" s="14">
        <f t="shared" si="23"/>
        <v>335</v>
      </c>
      <c r="O29" s="15">
        <f t="shared" si="24"/>
        <v>98</v>
      </c>
      <c r="P29" s="17">
        <f t="shared" si="25"/>
        <v>320</v>
      </c>
      <c r="Q29" s="18">
        <f t="shared" si="26"/>
        <v>98</v>
      </c>
      <c r="R29" s="4" t="s">
        <v>0</v>
      </c>
      <c r="S29" s="16" t="str">
        <f t="shared" si="27"/>
        <v>23-08</v>
      </c>
      <c r="T29" s="14">
        <f t="shared" si="28"/>
        <v>320</v>
      </c>
      <c r="U29" s="18">
        <f t="shared" si="29"/>
        <v>666</v>
      </c>
      <c r="V29" s="14">
        <f t="shared" si="30"/>
        <v>335</v>
      </c>
      <c r="W29" s="18">
        <f t="shared" si="31"/>
        <v>666</v>
      </c>
      <c r="X29" s="14">
        <f t="shared" si="32"/>
        <v>335</v>
      </c>
      <c r="Y29" s="18">
        <f t="shared" si="33"/>
        <v>652</v>
      </c>
      <c r="Z29" s="14">
        <f t="shared" si="34"/>
        <v>320</v>
      </c>
      <c r="AA29" s="18">
        <f t="shared" si="35"/>
        <v>652</v>
      </c>
      <c r="AB29" s="4" t="s">
        <v>0</v>
      </c>
    </row>
    <row r="30" spans="1:28">
      <c r="A30" s="9" t="s">
        <v>387</v>
      </c>
      <c r="B30" s="24"/>
      <c r="C30" s="26">
        <v>6</v>
      </c>
      <c r="D30" s="28">
        <f t="shared" si="36"/>
        <v>335</v>
      </c>
      <c r="E30" s="29">
        <f t="shared" si="37"/>
        <v>84</v>
      </c>
      <c r="F30" s="28">
        <f t="shared" si="38"/>
        <v>350</v>
      </c>
      <c r="G30" s="29">
        <f t="shared" si="39"/>
        <v>98</v>
      </c>
      <c r="H30" s="4" t="s">
        <v>0</v>
      </c>
      <c r="I30" s="16" t="str">
        <f t="shared" si="18"/>
        <v>23-07</v>
      </c>
      <c r="J30" s="14">
        <f t="shared" si="19"/>
        <v>335</v>
      </c>
      <c r="K30" s="15">
        <f t="shared" si="20"/>
        <v>84</v>
      </c>
      <c r="L30" s="17">
        <f t="shared" si="21"/>
        <v>350</v>
      </c>
      <c r="M30" s="18">
        <f t="shared" si="22"/>
        <v>84</v>
      </c>
      <c r="N30" s="14">
        <f t="shared" si="23"/>
        <v>350</v>
      </c>
      <c r="O30" s="15">
        <f t="shared" si="24"/>
        <v>98</v>
      </c>
      <c r="P30" s="17">
        <f t="shared" si="25"/>
        <v>335</v>
      </c>
      <c r="Q30" s="18">
        <f t="shared" si="26"/>
        <v>98</v>
      </c>
      <c r="R30" s="4" t="s">
        <v>0</v>
      </c>
      <c r="S30" s="16" t="str">
        <f t="shared" si="27"/>
        <v>23-07</v>
      </c>
      <c r="T30" s="14">
        <f t="shared" si="28"/>
        <v>335</v>
      </c>
      <c r="U30" s="18">
        <f t="shared" si="29"/>
        <v>666</v>
      </c>
      <c r="V30" s="14">
        <f t="shared" si="30"/>
        <v>350</v>
      </c>
      <c r="W30" s="18">
        <f t="shared" si="31"/>
        <v>666</v>
      </c>
      <c r="X30" s="14">
        <f t="shared" si="32"/>
        <v>350</v>
      </c>
      <c r="Y30" s="18">
        <f t="shared" si="33"/>
        <v>652</v>
      </c>
      <c r="Z30" s="14">
        <f t="shared" si="34"/>
        <v>335</v>
      </c>
      <c r="AA30" s="18">
        <f t="shared" si="35"/>
        <v>652</v>
      </c>
      <c r="AB30" s="4" t="s">
        <v>0</v>
      </c>
    </row>
    <row r="31" spans="1:28">
      <c r="A31" s="9" t="s">
        <v>386</v>
      </c>
      <c r="B31" s="24"/>
      <c r="C31" s="26">
        <v>7</v>
      </c>
      <c r="D31" s="28">
        <f t="shared" si="36"/>
        <v>350</v>
      </c>
      <c r="E31" s="29">
        <f t="shared" si="37"/>
        <v>84</v>
      </c>
      <c r="F31" s="28">
        <f t="shared" si="38"/>
        <v>365</v>
      </c>
      <c r="G31" s="29">
        <f t="shared" si="39"/>
        <v>98</v>
      </c>
      <c r="H31" s="4" t="s">
        <v>0</v>
      </c>
      <c r="I31" s="16" t="str">
        <f t="shared" si="18"/>
        <v>23-06</v>
      </c>
      <c r="J31" s="14">
        <f t="shared" si="19"/>
        <v>350</v>
      </c>
      <c r="K31" s="15">
        <f t="shared" si="20"/>
        <v>84</v>
      </c>
      <c r="L31" s="17">
        <f t="shared" si="21"/>
        <v>365</v>
      </c>
      <c r="M31" s="18">
        <f t="shared" si="22"/>
        <v>84</v>
      </c>
      <c r="N31" s="14">
        <f t="shared" si="23"/>
        <v>365</v>
      </c>
      <c r="O31" s="15">
        <f t="shared" si="24"/>
        <v>98</v>
      </c>
      <c r="P31" s="17">
        <f t="shared" si="25"/>
        <v>350</v>
      </c>
      <c r="Q31" s="18">
        <f t="shared" si="26"/>
        <v>98</v>
      </c>
      <c r="R31" s="4" t="s">
        <v>0</v>
      </c>
      <c r="S31" s="16" t="str">
        <f t="shared" si="27"/>
        <v>23-06</v>
      </c>
      <c r="T31" s="14">
        <f t="shared" si="28"/>
        <v>350</v>
      </c>
      <c r="U31" s="18">
        <f t="shared" si="29"/>
        <v>666</v>
      </c>
      <c r="V31" s="14">
        <f t="shared" si="30"/>
        <v>365</v>
      </c>
      <c r="W31" s="18">
        <f t="shared" si="31"/>
        <v>666</v>
      </c>
      <c r="X31" s="14">
        <f t="shared" si="32"/>
        <v>365</v>
      </c>
      <c r="Y31" s="18">
        <f t="shared" si="33"/>
        <v>652</v>
      </c>
      <c r="Z31" s="14">
        <f t="shared" si="34"/>
        <v>350</v>
      </c>
      <c r="AA31" s="18">
        <f t="shared" si="35"/>
        <v>652</v>
      </c>
      <c r="AB31" s="4" t="s">
        <v>0</v>
      </c>
    </row>
    <row r="32" spans="1:28">
      <c r="A32" s="9" t="s">
        <v>385</v>
      </c>
      <c r="B32" s="24"/>
      <c r="C32" s="26">
        <v>8</v>
      </c>
      <c r="D32" s="28">
        <f t="shared" si="36"/>
        <v>365</v>
      </c>
      <c r="E32" s="29">
        <f t="shared" si="37"/>
        <v>84</v>
      </c>
      <c r="F32" s="28">
        <f t="shared" si="38"/>
        <v>380</v>
      </c>
      <c r="G32" s="29">
        <f t="shared" si="39"/>
        <v>98</v>
      </c>
      <c r="H32" s="4" t="s">
        <v>0</v>
      </c>
      <c r="I32" s="16" t="str">
        <f t="shared" si="18"/>
        <v>23-05</v>
      </c>
      <c r="J32" s="14">
        <f t="shared" si="19"/>
        <v>365</v>
      </c>
      <c r="K32" s="15">
        <f t="shared" si="20"/>
        <v>84</v>
      </c>
      <c r="L32" s="17">
        <f t="shared" si="21"/>
        <v>380</v>
      </c>
      <c r="M32" s="18">
        <f t="shared" si="22"/>
        <v>84</v>
      </c>
      <c r="N32" s="14">
        <f t="shared" si="23"/>
        <v>380</v>
      </c>
      <c r="O32" s="15">
        <f t="shared" si="24"/>
        <v>98</v>
      </c>
      <c r="P32" s="17">
        <f t="shared" si="25"/>
        <v>365</v>
      </c>
      <c r="Q32" s="18">
        <f t="shared" si="26"/>
        <v>98</v>
      </c>
      <c r="R32" s="4" t="s">
        <v>0</v>
      </c>
      <c r="S32" s="16" t="str">
        <f t="shared" si="27"/>
        <v>23-05</v>
      </c>
      <c r="T32" s="14">
        <f t="shared" si="28"/>
        <v>365</v>
      </c>
      <c r="U32" s="18">
        <f t="shared" si="29"/>
        <v>666</v>
      </c>
      <c r="V32" s="14">
        <f t="shared" si="30"/>
        <v>380</v>
      </c>
      <c r="W32" s="18">
        <f t="shared" si="31"/>
        <v>666</v>
      </c>
      <c r="X32" s="14">
        <f t="shared" si="32"/>
        <v>380</v>
      </c>
      <c r="Y32" s="18">
        <f t="shared" si="33"/>
        <v>652</v>
      </c>
      <c r="Z32" s="14">
        <f t="shared" si="34"/>
        <v>365</v>
      </c>
      <c r="AA32" s="18">
        <f t="shared" si="35"/>
        <v>652</v>
      </c>
      <c r="AB32" s="4" t="s">
        <v>0</v>
      </c>
    </row>
    <row r="33" spans="1:28">
      <c r="A33" s="9" t="s">
        <v>384</v>
      </c>
      <c r="B33" s="24"/>
      <c r="C33" s="26">
        <v>9</v>
      </c>
      <c r="D33" s="28">
        <f t="shared" si="36"/>
        <v>380</v>
      </c>
      <c r="E33" s="29">
        <f t="shared" si="37"/>
        <v>84</v>
      </c>
      <c r="F33" s="28">
        <f t="shared" si="38"/>
        <v>395</v>
      </c>
      <c r="G33" s="29">
        <f t="shared" si="39"/>
        <v>98</v>
      </c>
      <c r="H33" s="4" t="s">
        <v>0</v>
      </c>
      <c r="I33" s="16" t="str">
        <f t="shared" si="18"/>
        <v>23-03</v>
      </c>
      <c r="J33" s="14">
        <f t="shared" si="19"/>
        <v>380</v>
      </c>
      <c r="K33" s="15">
        <f t="shared" si="20"/>
        <v>84</v>
      </c>
      <c r="L33" s="17">
        <f t="shared" si="21"/>
        <v>395</v>
      </c>
      <c r="M33" s="18">
        <f t="shared" si="22"/>
        <v>84</v>
      </c>
      <c r="N33" s="14">
        <f t="shared" si="23"/>
        <v>395</v>
      </c>
      <c r="O33" s="15">
        <f t="shared" si="24"/>
        <v>98</v>
      </c>
      <c r="P33" s="17">
        <f t="shared" si="25"/>
        <v>380</v>
      </c>
      <c r="Q33" s="18">
        <f t="shared" si="26"/>
        <v>98</v>
      </c>
      <c r="R33" s="4" t="s">
        <v>0</v>
      </c>
      <c r="S33" s="16" t="str">
        <f t="shared" si="27"/>
        <v>23-03</v>
      </c>
      <c r="T33" s="14">
        <f t="shared" si="28"/>
        <v>380</v>
      </c>
      <c r="U33" s="18">
        <f t="shared" si="29"/>
        <v>666</v>
      </c>
      <c r="V33" s="14">
        <f t="shared" si="30"/>
        <v>395</v>
      </c>
      <c r="W33" s="18">
        <f t="shared" si="31"/>
        <v>666</v>
      </c>
      <c r="X33" s="14">
        <f t="shared" si="32"/>
        <v>395</v>
      </c>
      <c r="Y33" s="18">
        <f t="shared" si="33"/>
        <v>652</v>
      </c>
      <c r="Z33" s="14">
        <f t="shared" si="34"/>
        <v>380</v>
      </c>
      <c r="AA33" s="18">
        <f t="shared" si="35"/>
        <v>652</v>
      </c>
      <c r="AB33" s="4" t="s">
        <v>0</v>
      </c>
    </row>
    <row r="34" spans="1:28">
      <c r="A34" s="9" t="s">
        <v>383</v>
      </c>
      <c r="B34" s="24"/>
      <c r="C34" s="26">
        <v>10</v>
      </c>
      <c r="D34" s="28">
        <f t="shared" si="36"/>
        <v>395</v>
      </c>
      <c r="E34" s="29">
        <f t="shared" si="37"/>
        <v>84</v>
      </c>
      <c r="F34" s="28">
        <f t="shared" si="38"/>
        <v>410</v>
      </c>
      <c r="G34" s="29">
        <f t="shared" si="39"/>
        <v>98</v>
      </c>
      <c r="H34" s="4" t="s">
        <v>0</v>
      </c>
      <c r="I34" s="16" t="str">
        <f t="shared" si="18"/>
        <v>23-02</v>
      </c>
      <c r="J34" s="14">
        <f t="shared" si="19"/>
        <v>395</v>
      </c>
      <c r="K34" s="15">
        <f t="shared" si="20"/>
        <v>84</v>
      </c>
      <c r="L34" s="17">
        <f t="shared" si="21"/>
        <v>410</v>
      </c>
      <c r="M34" s="18">
        <f t="shared" si="22"/>
        <v>84</v>
      </c>
      <c r="N34" s="14">
        <f t="shared" si="23"/>
        <v>410</v>
      </c>
      <c r="O34" s="15">
        <f t="shared" si="24"/>
        <v>98</v>
      </c>
      <c r="P34" s="17">
        <f t="shared" si="25"/>
        <v>395</v>
      </c>
      <c r="Q34" s="18">
        <f t="shared" si="26"/>
        <v>98</v>
      </c>
      <c r="R34" s="4" t="s">
        <v>0</v>
      </c>
      <c r="S34" s="16" t="str">
        <f t="shared" si="27"/>
        <v>23-02</v>
      </c>
      <c r="T34" s="14">
        <f t="shared" si="28"/>
        <v>395</v>
      </c>
      <c r="U34" s="18">
        <f t="shared" si="29"/>
        <v>666</v>
      </c>
      <c r="V34" s="14">
        <f t="shared" si="30"/>
        <v>410</v>
      </c>
      <c r="W34" s="18">
        <f t="shared" si="31"/>
        <v>666</v>
      </c>
      <c r="X34" s="14">
        <f t="shared" si="32"/>
        <v>410</v>
      </c>
      <c r="Y34" s="18">
        <f t="shared" si="33"/>
        <v>652</v>
      </c>
      <c r="Z34" s="14">
        <f t="shared" si="34"/>
        <v>395</v>
      </c>
      <c r="AA34" s="18">
        <f t="shared" si="35"/>
        <v>652</v>
      </c>
      <c r="AB34" s="4" t="s">
        <v>0</v>
      </c>
    </row>
    <row r="35" spans="1:28">
      <c r="A35" s="9" t="s">
        <v>382</v>
      </c>
      <c r="B35" s="24"/>
      <c r="C35" s="26">
        <v>11</v>
      </c>
      <c r="D35" s="28">
        <f t="shared" si="36"/>
        <v>410</v>
      </c>
      <c r="E35" s="29">
        <f t="shared" si="37"/>
        <v>84</v>
      </c>
      <c r="F35" s="28">
        <f t="shared" si="38"/>
        <v>425</v>
      </c>
      <c r="G35" s="29">
        <f t="shared" si="39"/>
        <v>98</v>
      </c>
      <c r="H35" s="4" t="s">
        <v>0</v>
      </c>
      <c r="I35" s="16" t="str">
        <f t="shared" si="18"/>
        <v>23-01</v>
      </c>
      <c r="J35" s="14">
        <f t="shared" si="19"/>
        <v>410</v>
      </c>
      <c r="K35" s="15">
        <f t="shared" si="20"/>
        <v>84</v>
      </c>
      <c r="L35" s="17">
        <f t="shared" si="21"/>
        <v>425</v>
      </c>
      <c r="M35" s="18">
        <f t="shared" si="22"/>
        <v>84</v>
      </c>
      <c r="N35" s="14">
        <f t="shared" si="23"/>
        <v>425</v>
      </c>
      <c r="O35" s="15">
        <f t="shared" si="24"/>
        <v>98</v>
      </c>
      <c r="P35" s="17">
        <f t="shared" si="25"/>
        <v>410</v>
      </c>
      <c r="Q35" s="18">
        <f t="shared" si="26"/>
        <v>98</v>
      </c>
      <c r="R35" s="4" t="s">
        <v>0</v>
      </c>
      <c r="S35" s="16" t="str">
        <f t="shared" si="27"/>
        <v>23-01</v>
      </c>
      <c r="T35" s="14">
        <f t="shared" si="28"/>
        <v>410</v>
      </c>
      <c r="U35" s="18">
        <f t="shared" si="29"/>
        <v>666</v>
      </c>
      <c r="V35" s="14">
        <f t="shared" si="30"/>
        <v>425</v>
      </c>
      <c r="W35" s="18">
        <f t="shared" si="31"/>
        <v>666</v>
      </c>
      <c r="X35" s="14">
        <f t="shared" si="32"/>
        <v>425</v>
      </c>
      <c r="Y35" s="18">
        <f t="shared" si="33"/>
        <v>652</v>
      </c>
      <c r="Z35" s="14">
        <f t="shared" si="34"/>
        <v>410</v>
      </c>
      <c r="AA35" s="18">
        <f t="shared" si="35"/>
        <v>652</v>
      </c>
      <c r="AB35" s="4" t="s">
        <v>0</v>
      </c>
    </row>
    <row r="36" spans="1:28">
      <c r="A36" s="9" t="s">
        <v>381</v>
      </c>
      <c r="B36" s="24"/>
      <c r="C36" s="26"/>
      <c r="D36" s="27">
        <v>26</v>
      </c>
      <c r="E36" s="31">
        <f>ROUND(E11+19,0)</f>
        <v>103</v>
      </c>
      <c r="F36" s="31">
        <v>41</v>
      </c>
      <c r="G36" s="31">
        <f>ROUND(G11+19,0)</f>
        <v>117</v>
      </c>
      <c r="H36" s="4" t="s">
        <v>0</v>
      </c>
      <c r="I36" s="16" t="str">
        <f t="shared" si="18"/>
        <v>22-31</v>
      </c>
      <c r="J36" s="14">
        <f t="shared" si="19"/>
        <v>26</v>
      </c>
      <c r="K36" s="15">
        <f t="shared" si="20"/>
        <v>103</v>
      </c>
      <c r="L36" s="17">
        <f t="shared" si="21"/>
        <v>41</v>
      </c>
      <c r="M36" s="18">
        <f t="shared" si="22"/>
        <v>103</v>
      </c>
      <c r="N36" s="14">
        <f t="shared" si="23"/>
        <v>41</v>
      </c>
      <c r="O36" s="15">
        <f t="shared" si="24"/>
        <v>117</v>
      </c>
      <c r="P36" s="17">
        <f t="shared" si="25"/>
        <v>26</v>
      </c>
      <c r="Q36" s="18">
        <f t="shared" si="26"/>
        <v>117</v>
      </c>
      <c r="R36" s="4" t="s">
        <v>0</v>
      </c>
      <c r="S36" s="16" t="str">
        <f t="shared" si="27"/>
        <v>22-31</v>
      </c>
      <c r="T36" s="14">
        <f t="shared" si="28"/>
        <v>26</v>
      </c>
      <c r="U36" s="18">
        <f t="shared" si="29"/>
        <v>647</v>
      </c>
      <c r="V36" s="14">
        <f t="shared" si="30"/>
        <v>41</v>
      </c>
      <c r="W36" s="18">
        <f t="shared" si="31"/>
        <v>647</v>
      </c>
      <c r="X36" s="14">
        <f t="shared" si="32"/>
        <v>41</v>
      </c>
      <c r="Y36" s="18">
        <f t="shared" si="33"/>
        <v>633</v>
      </c>
      <c r="Z36" s="14">
        <f t="shared" si="34"/>
        <v>26</v>
      </c>
      <c r="AA36" s="18">
        <f t="shared" si="35"/>
        <v>633</v>
      </c>
      <c r="AB36" s="4" t="s">
        <v>0</v>
      </c>
    </row>
    <row r="37" spans="1:28">
      <c r="A37" s="9" t="s">
        <v>380</v>
      </c>
      <c r="B37" s="24"/>
      <c r="C37" s="26"/>
      <c r="D37" s="25">
        <f>D12</f>
        <v>41</v>
      </c>
      <c r="E37" s="29">
        <f t="shared" si="37"/>
        <v>103</v>
      </c>
      <c r="F37" s="25">
        <f>F12</f>
        <v>56</v>
      </c>
      <c r="G37" s="29">
        <f t="shared" si="37"/>
        <v>117</v>
      </c>
      <c r="H37" s="4" t="s">
        <v>0</v>
      </c>
      <c r="I37" s="16" t="str">
        <f t="shared" si="18"/>
        <v>22-30</v>
      </c>
      <c r="J37" s="14">
        <f t="shared" si="19"/>
        <v>41</v>
      </c>
      <c r="K37" s="15">
        <f t="shared" si="20"/>
        <v>103</v>
      </c>
      <c r="L37" s="17">
        <f t="shared" si="21"/>
        <v>56</v>
      </c>
      <c r="M37" s="18">
        <f t="shared" si="22"/>
        <v>103</v>
      </c>
      <c r="N37" s="14">
        <f t="shared" si="23"/>
        <v>56</v>
      </c>
      <c r="O37" s="15">
        <f t="shared" si="24"/>
        <v>117</v>
      </c>
      <c r="P37" s="17">
        <f t="shared" si="25"/>
        <v>41</v>
      </c>
      <c r="Q37" s="18">
        <f t="shared" si="26"/>
        <v>117</v>
      </c>
      <c r="R37" s="4" t="s">
        <v>0</v>
      </c>
      <c r="S37" s="16" t="str">
        <f t="shared" si="27"/>
        <v>22-30</v>
      </c>
      <c r="T37" s="14">
        <f t="shared" si="28"/>
        <v>41</v>
      </c>
      <c r="U37" s="18">
        <f t="shared" si="29"/>
        <v>647</v>
      </c>
      <c r="V37" s="14">
        <f t="shared" si="30"/>
        <v>56</v>
      </c>
      <c r="W37" s="18">
        <f t="shared" si="31"/>
        <v>647</v>
      </c>
      <c r="X37" s="14">
        <f t="shared" si="32"/>
        <v>56</v>
      </c>
      <c r="Y37" s="18">
        <f t="shared" si="33"/>
        <v>633</v>
      </c>
      <c r="Z37" s="14">
        <f t="shared" si="34"/>
        <v>41</v>
      </c>
      <c r="AA37" s="18">
        <f t="shared" si="35"/>
        <v>633</v>
      </c>
      <c r="AB37" s="4" t="s">
        <v>0</v>
      </c>
    </row>
    <row r="38" spans="1:28">
      <c r="A38" s="9" t="s">
        <v>379</v>
      </c>
      <c r="B38" s="24"/>
      <c r="C38" s="26"/>
      <c r="D38" s="25">
        <f t="shared" ref="D38:D60" si="40">D13</f>
        <v>56</v>
      </c>
      <c r="E38" s="29">
        <f t="shared" ref="E38:E60" si="41">E37</f>
        <v>103</v>
      </c>
      <c r="F38" s="25">
        <f t="shared" ref="F38:F60" si="42">F13</f>
        <v>71</v>
      </c>
      <c r="G38" s="29">
        <f t="shared" ref="G38:G60" si="43">G37</f>
        <v>117</v>
      </c>
      <c r="H38" s="4" t="s">
        <v>0</v>
      </c>
      <c r="I38" s="16" t="str">
        <f t="shared" si="18"/>
        <v>22-28</v>
      </c>
      <c r="J38" s="14">
        <f t="shared" si="19"/>
        <v>56</v>
      </c>
      <c r="K38" s="15">
        <f t="shared" si="20"/>
        <v>103</v>
      </c>
      <c r="L38" s="17">
        <f t="shared" si="21"/>
        <v>71</v>
      </c>
      <c r="M38" s="18">
        <f t="shared" si="22"/>
        <v>103</v>
      </c>
      <c r="N38" s="14">
        <f t="shared" si="23"/>
        <v>71</v>
      </c>
      <c r="O38" s="15">
        <f t="shared" si="24"/>
        <v>117</v>
      </c>
      <c r="P38" s="17">
        <f t="shared" si="25"/>
        <v>56</v>
      </c>
      <c r="Q38" s="18">
        <f t="shared" si="26"/>
        <v>117</v>
      </c>
      <c r="R38" s="4" t="s">
        <v>0</v>
      </c>
      <c r="S38" s="16" t="str">
        <f t="shared" si="27"/>
        <v>22-28</v>
      </c>
      <c r="T38" s="14">
        <f t="shared" si="28"/>
        <v>56</v>
      </c>
      <c r="U38" s="18">
        <f t="shared" si="29"/>
        <v>647</v>
      </c>
      <c r="V38" s="14">
        <f t="shared" si="30"/>
        <v>71</v>
      </c>
      <c r="W38" s="18">
        <f t="shared" si="31"/>
        <v>647</v>
      </c>
      <c r="X38" s="14">
        <f t="shared" si="32"/>
        <v>71</v>
      </c>
      <c r="Y38" s="18">
        <f t="shared" si="33"/>
        <v>633</v>
      </c>
      <c r="Z38" s="14">
        <f t="shared" si="34"/>
        <v>56</v>
      </c>
      <c r="AA38" s="18">
        <f t="shared" si="35"/>
        <v>633</v>
      </c>
      <c r="AB38" s="4" t="s">
        <v>0</v>
      </c>
    </row>
    <row r="39" spans="1:28">
      <c r="A39" s="9" t="s">
        <v>378</v>
      </c>
      <c r="B39" s="24"/>
      <c r="C39" s="26"/>
      <c r="D39" s="25">
        <f t="shared" si="40"/>
        <v>71</v>
      </c>
      <c r="E39" s="29">
        <f t="shared" si="41"/>
        <v>103</v>
      </c>
      <c r="F39" s="25">
        <f t="shared" si="42"/>
        <v>86</v>
      </c>
      <c r="G39" s="29">
        <f t="shared" si="43"/>
        <v>117</v>
      </c>
      <c r="H39" s="4" t="s">
        <v>0</v>
      </c>
      <c r="I39" s="16" t="str">
        <f t="shared" si="18"/>
        <v>22-27</v>
      </c>
      <c r="J39" s="14">
        <f t="shared" si="19"/>
        <v>71</v>
      </c>
      <c r="K39" s="15">
        <f t="shared" si="20"/>
        <v>103</v>
      </c>
      <c r="L39" s="17">
        <f t="shared" si="21"/>
        <v>86</v>
      </c>
      <c r="M39" s="18">
        <f t="shared" si="22"/>
        <v>103</v>
      </c>
      <c r="N39" s="14">
        <f t="shared" si="23"/>
        <v>86</v>
      </c>
      <c r="O39" s="15">
        <f t="shared" si="24"/>
        <v>117</v>
      </c>
      <c r="P39" s="17">
        <f t="shared" si="25"/>
        <v>71</v>
      </c>
      <c r="Q39" s="18">
        <f t="shared" si="26"/>
        <v>117</v>
      </c>
      <c r="R39" s="4" t="s">
        <v>0</v>
      </c>
      <c r="S39" s="16" t="str">
        <f t="shared" si="27"/>
        <v>22-27</v>
      </c>
      <c r="T39" s="14">
        <f t="shared" si="28"/>
        <v>71</v>
      </c>
      <c r="U39" s="18">
        <f t="shared" si="29"/>
        <v>647</v>
      </c>
      <c r="V39" s="14">
        <f t="shared" si="30"/>
        <v>86</v>
      </c>
      <c r="W39" s="18">
        <f t="shared" si="31"/>
        <v>647</v>
      </c>
      <c r="X39" s="14">
        <f t="shared" si="32"/>
        <v>86</v>
      </c>
      <c r="Y39" s="18">
        <f t="shared" si="33"/>
        <v>633</v>
      </c>
      <c r="Z39" s="14">
        <f t="shared" si="34"/>
        <v>71</v>
      </c>
      <c r="AA39" s="18">
        <f t="shared" si="35"/>
        <v>633</v>
      </c>
      <c r="AB39" s="4" t="s">
        <v>0</v>
      </c>
    </row>
    <row r="40" spans="1:28">
      <c r="A40" s="9" t="s">
        <v>377</v>
      </c>
      <c r="B40" s="24"/>
      <c r="C40" s="26"/>
      <c r="D40" s="25">
        <f t="shared" si="40"/>
        <v>86</v>
      </c>
      <c r="E40" s="29">
        <f t="shared" si="41"/>
        <v>103</v>
      </c>
      <c r="F40" s="25">
        <f t="shared" si="42"/>
        <v>101</v>
      </c>
      <c r="G40" s="29">
        <f t="shared" si="43"/>
        <v>117</v>
      </c>
      <c r="H40" s="4" t="s">
        <v>0</v>
      </c>
      <c r="I40" s="16" t="str">
        <f t="shared" si="18"/>
        <v>22-26</v>
      </c>
      <c r="J40" s="14">
        <f t="shared" si="19"/>
        <v>86</v>
      </c>
      <c r="K40" s="15">
        <f t="shared" si="20"/>
        <v>103</v>
      </c>
      <c r="L40" s="17">
        <f t="shared" si="21"/>
        <v>101</v>
      </c>
      <c r="M40" s="18">
        <f t="shared" si="22"/>
        <v>103</v>
      </c>
      <c r="N40" s="14">
        <f t="shared" si="23"/>
        <v>101</v>
      </c>
      <c r="O40" s="15">
        <f t="shared" si="24"/>
        <v>117</v>
      </c>
      <c r="P40" s="17">
        <f t="shared" si="25"/>
        <v>86</v>
      </c>
      <c r="Q40" s="18">
        <f t="shared" si="26"/>
        <v>117</v>
      </c>
      <c r="R40" s="4" t="s">
        <v>0</v>
      </c>
      <c r="S40" s="16" t="str">
        <f t="shared" si="27"/>
        <v>22-26</v>
      </c>
      <c r="T40" s="14">
        <f t="shared" si="28"/>
        <v>86</v>
      </c>
      <c r="U40" s="18">
        <f t="shared" si="29"/>
        <v>647</v>
      </c>
      <c r="V40" s="14">
        <f t="shared" si="30"/>
        <v>101</v>
      </c>
      <c r="W40" s="18">
        <f t="shared" si="31"/>
        <v>647</v>
      </c>
      <c r="X40" s="14">
        <f t="shared" si="32"/>
        <v>101</v>
      </c>
      <c r="Y40" s="18">
        <f t="shared" si="33"/>
        <v>633</v>
      </c>
      <c r="Z40" s="14">
        <f t="shared" si="34"/>
        <v>86</v>
      </c>
      <c r="AA40" s="18">
        <f t="shared" si="35"/>
        <v>633</v>
      </c>
      <c r="AB40" s="4" t="s">
        <v>0</v>
      </c>
    </row>
    <row r="41" spans="1:28">
      <c r="A41" s="9" t="s">
        <v>376</v>
      </c>
      <c r="B41" s="24"/>
      <c r="C41" s="26"/>
      <c r="D41" s="25">
        <f t="shared" si="40"/>
        <v>101</v>
      </c>
      <c r="E41" s="29">
        <f t="shared" si="41"/>
        <v>103</v>
      </c>
      <c r="F41" s="25">
        <f t="shared" si="42"/>
        <v>116</v>
      </c>
      <c r="G41" s="29">
        <f t="shared" si="43"/>
        <v>117</v>
      </c>
      <c r="H41" s="4" t="s">
        <v>0</v>
      </c>
      <c r="I41" s="16" t="str">
        <f t="shared" si="18"/>
        <v>22-25</v>
      </c>
      <c r="J41" s="14">
        <f t="shared" si="19"/>
        <v>101</v>
      </c>
      <c r="K41" s="15">
        <f t="shared" si="20"/>
        <v>103</v>
      </c>
      <c r="L41" s="17">
        <f t="shared" si="21"/>
        <v>116</v>
      </c>
      <c r="M41" s="18">
        <f t="shared" si="22"/>
        <v>103</v>
      </c>
      <c r="N41" s="14">
        <f t="shared" si="23"/>
        <v>116</v>
      </c>
      <c r="O41" s="15">
        <f t="shared" si="24"/>
        <v>117</v>
      </c>
      <c r="P41" s="17">
        <f t="shared" si="25"/>
        <v>101</v>
      </c>
      <c r="Q41" s="18">
        <f t="shared" si="26"/>
        <v>117</v>
      </c>
      <c r="R41" s="4" t="s">
        <v>0</v>
      </c>
      <c r="S41" s="16" t="str">
        <f t="shared" si="27"/>
        <v>22-25</v>
      </c>
      <c r="T41" s="14">
        <f t="shared" si="28"/>
        <v>101</v>
      </c>
      <c r="U41" s="18">
        <f t="shared" si="29"/>
        <v>647</v>
      </c>
      <c r="V41" s="14">
        <f t="shared" si="30"/>
        <v>116</v>
      </c>
      <c r="W41" s="18">
        <f t="shared" si="31"/>
        <v>647</v>
      </c>
      <c r="X41" s="14">
        <f t="shared" si="32"/>
        <v>116</v>
      </c>
      <c r="Y41" s="18">
        <f t="shared" si="33"/>
        <v>633</v>
      </c>
      <c r="Z41" s="14">
        <f t="shared" si="34"/>
        <v>101</v>
      </c>
      <c r="AA41" s="18">
        <f t="shared" si="35"/>
        <v>633</v>
      </c>
      <c r="AB41" s="4" t="s">
        <v>0</v>
      </c>
    </row>
    <row r="42" spans="1:28">
      <c r="A42" s="9" t="s">
        <v>375</v>
      </c>
      <c r="B42" s="24"/>
      <c r="C42" s="26"/>
      <c r="D42" s="25">
        <f t="shared" si="40"/>
        <v>116</v>
      </c>
      <c r="E42" s="29">
        <f t="shared" si="41"/>
        <v>103</v>
      </c>
      <c r="F42" s="25">
        <f t="shared" si="42"/>
        <v>131</v>
      </c>
      <c r="G42" s="29">
        <f t="shared" si="43"/>
        <v>117</v>
      </c>
      <c r="H42" s="4" t="s">
        <v>0</v>
      </c>
      <c r="I42" s="16" t="str">
        <f t="shared" si="18"/>
        <v>22-23</v>
      </c>
      <c r="J42" s="14">
        <f t="shared" si="19"/>
        <v>116</v>
      </c>
      <c r="K42" s="15">
        <f t="shared" si="20"/>
        <v>103</v>
      </c>
      <c r="L42" s="17">
        <f t="shared" si="21"/>
        <v>131</v>
      </c>
      <c r="M42" s="18">
        <f t="shared" si="22"/>
        <v>103</v>
      </c>
      <c r="N42" s="14">
        <f t="shared" si="23"/>
        <v>131</v>
      </c>
      <c r="O42" s="15">
        <f t="shared" si="24"/>
        <v>117</v>
      </c>
      <c r="P42" s="17">
        <f t="shared" si="25"/>
        <v>116</v>
      </c>
      <c r="Q42" s="18">
        <f t="shared" si="26"/>
        <v>117</v>
      </c>
      <c r="R42" s="4" t="s">
        <v>0</v>
      </c>
      <c r="S42" s="16" t="str">
        <f t="shared" si="27"/>
        <v>22-23</v>
      </c>
      <c r="T42" s="14">
        <f t="shared" si="28"/>
        <v>116</v>
      </c>
      <c r="U42" s="18">
        <f t="shared" si="29"/>
        <v>647</v>
      </c>
      <c r="V42" s="14">
        <f t="shared" si="30"/>
        <v>131</v>
      </c>
      <c r="W42" s="18">
        <f t="shared" si="31"/>
        <v>647</v>
      </c>
      <c r="X42" s="14">
        <f t="shared" si="32"/>
        <v>131</v>
      </c>
      <c r="Y42" s="18">
        <f t="shared" si="33"/>
        <v>633</v>
      </c>
      <c r="Z42" s="14">
        <f t="shared" si="34"/>
        <v>116</v>
      </c>
      <c r="AA42" s="18">
        <f t="shared" si="35"/>
        <v>633</v>
      </c>
      <c r="AB42" s="4" t="s">
        <v>0</v>
      </c>
    </row>
    <row r="43" spans="1:28">
      <c r="A43" s="9" t="s">
        <v>374</v>
      </c>
      <c r="B43" s="24"/>
      <c r="C43" s="26"/>
      <c r="D43" s="25">
        <f t="shared" si="40"/>
        <v>131</v>
      </c>
      <c r="E43" s="29">
        <f t="shared" si="41"/>
        <v>103</v>
      </c>
      <c r="F43" s="25">
        <f t="shared" si="42"/>
        <v>146</v>
      </c>
      <c r="G43" s="29">
        <f t="shared" si="43"/>
        <v>117</v>
      </c>
      <c r="H43" s="4" t="s">
        <v>0</v>
      </c>
      <c r="I43" s="16" t="str">
        <f t="shared" si="18"/>
        <v>22-22</v>
      </c>
      <c r="J43" s="14">
        <f t="shared" si="19"/>
        <v>131</v>
      </c>
      <c r="K43" s="15">
        <f t="shared" si="20"/>
        <v>103</v>
      </c>
      <c r="L43" s="17">
        <f t="shared" si="21"/>
        <v>146</v>
      </c>
      <c r="M43" s="18">
        <f t="shared" si="22"/>
        <v>103</v>
      </c>
      <c r="N43" s="14">
        <f t="shared" si="23"/>
        <v>146</v>
      </c>
      <c r="O43" s="15">
        <f t="shared" si="24"/>
        <v>117</v>
      </c>
      <c r="P43" s="17">
        <f t="shared" si="25"/>
        <v>131</v>
      </c>
      <c r="Q43" s="18">
        <f t="shared" si="26"/>
        <v>117</v>
      </c>
      <c r="R43" s="4" t="s">
        <v>0</v>
      </c>
      <c r="S43" s="16" t="str">
        <f t="shared" si="27"/>
        <v>22-22</v>
      </c>
      <c r="T43" s="14">
        <f t="shared" si="28"/>
        <v>131</v>
      </c>
      <c r="U43" s="18">
        <f t="shared" si="29"/>
        <v>647</v>
      </c>
      <c r="V43" s="14">
        <f t="shared" si="30"/>
        <v>146</v>
      </c>
      <c r="W43" s="18">
        <f t="shared" si="31"/>
        <v>647</v>
      </c>
      <c r="X43" s="14">
        <f t="shared" si="32"/>
        <v>146</v>
      </c>
      <c r="Y43" s="18">
        <f t="shared" si="33"/>
        <v>633</v>
      </c>
      <c r="Z43" s="14">
        <f t="shared" si="34"/>
        <v>131</v>
      </c>
      <c r="AA43" s="18">
        <f t="shared" si="35"/>
        <v>633</v>
      </c>
      <c r="AB43" s="4" t="s">
        <v>0</v>
      </c>
    </row>
    <row r="44" spans="1:28">
      <c r="A44" s="9" t="s">
        <v>373</v>
      </c>
      <c r="B44" s="24"/>
      <c r="C44" s="26"/>
      <c r="D44" s="25">
        <f t="shared" si="40"/>
        <v>146</v>
      </c>
      <c r="E44" s="29">
        <f t="shared" si="41"/>
        <v>103</v>
      </c>
      <c r="F44" s="25">
        <f t="shared" si="42"/>
        <v>161</v>
      </c>
      <c r="G44" s="29">
        <f t="shared" si="43"/>
        <v>117</v>
      </c>
      <c r="H44" s="4" t="s">
        <v>0</v>
      </c>
      <c r="I44" s="16" t="str">
        <f t="shared" si="18"/>
        <v>22-21</v>
      </c>
      <c r="J44" s="14">
        <f t="shared" si="19"/>
        <v>146</v>
      </c>
      <c r="K44" s="15">
        <f t="shared" si="20"/>
        <v>103</v>
      </c>
      <c r="L44" s="17">
        <f t="shared" si="21"/>
        <v>161</v>
      </c>
      <c r="M44" s="18">
        <f t="shared" si="22"/>
        <v>103</v>
      </c>
      <c r="N44" s="14">
        <f t="shared" si="23"/>
        <v>161</v>
      </c>
      <c r="O44" s="15">
        <f t="shared" si="24"/>
        <v>117</v>
      </c>
      <c r="P44" s="17">
        <f t="shared" si="25"/>
        <v>146</v>
      </c>
      <c r="Q44" s="18">
        <f t="shared" si="26"/>
        <v>117</v>
      </c>
      <c r="R44" s="4" t="s">
        <v>0</v>
      </c>
      <c r="S44" s="16" t="str">
        <f t="shared" si="27"/>
        <v>22-21</v>
      </c>
      <c r="T44" s="14">
        <f t="shared" si="28"/>
        <v>146</v>
      </c>
      <c r="U44" s="18">
        <f t="shared" si="29"/>
        <v>647</v>
      </c>
      <c r="V44" s="14">
        <f t="shared" si="30"/>
        <v>161</v>
      </c>
      <c r="W44" s="18">
        <f t="shared" si="31"/>
        <v>647</v>
      </c>
      <c r="X44" s="14">
        <f t="shared" si="32"/>
        <v>161</v>
      </c>
      <c r="Y44" s="18">
        <f t="shared" si="33"/>
        <v>633</v>
      </c>
      <c r="Z44" s="14">
        <f t="shared" si="34"/>
        <v>146</v>
      </c>
      <c r="AA44" s="18">
        <f t="shared" si="35"/>
        <v>633</v>
      </c>
      <c r="AB44" s="4" t="s">
        <v>0</v>
      </c>
    </row>
    <row r="45" spans="1:28">
      <c r="A45" s="9" t="s">
        <v>372</v>
      </c>
      <c r="B45" s="24"/>
      <c r="C45" s="26"/>
      <c r="D45" s="25">
        <f t="shared" si="40"/>
        <v>161</v>
      </c>
      <c r="E45" s="29">
        <f t="shared" si="41"/>
        <v>103</v>
      </c>
      <c r="F45" s="25">
        <f t="shared" si="42"/>
        <v>176</v>
      </c>
      <c r="G45" s="29">
        <f t="shared" si="43"/>
        <v>117</v>
      </c>
      <c r="H45" s="4" t="s">
        <v>0</v>
      </c>
      <c r="I45" s="16" t="str">
        <f t="shared" si="18"/>
        <v>22-20</v>
      </c>
      <c r="J45" s="14">
        <f t="shared" si="19"/>
        <v>161</v>
      </c>
      <c r="K45" s="15">
        <f t="shared" si="20"/>
        <v>103</v>
      </c>
      <c r="L45" s="17">
        <f t="shared" si="21"/>
        <v>176</v>
      </c>
      <c r="M45" s="18">
        <f t="shared" si="22"/>
        <v>103</v>
      </c>
      <c r="N45" s="14">
        <f t="shared" si="23"/>
        <v>176</v>
      </c>
      <c r="O45" s="15">
        <f t="shared" si="24"/>
        <v>117</v>
      </c>
      <c r="P45" s="17">
        <f t="shared" si="25"/>
        <v>161</v>
      </c>
      <c r="Q45" s="18">
        <f t="shared" si="26"/>
        <v>117</v>
      </c>
      <c r="R45" s="4" t="s">
        <v>0</v>
      </c>
      <c r="S45" s="16" t="str">
        <f t="shared" si="27"/>
        <v>22-20</v>
      </c>
      <c r="T45" s="14">
        <f t="shared" si="28"/>
        <v>161</v>
      </c>
      <c r="U45" s="18">
        <f t="shared" si="29"/>
        <v>647</v>
      </c>
      <c r="V45" s="14">
        <f t="shared" si="30"/>
        <v>176</v>
      </c>
      <c r="W45" s="18">
        <f t="shared" si="31"/>
        <v>647</v>
      </c>
      <c r="X45" s="14">
        <f t="shared" si="32"/>
        <v>176</v>
      </c>
      <c r="Y45" s="18">
        <f t="shared" si="33"/>
        <v>633</v>
      </c>
      <c r="Z45" s="14">
        <f t="shared" si="34"/>
        <v>161</v>
      </c>
      <c r="AA45" s="18">
        <f t="shared" si="35"/>
        <v>633</v>
      </c>
      <c r="AB45" s="4" t="s">
        <v>0</v>
      </c>
    </row>
    <row r="46" spans="1:28">
      <c r="A46" s="9" t="s">
        <v>371</v>
      </c>
      <c r="B46" s="24"/>
      <c r="C46" s="26"/>
      <c r="D46" s="25">
        <f t="shared" si="40"/>
        <v>176</v>
      </c>
      <c r="E46" s="29">
        <f t="shared" si="41"/>
        <v>103</v>
      </c>
      <c r="F46" s="25">
        <f t="shared" si="42"/>
        <v>191</v>
      </c>
      <c r="G46" s="29">
        <f t="shared" si="43"/>
        <v>117</v>
      </c>
      <c r="H46" s="4" t="s">
        <v>0</v>
      </c>
      <c r="I46" s="16" t="str">
        <f t="shared" si="18"/>
        <v>22-18</v>
      </c>
      <c r="J46" s="14">
        <f t="shared" si="19"/>
        <v>176</v>
      </c>
      <c r="K46" s="15">
        <f t="shared" si="20"/>
        <v>103</v>
      </c>
      <c r="L46" s="17">
        <f t="shared" si="21"/>
        <v>191</v>
      </c>
      <c r="M46" s="18">
        <f t="shared" si="22"/>
        <v>103</v>
      </c>
      <c r="N46" s="14">
        <f t="shared" si="23"/>
        <v>191</v>
      </c>
      <c r="O46" s="15">
        <f t="shared" si="24"/>
        <v>117</v>
      </c>
      <c r="P46" s="17">
        <f t="shared" si="25"/>
        <v>176</v>
      </c>
      <c r="Q46" s="18">
        <f t="shared" si="26"/>
        <v>117</v>
      </c>
      <c r="R46" s="4" t="s">
        <v>0</v>
      </c>
      <c r="S46" s="16" t="str">
        <f t="shared" si="27"/>
        <v>22-18</v>
      </c>
      <c r="T46" s="14">
        <f t="shared" si="28"/>
        <v>176</v>
      </c>
      <c r="U46" s="18">
        <f t="shared" si="29"/>
        <v>647</v>
      </c>
      <c r="V46" s="14">
        <f t="shared" si="30"/>
        <v>191</v>
      </c>
      <c r="W46" s="18">
        <f t="shared" si="31"/>
        <v>647</v>
      </c>
      <c r="X46" s="14">
        <f t="shared" si="32"/>
        <v>191</v>
      </c>
      <c r="Y46" s="18">
        <f t="shared" si="33"/>
        <v>633</v>
      </c>
      <c r="Z46" s="14">
        <f t="shared" si="34"/>
        <v>176</v>
      </c>
      <c r="AA46" s="18">
        <f t="shared" si="35"/>
        <v>633</v>
      </c>
      <c r="AB46" s="4" t="s">
        <v>0</v>
      </c>
    </row>
    <row r="47" spans="1:28">
      <c r="A47" s="9" t="s">
        <v>370</v>
      </c>
      <c r="B47" s="24"/>
      <c r="C47" s="26"/>
      <c r="D47" s="25">
        <f t="shared" si="40"/>
        <v>191</v>
      </c>
      <c r="E47" s="29">
        <f t="shared" si="41"/>
        <v>103</v>
      </c>
      <c r="F47" s="25">
        <f t="shared" si="42"/>
        <v>206</v>
      </c>
      <c r="G47" s="29">
        <f t="shared" si="43"/>
        <v>117</v>
      </c>
      <c r="H47" s="4" t="s">
        <v>0</v>
      </c>
      <c r="I47" s="16" t="str">
        <f t="shared" si="18"/>
        <v>22-17</v>
      </c>
      <c r="J47" s="14">
        <f t="shared" si="19"/>
        <v>191</v>
      </c>
      <c r="K47" s="15">
        <f t="shared" si="20"/>
        <v>103</v>
      </c>
      <c r="L47" s="17">
        <f t="shared" si="21"/>
        <v>206</v>
      </c>
      <c r="M47" s="18">
        <f t="shared" si="22"/>
        <v>103</v>
      </c>
      <c r="N47" s="14">
        <f t="shared" si="23"/>
        <v>206</v>
      </c>
      <c r="O47" s="15">
        <f t="shared" si="24"/>
        <v>117</v>
      </c>
      <c r="P47" s="17">
        <f t="shared" si="25"/>
        <v>191</v>
      </c>
      <c r="Q47" s="18">
        <f t="shared" si="26"/>
        <v>117</v>
      </c>
      <c r="R47" s="4" t="s">
        <v>0</v>
      </c>
      <c r="S47" s="16" t="str">
        <f t="shared" si="27"/>
        <v>22-17</v>
      </c>
      <c r="T47" s="14">
        <f t="shared" si="28"/>
        <v>191</v>
      </c>
      <c r="U47" s="18">
        <f t="shared" si="29"/>
        <v>647</v>
      </c>
      <c r="V47" s="14">
        <f t="shared" si="30"/>
        <v>206</v>
      </c>
      <c r="W47" s="18">
        <f t="shared" si="31"/>
        <v>647</v>
      </c>
      <c r="X47" s="14">
        <f t="shared" si="32"/>
        <v>206</v>
      </c>
      <c r="Y47" s="18">
        <f t="shared" si="33"/>
        <v>633</v>
      </c>
      <c r="Z47" s="14">
        <f t="shared" si="34"/>
        <v>191</v>
      </c>
      <c r="AA47" s="18">
        <f t="shared" si="35"/>
        <v>633</v>
      </c>
      <c r="AB47" s="4" t="s">
        <v>0</v>
      </c>
    </row>
    <row r="48" spans="1:28">
      <c r="A48" s="9" t="s">
        <v>369</v>
      </c>
      <c r="B48" s="24"/>
      <c r="C48" s="26"/>
      <c r="D48" s="25">
        <f t="shared" si="40"/>
        <v>206</v>
      </c>
      <c r="E48" s="29">
        <f t="shared" si="41"/>
        <v>103</v>
      </c>
      <c r="F48" s="25">
        <f t="shared" si="42"/>
        <v>221</v>
      </c>
      <c r="G48" s="29">
        <f t="shared" si="43"/>
        <v>117</v>
      </c>
      <c r="H48" s="4" t="s">
        <v>0</v>
      </c>
      <c r="I48" s="16" t="str">
        <f t="shared" si="18"/>
        <v>22-16</v>
      </c>
      <c r="J48" s="14">
        <f t="shared" si="19"/>
        <v>206</v>
      </c>
      <c r="K48" s="15">
        <f t="shared" si="20"/>
        <v>103</v>
      </c>
      <c r="L48" s="17">
        <f t="shared" si="21"/>
        <v>221</v>
      </c>
      <c r="M48" s="18">
        <f t="shared" si="22"/>
        <v>103</v>
      </c>
      <c r="N48" s="14">
        <f t="shared" si="23"/>
        <v>221</v>
      </c>
      <c r="O48" s="15">
        <f t="shared" si="24"/>
        <v>117</v>
      </c>
      <c r="P48" s="17">
        <f t="shared" si="25"/>
        <v>206</v>
      </c>
      <c r="Q48" s="18">
        <f t="shared" si="26"/>
        <v>117</v>
      </c>
      <c r="R48" s="4" t="s">
        <v>0</v>
      </c>
      <c r="S48" s="16" t="str">
        <f t="shared" si="27"/>
        <v>22-16</v>
      </c>
      <c r="T48" s="14">
        <f t="shared" si="28"/>
        <v>206</v>
      </c>
      <c r="U48" s="18">
        <f t="shared" si="29"/>
        <v>647</v>
      </c>
      <c r="V48" s="14">
        <f t="shared" si="30"/>
        <v>221</v>
      </c>
      <c r="W48" s="18">
        <f t="shared" si="31"/>
        <v>647</v>
      </c>
      <c r="X48" s="14">
        <f t="shared" si="32"/>
        <v>221</v>
      </c>
      <c r="Y48" s="18">
        <f t="shared" si="33"/>
        <v>633</v>
      </c>
      <c r="Z48" s="14">
        <f t="shared" si="34"/>
        <v>206</v>
      </c>
      <c r="AA48" s="18">
        <f t="shared" si="35"/>
        <v>633</v>
      </c>
      <c r="AB48" s="4" t="s">
        <v>0</v>
      </c>
    </row>
    <row r="49" spans="1:28">
      <c r="A49" s="9" t="s">
        <v>368</v>
      </c>
      <c r="B49" s="24"/>
      <c r="C49" s="26"/>
      <c r="D49" s="25">
        <f t="shared" si="40"/>
        <v>245</v>
      </c>
      <c r="E49" s="29">
        <f t="shared" si="41"/>
        <v>103</v>
      </c>
      <c r="F49" s="25">
        <f t="shared" si="42"/>
        <v>260</v>
      </c>
      <c r="G49" s="29">
        <f t="shared" si="43"/>
        <v>117</v>
      </c>
      <c r="H49" s="4" t="s">
        <v>0</v>
      </c>
      <c r="I49" s="16" t="str">
        <f t="shared" si="18"/>
        <v>22-15</v>
      </c>
      <c r="J49" s="14">
        <f t="shared" si="19"/>
        <v>245</v>
      </c>
      <c r="K49" s="15">
        <f t="shared" si="20"/>
        <v>103</v>
      </c>
      <c r="L49" s="17">
        <f t="shared" si="21"/>
        <v>260</v>
      </c>
      <c r="M49" s="18">
        <f t="shared" si="22"/>
        <v>103</v>
      </c>
      <c r="N49" s="14">
        <f t="shared" si="23"/>
        <v>260</v>
      </c>
      <c r="O49" s="15">
        <f t="shared" si="24"/>
        <v>117</v>
      </c>
      <c r="P49" s="17">
        <f t="shared" si="25"/>
        <v>245</v>
      </c>
      <c r="Q49" s="18">
        <f t="shared" si="26"/>
        <v>117</v>
      </c>
      <c r="R49" s="4" t="s">
        <v>0</v>
      </c>
      <c r="S49" s="16" t="str">
        <f t="shared" si="27"/>
        <v>22-15</v>
      </c>
      <c r="T49" s="14">
        <f t="shared" si="28"/>
        <v>245</v>
      </c>
      <c r="U49" s="18">
        <f t="shared" si="29"/>
        <v>647</v>
      </c>
      <c r="V49" s="14">
        <f t="shared" si="30"/>
        <v>260</v>
      </c>
      <c r="W49" s="18">
        <f t="shared" si="31"/>
        <v>647</v>
      </c>
      <c r="X49" s="14">
        <f t="shared" si="32"/>
        <v>260</v>
      </c>
      <c r="Y49" s="18">
        <f t="shared" si="33"/>
        <v>633</v>
      </c>
      <c r="Z49" s="14">
        <f t="shared" si="34"/>
        <v>245</v>
      </c>
      <c r="AA49" s="18">
        <f t="shared" si="35"/>
        <v>633</v>
      </c>
      <c r="AB49" s="4" t="s">
        <v>0</v>
      </c>
    </row>
    <row r="50" spans="1:28">
      <c r="A50" s="9" t="s">
        <v>367</v>
      </c>
      <c r="B50" s="24"/>
      <c r="C50" s="26"/>
      <c r="D50" s="25">
        <f t="shared" si="40"/>
        <v>260</v>
      </c>
      <c r="E50" s="29">
        <f t="shared" si="41"/>
        <v>103</v>
      </c>
      <c r="F50" s="25">
        <f t="shared" si="42"/>
        <v>275</v>
      </c>
      <c r="G50" s="29">
        <f t="shared" si="43"/>
        <v>117</v>
      </c>
      <c r="H50" s="4" t="s">
        <v>0</v>
      </c>
      <c r="I50" s="16" t="str">
        <f t="shared" si="18"/>
        <v>22-13</v>
      </c>
      <c r="J50" s="14">
        <f t="shared" si="19"/>
        <v>260</v>
      </c>
      <c r="K50" s="15">
        <f t="shared" si="20"/>
        <v>103</v>
      </c>
      <c r="L50" s="17">
        <f t="shared" si="21"/>
        <v>275</v>
      </c>
      <c r="M50" s="18">
        <f t="shared" si="22"/>
        <v>103</v>
      </c>
      <c r="N50" s="14">
        <f t="shared" si="23"/>
        <v>275</v>
      </c>
      <c r="O50" s="15">
        <f t="shared" si="24"/>
        <v>117</v>
      </c>
      <c r="P50" s="17">
        <f t="shared" si="25"/>
        <v>260</v>
      </c>
      <c r="Q50" s="18">
        <f t="shared" si="26"/>
        <v>117</v>
      </c>
      <c r="R50" s="4" t="s">
        <v>0</v>
      </c>
      <c r="S50" s="16" t="str">
        <f t="shared" si="27"/>
        <v>22-13</v>
      </c>
      <c r="T50" s="14">
        <f t="shared" si="28"/>
        <v>260</v>
      </c>
      <c r="U50" s="18">
        <f t="shared" si="29"/>
        <v>647</v>
      </c>
      <c r="V50" s="14">
        <f t="shared" si="30"/>
        <v>275</v>
      </c>
      <c r="W50" s="18">
        <f t="shared" si="31"/>
        <v>647</v>
      </c>
      <c r="X50" s="14">
        <f t="shared" si="32"/>
        <v>275</v>
      </c>
      <c r="Y50" s="18">
        <f t="shared" si="33"/>
        <v>633</v>
      </c>
      <c r="Z50" s="14">
        <f t="shared" si="34"/>
        <v>260</v>
      </c>
      <c r="AA50" s="18">
        <f t="shared" si="35"/>
        <v>633</v>
      </c>
      <c r="AB50" s="4" t="s">
        <v>0</v>
      </c>
    </row>
    <row r="51" spans="1:28">
      <c r="A51" s="9" t="s">
        <v>366</v>
      </c>
      <c r="B51" s="24"/>
      <c r="C51" s="26"/>
      <c r="D51" s="25">
        <f t="shared" si="40"/>
        <v>275</v>
      </c>
      <c r="E51" s="29">
        <f t="shared" si="41"/>
        <v>103</v>
      </c>
      <c r="F51" s="25">
        <f t="shared" si="42"/>
        <v>290</v>
      </c>
      <c r="G51" s="29">
        <f t="shared" si="43"/>
        <v>117</v>
      </c>
      <c r="H51" s="4" t="s">
        <v>0</v>
      </c>
      <c r="I51" s="16" t="str">
        <f t="shared" si="18"/>
        <v>22-12</v>
      </c>
      <c r="J51" s="14">
        <f t="shared" si="19"/>
        <v>275</v>
      </c>
      <c r="K51" s="15">
        <f t="shared" si="20"/>
        <v>103</v>
      </c>
      <c r="L51" s="17">
        <f t="shared" si="21"/>
        <v>290</v>
      </c>
      <c r="M51" s="18">
        <f t="shared" si="22"/>
        <v>103</v>
      </c>
      <c r="N51" s="14">
        <f t="shared" si="23"/>
        <v>290</v>
      </c>
      <c r="O51" s="15">
        <f t="shared" si="24"/>
        <v>117</v>
      </c>
      <c r="P51" s="17">
        <f t="shared" si="25"/>
        <v>275</v>
      </c>
      <c r="Q51" s="18">
        <f t="shared" si="26"/>
        <v>117</v>
      </c>
      <c r="R51" s="4" t="s">
        <v>0</v>
      </c>
      <c r="S51" s="16" t="str">
        <f t="shared" si="27"/>
        <v>22-12</v>
      </c>
      <c r="T51" s="14">
        <f t="shared" si="28"/>
        <v>275</v>
      </c>
      <c r="U51" s="18">
        <f t="shared" si="29"/>
        <v>647</v>
      </c>
      <c r="V51" s="14">
        <f t="shared" si="30"/>
        <v>290</v>
      </c>
      <c r="W51" s="18">
        <f t="shared" si="31"/>
        <v>647</v>
      </c>
      <c r="X51" s="14">
        <f t="shared" si="32"/>
        <v>290</v>
      </c>
      <c r="Y51" s="18">
        <f t="shared" si="33"/>
        <v>633</v>
      </c>
      <c r="Z51" s="14">
        <f t="shared" si="34"/>
        <v>275</v>
      </c>
      <c r="AA51" s="18">
        <f t="shared" si="35"/>
        <v>633</v>
      </c>
      <c r="AB51" s="4" t="s">
        <v>0</v>
      </c>
    </row>
    <row r="52" spans="1:28">
      <c r="A52" s="9" t="s">
        <v>365</v>
      </c>
      <c r="B52" s="24"/>
      <c r="C52" s="26"/>
      <c r="D52" s="25">
        <f t="shared" si="40"/>
        <v>290</v>
      </c>
      <c r="E52" s="29">
        <f t="shared" si="41"/>
        <v>103</v>
      </c>
      <c r="F52" s="25">
        <f t="shared" si="42"/>
        <v>305</v>
      </c>
      <c r="G52" s="29">
        <f t="shared" si="43"/>
        <v>117</v>
      </c>
      <c r="H52" s="4" t="s">
        <v>0</v>
      </c>
      <c r="I52" s="16" t="str">
        <f t="shared" si="18"/>
        <v>22-11</v>
      </c>
      <c r="J52" s="14">
        <f t="shared" si="19"/>
        <v>290</v>
      </c>
      <c r="K52" s="15">
        <f t="shared" si="20"/>
        <v>103</v>
      </c>
      <c r="L52" s="17">
        <f t="shared" si="21"/>
        <v>305</v>
      </c>
      <c r="M52" s="18">
        <f t="shared" si="22"/>
        <v>103</v>
      </c>
      <c r="N52" s="14">
        <f t="shared" si="23"/>
        <v>305</v>
      </c>
      <c r="O52" s="15">
        <f t="shared" si="24"/>
        <v>117</v>
      </c>
      <c r="P52" s="17">
        <f t="shared" si="25"/>
        <v>290</v>
      </c>
      <c r="Q52" s="18">
        <f t="shared" si="26"/>
        <v>117</v>
      </c>
      <c r="R52" s="4" t="s">
        <v>0</v>
      </c>
      <c r="S52" s="16" t="str">
        <f t="shared" si="27"/>
        <v>22-11</v>
      </c>
      <c r="T52" s="14">
        <f t="shared" si="28"/>
        <v>290</v>
      </c>
      <c r="U52" s="18">
        <f t="shared" si="29"/>
        <v>647</v>
      </c>
      <c r="V52" s="14">
        <f t="shared" si="30"/>
        <v>305</v>
      </c>
      <c r="W52" s="18">
        <f t="shared" si="31"/>
        <v>647</v>
      </c>
      <c r="X52" s="14">
        <f t="shared" si="32"/>
        <v>305</v>
      </c>
      <c r="Y52" s="18">
        <f t="shared" si="33"/>
        <v>633</v>
      </c>
      <c r="Z52" s="14">
        <f t="shared" si="34"/>
        <v>290</v>
      </c>
      <c r="AA52" s="18">
        <f t="shared" si="35"/>
        <v>633</v>
      </c>
      <c r="AB52" s="4" t="s">
        <v>0</v>
      </c>
    </row>
    <row r="53" spans="1:28">
      <c r="A53" s="9" t="s">
        <v>364</v>
      </c>
      <c r="B53" s="24"/>
      <c r="C53" s="26"/>
      <c r="D53" s="25">
        <f t="shared" si="40"/>
        <v>305</v>
      </c>
      <c r="E53" s="29">
        <f t="shared" si="41"/>
        <v>103</v>
      </c>
      <c r="F53" s="25">
        <f t="shared" si="42"/>
        <v>320</v>
      </c>
      <c r="G53" s="29">
        <f t="shared" si="43"/>
        <v>117</v>
      </c>
      <c r="H53" s="4" t="s">
        <v>0</v>
      </c>
      <c r="I53" s="16" t="str">
        <f t="shared" si="18"/>
        <v>22-10</v>
      </c>
      <c r="J53" s="14">
        <f t="shared" si="19"/>
        <v>305</v>
      </c>
      <c r="K53" s="15">
        <f t="shared" si="20"/>
        <v>103</v>
      </c>
      <c r="L53" s="17">
        <f t="shared" si="21"/>
        <v>320</v>
      </c>
      <c r="M53" s="18">
        <f t="shared" si="22"/>
        <v>103</v>
      </c>
      <c r="N53" s="14">
        <f t="shared" si="23"/>
        <v>320</v>
      </c>
      <c r="O53" s="15">
        <f t="shared" si="24"/>
        <v>117</v>
      </c>
      <c r="P53" s="17">
        <f t="shared" si="25"/>
        <v>305</v>
      </c>
      <c r="Q53" s="18">
        <f t="shared" si="26"/>
        <v>117</v>
      </c>
      <c r="R53" s="4" t="s">
        <v>0</v>
      </c>
      <c r="S53" s="16" t="str">
        <f t="shared" si="27"/>
        <v>22-10</v>
      </c>
      <c r="T53" s="14">
        <f t="shared" si="28"/>
        <v>305</v>
      </c>
      <c r="U53" s="18">
        <f t="shared" si="29"/>
        <v>647</v>
      </c>
      <c r="V53" s="14">
        <f t="shared" si="30"/>
        <v>320</v>
      </c>
      <c r="W53" s="18">
        <f t="shared" si="31"/>
        <v>647</v>
      </c>
      <c r="X53" s="14">
        <f t="shared" si="32"/>
        <v>320</v>
      </c>
      <c r="Y53" s="18">
        <f t="shared" si="33"/>
        <v>633</v>
      </c>
      <c r="Z53" s="14">
        <f t="shared" si="34"/>
        <v>305</v>
      </c>
      <c r="AA53" s="18">
        <f t="shared" si="35"/>
        <v>633</v>
      </c>
      <c r="AB53" s="4" t="s">
        <v>0</v>
      </c>
    </row>
    <row r="54" spans="1:28">
      <c r="A54" s="9" t="s">
        <v>363</v>
      </c>
      <c r="B54" s="24"/>
      <c r="C54" s="26"/>
      <c r="D54" s="25">
        <f t="shared" si="40"/>
        <v>320</v>
      </c>
      <c r="E54" s="29">
        <f t="shared" si="41"/>
        <v>103</v>
      </c>
      <c r="F54" s="25">
        <f t="shared" si="42"/>
        <v>335</v>
      </c>
      <c r="G54" s="29">
        <f t="shared" si="43"/>
        <v>117</v>
      </c>
      <c r="H54" s="4" t="s">
        <v>0</v>
      </c>
      <c r="I54" s="16" t="str">
        <f t="shared" si="18"/>
        <v>22-08</v>
      </c>
      <c r="J54" s="14">
        <f t="shared" si="19"/>
        <v>320</v>
      </c>
      <c r="K54" s="15">
        <f t="shared" si="20"/>
        <v>103</v>
      </c>
      <c r="L54" s="17">
        <f t="shared" si="21"/>
        <v>335</v>
      </c>
      <c r="M54" s="18">
        <f t="shared" si="22"/>
        <v>103</v>
      </c>
      <c r="N54" s="14">
        <f t="shared" si="23"/>
        <v>335</v>
      </c>
      <c r="O54" s="15">
        <f t="shared" si="24"/>
        <v>117</v>
      </c>
      <c r="P54" s="17">
        <f t="shared" si="25"/>
        <v>320</v>
      </c>
      <c r="Q54" s="18">
        <f t="shared" si="26"/>
        <v>117</v>
      </c>
      <c r="R54" s="4" t="s">
        <v>0</v>
      </c>
      <c r="S54" s="16" t="str">
        <f t="shared" si="27"/>
        <v>22-08</v>
      </c>
      <c r="T54" s="14">
        <f t="shared" si="28"/>
        <v>320</v>
      </c>
      <c r="U54" s="18">
        <f t="shared" si="29"/>
        <v>647</v>
      </c>
      <c r="V54" s="14">
        <f t="shared" si="30"/>
        <v>335</v>
      </c>
      <c r="W54" s="18">
        <f t="shared" si="31"/>
        <v>647</v>
      </c>
      <c r="X54" s="14">
        <f t="shared" si="32"/>
        <v>335</v>
      </c>
      <c r="Y54" s="18">
        <f t="shared" si="33"/>
        <v>633</v>
      </c>
      <c r="Z54" s="14">
        <f t="shared" si="34"/>
        <v>320</v>
      </c>
      <c r="AA54" s="18">
        <f t="shared" si="35"/>
        <v>633</v>
      </c>
      <c r="AB54" s="4" t="s">
        <v>0</v>
      </c>
    </row>
    <row r="55" spans="1:28">
      <c r="A55" s="9" t="s">
        <v>362</v>
      </c>
      <c r="B55" s="24"/>
      <c r="C55" s="26"/>
      <c r="D55" s="25">
        <f t="shared" si="40"/>
        <v>335</v>
      </c>
      <c r="E55" s="29">
        <f t="shared" si="41"/>
        <v>103</v>
      </c>
      <c r="F55" s="25">
        <f t="shared" si="42"/>
        <v>350</v>
      </c>
      <c r="G55" s="29">
        <f t="shared" si="43"/>
        <v>117</v>
      </c>
      <c r="H55" s="4" t="s">
        <v>0</v>
      </c>
      <c r="I55" s="16" t="str">
        <f t="shared" si="18"/>
        <v>22-07</v>
      </c>
      <c r="J55" s="14">
        <f t="shared" si="19"/>
        <v>335</v>
      </c>
      <c r="K55" s="15">
        <f t="shared" si="20"/>
        <v>103</v>
      </c>
      <c r="L55" s="17">
        <f t="shared" si="21"/>
        <v>350</v>
      </c>
      <c r="M55" s="18">
        <f t="shared" si="22"/>
        <v>103</v>
      </c>
      <c r="N55" s="14">
        <f t="shared" si="23"/>
        <v>350</v>
      </c>
      <c r="O55" s="15">
        <f t="shared" si="24"/>
        <v>117</v>
      </c>
      <c r="P55" s="17">
        <f t="shared" si="25"/>
        <v>335</v>
      </c>
      <c r="Q55" s="18">
        <f t="shared" si="26"/>
        <v>117</v>
      </c>
      <c r="R55" s="4" t="s">
        <v>0</v>
      </c>
      <c r="S55" s="16" t="str">
        <f t="shared" si="27"/>
        <v>22-07</v>
      </c>
      <c r="T55" s="14">
        <f t="shared" si="28"/>
        <v>335</v>
      </c>
      <c r="U55" s="18">
        <f t="shared" si="29"/>
        <v>647</v>
      </c>
      <c r="V55" s="14">
        <f t="shared" si="30"/>
        <v>350</v>
      </c>
      <c r="W55" s="18">
        <f t="shared" si="31"/>
        <v>647</v>
      </c>
      <c r="X55" s="14">
        <f t="shared" si="32"/>
        <v>350</v>
      </c>
      <c r="Y55" s="18">
        <f t="shared" si="33"/>
        <v>633</v>
      </c>
      <c r="Z55" s="14">
        <f t="shared" si="34"/>
        <v>335</v>
      </c>
      <c r="AA55" s="18">
        <f t="shared" si="35"/>
        <v>633</v>
      </c>
      <c r="AB55" s="4" t="s">
        <v>0</v>
      </c>
    </row>
    <row r="56" spans="1:28">
      <c r="A56" s="9" t="s">
        <v>361</v>
      </c>
      <c r="B56" s="24"/>
      <c r="C56" s="26"/>
      <c r="D56" s="25">
        <f t="shared" si="40"/>
        <v>350</v>
      </c>
      <c r="E56" s="29">
        <f t="shared" si="41"/>
        <v>103</v>
      </c>
      <c r="F56" s="25">
        <f t="shared" si="42"/>
        <v>365</v>
      </c>
      <c r="G56" s="29">
        <f t="shared" si="43"/>
        <v>117</v>
      </c>
      <c r="H56" s="4" t="s">
        <v>0</v>
      </c>
      <c r="I56" s="16" t="str">
        <f t="shared" si="18"/>
        <v>22-06</v>
      </c>
      <c r="J56" s="14">
        <f t="shared" si="19"/>
        <v>350</v>
      </c>
      <c r="K56" s="15">
        <f t="shared" si="20"/>
        <v>103</v>
      </c>
      <c r="L56" s="17">
        <f t="shared" si="21"/>
        <v>365</v>
      </c>
      <c r="M56" s="18">
        <f t="shared" si="22"/>
        <v>103</v>
      </c>
      <c r="N56" s="14">
        <f t="shared" si="23"/>
        <v>365</v>
      </c>
      <c r="O56" s="15">
        <f t="shared" si="24"/>
        <v>117</v>
      </c>
      <c r="P56" s="17">
        <f t="shared" si="25"/>
        <v>350</v>
      </c>
      <c r="Q56" s="18">
        <f t="shared" si="26"/>
        <v>117</v>
      </c>
      <c r="R56" s="4" t="s">
        <v>0</v>
      </c>
      <c r="S56" s="16" t="str">
        <f t="shared" si="27"/>
        <v>22-06</v>
      </c>
      <c r="T56" s="14">
        <f t="shared" si="28"/>
        <v>350</v>
      </c>
      <c r="U56" s="18">
        <f t="shared" si="29"/>
        <v>647</v>
      </c>
      <c r="V56" s="14">
        <f t="shared" si="30"/>
        <v>365</v>
      </c>
      <c r="W56" s="18">
        <f t="shared" si="31"/>
        <v>647</v>
      </c>
      <c r="X56" s="14">
        <f t="shared" si="32"/>
        <v>365</v>
      </c>
      <c r="Y56" s="18">
        <f t="shared" si="33"/>
        <v>633</v>
      </c>
      <c r="Z56" s="14">
        <f t="shared" si="34"/>
        <v>350</v>
      </c>
      <c r="AA56" s="18">
        <f t="shared" si="35"/>
        <v>633</v>
      </c>
      <c r="AB56" s="4" t="s">
        <v>0</v>
      </c>
    </row>
    <row r="57" spans="1:28">
      <c r="A57" s="9" t="s">
        <v>360</v>
      </c>
      <c r="B57" s="24"/>
      <c r="C57" s="26"/>
      <c r="D57" s="25">
        <f t="shared" si="40"/>
        <v>365</v>
      </c>
      <c r="E57" s="29">
        <f t="shared" si="41"/>
        <v>103</v>
      </c>
      <c r="F57" s="25">
        <f t="shared" si="42"/>
        <v>380</v>
      </c>
      <c r="G57" s="29">
        <f t="shared" si="43"/>
        <v>117</v>
      </c>
      <c r="H57" s="4" t="s">
        <v>0</v>
      </c>
      <c r="I57" s="16" t="str">
        <f t="shared" si="18"/>
        <v>22-05</v>
      </c>
      <c r="J57" s="14">
        <f t="shared" si="19"/>
        <v>365</v>
      </c>
      <c r="K57" s="15">
        <f t="shared" si="20"/>
        <v>103</v>
      </c>
      <c r="L57" s="17">
        <f t="shared" si="21"/>
        <v>380</v>
      </c>
      <c r="M57" s="18">
        <f t="shared" si="22"/>
        <v>103</v>
      </c>
      <c r="N57" s="14">
        <f t="shared" si="23"/>
        <v>380</v>
      </c>
      <c r="O57" s="15">
        <f t="shared" si="24"/>
        <v>117</v>
      </c>
      <c r="P57" s="17">
        <f t="shared" si="25"/>
        <v>365</v>
      </c>
      <c r="Q57" s="18">
        <f t="shared" si="26"/>
        <v>117</v>
      </c>
      <c r="R57" s="4" t="s">
        <v>0</v>
      </c>
      <c r="S57" s="16" t="str">
        <f t="shared" si="27"/>
        <v>22-05</v>
      </c>
      <c r="T57" s="14">
        <f t="shared" si="28"/>
        <v>365</v>
      </c>
      <c r="U57" s="18">
        <f t="shared" si="29"/>
        <v>647</v>
      </c>
      <c r="V57" s="14">
        <f t="shared" si="30"/>
        <v>380</v>
      </c>
      <c r="W57" s="18">
        <f t="shared" si="31"/>
        <v>647</v>
      </c>
      <c r="X57" s="14">
        <f t="shared" si="32"/>
        <v>380</v>
      </c>
      <c r="Y57" s="18">
        <f t="shared" si="33"/>
        <v>633</v>
      </c>
      <c r="Z57" s="14">
        <f t="shared" si="34"/>
        <v>365</v>
      </c>
      <c r="AA57" s="18">
        <f t="shared" si="35"/>
        <v>633</v>
      </c>
      <c r="AB57" s="4" t="s">
        <v>0</v>
      </c>
    </row>
    <row r="58" spans="1:28">
      <c r="A58" s="9" t="s">
        <v>359</v>
      </c>
      <c r="B58" s="24"/>
      <c r="C58" s="26"/>
      <c r="D58" s="25">
        <f t="shared" si="40"/>
        <v>380</v>
      </c>
      <c r="E58" s="29">
        <f t="shared" si="41"/>
        <v>103</v>
      </c>
      <c r="F58" s="25">
        <f t="shared" si="42"/>
        <v>395</v>
      </c>
      <c r="G58" s="29">
        <f t="shared" si="43"/>
        <v>117</v>
      </c>
      <c r="H58" s="4" t="s">
        <v>0</v>
      </c>
      <c r="I58" s="16" t="str">
        <f t="shared" si="18"/>
        <v>22-03</v>
      </c>
      <c r="J58" s="14">
        <f t="shared" si="19"/>
        <v>380</v>
      </c>
      <c r="K58" s="15">
        <f t="shared" si="20"/>
        <v>103</v>
      </c>
      <c r="L58" s="17">
        <f t="shared" si="21"/>
        <v>395</v>
      </c>
      <c r="M58" s="18">
        <f t="shared" si="22"/>
        <v>103</v>
      </c>
      <c r="N58" s="14">
        <f t="shared" si="23"/>
        <v>395</v>
      </c>
      <c r="O58" s="15">
        <f t="shared" si="24"/>
        <v>117</v>
      </c>
      <c r="P58" s="17">
        <f t="shared" si="25"/>
        <v>380</v>
      </c>
      <c r="Q58" s="18">
        <f t="shared" si="26"/>
        <v>117</v>
      </c>
      <c r="R58" s="4" t="s">
        <v>0</v>
      </c>
      <c r="S58" s="16" t="str">
        <f t="shared" si="27"/>
        <v>22-03</v>
      </c>
      <c r="T58" s="14">
        <f t="shared" si="28"/>
        <v>380</v>
      </c>
      <c r="U58" s="18">
        <f t="shared" si="29"/>
        <v>647</v>
      </c>
      <c r="V58" s="14">
        <f t="shared" si="30"/>
        <v>395</v>
      </c>
      <c r="W58" s="18">
        <f t="shared" si="31"/>
        <v>647</v>
      </c>
      <c r="X58" s="14">
        <f t="shared" si="32"/>
        <v>395</v>
      </c>
      <c r="Y58" s="18">
        <f t="shared" si="33"/>
        <v>633</v>
      </c>
      <c r="Z58" s="14">
        <f t="shared" si="34"/>
        <v>380</v>
      </c>
      <c r="AA58" s="18">
        <f t="shared" si="35"/>
        <v>633</v>
      </c>
      <c r="AB58" s="4" t="s">
        <v>0</v>
      </c>
    </row>
    <row r="59" spans="1:28">
      <c r="A59" s="9" t="s">
        <v>358</v>
      </c>
      <c r="B59" s="24"/>
      <c r="C59" s="26"/>
      <c r="D59" s="25">
        <f t="shared" si="40"/>
        <v>395</v>
      </c>
      <c r="E59" s="29">
        <f t="shared" si="41"/>
        <v>103</v>
      </c>
      <c r="F59" s="25">
        <f t="shared" si="42"/>
        <v>410</v>
      </c>
      <c r="G59" s="29">
        <f t="shared" si="43"/>
        <v>117</v>
      </c>
      <c r="H59" s="4" t="s">
        <v>0</v>
      </c>
      <c r="I59" s="16" t="str">
        <f t="shared" si="18"/>
        <v>22-02</v>
      </c>
      <c r="J59" s="14">
        <f t="shared" si="19"/>
        <v>395</v>
      </c>
      <c r="K59" s="15">
        <f t="shared" si="20"/>
        <v>103</v>
      </c>
      <c r="L59" s="17">
        <f t="shared" si="21"/>
        <v>410</v>
      </c>
      <c r="M59" s="18">
        <f t="shared" si="22"/>
        <v>103</v>
      </c>
      <c r="N59" s="14">
        <f t="shared" si="23"/>
        <v>410</v>
      </c>
      <c r="O59" s="15">
        <f t="shared" si="24"/>
        <v>117</v>
      </c>
      <c r="P59" s="17">
        <f t="shared" si="25"/>
        <v>395</v>
      </c>
      <c r="Q59" s="18">
        <f t="shared" si="26"/>
        <v>117</v>
      </c>
      <c r="R59" s="4" t="s">
        <v>0</v>
      </c>
      <c r="S59" s="16" t="str">
        <f t="shared" si="27"/>
        <v>22-02</v>
      </c>
      <c r="T59" s="14">
        <f t="shared" si="28"/>
        <v>395</v>
      </c>
      <c r="U59" s="18">
        <f t="shared" si="29"/>
        <v>647</v>
      </c>
      <c r="V59" s="14">
        <f t="shared" si="30"/>
        <v>410</v>
      </c>
      <c r="W59" s="18">
        <f t="shared" si="31"/>
        <v>647</v>
      </c>
      <c r="X59" s="14">
        <f t="shared" si="32"/>
        <v>410</v>
      </c>
      <c r="Y59" s="18">
        <f t="shared" si="33"/>
        <v>633</v>
      </c>
      <c r="Z59" s="14">
        <f t="shared" si="34"/>
        <v>395</v>
      </c>
      <c r="AA59" s="18">
        <f t="shared" si="35"/>
        <v>633</v>
      </c>
      <c r="AB59" s="4" t="s">
        <v>0</v>
      </c>
    </row>
    <row r="60" spans="1:28">
      <c r="A60" s="9" t="s">
        <v>357</v>
      </c>
      <c r="B60" s="24"/>
      <c r="C60" s="26"/>
      <c r="D60" s="25">
        <f t="shared" si="40"/>
        <v>410</v>
      </c>
      <c r="E60" s="29">
        <f t="shared" si="41"/>
        <v>103</v>
      </c>
      <c r="F60" s="25">
        <f t="shared" si="42"/>
        <v>425</v>
      </c>
      <c r="G60" s="29">
        <f t="shared" si="43"/>
        <v>117</v>
      </c>
      <c r="H60" s="4" t="s">
        <v>0</v>
      </c>
      <c r="I60" s="16" t="str">
        <f t="shared" si="18"/>
        <v>22-01</v>
      </c>
      <c r="J60" s="14">
        <f t="shared" si="19"/>
        <v>410</v>
      </c>
      <c r="K60" s="15">
        <f t="shared" si="20"/>
        <v>103</v>
      </c>
      <c r="L60" s="17">
        <f t="shared" si="21"/>
        <v>425</v>
      </c>
      <c r="M60" s="18">
        <f t="shared" si="22"/>
        <v>103</v>
      </c>
      <c r="N60" s="14">
        <f t="shared" si="23"/>
        <v>425</v>
      </c>
      <c r="O60" s="15">
        <f t="shared" si="24"/>
        <v>117</v>
      </c>
      <c r="P60" s="17">
        <f t="shared" si="25"/>
        <v>410</v>
      </c>
      <c r="Q60" s="18">
        <f t="shared" si="26"/>
        <v>117</v>
      </c>
      <c r="R60" s="4" t="s">
        <v>0</v>
      </c>
      <c r="S60" s="16" t="str">
        <f t="shared" si="27"/>
        <v>22-01</v>
      </c>
      <c r="T60" s="14">
        <f t="shared" si="28"/>
        <v>410</v>
      </c>
      <c r="U60" s="18">
        <f t="shared" si="29"/>
        <v>647</v>
      </c>
      <c r="V60" s="14">
        <f t="shared" si="30"/>
        <v>425</v>
      </c>
      <c r="W60" s="18">
        <f t="shared" si="31"/>
        <v>647</v>
      </c>
      <c r="X60" s="14">
        <f t="shared" si="32"/>
        <v>425</v>
      </c>
      <c r="Y60" s="18">
        <f t="shared" si="33"/>
        <v>633</v>
      </c>
      <c r="Z60" s="14">
        <f t="shared" si="34"/>
        <v>410</v>
      </c>
      <c r="AA60" s="18">
        <f t="shared" si="35"/>
        <v>633</v>
      </c>
      <c r="AB60" s="4" t="s">
        <v>0</v>
      </c>
    </row>
    <row r="61" spans="1:28">
      <c r="A61" s="9" t="s">
        <v>356</v>
      </c>
      <c r="B61" s="24"/>
      <c r="C61" s="26"/>
      <c r="D61" s="27">
        <v>26</v>
      </c>
      <c r="E61" s="31">
        <f>ROUND(E36+19,0)</f>
        <v>122</v>
      </c>
      <c r="F61" s="31">
        <v>41</v>
      </c>
      <c r="G61" s="31">
        <f>ROUND(G36+19,0)</f>
        <v>136</v>
      </c>
      <c r="H61" s="4" t="s">
        <v>0</v>
      </c>
      <c r="I61" s="16" t="str">
        <f t="shared" si="18"/>
        <v>21-30</v>
      </c>
      <c r="J61" s="14">
        <f t="shared" si="19"/>
        <v>26</v>
      </c>
      <c r="K61" s="15">
        <f t="shared" si="20"/>
        <v>122</v>
      </c>
      <c r="L61" s="17">
        <f t="shared" si="21"/>
        <v>41</v>
      </c>
      <c r="M61" s="18">
        <f t="shared" si="22"/>
        <v>122</v>
      </c>
      <c r="N61" s="14">
        <f t="shared" si="23"/>
        <v>41</v>
      </c>
      <c r="O61" s="15">
        <f t="shared" si="24"/>
        <v>136</v>
      </c>
      <c r="P61" s="17">
        <f t="shared" si="25"/>
        <v>26</v>
      </c>
      <c r="Q61" s="18">
        <f t="shared" si="26"/>
        <v>136</v>
      </c>
      <c r="R61" s="4" t="s">
        <v>0</v>
      </c>
      <c r="S61" s="16" t="str">
        <f t="shared" si="27"/>
        <v>21-30</v>
      </c>
      <c r="T61" s="14">
        <f t="shared" si="28"/>
        <v>26</v>
      </c>
      <c r="U61" s="18">
        <f t="shared" si="29"/>
        <v>628</v>
      </c>
      <c r="V61" s="14">
        <f t="shared" si="30"/>
        <v>41</v>
      </c>
      <c r="W61" s="18">
        <f t="shared" si="31"/>
        <v>628</v>
      </c>
      <c r="X61" s="14">
        <f t="shared" si="32"/>
        <v>41</v>
      </c>
      <c r="Y61" s="18">
        <f t="shared" si="33"/>
        <v>614</v>
      </c>
      <c r="Z61" s="14">
        <f t="shared" si="34"/>
        <v>26</v>
      </c>
      <c r="AA61" s="18">
        <f t="shared" si="35"/>
        <v>614</v>
      </c>
      <c r="AB61" s="4" t="s">
        <v>0</v>
      </c>
    </row>
    <row r="62" spans="1:28">
      <c r="A62" s="9" t="s">
        <v>355</v>
      </c>
      <c r="B62" s="24"/>
      <c r="C62" s="26"/>
      <c r="D62" s="25">
        <f>D37</f>
        <v>41</v>
      </c>
      <c r="E62" s="29">
        <f t="shared" ref="E62:E67" si="44">E61</f>
        <v>122</v>
      </c>
      <c r="F62" s="25">
        <f>F37</f>
        <v>56</v>
      </c>
      <c r="G62" s="29">
        <f t="shared" ref="G62:G67" si="45">G61</f>
        <v>136</v>
      </c>
      <c r="H62" s="4" t="s">
        <v>0</v>
      </c>
      <c r="I62" s="16" t="str">
        <f t="shared" si="18"/>
        <v>21-28</v>
      </c>
      <c r="J62" s="14">
        <f t="shared" si="19"/>
        <v>41</v>
      </c>
      <c r="K62" s="15">
        <f t="shared" si="20"/>
        <v>122</v>
      </c>
      <c r="L62" s="17">
        <f t="shared" si="21"/>
        <v>56</v>
      </c>
      <c r="M62" s="18">
        <f t="shared" si="22"/>
        <v>122</v>
      </c>
      <c r="N62" s="14">
        <f t="shared" si="23"/>
        <v>56</v>
      </c>
      <c r="O62" s="15">
        <f t="shared" si="24"/>
        <v>136</v>
      </c>
      <c r="P62" s="17">
        <f t="shared" si="25"/>
        <v>41</v>
      </c>
      <c r="Q62" s="18">
        <f t="shared" si="26"/>
        <v>136</v>
      </c>
      <c r="R62" s="4" t="s">
        <v>0</v>
      </c>
      <c r="S62" s="16" t="str">
        <f t="shared" si="27"/>
        <v>21-28</v>
      </c>
      <c r="T62" s="14">
        <f t="shared" si="28"/>
        <v>41</v>
      </c>
      <c r="U62" s="18">
        <f t="shared" si="29"/>
        <v>628</v>
      </c>
      <c r="V62" s="14">
        <f t="shared" si="30"/>
        <v>56</v>
      </c>
      <c r="W62" s="18">
        <f t="shared" si="31"/>
        <v>628</v>
      </c>
      <c r="X62" s="14">
        <f t="shared" si="32"/>
        <v>56</v>
      </c>
      <c r="Y62" s="18">
        <f t="shared" si="33"/>
        <v>614</v>
      </c>
      <c r="Z62" s="14">
        <f t="shared" si="34"/>
        <v>41</v>
      </c>
      <c r="AA62" s="18">
        <f t="shared" si="35"/>
        <v>614</v>
      </c>
      <c r="AB62" s="4" t="s">
        <v>0</v>
      </c>
    </row>
    <row r="63" spans="1:28">
      <c r="A63" s="9" t="s">
        <v>354</v>
      </c>
      <c r="B63" s="24"/>
      <c r="C63" s="26"/>
      <c r="D63" s="25">
        <f t="shared" ref="D63:D84" si="46">D38</f>
        <v>56</v>
      </c>
      <c r="E63" s="29">
        <f t="shared" si="44"/>
        <v>122</v>
      </c>
      <c r="F63" s="25">
        <f t="shared" ref="F63:F84" si="47">F38</f>
        <v>71</v>
      </c>
      <c r="G63" s="29">
        <f t="shared" si="45"/>
        <v>136</v>
      </c>
      <c r="H63" s="4" t="s">
        <v>0</v>
      </c>
      <c r="I63" s="16" t="str">
        <f t="shared" si="18"/>
        <v>21-27</v>
      </c>
      <c r="J63" s="14">
        <f t="shared" si="19"/>
        <v>56</v>
      </c>
      <c r="K63" s="15">
        <f t="shared" si="20"/>
        <v>122</v>
      </c>
      <c r="L63" s="17">
        <f t="shared" si="21"/>
        <v>71</v>
      </c>
      <c r="M63" s="18">
        <f t="shared" si="22"/>
        <v>122</v>
      </c>
      <c r="N63" s="14">
        <f t="shared" si="23"/>
        <v>71</v>
      </c>
      <c r="O63" s="15">
        <f t="shared" si="24"/>
        <v>136</v>
      </c>
      <c r="P63" s="17">
        <f t="shared" si="25"/>
        <v>56</v>
      </c>
      <c r="Q63" s="18">
        <f t="shared" si="26"/>
        <v>136</v>
      </c>
      <c r="R63" s="4" t="s">
        <v>0</v>
      </c>
      <c r="S63" s="16" t="str">
        <f t="shared" si="27"/>
        <v>21-27</v>
      </c>
      <c r="T63" s="14">
        <f t="shared" si="28"/>
        <v>56</v>
      </c>
      <c r="U63" s="18">
        <f t="shared" si="29"/>
        <v>628</v>
      </c>
      <c r="V63" s="14">
        <f t="shared" si="30"/>
        <v>71</v>
      </c>
      <c r="W63" s="18">
        <f t="shared" si="31"/>
        <v>628</v>
      </c>
      <c r="X63" s="14">
        <f t="shared" si="32"/>
        <v>71</v>
      </c>
      <c r="Y63" s="18">
        <f t="shared" si="33"/>
        <v>614</v>
      </c>
      <c r="Z63" s="14">
        <f t="shared" si="34"/>
        <v>56</v>
      </c>
      <c r="AA63" s="18">
        <f t="shared" si="35"/>
        <v>614</v>
      </c>
      <c r="AB63" s="4" t="s">
        <v>0</v>
      </c>
    </row>
    <row r="64" spans="1:28">
      <c r="A64" s="9" t="s">
        <v>353</v>
      </c>
      <c r="B64" s="24"/>
      <c r="C64" s="26"/>
      <c r="D64" s="25">
        <f t="shared" si="46"/>
        <v>71</v>
      </c>
      <c r="E64" s="29">
        <f t="shared" si="44"/>
        <v>122</v>
      </c>
      <c r="F64" s="25">
        <f t="shared" si="47"/>
        <v>86</v>
      </c>
      <c r="G64" s="29">
        <f t="shared" si="45"/>
        <v>136</v>
      </c>
      <c r="H64" s="4" t="s">
        <v>0</v>
      </c>
      <c r="I64" s="16" t="str">
        <f t="shared" si="18"/>
        <v>21-26</v>
      </c>
      <c r="J64" s="14">
        <f t="shared" si="19"/>
        <v>71</v>
      </c>
      <c r="K64" s="15">
        <f t="shared" si="20"/>
        <v>122</v>
      </c>
      <c r="L64" s="17">
        <f t="shared" si="21"/>
        <v>86</v>
      </c>
      <c r="M64" s="18">
        <f t="shared" si="22"/>
        <v>122</v>
      </c>
      <c r="N64" s="14">
        <f t="shared" si="23"/>
        <v>86</v>
      </c>
      <c r="O64" s="15">
        <f t="shared" si="24"/>
        <v>136</v>
      </c>
      <c r="P64" s="17">
        <f t="shared" si="25"/>
        <v>71</v>
      </c>
      <c r="Q64" s="18">
        <f t="shared" si="26"/>
        <v>136</v>
      </c>
      <c r="R64" s="4" t="s">
        <v>0</v>
      </c>
      <c r="S64" s="16" t="str">
        <f t="shared" si="27"/>
        <v>21-26</v>
      </c>
      <c r="T64" s="14">
        <f t="shared" si="28"/>
        <v>71</v>
      </c>
      <c r="U64" s="18">
        <f t="shared" si="29"/>
        <v>628</v>
      </c>
      <c r="V64" s="14">
        <f t="shared" si="30"/>
        <v>86</v>
      </c>
      <c r="W64" s="18">
        <f t="shared" si="31"/>
        <v>628</v>
      </c>
      <c r="X64" s="14">
        <f t="shared" si="32"/>
        <v>86</v>
      </c>
      <c r="Y64" s="18">
        <f t="shared" si="33"/>
        <v>614</v>
      </c>
      <c r="Z64" s="14">
        <f t="shared" si="34"/>
        <v>71</v>
      </c>
      <c r="AA64" s="18">
        <f t="shared" si="35"/>
        <v>614</v>
      </c>
      <c r="AB64" s="4" t="s">
        <v>0</v>
      </c>
    </row>
    <row r="65" spans="1:28">
      <c r="A65" s="9" t="s">
        <v>352</v>
      </c>
      <c r="B65" s="24"/>
      <c r="C65" s="26"/>
      <c r="D65" s="25">
        <f t="shared" si="46"/>
        <v>86</v>
      </c>
      <c r="E65" s="29">
        <f t="shared" si="44"/>
        <v>122</v>
      </c>
      <c r="F65" s="25">
        <f t="shared" si="47"/>
        <v>101</v>
      </c>
      <c r="G65" s="29">
        <f t="shared" si="45"/>
        <v>136</v>
      </c>
      <c r="H65" s="4" t="s">
        <v>0</v>
      </c>
      <c r="I65" s="16" t="str">
        <f t="shared" si="18"/>
        <v>21-25</v>
      </c>
      <c r="J65" s="14">
        <f t="shared" si="19"/>
        <v>86</v>
      </c>
      <c r="K65" s="15">
        <f t="shared" si="20"/>
        <v>122</v>
      </c>
      <c r="L65" s="17">
        <f t="shared" si="21"/>
        <v>101</v>
      </c>
      <c r="M65" s="18">
        <f t="shared" si="22"/>
        <v>122</v>
      </c>
      <c r="N65" s="14">
        <f t="shared" si="23"/>
        <v>101</v>
      </c>
      <c r="O65" s="15">
        <f t="shared" si="24"/>
        <v>136</v>
      </c>
      <c r="P65" s="17">
        <f t="shared" si="25"/>
        <v>86</v>
      </c>
      <c r="Q65" s="18">
        <f t="shared" si="26"/>
        <v>136</v>
      </c>
      <c r="R65" s="4" t="s">
        <v>0</v>
      </c>
      <c r="S65" s="16" t="str">
        <f t="shared" si="27"/>
        <v>21-25</v>
      </c>
      <c r="T65" s="14">
        <f t="shared" si="28"/>
        <v>86</v>
      </c>
      <c r="U65" s="18">
        <f t="shared" si="29"/>
        <v>628</v>
      </c>
      <c r="V65" s="14">
        <f t="shared" si="30"/>
        <v>101</v>
      </c>
      <c r="W65" s="18">
        <f t="shared" si="31"/>
        <v>628</v>
      </c>
      <c r="X65" s="14">
        <f t="shared" si="32"/>
        <v>101</v>
      </c>
      <c r="Y65" s="18">
        <f t="shared" si="33"/>
        <v>614</v>
      </c>
      <c r="Z65" s="14">
        <f t="shared" si="34"/>
        <v>86</v>
      </c>
      <c r="AA65" s="18">
        <f t="shared" si="35"/>
        <v>614</v>
      </c>
      <c r="AB65" s="4" t="s">
        <v>0</v>
      </c>
    </row>
    <row r="66" spans="1:28">
      <c r="A66" s="9" t="s">
        <v>351</v>
      </c>
      <c r="B66" s="24"/>
      <c r="C66" s="26"/>
      <c r="D66" s="25">
        <f t="shared" si="46"/>
        <v>101</v>
      </c>
      <c r="E66" s="29">
        <f t="shared" si="44"/>
        <v>122</v>
      </c>
      <c r="F66" s="25">
        <f t="shared" si="47"/>
        <v>116</v>
      </c>
      <c r="G66" s="29">
        <f t="shared" si="45"/>
        <v>136</v>
      </c>
      <c r="H66" s="4" t="s">
        <v>0</v>
      </c>
      <c r="I66" s="16" t="str">
        <f t="shared" si="18"/>
        <v>21-23</v>
      </c>
      <c r="J66" s="14">
        <f t="shared" si="19"/>
        <v>101</v>
      </c>
      <c r="K66" s="15">
        <f t="shared" si="20"/>
        <v>122</v>
      </c>
      <c r="L66" s="17">
        <f t="shared" si="21"/>
        <v>116</v>
      </c>
      <c r="M66" s="18">
        <f t="shared" si="22"/>
        <v>122</v>
      </c>
      <c r="N66" s="14">
        <f t="shared" si="23"/>
        <v>116</v>
      </c>
      <c r="O66" s="15">
        <f t="shared" si="24"/>
        <v>136</v>
      </c>
      <c r="P66" s="17">
        <f t="shared" si="25"/>
        <v>101</v>
      </c>
      <c r="Q66" s="18">
        <f t="shared" si="26"/>
        <v>136</v>
      </c>
      <c r="R66" s="4" t="s">
        <v>0</v>
      </c>
      <c r="S66" s="16" t="str">
        <f t="shared" si="27"/>
        <v>21-23</v>
      </c>
      <c r="T66" s="14">
        <f t="shared" si="28"/>
        <v>101</v>
      </c>
      <c r="U66" s="18">
        <f t="shared" si="29"/>
        <v>628</v>
      </c>
      <c r="V66" s="14">
        <f t="shared" si="30"/>
        <v>116</v>
      </c>
      <c r="W66" s="18">
        <f t="shared" si="31"/>
        <v>628</v>
      </c>
      <c r="X66" s="14">
        <f t="shared" si="32"/>
        <v>116</v>
      </c>
      <c r="Y66" s="18">
        <f t="shared" si="33"/>
        <v>614</v>
      </c>
      <c r="Z66" s="14">
        <f t="shared" si="34"/>
        <v>101</v>
      </c>
      <c r="AA66" s="18">
        <f t="shared" si="35"/>
        <v>614</v>
      </c>
      <c r="AB66" s="4" t="s">
        <v>0</v>
      </c>
    </row>
    <row r="67" spans="1:28">
      <c r="A67" s="9" t="s">
        <v>350</v>
      </c>
      <c r="B67" s="24"/>
      <c r="C67" s="26"/>
      <c r="D67" s="25">
        <f t="shared" si="46"/>
        <v>116</v>
      </c>
      <c r="E67" s="29">
        <f t="shared" si="44"/>
        <v>122</v>
      </c>
      <c r="F67" s="25">
        <f t="shared" si="47"/>
        <v>131</v>
      </c>
      <c r="G67" s="29">
        <f t="shared" si="45"/>
        <v>136</v>
      </c>
      <c r="H67" s="4" t="s">
        <v>0</v>
      </c>
      <c r="I67" s="16" t="str">
        <f t="shared" si="18"/>
        <v>21-22</v>
      </c>
      <c r="J67" s="14">
        <f t="shared" si="19"/>
        <v>116</v>
      </c>
      <c r="K67" s="15">
        <f t="shared" si="20"/>
        <v>122</v>
      </c>
      <c r="L67" s="17">
        <f t="shared" si="21"/>
        <v>131</v>
      </c>
      <c r="M67" s="18">
        <f t="shared" si="22"/>
        <v>122</v>
      </c>
      <c r="N67" s="14">
        <f t="shared" si="23"/>
        <v>131</v>
      </c>
      <c r="O67" s="15">
        <f t="shared" si="24"/>
        <v>136</v>
      </c>
      <c r="P67" s="17">
        <f t="shared" si="25"/>
        <v>116</v>
      </c>
      <c r="Q67" s="18">
        <f t="shared" si="26"/>
        <v>136</v>
      </c>
      <c r="R67" s="4" t="s">
        <v>0</v>
      </c>
      <c r="S67" s="16" t="str">
        <f t="shared" si="27"/>
        <v>21-22</v>
      </c>
      <c r="T67" s="14">
        <f t="shared" si="28"/>
        <v>116</v>
      </c>
      <c r="U67" s="18">
        <f t="shared" si="29"/>
        <v>628</v>
      </c>
      <c r="V67" s="14">
        <f t="shared" si="30"/>
        <v>131</v>
      </c>
      <c r="W67" s="18">
        <f t="shared" si="31"/>
        <v>628</v>
      </c>
      <c r="X67" s="14">
        <f t="shared" si="32"/>
        <v>131</v>
      </c>
      <c r="Y67" s="18">
        <f t="shared" si="33"/>
        <v>614</v>
      </c>
      <c r="Z67" s="14">
        <f t="shared" si="34"/>
        <v>116</v>
      </c>
      <c r="AA67" s="18">
        <f t="shared" si="35"/>
        <v>614</v>
      </c>
      <c r="AB67" s="4" t="s">
        <v>0</v>
      </c>
    </row>
    <row r="68" spans="1:28">
      <c r="A68" s="9" t="s">
        <v>349</v>
      </c>
      <c r="B68" s="24"/>
      <c r="C68" s="26"/>
      <c r="D68" s="25">
        <f t="shared" si="46"/>
        <v>131</v>
      </c>
      <c r="E68" s="29">
        <f t="shared" ref="E68:E84" si="48">E67</f>
        <v>122</v>
      </c>
      <c r="F68" s="25">
        <f t="shared" si="47"/>
        <v>146</v>
      </c>
      <c r="G68" s="29">
        <f t="shared" ref="G68:G84" si="49">G67</f>
        <v>136</v>
      </c>
      <c r="H68" s="4" t="s">
        <v>0</v>
      </c>
      <c r="I68" s="16" t="str">
        <f t="shared" si="18"/>
        <v>21-21</v>
      </c>
      <c r="J68" s="14">
        <f t="shared" si="19"/>
        <v>131</v>
      </c>
      <c r="K68" s="15">
        <f t="shared" si="20"/>
        <v>122</v>
      </c>
      <c r="L68" s="17">
        <f t="shared" si="21"/>
        <v>146</v>
      </c>
      <c r="M68" s="18">
        <f t="shared" si="22"/>
        <v>122</v>
      </c>
      <c r="N68" s="14">
        <f t="shared" si="23"/>
        <v>146</v>
      </c>
      <c r="O68" s="15">
        <f t="shared" si="24"/>
        <v>136</v>
      </c>
      <c r="P68" s="17">
        <f t="shared" si="25"/>
        <v>131</v>
      </c>
      <c r="Q68" s="18">
        <f t="shared" si="26"/>
        <v>136</v>
      </c>
      <c r="R68" s="4" t="s">
        <v>0</v>
      </c>
      <c r="S68" s="16" t="str">
        <f t="shared" si="27"/>
        <v>21-21</v>
      </c>
      <c r="T68" s="14">
        <f t="shared" si="28"/>
        <v>131</v>
      </c>
      <c r="U68" s="18">
        <f t="shared" si="29"/>
        <v>628</v>
      </c>
      <c r="V68" s="14">
        <f t="shared" si="30"/>
        <v>146</v>
      </c>
      <c r="W68" s="18">
        <f t="shared" si="31"/>
        <v>628</v>
      </c>
      <c r="X68" s="14">
        <f t="shared" si="32"/>
        <v>146</v>
      </c>
      <c r="Y68" s="18">
        <f t="shared" si="33"/>
        <v>614</v>
      </c>
      <c r="Z68" s="14">
        <f t="shared" si="34"/>
        <v>131</v>
      </c>
      <c r="AA68" s="18">
        <f t="shared" si="35"/>
        <v>614</v>
      </c>
      <c r="AB68" s="4" t="s">
        <v>0</v>
      </c>
    </row>
    <row r="69" spans="1:28">
      <c r="A69" s="9" t="s">
        <v>348</v>
      </c>
      <c r="B69" s="24"/>
      <c r="C69" s="26"/>
      <c r="D69" s="25">
        <f t="shared" si="46"/>
        <v>146</v>
      </c>
      <c r="E69" s="29">
        <f t="shared" si="48"/>
        <v>122</v>
      </c>
      <c r="F69" s="25">
        <f t="shared" si="47"/>
        <v>161</v>
      </c>
      <c r="G69" s="29">
        <f t="shared" si="49"/>
        <v>136</v>
      </c>
      <c r="H69" s="4" t="s">
        <v>0</v>
      </c>
      <c r="I69" s="16" t="str">
        <f t="shared" si="18"/>
        <v>21-20</v>
      </c>
      <c r="J69" s="14">
        <f t="shared" si="19"/>
        <v>146</v>
      </c>
      <c r="K69" s="15">
        <f t="shared" si="20"/>
        <v>122</v>
      </c>
      <c r="L69" s="17">
        <f t="shared" si="21"/>
        <v>161</v>
      </c>
      <c r="M69" s="18">
        <f t="shared" si="22"/>
        <v>122</v>
      </c>
      <c r="N69" s="14">
        <f t="shared" si="23"/>
        <v>161</v>
      </c>
      <c r="O69" s="15">
        <f t="shared" si="24"/>
        <v>136</v>
      </c>
      <c r="P69" s="17">
        <f t="shared" si="25"/>
        <v>146</v>
      </c>
      <c r="Q69" s="18">
        <f t="shared" si="26"/>
        <v>136</v>
      </c>
      <c r="R69" s="4" t="s">
        <v>0</v>
      </c>
      <c r="S69" s="16" t="str">
        <f t="shared" si="27"/>
        <v>21-20</v>
      </c>
      <c r="T69" s="14">
        <f t="shared" si="28"/>
        <v>146</v>
      </c>
      <c r="U69" s="18">
        <f t="shared" si="29"/>
        <v>628</v>
      </c>
      <c r="V69" s="14">
        <f t="shared" si="30"/>
        <v>161</v>
      </c>
      <c r="W69" s="18">
        <f t="shared" si="31"/>
        <v>628</v>
      </c>
      <c r="X69" s="14">
        <f t="shared" si="32"/>
        <v>161</v>
      </c>
      <c r="Y69" s="18">
        <f t="shared" si="33"/>
        <v>614</v>
      </c>
      <c r="Z69" s="14">
        <f t="shared" si="34"/>
        <v>146</v>
      </c>
      <c r="AA69" s="18">
        <f t="shared" si="35"/>
        <v>614</v>
      </c>
      <c r="AB69" s="4" t="s">
        <v>0</v>
      </c>
    </row>
    <row r="70" spans="1:28">
      <c r="A70" s="9" t="s">
        <v>347</v>
      </c>
      <c r="B70" s="24"/>
      <c r="C70" s="26"/>
      <c r="D70" s="25">
        <f t="shared" si="46"/>
        <v>161</v>
      </c>
      <c r="E70" s="29">
        <f t="shared" si="48"/>
        <v>122</v>
      </c>
      <c r="F70" s="25">
        <f t="shared" si="47"/>
        <v>176</v>
      </c>
      <c r="G70" s="29">
        <f t="shared" si="49"/>
        <v>136</v>
      </c>
      <c r="H70" s="4" t="s">
        <v>0</v>
      </c>
      <c r="I70" s="16" t="str">
        <f t="shared" si="18"/>
        <v>21-18</v>
      </c>
      <c r="J70" s="14">
        <f t="shared" si="19"/>
        <v>161</v>
      </c>
      <c r="K70" s="15">
        <f t="shared" si="20"/>
        <v>122</v>
      </c>
      <c r="L70" s="17">
        <f t="shared" si="21"/>
        <v>176</v>
      </c>
      <c r="M70" s="18">
        <f t="shared" si="22"/>
        <v>122</v>
      </c>
      <c r="N70" s="14">
        <f t="shared" si="23"/>
        <v>176</v>
      </c>
      <c r="O70" s="15">
        <f t="shared" si="24"/>
        <v>136</v>
      </c>
      <c r="P70" s="17">
        <f t="shared" si="25"/>
        <v>161</v>
      </c>
      <c r="Q70" s="18">
        <f t="shared" si="26"/>
        <v>136</v>
      </c>
      <c r="R70" s="4" t="s">
        <v>0</v>
      </c>
      <c r="S70" s="16" t="str">
        <f t="shared" si="27"/>
        <v>21-18</v>
      </c>
      <c r="T70" s="14">
        <f t="shared" si="28"/>
        <v>161</v>
      </c>
      <c r="U70" s="18">
        <f t="shared" si="29"/>
        <v>628</v>
      </c>
      <c r="V70" s="14">
        <f t="shared" si="30"/>
        <v>176</v>
      </c>
      <c r="W70" s="18">
        <f t="shared" si="31"/>
        <v>628</v>
      </c>
      <c r="X70" s="14">
        <f t="shared" si="32"/>
        <v>176</v>
      </c>
      <c r="Y70" s="18">
        <f t="shared" si="33"/>
        <v>614</v>
      </c>
      <c r="Z70" s="14">
        <f t="shared" si="34"/>
        <v>161</v>
      </c>
      <c r="AA70" s="18">
        <f t="shared" si="35"/>
        <v>614</v>
      </c>
      <c r="AB70" s="4" t="s">
        <v>0</v>
      </c>
    </row>
    <row r="71" spans="1:28">
      <c r="A71" s="9" t="s">
        <v>346</v>
      </c>
      <c r="B71" s="24"/>
      <c r="C71" s="26"/>
      <c r="D71" s="25">
        <f t="shared" si="46"/>
        <v>176</v>
      </c>
      <c r="E71" s="29">
        <f t="shared" si="48"/>
        <v>122</v>
      </c>
      <c r="F71" s="25">
        <f t="shared" si="47"/>
        <v>191</v>
      </c>
      <c r="G71" s="29">
        <f t="shared" si="49"/>
        <v>136</v>
      </c>
      <c r="H71" s="4" t="s">
        <v>0</v>
      </c>
      <c r="I71" s="16" t="str">
        <f t="shared" si="18"/>
        <v>21-17</v>
      </c>
      <c r="J71" s="14">
        <f t="shared" si="19"/>
        <v>176</v>
      </c>
      <c r="K71" s="15">
        <f t="shared" si="20"/>
        <v>122</v>
      </c>
      <c r="L71" s="17">
        <f t="shared" si="21"/>
        <v>191</v>
      </c>
      <c r="M71" s="18">
        <f t="shared" si="22"/>
        <v>122</v>
      </c>
      <c r="N71" s="14">
        <f t="shared" si="23"/>
        <v>191</v>
      </c>
      <c r="O71" s="15">
        <f t="shared" si="24"/>
        <v>136</v>
      </c>
      <c r="P71" s="17">
        <f t="shared" si="25"/>
        <v>176</v>
      </c>
      <c r="Q71" s="18">
        <f t="shared" si="26"/>
        <v>136</v>
      </c>
      <c r="R71" s="4" t="s">
        <v>0</v>
      </c>
      <c r="S71" s="16" t="str">
        <f t="shared" si="27"/>
        <v>21-17</v>
      </c>
      <c r="T71" s="14">
        <f t="shared" si="28"/>
        <v>176</v>
      </c>
      <c r="U71" s="18">
        <f t="shared" si="29"/>
        <v>628</v>
      </c>
      <c r="V71" s="14">
        <f t="shared" si="30"/>
        <v>191</v>
      </c>
      <c r="W71" s="18">
        <f t="shared" si="31"/>
        <v>628</v>
      </c>
      <c r="X71" s="14">
        <f t="shared" si="32"/>
        <v>191</v>
      </c>
      <c r="Y71" s="18">
        <f t="shared" si="33"/>
        <v>614</v>
      </c>
      <c r="Z71" s="14">
        <f t="shared" si="34"/>
        <v>176</v>
      </c>
      <c r="AA71" s="18">
        <f t="shared" si="35"/>
        <v>614</v>
      </c>
      <c r="AB71" s="4" t="s">
        <v>0</v>
      </c>
    </row>
    <row r="72" spans="1:28">
      <c r="A72" s="9" t="s">
        <v>345</v>
      </c>
      <c r="B72" s="24"/>
      <c r="C72" s="26"/>
      <c r="D72" s="25">
        <f t="shared" si="46"/>
        <v>191</v>
      </c>
      <c r="E72" s="29">
        <f t="shared" si="48"/>
        <v>122</v>
      </c>
      <c r="F72" s="25">
        <f t="shared" si="47"/>
        <v>206</v>
      </c>
      <c r="G72" s="29">
        <f t="shared" si="49"/>
        <v>136</v>
      </c>
      <c r="H72" s="4" t="s">
        <v>0</v>
      </c>
      <c r="I72" s="16" t="str">
        <f t="shared" si="18"/>
        <v>21-16</v>
      </c>
      <c r="J72" s="14">
        <f t="shared" si="19"/>
        <v>191</v>
      </c>
      <c r="K72" s="15">
        <f t="shared" si="20"/>
        <v>122</v>
      </c>
      <c r="L72" s="17">
        <f t="shared" si="21"/>
        <v>206</v>
      </c>
      <c r="M72" s="18">
        <f t="shared" si="22"/>
        <v>122</v>
      </c>
      <c r="N72" s="14">
        <f t="shared" si="23"/>
        <v>206</v>
      </c>
      <c r="O72" s="15">
        <f t="shared" si="24"/>
        <v>136</v>
      </c>
      <c r="P72" s="17">
        <f t="shared" si="25"/>
        <v>191</v>
      </c>
      <c r="Q72" s="18">
        <f t="shared" si="26"/>
        <v>136</v>
      </c>
      <c r="R72" s="4" t="s">
        <v>0</v>
      </c>
      <c r="S72" s="16" t="str">
        <f t="shared" si="27"/>
        <v>21-16</v>
      </c>
      <c r="T72" s="14">
        <f t="shared" si="28"/>
        <v>191</v>
      </c>
      <c r="U72" s="18">
        <f t="shared" si="29"/>
        <v>628</v>
      </c>
      <c r="V72" s="14">
        <f t="shared" si="30"/>
        <v>206</v>
      </c>
      <c r="W72" s="18">
        <f t="shared" si="31"/>
        <v>628</v>
      </c>
      <c r="X72" s="14">
        <f t="shared" si="32"/>
        <v>206</v>
      </c>
      <c r="Y72" s="18">
        <f t="shared" si="33"/>
        <v>614</v>
      </c>
      <c r="Z72" s="14">
        <f t="shared" si="34"/>
        <v>191</v>
      </c>
      <c r="AA72" s="18">
        <f t="shared" si="35"/>
        <v>614</v>
      </c>
      <c r="AB72" s="4" t="s">
        <v>0</v>
      </c>
    </row>
    <row r="73" spans="1:28">
      <c r="A73" s="9" t="s">
        <v>344</v>
      </c>
      <c r="B73" s="24"/>
      <c r="C73" s="26"/>
      <c r="D73" s="25">
        <f t="shared" si="46"/>
        <v>206</v>
      </c>
      <c r="E73" s="29">
        <f t="shared" si="48"/>
        <v>122</v>
      </c>
      <c r="F73" s="25">
        <f t="shared" si="47"/>
        <v>221</v>
      </c>
      <c r="G73" s="29">
        <f t="shared" si="49"/>
        <v>136</v>
      </c>
      <c r="H73" s="4" t="s">
        <v>0</v>
      </c>
      <c r="I73" s="16" t="str">
        <f t="shared" si="18"/>
        <v>21-15</v>
      </c>
      <c r="J73" s="14">
        <f t="shared" si="19"/>
        <v>206</v>
      </c>
      <c r="K73" s="15">
        <f t="shared" si="20"/>
        <v>122</v>
      </c>
      <c r="L73" s="17">
        <f t="shared" si="21"/>
        <v>221</v>
      </c>
      <c r="M73" s="18">
        <f t="shared" si="22"/>
        <v>122</v>
      </c>
      <c r="N73" s="14">
        <f t="shared" si="23"/>
        <v>221</v>
      </c>
      <c r="O73" s="15">
        <f t="shared" si="24"/>
        <v>136</v>
      </c>
      <c r="P73" s="17">
        <f t="shared" si="25"/>
        <v>206</v>
      </c>
      <c r="Q73" s="18">
        <f t="shared" si="26"/>
        <v>136</v>
      </c>
      <c r="R73" s="4" t="s">
        <v>0</v>
      </c>
      <c r="S73" s="16" t="str">
        <f t="shared" si="27"/>
        <v>21-15</v>
      </c>
      <c r="T73" s="14">
        <f t="shared" si="28"/>
        <v>206</v>
      </c>
      <c r="U73" s="18">
        <f t="shared" si="29"/>
        <v>628</v>
      </c>
      <c r="V73" s="14">
        <f t="shared" si="30"/>
        <v>221</v>
      </c>
      <c r="W73" s="18">
        <f t="shared" si="31"/>
        <v>628</v>
      </c>
      <c r="X73" s="14">
        <f t="shared" si="32"/>
        <v>221</v>
      </c>
      <c r="Y73" s="18">
        <f t="shared" si="33"/>
        <v>614</v>
      </c>
      <c r="Z73" s="14">
        <f t="shared" si="34"/>
        <v>206</v>
      </c>
      <c r="AA73" s="18">
        <f t="shared" si="35"/>
        <v>614</v>
      </c>
      <c r="AB73" s="4" t="s">
        <v>0</v>
      </c>
    </row>
    <row r="74" spans="1:28">
      <c r="A74" s="9" t="s">
        <v>343</v>
      </c>
      <c r="B74" s="24"/>
      <c r="C74" s="26"/>
      <c r="D74" s="25">
        <f t="shared" si="46"/>
        <v>245</v>
      </c>
      <c r="E74" s="29">
        <f t="shared" si="48"/>
        <v>122</v>
      </c>
      <c r="F74" s="25">
        <f t="shared" si="47"/>
        <v>260</v>
      </c>
      <c r="G74" s="29">
        <f t="shared" si="49"/>
        <v>136</v>
      </c>
      <c r="H74" s="4" t="s">
        <v>0</v>
      </c>
      <c r="I74" s="16" t="str">
        <f t="shared" si="18"/>
        <v>21-13</v>
      </c>
      <c r="J74" s="14">
        <f t="shared" si="19"/>
        <v>245</v>
      </c>
      <c r="K74" s="15">
        <f t="shared" si="20"/>
        <v>122</v>
      </c>
      <c r="L74" s="17">
        <f t="shared" si="21"/>
        <v>260</v>
      </c>
      <c r="M74" s="18">
        <f t="shared" si="22"/>
        <v>122</v>
      </c>
      <c r="N74" s="14">
        <f t="shared" si="23"/>
        <v>260</v>
      </c>
      <c r="O74" s="15">
        <f t="shared" si="24"/>
        <v>136</v>
      </c>
      <c r="P74" s="17">
        <f t="shared" si="25"/>
        <v>245</v>
      </c>
      <c r="Q74" s="18">
        <f t="shared" si="26"/>
        <v>136</v>
      </c>
      <c r="R74" s="4" t="s">
        <v>0</v>
      </c>
      <c r="S74" s="16" t="str">
        <f t="shared" si="27"/>
        <v>21-13</v>
      </c>
      <c r="T74" s="14">
        <f t="shared" si="28"/>
        <v>245</v>
      </c>
      <c r="U74" s="18">
        <f t="shared" si="29"/>
        <v>628</v>
      </c>
      <c r="V74" s="14">
        <f t="shared" si="30"/>
        <v>260</v>
      </c>
      <c r="W74" s="18">
        <f t="shared" si="31"/>
        <v>628</v>
      </c>
      <c r="X74" s="14">
        <f t="shared" si="32"/>
        <v>260</v>
      </c>
      <c r="Y74" s="18">
        <f t="shared" si="33"/>
        <v>614</v>
      </c>
      <c r="Z74" s="14">
        <f t="shared" si="34"/>
        <v>245</v>
      </c>
      <c r="AA74" s="18">
        <f t="shared" si="35"/>
        <v>614</v>
      </c>
      <c r="AB74" s="4" t="s">
        <v>0</v>
      </c>
    </row>
    <row r="75" spans="1:28">
      <c r="A75" s="9" t="s">
        <v>342</v>
      </c>
      <c r="B75" s="24"/>
      <c r="C75" s="26"/>
      <c r="D75" s="25">
        <f t="shared" si="46"/>
        <v>260</v>
      </c>
      <c r="E75" s="29">
        <f t="shared" si="48"/>
        <v>122</v>
      </c>
      <c r="F75" s="25">
        <f t="shared" si="47"/>
        <v>275</v>
      </c>
      <c r="G75" s="29">
        <f t="shared" si="49"/>
        <v>136</v>
      </c>
      <c r="H75" s="4" t="s">
        <v>0</v>
      </c>
      <c r="I75" s="16" t="str">
        <f t="shared" si="18"/>
        <v>21-12</v>
      </c>
      <c r="J75" s="14">
        <f t="shared" si="19"/>
        <v>260</v>
      </c>
      <c r="K75" s="15">
        <f t="shared" si="20"/>
        <v>122</v>
      </c>
      <c r="L75" s="17">
        <f t="shared" si="21"/>
        <v>275</v>
      </c>
      <c r="M75" s="18">
        <f t="shared" si="22"/>
        <v>122</v>
      </c>
      <c r="N75" s="14">
        <f t="shared" si="23"/>
        <v>275</v>
      </c>
      <c r="O75" s="15">
        <f t="shared" si="24"/>
        <v>136</v>
      </c>
      <c r="P75" s="17">
        <f t="shared" si="25"/>
        <v>260</v>
      </c>
      <c r="Q75" s="18">
        <f t="shared" si="26"/>
        <v>136</v>
      </c>
      <c r="R75" s="4" t="s">
        <v>0</v>
      </c>
      <c r="S75" s="16" t="str">
        <f t="shared" si="27"/>
        <v>21-12</v>
      </c>
      <c r="T75" s="14">
        <f t="shared" si="28"/>
        <v>260</v>
      </c>
      <c r="U75" s="18">
        <f t="shared" si="29"/>
        <v>628</v>
      </c>
      <c r="V75" s="14">
        <f t="shared" si="30"/>
        <v>275</v>
      </c>
      <c r="W75" s="18">
        <f t="shared" si="31"/>
        <v>628</v>
      </c>
      <c r="X75" s="14">
        <f t="shared" si="32"/>
        <v>275</v>
      </c>
      <c r="Y75" s="18">
        <f t="shared" si="33"/>
        <v>614</v>
      </c>
      <c r="Z75" s="14">
        <f t="shared" si="34"/>
        <v>260</v>
      </c>
      <c r="AA75" s="18">
        <f t="shared" si="35"/>
        <v>614</v>
      </c>
      <c r="AB75" s="4" t="s">
        <v>0</v>
      </c>
    </row>
    <row r="76" spans="1:28">
      <c r="A76" s="9" t="s">
        <v>341</v>
      </c>
      <c r="B76" s="24"/>
      <c r="C76" s="26"/>
      <c r="D76" s="25">
        <f t="shared" si="46"/>
        <v>275</v>
      </c>
      <c r="E76" s="29">
        <f t="shared" si="48"/>
        <v>122</v>
      </c>
      <c r="F76" s="25">
        <f t="shared" si="47"/>
        <v>290</v>
      </c>
      <c r="G76" s="29">
        <f t="shared" si="49"/>
        <v>136</v>
      </c>
      <c r="H76" s="4" t="s">
        <v>0</v>
      </c>
      <c r="I76" s="16" t="str">
        <f t="shared" si="18"/>
        <v>21-11</v>
      </c>
      <c r="J76" s="14">
        <f t="shared" si="19"/>
        <v>275</v>
      </c>
      <c r="K76" s="15">
        <f t="shared" si="20"/>
        <v>122</v>
      </c>
      <c r="L76" s="17">
        <f t="shared" si="21"/>
        <v>290</v>
      </c>
      <c r="M76" s="18">
        <f t="shared" si="22"/>
        <v>122</v>
      </c>
      <c r="N76" s="14">
        <f t="shared" si="23"/>
        <v>290</v>
      </c>
      <c r="O76" s="15">
        <f t="shared" si="24"/>
        <v>136</v>
      </c>
      <c r="P76" s="17">
        <f t="shared" si="25"/>
        <v>275</v>
      </c>
      <c r="Q76" s="18">
        <f t="shared" si="26"/>
        <v>136</v>
      </c>
      <c r="R76" s="4" t="s">
        <v>0</v>
      </c>
      <c r="S76" s="16" t="str">
        <f t="shared" si="27"/>
        <v>21-11</v>
      </c>
      <c r="T76" s="14">
        <f t="shared" si="28"/>
        <v>275</v>
      </c>
      <c r="U76" s="18">
        <f t="shared" si="29"/>
        <v>628</v>
      </c>
      <c r="V76" s="14">
        <f t="shared" si="30"/>
        <v>290</v>
      </c>
      <c r="W76" s="18">
        <f t="shared" si="31"/>
        <v>628</v>
      </c>
      <c r="X76" s="14">
        <f t="shared" si="32"/>
        <v>290</v>
      </c>
      <c r="Y76" s="18">
        <f t="shared" si="33"/>
        <v>614</v>
      </c>
      <c r="Z76" s="14">
        <f t="shared" si="34"/>
        <v>275</v>
      </c>
      <c r="AA76" s="18">
        <f t="shared" si="35"/>
        <v>614</v>
      </c>
      <c r="AB76" s="4" t="s">
        <v>0</v>
      </c>
    </row>
    <row r="77" spans="1:28">
      <c r="A77" s="9" t="s">
        <v>340</v>
      </c>
      <c r="B77" s="24"/>
      <c r="C77" s="26"/>
      <c r="D77" s="25">
        <f t="shared" si="46"/>
        <v>290</v>
      </c>
      <c r="E77" s="29">
        <f t="shared" si="48"/>
        <v>122</v>
      </c>
      <c r="F77" s="25">
        <f t="shared" si="47"/>
        <v>305</v>
      </c>
      <c r="G77" s="29">
        <f t="shared" si="49"/>
        <v>136</v>
      </c>
      <c r="H77" s="4" t="s">
        <v>0</v>
      </c>
      <c r="I77" s="16" t="str">
        <f t="shared" ref="I77:I140" si="50">A77</f>
        <v>21-10</v>
      </c>
      <c r="J77" s="14">
        <f t="shared" ref="J77:J140" si="51">IF(D77&lt;&gt;"",D77,0)</f>
        <v>290</v>
      </c>
      <c r="K77" s="15">
        <f t="shared" ref="K77:K140" si="52">IF(E77&lt;&gt;"",E77,0)</f>
        <v>122</v>
      </c>
      <c r="L77" s="17">
        <f t="shared" ref="L77:L140" si="53">N77</f>
        <v>305</v>
      </c>
      <c r="M77" s="18">
        <f t="shared" ref="M77:M140" si="54">K77</f>
        <v>122</v>
      </c>
      <c r="N77" s="14">
        <f t="shared" ref="N77:N140" si="55">IF(F77&lt;&gt;"",F77,0)</f>
        <v>305</v>
      </c>
      <c r="O77" s="15">
        <f t="shared" ref="O77:O140" si="56">IF(G77&lt;&gt;"",G77,0)</f>
        <v>136</v>
      </c>
      <c r="P77" s="17">
        <f t="shared" ref="P77:P140" si="57">J77</f>
        <v>290</v>
      </c>
      <c r="Q77" s="18">
        <f t="shared" ref="Q77:Q140" si="58">O77</f>
        <v>136</v>
      </c>
      <c r="R77" s="4" t="s">
        <v>0</v>
      </c>
      <c r="S77" s="16" t="str">
        <f t="shared" ref="S77:S140" si="59">I77</f>
        <v>21-10</v>
      </c>
      <c r="T77" s="14">
        <f t="shared" ref="T77:T140" si="60">IF(J77&lt;&gt;"",J77,"")</f>
        <v>290</v>
      </c>
      <c r="U77" s="18">
        <f t="shared" ref="U77:U140" si="61">IF(K77&lt;&gt;"",U$6-K77,"")</f>
        <v>628</v>
      </c>
      <c r="V77" s="14">
        <f t="shared" ref="V77:V140" si="62">IF(L77&lt;&gt;"",L77,"")</f>
        <v>305</v>
      </c>
      <c r="W77" s="18">
        <f t="shared" ref="W77:W140" si="63">IF(M77&lt;&gt;"",W$6-M77,"")</f>
        <v>628</v>
      </c>
      <c r="X77" s="14">
        <f t="shared" ref="X77:X140" si="64">IF(N77&lt;&gt;"",N77,"")</f>
        <v>305</v>
      </c>
      <c r="Y77" s="18">
        <f t="shared" ref="Y77:Y140" si="65">IF(O77&lt;&gt;"",Y$6-O77,"")</f>
        <v>614</v>
      </c>
      <c r="Z77" s="14">
        <f t="shared" ref="Z77:Z140" si="66">IF(P77&lt;&gt;"",P77,"")</f>
        <v>290</v>
      </c>
      <c r="AA77" s="18">
        <f t="shared" ref="AA77:AA140" si="67">IF(Q77&lt;&gt;"",AA$6-Q77,"")</f>
        <v>614</v>
      </c>
      <c r="AB77" s="4" t="s">
        <v>0</v>
      </c>
    </row>
    <row r="78" spans="1:28">
      <c r="A78" s="9" t="s">
        <v>339</v>
      </c>
      <c r="B78" s="24"/>
      <c r="C78" s="26"/>
      <c r="D78" s="25">
        <f t="shared" si="46"/>
        <v>305</v>
      </c>
      <c r="E78" s="29">
        <f t="shared" si="48"/>
        <v>122</v>
      </c>
      <c r="F78" s="25">
        <f t="shared" si="47"/>
        <v>320</v>
      </c>
      <c r="G78" s="29">
        <f t="shared" si="49"/>
        <v>136</v>
      </c>
      <c r="H78" s="4" t="s">
        <v>0</v>
      </c>
      <c r="I78" s="16" t="str">
        <f t="shared" si="50"/>
        <v>21-08</v>
      </c>
      <c r="J78" s="14">
        <f t="shared" si="51"/>
        <v>305</v>
      </c>
      <c r="K78" s="15">
        <f t="shared" si="52"/>
        <v>122</v>
      </c>
      <c r="L78" s="17">
        <f t="shared" si="53"/>
        <v>320</v>
      </c>
      <c r="M78" s="18">
        <f t="shared" si="54"/>
        <v>122</v>
      </c>
      <c r="N78" s="14">
        <f t="shared" si="55"/>
        <v>320</v>
      </c>
      <c r="O78" s="15">
        <f t="shared" si="56"/>
        <v>136</v>
      </c>
      <c r="P78" s="17">
        <f t="shared" si="57"/>
        <v>305</v>
      </c>
      <c r="Q78" s="18">
        <f t="shared" si="58"/>
        <v>136</v>
      </c>
      <c r="R78" s="4" t="s">
        <v>0</v>
      </c>
      <c r="S78" s="16" t="str">
        <f t="shared" si="59"/>
        <v>21-08</v>
      </c>
      <c r="T78" s="14">
        <f t="shared" si="60"/>
        <v>305</v>
      </c>
      <c r="U78" s="18">
        <f t="shared" si="61"/>
        <v>628</v>
      </c>
      <c r="V78" s="14">
        <f t="shared" si="62"/>
        <v>320</v>
      </c>
      <c r="W78" s="18">
        <f t="shared" si="63"/>
        <v>628</v>
      </c>
      <c r="X78" s="14">
        <f t="shared" si="64"/>
        <v>320</v>
      </c>
      <c r="Y78" s="18">
        <f t="shared" si="65"/>
        <v>614</v>
      </c>
      <c r="Z78" s="14">
        <f t="shared" si="66"/>
        <v>305</v>
      </c>
      <c r="AA78" s="18">
        <f t="shared" si="67"/>
        <v>614</v>
      </c>
      <c r="AB78" s="4" t="s">
        <v>0</v>
      </c>
    </row>
    <row r="79" spans="1:28">
      <c r="A79" s="9" t="s">
        <v>338</v>
      </c>
      <c r="B79" s="24"/>
      <c r="C79" s="26"/>
      <c r="D79" s="25">
        <f t="shared" si="46"/>
        <v>320</v>
      </c>
      <c r="E79" s="29">
        <f t="shared" si="48"/>
        <v>122</v>
      </c>
      <c r="F79" s="25">
        <f t="shared" si="47"/>
        <v>335</v>
      </c>
      <c r="G79" s="29">
        <f t="shared" si="49"/>
        <v>136</v>
      </c>
      <c r="H79" s="4" t="s">
        <v>0</v>
      </c>
      <c r="I79" s="16" t="str">
        <f t="shared" si="50"/>
        <v>21-07</v>
      </c>
      <c r="J79" s="14">
        <f t="shared" si="51"/>
        <v>320</v>
      </c>
      <c r="K79" s="15">
        <f t="shared" si="52"/>
        <v>122</v>
      </c>
      <c r="L79" s="17">
        <f t="shared" si="53"/>
        <v>335</v>
      </c>
      <c r="M79" s="18">
        <f t="shared" si="54"/>
        <v>122</v>
      </c>
      <c r="N79" s="14">
        <f t="shared" si="55"/>
        <v>335</v>
      </c>
      <c r="O79" s="15">
        <f t="shared" si="56"/>
        <v>136</v>
      </c>
      <c r="P79" s="17">
        <f t="shared" si="57"/>
        <v>320</v>
      </c>
      <c r="Q79" s="18">
        <f t="shared" si="58"/>
        <v>136</v>
      </c>
      <c r="R79" s="4" t="s">
        <v>0</v>
      </c>
      <c r="S79" s="16" t="str">
        <f t="shared" si="59"/>
        <v>21-07</v>
      </c>
      <c r="T79" s="14">
        <f t="shared" si="60"/>
        <v>320</v>
      </c>
      <c r="U79" s="18">
        <f t="shared" si="61"/>
        <v>628</v>
      </c>
      <c r="V79" s="14">
        <f t="shared" si="62"/>
        <v>335</v>
      </c>
      <c r="W79" s="18">
        <f t="shared" si="63"/>
        <v>628</v>
      </c>
      <c r="X79" s="14">
        <f t="shared" si="64"/>
        <v>335</v>
      </c>
      <c r="Y79" s="18">
        <f t="shared" si="65"/>
        <v>614</v>
      </c>
      <c r="Z79" s="14">
        <f t="shared" si="66"/>
        <v>320</v>
      </c>
      <c r="AA79" s="18">
        <f t="shared" si="67"/>
        <v>614</v>
      </c>
      <c r="AB79" s="4" t="s">
        <v>0</v>
      </c>
    </row>
    <row r="80" spans="1:28">
      <c r="A80" s="9" t="s">
        <v>337</v>
      </c>
      <c r="B80" s="24"/>
      <c r="C80" s="26"/>
      <c r="D80" s="25">
        <f t="shared" si="46"/>
        <v>335</v>
      </c>
      <c r="E80" s="29">
        <f t="shared" si="48"/>
        <v>122</v>
      </c>
      <c r="F80" s="25">
        <f t="shared" si="47"/>
        <v>350</v>
      </c>
      <c r="G80" s="29">
        <f t="shared" si="49"/>
        <v>136</v>
      </c>
      <c r="H80" s="4" t="s">
        <v>0</v>
      </c>
      <c r="I80" s="16" t="str">
        <f t="shared" si="50"/>
        <v>21-06</v>
      </c>
      <c r="J80" s="14">
        <f t="shared" si="51"/>
        <v>335</v>
      </c>
      <c r="K80" s="15">
        <f t="shared" si="52"/>
        <v>122</v>
      </c>
      <c r="L80" s="17">
        <f t="shared" si="53"/>
        <v>350</v>
      </c>
      <c r="M80" s="18">
        <f t="shared" si="54"/>
        <v>122</v>
      </c>
      <c r="N80" s="14">
        <f t="shared" si="55"/>
        <v>350</v>
      </c>
      <c r="O80" s="15">
        <f t="shared" si="56"/>
        <v>136</v>
      </c>
      <c r="P80" s="17">
        <f t="shared" si="57"/>
        <v>335</v>
      </c>
      <c r="Q80" s="18">
        <f t="shared" si="58"/>
        <v>136</v>
      </c>
      <c r="R80" s="4" t="s">
        <v>0</v>
      </c>
      <c r="S80" s="16" t="str">
        <f t="shared" si="59"/>
        <v>21-06</v>
      </c>
      <c r="T80" s="14">
        <f t="shared" si="60"/>
        <v>335</v>
      </c>
      <c r="U80" s="18">
        <f t="shared" si="61"/>
        <v>628</v>
      </c>
      <c r="V80" s="14">
        <f t="shared" si="62"/>
        <v>350</v>
      </c>
      <c r="W80" s="18">
        <f t="shared" si="63"/>
        <v>628</v>
      </c>
      <c r="X80" s="14">
        <f t="shared" si="64"/>
        <v>350</v>
      </c>
      <c r="Y80" s="18">
        <f t="shared" si="65"/>
        <v>614</v>
      </c>
      <c r="Z80" s="14">
        <f t="shared" si="66"/>
        <v>335</v>
      </c>
      <c r="AA80" s="18">
        <f t="shared" si="67"/>
        <v>614</v>
      </c>
      <c r="AB80" s="4" t="s">
        <v>0</v>
      </c>
    </row>
    <row r="81" spans="1:28">
      <c r="A81" s="9" t="s">
        <v>336</v>
      </c>
      <c r="B81" s="24"/>
      <c r="C81" s="26"/>
      <c r="D81" s="25">
        <f t="shared" si="46"/>
        <v>350</v>
      </c>
      <c r="E81" s="29">
        <f t="shared" si="48"/>
        <v>122</v>
      </c>
      <c r="F81" s="25">
        <f t="shared" si="47"/>
        <v>365</v>
      </c>
      <c r="G81" s="29">
        <f t="shared" si="49"/>
        <v>136</v>
      </c>
      <c r="H81" s="4" t="s">
        <v>0</v>
      </c>
      <c r="I81" s="16" t="str">
        <f t="shared" si="50"/>
        <v>21-05</v>
      </c>
      <c r="J81" s="14">
        <f t="shared" si="51"/>
        <v>350</v>
      </c>
      <c r="K81" s="15">
        <f t="shared" si="52"/>
        <v>122</v>
      </c>
      <c r="L81" s="17">
        <f t="shared" si="53"/>
        <v>365</v>
      </c>
      <c r="M81" s="18">
        <f t="shared" si="54"/>
        <v>122</v>
      </c>
      <c r="N81" s="14">
        <f t="shared" si="55"/>
        <v>365</v>
      </c>
      <c r="O81" s="15">
        <f t="shared" si="56"/>
        <v>136</v>
      </c>
      <c r="P81" s="17">
        <f t="shared" si="57"/>
        <v>350</v>
      </c>
      <c r="Q81" s="18">
        <f t="shared" si="58"/>
        <v>136</v>
      </c>
      <c r="R81" s="4" t="s">
        <v>0</v>
      </c>
      <c r="S81" s="16" t="str">
        <f t="shared" si="59"/>
        <v>21-05</v>
      </c>
      <c r="T81" s="14">
        <f t="shared" si="60"/>
        <v>350</v>
      </c>
      <c r="U81" s="18">
        <f t="shared" si="61"/>
        <v>628</v>
      </c>
      <c r="V81" s="14">
        <f t="shared" si="62"/>
        <v>365</v>
      </c>
      <c r="W81" s="18">
        <f t="shared" si="63"/>
        <v>628</v>
      </c>
      <c r="X81" s="14">
        <f t="shared" si="64"/>
        <v>365</v>
      </c>
      <c r="Y81" s="18">
        <f t="shared" si="65"/>
        <v>614</v>
      </c>
      <c r="Z81" s="14">
        <f t="shared" si="66"/>
        <v>350</v>
      </c>
      <c r="AA81" s="18">
        <f t="shared" si="67"/>
        <v>614</v>
      </c>
      <c r="AB81" s="4" t="s">
        <v>0</v>
      </c>
    </row>
    <row r="82" spans="1:28">
      <c r="A82" s="9" t="s">
        <v>335</v>
      </c>
      <c r="B82" s="24"/>
      <c r="C82" s="26"/>
      <c r="D82" s="25">
        <f t="shared" si="46"/>
        <v>365</v>
      </c>
      <c r="E82" s="29">
        <f t="shared" si="48"/>
        <v>122</v>
      </c>
      <c r="F82" s="25">
        <f t="shared" si="47"/>
        <v>380</v>
      </c>
      <c r="G82" s="29">
        <f t="shared" si="49"/>
        <v>136</v>
      </c>
      <c r="H82" s="4" t="s">
        <v>0</v>
      </c>
      <c r="I82" s="16" t="str">
        <f t="shared" si="50"/>
        <v>21-03</v>
      </c>
      <c r="J82" s="14">
        <f t="shared" si="51"/>
        <v>365</v>
      </c>
      <c r="K82" s="15">
        <f t="shared" si="52"/>
        <v>122</v>
      </c>
      <c r="L82" s="17">
        <f t="shared" si="53"/>
        <v>380</v>
      </c>
      <c r="M82" s="18">
        <f t="shared" si="54"/>
        <v>122</v>
      </c>
      <c r="N82" s="14">
        <f t="shared" si="55"/>
        <v>380</v>
      </c>
      <c r="O82" s="15">
        <f t="shared" si="56"/>
        <v>136</v>
      </c>
      <c r="P82" s="17">
        <f t="shared" si="57"/>
        <v>365</v>
      </c>
      <c r="Q82" s="18">
        <f t="shared" si="58"/>
        <v>136</v>
      </c>
      <c r="R82" s="4" t="s">
        <v>0</v>
      </c>
      <c r="S82" s="16" t="str">
        <f t="shared" si="59"/>
        <v>21-03</v>
      </c>
      <c r="T82" s="14">
        <f t="shared" si="60"/>
        <v>365</v>
      </c>
      <c r="U82" s="18">
        <f t="shared" si="61"/>
        <v>628</v>
      </c>
      <c r="V82" s="14">
        <f t="shared" si="62"/>
        <v>380</v>
      </c>
      <c r="W82" s="18">
        <f t="shared" si="63"/>
        <v>628</v>
      </c>
      <c r="X82" s="14">
        <f t="shared" si="64"/>
        <v>380</v>
      </c>
      <c r="Y82" s="18">
        <f t="shared" si="65"/>
        <v>614</v>
      </c>
      <c r="Z82" s="14">
        <f t="shared" si="66"/>
        <v>365</v>
      </c>
      <c r="AA82" s="18">
        <f t="shared" si="67"/>
        <v>614</v>
      </c>
      <c r="AB82" s="4" t="s">
        <v>0</v>
      </c>
    </row>
    <row r="83" spans="1:28">
      <c r="A83" s="9" t="s">
        <v>334</v>
      </c>
      <c r="B83" s="24"/>
      <c r="C83" s="26"/>
      <c r="D83" s="25">
        <f t="shared" si="46"/>
        <v>380</v>
      </c>
      <c r="E83" s="29">
        <f t="shared" si="48"/>
        <v>122</v>
      </c>
      <c r="F83" s="25">
        <f t="shared" si="47"/>
        <v>395</v>
      </c>
      <c r="G83" s="29">
        <f t="shared" si="49"/>
        <v>136</v>
      </c>
      <c r="H83" s="4" t="s">
        <v>0</v>
      </c>
      <c r="I83" s="16" t="str">
        <f t="shared" si="50"/>
        <v>21-02</v>
      </c>
      <c r="J83" s="14">
        <f t="shared" si="51"/>
        <v>380</v>
      </c>
      <c r="K83" s="15">
        <f t="shared" si="52"/>
        <v>122</v>
      </c>
      <c r="L83" s="17">
        <f t="shared" si="53"/>
        <v>395</v>
      </c>
      <c r="M83" s="18">
        <f t="shared" si="54"/>
        <v>122</v>
      </c>
      <c r="N83" s="14">
        <f t="shared" si="55"/>
        <v>395</v>
      </c>
      <c r="O83" s="15">
        <f t="shared" si="56"/>
        <v>136</v>
      </c>
      <c r="P83" s="17">
        <f t="shared" si="57"/>
        <v>380</v>
      </c>
      <c r="Q83" s="18">
        <f t="shared" si="58"/>
        <v>136</v>
      </c>
      <c r="R83" s="4" t="s">
        <v>0</v>
      </c>
      <c r="S83" s="16" t="str">
        <f t="shared" si="59"/>
        <v>21-02</v>
      </c>
      <c r="T83" s="14">
        <f t="shared" si="60"/>
        <v>380</v>
      </c>
      <c r="U83" s="18">
        <f t="shared" si="61"/>
        <v>628</v>
      </c>
      <c r="V83" s="14">
        <f t="shared" si="62"/>
        <v>395</v>
      </c>
      <c r="W83" s="18">
        <f t="shared" si="63"/>
        <v>628</v>
      </c>
      <c r="X83" s="14">
        <f t="shared" si="64"/>
        <v>395</v>
      </c>
      <c r="Y83" s="18">
        <f t="shared" si="65"/>
        <v>614</v>
      </c>
      <c r="Z83" s="14">
        <f t="shared" si="66"/>
        <v>380</v>
      </c>
      <c r="AA83" s="18">
        <f t="shared" si="67"/>
        <v>614</v>
      </c>
      <c r="AB83" s="4" t="s">
        <v>0</v>
      </c>
    </row>
    <row r="84" spans="1:28">
      <c r="A84" s="9" t="s">
        <v>333</v>
      </c>
      <c r="B84" s="24"/>
      <c r="C84" s="26"/>
      <c r="D84" s="25">
        <f t="shared" si="46"/>
        <v>395</v>
      </c>
      <c r="E84" s="29">
        <f t="shared" si="48"/>
        <v>122</v>
      </c>
      <c r="F84" s="25">
        <f t="shared" si="47"/>
        <v>410</v>
      </c>
      <c r="G84" s="29">
        <f t="shared" si="49"/>
        <v>136</v>
      </c>
      <c r="H84" s="4" t="s">
        <v>0</v>
      </c>
      <c r="I84" s="16" t="str">
        <f t="shared" si="50"/>
        <v>21-01</v>
      </c>
      <c r="J84" s="14">
        <f t="shared" si="51"/>
        <v>395</v>
      </c>
      <c r="K84" s="15">
        <f t="shared" si="52"/>
        <v>122</v>
      </c>
      <c r="L84" s="17">
        <f t="shared" si="53"/>
        <v>410</v>
      </c>
      <c r="M84" s="18">
        <f t="shared" si="54"/>
        <v>122</v>
      </c>
      <c r="N84" s="14">
        <f t="shared" si="55"/>
        <v>410</v>
      </c>
      <c r="O84" s="15">
        <f t="shared" si="56"/>
        <v>136</v>
      </c>
      <c r="P84" s="17">
        <f t="shared" si="57"/>
        <v>395</v>
      </c>
      <c r="Q84" s="18">
        <f t="shared" si="58"/>
        <v>136</v>
      </c>
      <c r="R84" s="4" t="s">
        <v>0</v>
      </c>
      <c r="S84" s="16" t="str">
        <f t="shared" si="59"/>
        <v>21-01</v>
      </c>
      <c r="T84" s="14">
        <f t="shared" si="60"/>
        <v>395</v>
      </c>
      <c r="U84" s="18">
        <f t="shared" si="61"/>
        <v>628</v>
      </c>
      <c r="V84" s="14">
        <f t="shared" si="62"/>
        <v>410</v>
      </c>
      <c r="W84" s="18">
        <f t="shared" si="63"/>
        <v>628</v>
      </c>
      <c r="X84" s="14">
        <f t="shared" si="64"/>
        <v>410</v>
      </c>
      <c r="Y84" s="18">
        <f t="shared" si="65"/>
        <v>614</v>
      </c>
      <c r="Z84" s="14">
        <f t="shared" si="66"/>
        <v>395</v>
      </c>
      <c r="AA84" s="18">
        <f t="shared" si="67"/>
        <v>614</v>
      </c>
      <c r="AB84" s="4" t="s">
        <v>0</v>
      </c>
    </row>
    <row r="85" spans="1:28">
      <c r="A85" s="9" t="s">
        <v>332</v>
      </c>
      <c r="B85" s="24"/>
      <c r="C85" s="26"/>
      <c r="D85" s="27">
        <v>26</v>
      </c>
      <c r="E85" s="31">
        <f>ROUND(E61+19,0)</f>
        <v>141</v>
      </c>
      <c r="F85" s="31">
        <v>41</v>
      </c>
      <c r="G85" s="31">
        <f>ROUND(G61+19,0)</f>
        <v>155</v>
      </c>
      <c r="H85" s="4" t="s">
        <v>0</v>
      </c>
      <c r="I85" s="16" t="str">
        <f t="shared" si="50"/>
        <v>20-30</v>
      </c>
      <c r="J85" s="14">
        <f t="shared" si="51"/>
        <v>26</v>
      </c>
      <c r="K85" s="15">
        <f t="shared" si="52"/>
        <v>141</v>
      </c>
      <c r="L85" s="17">
        <f t="shared" si="53"/>
        <v>41</v>
      </c>
      <c r="M85" s="18">
        <f t="shared" si="54"/>
        <v>141</v>
      </c>
      <c r="N85" s="14">
        <f t="shared" si="55"/>
        <v>41</v>
      </c>
      <c r="O85" s="15">
        <f t="shared" si="56"/>
        <v>155</v>
      </c>
      <c r="P85" s="17">
        <f t="shared" si="57"/>
        <v>26</v>
      </c>
      <c r="Q85" s="18">
        <f t="shared" si="58"/>
        <v>155</v>
      </c>
      <c r="R85" s="4" t="s">
        <v>0</v>
      </c>
      <c r="S85" s="16" t="str">
        <f t="shared" si="59"/>
        <v>20-30</v>
      </c>
      <c r="T85" s="14">
        <f t="shared" si="60"/>
        <v>26</v>
      </c>
      <c r="U85" s="18">
        <f t="shared" si="61"/>
        <v>609</v>
      </c>
      <c r="V85" s="14">
        <f t="shared" si="62"/>
        <v>41</v>
      </c>
      <c r="W85" s="18">
        <f t="shared" si="63"/>
        <v>609</v>
      </c>
      <c r="X85" s="14">
        <f t="shared" si="64"/>
        <v>41</v>
      </c>
      <c r="Y85" s="18">
        <f t="shared" si="65"/>
        <v>595</v>
      </c>
      <c r="Z85" s="14">
        <f t="shared" si="66"/>
        <v>26</v>
      </c>
      <c r="AA85" s="18">
        <f t="shared" si="67"/>
        <v>595</v>
      </c>
      <c r="AB85" s="4" t="s">
        <v>0</v>
      </c>
    </row>
    <row r="86" spans="1:28">
      <c r="A86" s="9" t="s">
        <v>331</v>
      </c>
      <c r="B86" s="24"/>
      <c r="C86" s="26"/>
      <c r="D86" s="25">
        <f>D62</f>
        <v>41</v>
      </c>
      <c r="E86" s="29">
        <f t="shared" ref="E86" si="68">E85</f>
        <v>141</v>
      </c>
      <c r="F86" s="25">
        <f>F62</f>
        <v>56</v>
      </c>
      <c r="G86" s="29">
        <f t="shared" ref="G86" si="69">G85</f>
        <v>155</v>
      </c>
      <c r="H86" s="4" t="s">
        <v>0</v>
      </c>
      <c r="I86" s="16" t="str">
        <f t="shared" si="50"/>
        <v>20-28</v>
      </c>
      <c r="J86" s="14">
        <f t="shared" si="51"/>
        <v>41</v>
      </c>
      <c r="K86" s="15">
        <f t="shared" si="52"/>
        <v>141</v>
      </c>
      <c r="L86" s="17">
        <f t="shared" si="53"/>
        <v>56</v>
      </c>
      <c r="M86" s="18">
        <f t="shared" si="54"/>
        <v>141</v>
      </c>
      <c r="N86" s="14">
        <f t="shared" si="55"/>
        <v>56</v>
      </c>
      <c r="O86" s="15">
        <f t="shared" si="56"/>
        <v>155</v>
      </c>
      <c r="P86" s="17">
        <f t="shared" si="57"/>
        <v>41</v>
      </c>
      <c r="Q86" s="18">
        <f t="shared" si="58"/>
        <v>155</v>
      </c>
      <c r="R86" s="4" t="s">
        <v>0</v>
      </c>
      <c r="S86" s="16" t="str">
        <f t="shared" si="59"/>
        <v>20-28</v>
      </c>
      <c r="T86" s="14">
        <f t="shared" si="60"/>
        <v>41</v>
      </c>
      <c r="U86" s="18">
        <f t="shared" si="61"/>
        <v>609</v>
      </c>
      <c r="V86" s="14">
        <f t="shared" si="62"/>
        <v>56</v>
      </c>
      <c r="W86" s="18">
        <f t="shared" si="63"/>
        <v>609</v>
      </c>
      <c r="X86" s="14">
        <f t="shared" si="64"/>
        <v>56</v>
      </c>
      <c r="Y86" s="18">
        <f t="shared" si="65"/>
        <v>595</v>
      </c>
      <c r="Z86" s="14">
        <f t="shared" si="66"/>
        <v>41</v>
      </c>
      <c r="AA86" s="18">
        <f t="shared" si="67"/>
        <v>595</v>
      </c>
      <c r="AB86" s="4" t="s">
        <v>0</v>
      </c>
    </row>
    <row r="87" spans="1:28">
      <c r="A87" s="9" t="s">
        <v>330</v>
      </c>
      <c r="B87" s="24"/>
      <c r="C87" s="26"/>
      <c r="D87" s="25">
        <f t="shared" ref="D87:D108" si="70">D63</f>
        <v>56</v>
      </c>
      <c r="E87" s="29">
        <f t="shared" ref="E87:E108" si="71">E86</f>
        <v>141</v>
      </c>
      <c r="F87" s="25">
        <f t="shared" ref="F87:F108" si="72">F63</f>
        <v>71</v>
      </c>
      <c r="G87" s="29">
        <f t="shared" ref="G87:G108" si="73">G86</f>
        <v>155</v>
      </c>
      <c r="H87" s="4" t="s">
        <v>0</v>
      </c>
      <c r="I87" s="16" t="str">
        <f t="shared" si="50"/>
        <v>20-27</v>
      </c>
      <c r="J87" s="14">
        <f t="shared" si="51"/>
        <v>56</v>
      </c>
      <c r="K87" s="15">
        <f t="shared" si="52"/>
        <v>141</v>
      </c>
      <c r="L87" s="17">
        <f t="shared" si="53"/>
        <v>71</v>
      </c>
      <c r="M87" s="18">
        <f t="shared" si="54"/>
        <v>141</v>
      </c>
      <c r="N87" s="14">
        <f t="shared" si="55"/>
        <v>71</v>
      </c>
      <c r="O87" s="15">
        <f t="shared" si="56"/>
        <v>155</v>
      </c>
      <c r="P87" s="17">
        <f t="shared" si="57"/>
        <v>56</v>
      </c>
      <c r="Q87" s="18">
        <f t="shared" si="58"/>
        <v>155</v>
      </c>
      <c r="R87" s="4" t="s">
        <v>0</v>
      </c>
      <c r="S87" s="16" t="str">
        <f t="shared" si="59"/>
        <v>20-27</v>
      </c>
      <c r="T87" s="14">
        <f t="shared" si="60"/>
        <v>56</v>
      </c>
      <c r="U87" s="18">
        <f t="shared" si="61"/>
        <v>609</v>
      </c>
      <c r="V87" s="14">
        <f t="shared" si="62"/>
        <v>71</v>
      </c>
      <c r="W87" s="18">
        <f t="shared" si="63"/>
        <v>609</v>
      </c>
      <c r="X87" s="14">
        <f t="shared" si="64"/>
        <v>71</v>
      </c>
      <c r="Y87" s="18">
        <f t="shared" si="65"/>
        <v>595</v>
      </c>
      <c r="Z87" s="14">
        <f t="shared" si="66"/>
        <v>56</v>
      </c>
      <c r="AA87" s="18">
        <f t="shared" si="67"/>
        <v>595</v>
      </c>
      <c r="AB87" s="4" t="s">
        <v>0</v>
      </c>
    </row>
    <row r="88" spans="1:28">
      <c r="A88" s="9" t="s">
        <v>329</v>
      </c>
      <c r="B88" s="24"/>
      <c r="C88" s="26"/>
      <c r="D88" s="25">
        <f t="shared" si="70"/>
        <v>71</v>
      </c>
      <c r="E88" s="29">
        <f t="shared" si="71"/>
        <v>141</v>
      </c>
      <c r="F88" s="25">
        <f t="shared" si="72"/>
        <v>86</v>
      </c>
      <c r="G88" s="29">
        <f t="shared" si="73"/>
        <v>155</v>
      </c>
      <c r="H88" s="4" t="s">
        <v>0</v>
      </c>
      <c r="I88" s="16" t="str">
        <f t="shared" si="50"/>
        <v>20-26</v>
      </c>
      <c r="J88" s="14">
        <f t="shared" si="51"/>
        <v>71</v>
      </c>
      <c r="K88" s="15">
        <f t="shared" si="52"/>
        <v>141</v>
      </c>
      <c r="L88" s="17">
        <f t="shared" si="53"/>
        <v>86</v>
      </c>
      <c r="M88" s="18">
        <f t="shared" si="54"/>
        <v>141</v>
      </c>
      <c r="N88" s="14">
        <f t="shared" si="55"/>
        <v>86</v>
      </c>
      <c r="O88" s="15">
        <f t="shared" si="56"/>
        <v>155</v>
      </c>
      <c r="P88" s="17">
        <f t="shared" si="57"/>
        <v>71</v>
      </c>
      <c r="Q88" s="18">
        <f t="shared" si="58"/>
        <v>155</v>
      </c>
      <c r="R88" s="4" t="s">
        <v>0</v>
      </c>
      <c r="S88" s="16" t="str">
        <f t="shared" si="59"/>
        <v>20-26</v>
      </c>
      <c r="T88" s="14">
        <f t="shared" si="60"/>
        <v>71</v>
      </c>
      <c r="U88" s="18">
        <f t="shared" si="61"/>
        <v>609</v>
      </c>
      <c r="V88" s="14">
        <f t="shared" si="62"/>
        <v>86</v>
      </c>
      <c r="W88" s="18">
        <f t="shared" si="63"/>
        <v>609</v>
      </c>
      <c r="X88" s="14">
        <f t="shared" si="64"/>
        <v>86</v>
      </c>
      <c r="Y88" s="18">
        <f t="shared" si="65"/>
        <v>595</v>
      </c>
      <c r="Z88" s="14">
        <f t="shared" si="66"/>
        <v>71</v>
      </c>
      <c r="AA88" s="18">
        <f t="shared" si="67"/>
        <v>595</v>
      </c>
      <c r="AB88" s="4" t="s">
        <v>0</v>
      </c>
    </row>
    <row r="89" spans="1:28">
      <c r="A89" s="9" t="s">
        <v>328</v>
      </c>
      <c r="B89" s="24"/>
      <c r="C89" s="26"/>
      <c r="D89" s="25">
        <f t="shared" si="70"/>
        <v>86</v>
      </c>
      <c r="E89" s="29">
        <f t="shared" si="71"/>
        <v>141</v>
      </c>
      <c r="F89" s="25">
        <f t="shared" si="72"/>
        <v>101</v>
      </c>
      <c r="G89" s="29">
        <f t="shared" si="73"/>
        <v>155</v>
      </c>
      <c r="H89" s="4" t="s">
        <v>0</v>
      </c>
      <c r="I89" s="16" t="str">
        <f t="shared" si="50"/>
        <v>20-25</v>
      </c>
      <c r="J89" s="14">
        <f t="shared" si="51"/>
        <v>86</v>
      </c>
      <c r="K89" s="15">
        <f t="shared" si="52"/>
        <v>141</v>
      </c>
      <c r="L89" s="17">
        <f t="shared" si="53"/>
        <v>101</v>
      </c>
      <c r="M89" s="18">
        <f t="shared" si="54"/>
        <v>141</v>
      </c>
      <c r="N89" s="14">
        <f t="shared" si="55"/>
        <v>101</v>
      </c>
      <c r="O89" s="15">
        <f t="shared" si="56"/>
        <v>155</v>
      </c>
      <c r="P89" s="17">
        <f t="shared" si="57"/>
        <v>86</v>
      </c>
      <c r="Q89" s="18">
        <f t="shared" si="58"/>
        <v>155</v>
      </c>
      <c r="R89" s="4" t="s">
        <v>0</v>
      </c>
      <c r="S89" s="16" t="str">
        <f t="shared" si="59"/>
        <v>20-25</v>
      </c>
      <c r="T89" s="14">
        <f t="shared" si="60"/>
        <v>86</v>
      </c>
      <c r="U89" s="18">
        <f t="shared" si="61"/>
        <v>609</v>
      </c>
      <c r="V89" s="14">
        <f t="shared" si="62"/>
        <v>101</v>
      </c>
      <c r="W89" s="18">
        <f t="shared" si="63"/>
        <v>609</v>
      </c>
      <c r="X89" s="14">
        <f t="shared" si="64"/>
        <v>101</v>
      </c>
      <c r="Y89" s="18">
        <f t="shared" si="65"/>
        <v>595</v>
      </c>
      <c r="Z89" s="14">
        <f t="shared" si="66"/>
        <v>86</v>
      </c>
      <c r="AA89" s="18">
        <f t="shared" si="67"/>
        <v>595</v>
      </c>
      <c r="AB89" s="4" t="s">
        <v>0</v>
      </c>
    </row>
    <row r="90" spans="1:28">
      <c r="A90" s="9" t="s">
        <v>327</v>
      </c>
      <c r="B90" s="24"/>
      <c r="C90" s="26"/>
      <c r="D90" s="25">
        <f t="shared" si="70"/>
        <v>101</v>
      </c>
      <c r="E90" s="29">
        <f t="shared" si="71"/>
        <v>141</v>
      </c>
      <c r="F90" s="25">
        <f t="shared" si="72"/>
        <v>116</v>
      </c>
      <c r="G90" s="29">
        <f t="shared" si="73"/>
        <v>155</v>
      </c>
      <c r="H90" s="4" t="s">
        <v>0</v>
      </c>
      <c r="I90" s="16" t="str">
        <f t="shared" si="50"/>
        <v>20-23</v>
      </c>
      <c r="J90" s="14">
        <f t="shared" si="51"/>
        <v>101</v>
      </c>
      <c r="K90" s="15">
        <f t="shared" si="52"/>
        <v>141</v>
      </c>
      <c r="L90" s="17">
        <f t="shared" si="53"/>
        <v>116</v>
      </c>
      <c r="M90" s="18">
        <f t="shared" si="54"/>
        <v>141</v>
      </c>
      <c r="N90" s="14">
        <f t="shared" si="55"/>
        <v>116</v>
      </c>
      <c r="O90" s="15">
        <f t="shared" si="56"/>
        <v>155</v>
      </c>
      <c r="P90" s="17">
        <f t="shared" si="57"/>
        <v>101</v>
      </c>
      <c r="Q90" s="18">
        <f t="shared" si="58"/>
        <v>155</v>
      </c>
      <c r="R90" s="4" t="s">
        <v>0</v>
      </c>
      <c r="S90" s="16" t="str">
        <f t="shared" si="59"/>
        <v>20-23</v>
      </c>
      <c r="T90" s="14">
        <f t="shared" si="60"/>
        <v>101</v>
      </c>
      <c r="U90" s="18">
        <f t="shared" si="61"/>
        <v>609</v>
      </c>
      <c r="V90" s="14">
        <f t="shared" si="62"/>
        <v>116</v>
      </c>
      <c r="W90" s="18">
        <f t="shared" si="63"/>
        <v>609</v>
      </c>
      <c r="X90" s="14">
        <f t="shared" si="64"/>
        <v>116</v>
      </c>
      <c r="Y90" s="18">
        <f t="shared" si="65"/>
        <v>595</v>
      </c>
      <c r="Z90" s="14">
        <f t="shared" si="66"/>
        <v>101</v>
      </c>
      <c r="AA90" s="18">
        <f t="shared" si="67"/>
        <v>595</v>
      </c>
      <c r="AB90" s="4" t="s">
        <v>0</v>
      </c>
    </row>
    <row r="91" spans="1:28">
      <c r="A91" s="9" t="s">
        <v>326</v>
      </c>
      <c r="B91" s="24"/>
      <c r="C91" s="26"/>
      <c r="D91" s="25">
        <f t="shared" si="70"/>
        <v>116</v>
      </c>
      <c r="E91" s="29">
        <f t="shared" si="71"/>
        <v>141</v>
      </c>
      <c r="F91" s="25">
        <f t="shared" si="72"/>
        <v>131</v>
      </c>
      <c r="G91" s="29">
        <f t="shared" si="73"/>
        <v>155</v>
      </c>
      <c r="H91" s="4" t="s">
        <v>0</v>
      </c>
      <c r="I91" s="16" t="str">
        <f t="shared" si="50"/>
        <v>20-22</v>
      </c>
      <c r="J91" s="14">
        <f t="shared" si="51"/>
        <v>116</v>
      </c>
      <c r="K91" s="15">
        <f t="shared" si="52"/>
        <v>141</v>
      </c>
      <c r="L91" s="17">
        <f t="shared" si="53"/>
        <v>131</v>
      </c>
      <c r="M91" s="18">
        <f t="shared" si="54"/>
        <v>141</v>
      </c>
      <c r="N91" s="14">
        <f t="shared" si="55"/>
        <v>131</v>
      </c>
      <c r="O91" s="15">
        <f t="shared" si="56"/>
        <v>155</v>
      </c>
      <c r="P91" s="17">
        <f t="shared" si="57"/>
        <v>116</v>
      </c>
      <c r="Q91" s="18">
        <f t="shared" si="58"/>
        <v>155</v>
      </c>
      <c r="R91" s="4" t="s">
        <v>0</v>
      </c>
      <c r="S91" s="16" t="str">
        <f t="shared" si="59"/>
        <v>20-22</v>
      </c>
      <c r="T91" s="14">
        <f t="shared" si="60"/>
        <v>116</v>
      </c>
      <c r="U91" s="18">
        <f t="shared" si="61"/>
        <v>609</v>
      </c>
      <c r="V91" s="14">
        <f t="shared" si="62"/>
        <v>131</v>
      </c>
      <c r="W91" s="18">
        <f t="shared" si="63"/>
        <v>609</v>
      </c>
      <c r="X91" s="14">
        <f t="shared" si="64"/>
        <v>131</v>
      </c>
      <c r="Y91" s="18">
        <f t="shared" si="65"/>
        <v>595</v>
      </c>
      <c r="Z91" s="14">
        <f t="shared" si="66"/>
        <v>116</v>
      </c>
      <c r="AA91" s="18">
        <f t="shared" si="67"/>
        <v>595</v>
      </c>
      <c r="AB91" s="4" t="s">
        <v>0</v>
      </c>
    </row>
    <row r="92" spans="1:28">
      <c r="A92" s="9" t="s">
        <v>325</v>
      </c>
      <c r="B92" s="24"/>
      <c r="C92" s="26"/>
      <c r="D92" s="25">
        <f t="shared" si="70"/>
        <v>131</v>
      </c>
      <c r="E92" s="29">
        <f t="shared" si="71"/>
        <v>141</v>
      </c>
      <c r="F92" s="25">
        <f t="shared" si="72"/>
        <v>146</v>
      </c>
      <c r="G92" s="29">
        <f t="shared" si="73"/>
        <v>155</v>
      </c>
      <c r="H92" s="4" t="s">
        <v>0</v>
      </c>
      <c r="I92" s="16" t="str">
        <f t="shared" si="50"/>
        <v>20-21</v>
      </c>
      <c r="J92" s="14">
        <f t="shared" si="51"/>
        <v>131</v>
      </c>
      <c r="K92" s="15">
        <f t="shared" si="52"/>
        <v>141</v>
      </c>
      <c r="L92" s="17">
        <f t="shared" si="53"/>
        <v>146</v>
      </c>
      <c r="M92" s="18">
        <f t="shared" si="54"/>
        <v>141</v>
      </c>
      <c r="N92" s="14">
        <f t="shared" si="55"/>
        <v>146</v>
      </c>
      <c r="O92" s="15">
        <f t="shared" si="56"/>
        <v>155</v>
      </c>
      <c r="P92" s="17">
        <f t="shared" si="57"/>
        <v>131</v>
      </c>
      <c r="Q92" s="18">
        <f t="shared" si="58"/>
        <v>155</v>
      </c>
      <c r="R92" s="4" t="s">
        <v>0</v>
      </c>
      <c r="S92" s="16" t="str">
        <f t="shared" si="59"/>
        <v>20-21</v>
      </c>
      <c r="T92" s="14">
        <f t="shared" si="60"/>
        <v>131</v>
      </c>
      <c r="U92" s="18">
        <f t="shared" si="61"/>
        <v>609</v>
      </c>
      <c r="V92" s="14">
        <f t="shared" si="62"/>
        <v>146</v>
      </c>
      <c r="W92" s="18">
        <f t="shared" si="63"/>
        <v>609</v>
      </c>
      <c r="X92" s="14">
        <f t="shared" si="64"/>
        <v>146</v>
      </c>
      <c r="Y92" s="18">
        <f t="shared" si="65"/>
        <v>595</v>
      </c>
      <c r="Z92" s="14">
        <f t="shared" si="66"/>
        <v>131</v>
      </c>
      <c r="AA92" s="18">
        <f t="shared" si="67"/>
        <v>595</v>
      </c>
      <c r="AB92" s="4" t="s">
        <v>0</v>
      </c>
    </row>
    <row r="93" spans="1:28">
      <c r="A93" s="9" t="s">
        <v>324</v>
      </c>
      <c r="B93" s="24"/>
      <c r="C93" s="26"/>
      <c r="D93" s="25">
        <f t="shared" si="70"/>
        <v>146</v>
      </c>
      <c r="E93" s="29">
        <f t="shared" si="71"/>
        <v>141</v>
      </c>
      <c r="F93" s="25">
        <f t="shared" si="72"/>
        <v>161</v>
      </c>
      <c r="G93" s="29">
        <f t="shared" si="73"/>
        <v>155</v>
      </c>
      <c r="H93" s="4" t="s">
        <v>0</v>
      </c>
      <c r="I93" s="16" t="str">
        <f t="shared" si="50"/>
        <v>20-20</v>
      </c>
      <c r="J93" s="14">
        <f t="shared" si="51"/>
        <v>146</v>
      </c>
      <c r="K93" s="15">
        <f t="shared" si="52"/>
        <v>141</v>
      </c>
      <c r="L93" s="17">
        <f t="shared" si="53"/>
        <v>161</v>
      </c>
      <c r="M93" s="18">
        <f t="shared" si="54"/>
        <v>141</v>
      </c>
      <c r="N93" s="14">
        <f t="shared" si="55"/>
        <v>161</v>
      </c>
      <c r="O93" s="15">
        <f t="shared" si="56"/>
        <v>155</v>
      </c>
      <c r="P93" s="17">
        <f t="shared" si="57"/>
        <v>146</v>
      </c>
      <c r="Q93" s="18">
        <f t="shared" si="58"/>
        <v>155</v>
      </c>
      <c r="R93" s="4" t="s">
        <v>0</v>
      </c>
      <c r="S93" s="16" t="str">
        <f t="shared" si="59"/>
        <v>20-20</v>
      </c>
      <c r="T93" s="14">
        <f t="shared" si="60"/>
        <v>146</v>
      </c>
      <c r="U93" s="18">
        <f t="shared" si="61"/>
        <v>609</v>
      </c>
      <c r="V93" s="14">
        <f t="shared" si="62"/>
        <v>161</v>
      </c>
      <c r="W93" s="18">
        <f t="shared" si="63"/>
        <v>609</v>
      </c>
      <c r="X93" s="14">
        <f t="shared" si="64"/>
        <v>161</v>
      </c>
      <c r="Y93" s="18">
        <f t="shared" si="65"/>
        <v>595</v>
      </c>
      <c r="Z93" s="14">
        <f t="shared" si="66"/>
        <v>146</v>
      </c>
      <c r="AA93" s="18">
        <f t="shared" si="67"/>
        <v>595</v>
      </c>
      <c r="AB93" s="4" t="s">
        <v>0</v>
      </c>
    </row>
    <row r="94" spans="1:28">
      <c r="A94" s="9" t="s">
        <v>323</v>
      </c>
      <c r="B94" s="24"/>
      <c r="C94" s="26"/>
      <c r="D94" s="25">
        <f t="shared" si="70"/>
        <v>161</v>
      </c>
      <c r="E94" s="29">
        <f t="shared" si="71"/>
        <v>141</v>
      </c>
      <c r="F94" s="25">
        <f t="shared" si="72"/>
        <v>176</v>
      </c>
      <c r="G94" s="29">
        <f t="shared" si="73"/>
        <v>155</v>
      </c>
      <c r="H94" s="4" t="s">
        <v>0</v>
      </c>
      <c r="I94" s="16" t="str">
        <f t="shared" si="50"/>
        <v>20-18</v>
      </c>
      <c r="J94" s="14">
        <f t="shared" si="51"/>
        <v>161</v>
      </c>
      <c r="K94" s="15">
        <f t="shared" si="52"/>
        <v>141</v>
      </c>
      <c r="L94" s="17">
        <f t="shared" si="53"/>
        <v>176</v>
      </c>
      <c r="M94" s="18">
        <f t="shared" si="54"/>
        <v>141</v>
      </c>
      <c r="N94" s="14">
        <f t="shared" si="55"/>
        <v>176</v>
      </c>
      <c r="O94" s="15">
        <f t="shared" si="56"/>
        <v>155</v>
      </c>
      <c r="P94" s="17">
        <f t="shared" si="57"/>
        <v>161</v>
      </c>
      <c r="Q94" s="18">
        <f t="shared" si="58"/>
        <v>155</v>
      </c>
      <c r="R94" s="4" t="s">
        <v>0</v>
      </c>
      <c r="S94" s="16" t="str">
        <f t="shared" si="59"/>
        <v>20-18</v>
      </c>
      <c r="T94" s="14">
        <f t="shared" si="60"/>
        <v>161</v>
      </c>
      <c r="U94" s="18">
        <f t="shared" si="61"/>
        <v>609</v>
      </c>
      <c r="V94" s="14">
        <f t="shared" si="62"/>
        <v>176</v>
      </c>
      <c r="W94" s="18">
        <f t="shared" si="63"/>
        <v>609</v>
      </c>
      <c r="X94" s="14">
        <f t="shared" si="64"/>
        <v>176</v>
      </c>
      <c r="Y94" s="18">
        <f t="shared" si="65"/>
        <v>595</v>
      </c>
      <c r="Z94" s="14">
        <f t="shared" si="66"/>
        <v>161</v>
      </c>
      <c r="AA94" s="18">
        <f t="shared" si="67"/>
        <v>595</v>
      </c>
      <c r="AB94" s="4" t="s">
        <v>0</v>
      </c>
    </row>
    <row r="95" spans="1:28">
      <c r="A95" s="9" t="s">
        <v>322</v>
      </c>
      <c r="B95" s="24"/>
      <c r="C95" s="26"/>
      <c r="D95" s="25">
        <f t="shared" si="70"/>
        <v>176</v>
      </c>
      <c r="E95" s="29">
        <f t="shared" si="71"/>
        <v>141</v>
      </c>
      <c r="F95" s="25">
        <f t="shared" si="72"/>
        <v>191</v>
      </c>
      <c r="G95" s="29">
        <f t="shared" si="73"/>
        <v>155</v>
      </c>
      <c r="H95" s="4" t="s">
        <v>0</v>
      </c>
      <c r="I95" s="16" t="str">
        <f t="shared" si="50"/>
        <v>20-17</v>
      </c>
      <c r="J95" s="14">
        <f t="shared" si="51"/>
        <v>176</v>
      </c>
      <c r="K95" s="15">
        <f t="shared" si="52"/>
        <v>141</v>
      </c>
      <c r="L95" s="17">
        <f t="shared" si="53"/>
        <v>191</v>
      </c>
      <c r="M95" s="18">
        <f t="shared" si="54"/>
        <v>141</v>
      </c>
      <c r="N95" s="14">
        <f t="shared" si="55"/>
        <v>191</v>
      </c>
      <c r="O95" s="15">
        <f t="shared" si="56"/>
        <v>155</v>
      </c>
      <c r="P95" s="17">
        <f t="shared" si="57"/>
        <v>176</v>
      </c>
      <c r="Q95" s="18">
        <f t="shared" si="58"/>
        <v>155</v>
      </c>
      <c r="R95" s="4" t="s">
        <v>0</v>
      </c>
      <c r="S95" s="16" t="str">
        <f t="shared" si="59"/>
        <v>20-17</v>
      </c>
      <c r="T95" s="14">
        <f t="shared" si="60"/>
        <v>176</v>
      </c>
      <c r="U95" s="18">
        <f t="shared" si="61"/>
        <v>609</v>
      </c>
      <c r="V95" s="14">
        <f t="shared" si="62"/>
        <v>191</v>
      </c>
      <c r="W95" s="18">
        <f t="shared" si="63"/>
        <v>609</v>
      </c>
      <c r="X95" s="14">
        <f t="shared" si="64"/>
        <v>191</v>
      </c>
      <c r="Y95" s="18">
        <f t="shared" si="65"/>
        <v>595</v>
      </c>
      <c r="Z95" s="14">
        <f t="shared" si="66"/>
        <v>176</v>
      </c>
      <c r="AA95" s="18">
        <f t="shared" si="67"/>
        <v>595</v>
      </c>
      <c r="AB95" s="4" t="s">
        <v>0</v>
      </c>
    </row>
    <row r="96" spans="1:28">
      <c r="A96" s="9" t="s">
        <v>321</v>
      </c>
      <c r="B96" s="24"/>
      <c r="C96" s="26"/>
      <c r="D96" s="25">
        <f t="shared" si="70"/>
        <v>191</v>
      </c>
      <c r="E96" s="29">
        <f t="shared" si="71"/>
        <v>141</v>
      </c>
      <c r="F96" s="25">
        <f t="shared" si="72"/>
        <v>206</v>
      </c>
      <c r="G96" s="29">
        <f t="shared" si="73"/>
        <v>155</v>
      </c>
      <c r="H96" s="4" t="s">
        <v>0</v>
      </c>
      <c r="I96" s="16" t="str">
        <f t="shared" si="50"/>
        <v>20-16</v>
      </c>
      <c r="J96" s="14">
        <f t="shared" si="51"/>
        <v>191</v>
      </c>
      <c r="K96" s="15">
        <f t="shared" si="52"/>
        <v>141</v>
      </c>
      <c r="L96" s="17">
        <f t="shared" si="53"/>
        <v>206</v>
      </c>
      <c r="M96" s="18">
        <f t="shared" si="54"/>
        <v>141</v>
      </c>
      <c r="N96" s="14">
        <f t="shared" si="55"/>
        <v>206</v>
      </c>
      <c r="O96" s="15">
        <f t="shared" si="56"/>
        <v>155</v>
      </c>
      <c r="P96" s="17">
        <f t="shared" si="57"/>
        <v>191</v>
      </c>
      <c r="Q96" s="18">
        <f t="shared" si="58"/>
        <v>155</v>
      </c>
      <c r="R96" s="4" t="s">
        <v>0</v>
      </c>
      <c r="S96" s="16" t="str">
        <f t="shared" si="59"/>
        <v>20-16</v>
      </c>
      <c r="T96" s="14">
        <f t="shared" si="60"/>
        <v>191</v>
      </c>
      <c r="U96" s="18">
        <f t="shared" si="61"/>
        <v>609</v>
      </c>
      <c r="V96" s="14">
        <f t="shared" si="62"/>
        <v>206</v>
      </c>
      <c r="W96" s="18">
        <f t="shared" si="63"/>
        <v>609</v>
      </c>
      <c r="X96" s="14">
        <f t="shared" si="64"/>
        <v>206</v>
      </c>
      <c r="Y96" s="18">
        <f t="shared" si="65"/>
        <v>595</v>
      </c>
      <c r="Z96" s="14">
        <f t="shared" si="66"/>
        <v>191</v>
      </c>
      <c r="AA96" s="18">
        <f t="shared" si="67"/>
        <v>595</v>
      </c>
      <c r="AB96" s="4" t="s">
        <v>0</v>
      </c>
    </row>
    <row r="97" spans="1:28">
      <c r="A97" s="9" t="s">
        <v>320</v>
      </c>
      <c r="B97" s="24"/>
      <c r="C97" s="26"/>
      <c r="D97" s="25">
        <f t="shared" si="70"/>
        <v>206</v>
      </c>
      <c r="E97" s="29">
        <f t="shared" si="71"/>
        <v>141</v>
      </c>
      <c r="F97" s="25">
        <f t="shared" si="72"/>
        <v>221</v>
      </c>
      <c r="G97" s="29">
        <f t="shared" si="73"/>
        <v>155</v>
      </c>
      <c r="H97" s="4" t="s">
        <v>0</v>
      </c>
      <c r="I97" s="16" t="str">
        <f t="shared" si="50"/>
        <v>20-15</v>
      </c>
      <c r="J97" s="14">
        <f t="shared" si="51"/>
        <v>206</v>
      </c>
      <c r="K97" s="15">
        <f t="shared" si="52"/>
        <v>141</v>
      </c>
      <c r="L97" s="17">
        <f t="shared" si="53"/>
        <v>221</v>
      </c>
      <c r="M97" s="18">
        <f t="shared" si="54"/>
        <v>141</v>
      </c>
      <c r="N97" s="14">
        <f t="shared" si="55"/>
        <v>221</v>
      </c>
      <c r="O97" s="15">
        <f t="shared" si="56"/>
        <v>155</v>
      </c>
      <c r="P97" s="17">
        <f t="shared" si="57"/>
        <v>206</v>
      </c>
      <c r="Q97" s="18">
        <f t="shared" si="58"/>
        <v>155</v>
      </c>
      <c r="R97" s="4" t="s">
        <v>0</v>
      </c>
      <c r="S97" s="16" t="str">
        <f t="shared" si="59"/>
        <v>20-15</v>
      </c>
      <c r="T97" s="14">
        <f t="shared" si="60"/>
        <v>206</v>
      </c>
      <c r="U97" s="18">
        <f t="shared" si="61"/>
        <v>609</v>
      </c>
      <c r="V97" s="14">
        <f t="shared" si="62"/>
        <v>221</v>
      </c>
      <c r="W97" s="18">
        <f t="shared" si="63"/>
        <v>609</v>
      </c>
      <c r="X97" s="14">
        <f t="shared" si="64"/>
        <v>221</v>
      </c>
      <c r="Y97" s="18">
        <f t="shared" si="65"/>
        <v>595</v>
      </c>
      <c r="Z97" s="14">
        <f t="shared" si="66"/>
        <v>206</v>
      </c>
      <c r="AA97" s="18">
        <f t="shared" si="67"/>
        <v>595</v>
      </c>
      <c r="AB97" s="4" t="s">
        <v>0</v>
      </c>
    </row>
    <row r="98" spans="1:28">
      <c r="A98" s="9" t="s">
        <v>319</v>
      </c>
      <c r="B98" s="24"/>
      <c r="C98" s="26"/>
      <c r="D98" s="25">
        <f t="shared" si="70"/>
        <v>245</v>
      </c>
      <c r="E98" s="29">
        <f t="shared" si="71"/>
        <v>141</v>
      </c>
      <c r="F98" s="25">
        <f t="shared" si="72"/>
        <v>260</v>
      </c>
      <c r="G98" s="29">
        <f t="shared" si="73"/>
        <v>155</v>
      </c>
      <c r="H98" s="4" t="s">
        <v>0</v>
      </c>
      <c r="I98" s="16" t="str">
        <f t="shared" si="50"/>
        <v>20-13</v>
      </c>
      <c r="J98" s="14">
        <f t="shared" si="51"/>
        <v>245</v>
      </c>
      <c r="K98" s="15">
        <f t="shared" si="52"/>
        <v>141</v>
      </c>
      <c r="L98" s="17">
        <f t="shared" si="53"/>
        <v>260</v>
      </c>
      <c r="M98" s="18">
        <f t="shared" si="54"/>
        <v>141</v>
      </c>
      <c r="N98" s="14">
        <f t="shared" si="55"/>
        <v>260</v>
      </c>
      <c r="O98" s="15">
        <f t="shared" si="56"/>
        <v>155</v>
      </c>
      <c r="P98" s="17">
        <f t="shared" si="57"/>
        <v>245</v>
      </c>
      <c r="Q98" s="18">
        <f t="shared" si="58"/>
        <v>155</v>
      </c>
      <c r="R98" s="4" t="s">
        <v>0</v>
      </c>
      <c r="S98" s="16" t="str">
        <f t="shared" si="59"/>
        <v>20-13</v>
      </c>
      <c r="T98" s="14">
        <f t="shared" si="60"/>
        <v>245</v>
      </c>
      <c r="U98" s="18">
        <f t="shared" si="61"/>
        <v>609</v>
      </c>
      <c r="V98" s="14">
        <f t="shared" si="62"/>
        <v>260</v>
      </c>
      <c r="W98" s="18">
        <f t="shared" si="63"/>
        <v>609</v>
      </c>
      <c r="X98" s="14">
        <f t="shared" si="64"/>
        <v>260</v>
      </c>
      <c r="Y98" s="18">
        <f t="shared" si="65"/>
        <v>595</v>
      </c>
      <c r="Z98" s="14">
        <f t="shared" si="66"/>
        <v>245</v>
      </c>
      <c r="AA98" s="18">
        <f t="shared" si="67"/>
        <v>595</v>
      </c>
      <c r="AB98" s="4" t="s">
        <v>0</v>
      </c>
    </row>
    <row r="99" spans="1:28">
      <c r="A99" s="9" t="s">
        <v>318</v>
      </c>
      <c r="B99" s="24"/>
      <c r="C99" s="26"/>
      <c r="D99" s="25">
        <f t="shared" si="70"/>
        <v>260</v>
      </c>
      <c r="E99" s="29">
        <f t="shared" si="71"/>
        <v>141</v>
      </c>
      <c r="F99" s="25">
        <f t="shared" si="72"/>
        <v>275</v>
      </c>
      <c r="G99" s="29">
        <f t="shared" si="73"/>
        <v>155</v>
      </c>
      <c r="H99" s="4" t="s">
        <v>0</v>
      </c>
      <c r="I99" s="16" t="str">
        <f t="shared" si="50"/>
        <v>20-12</v>
      </c>
      <c r="J99" s="14">
        <f t="shared" si="51"/>
        <v>260</v>
      </c>
      <c r="K99" s="15">
        <f t="shared" si="52"/>
        <v>141</v>
      </c>
      <c r="L99" s="17">
        <f t="shared" si="53"/>
        <v>275</v>
      </c>
      <c r="M99" s="18">
        <f t="shared" si="54"/>
        <v>141</v>
      </c>
      <c r="N99" s="14">
        <f t="shared" si="55"/>
        <v>275</v>
      </c>
      <c r="O99" s="15">
        <f t="shared" si="56"/>
        <v>155</v>
      </c>
      <c r="P99" s="17">
        <f t="shared" si="57"/>
        <v>260</v>
      </c>
      <c r="Q99" s="18">
        <f t="shared" si="58"/>
        <v>155</v>
      </c>
      <c r="R99" s="4" t="s">
        <v>0</v>
      </c>
      <c r="S99" s="16" t="str">
        <f t="shared" si="59"/>
        <v>20-12</v>
      </c>
      <c r="T99" s="14">
        <f t="shared" si="60"/>
        <v>260</v>
      </c>
      <c r="U99" s="18">
        <f t="shared" si="61"/>
        <v>609</v>
      </c>
      <c r="V99" s="14">
        <f t="shared" si="62"/>
        <v>275</v>
      </c>
      <c r="W99" s="18">
        <f t="shared" si="63"/>
        <v>609</v>
      </c>
      <c r="X99" s="14">
        <f t="shared" si="64"/>
        <v>275</v>
      </c>
      <c r="Y99" s="18">
        <f t="shared" si="65"/>
        <v>595</v>
      </c>
      <c r="Z99" s="14">
        <f t="shared" si="66"/>
        <v>260</v>
      </c>
      <c r="AA99" s="18">
        <f t="shared" si="67"/>
        <v>595</v>
      </c>
      <c r="AB99" s="4" t="s">
        <v>0</v>
      </c>
    </row>
    <row r="100" spans="1:28">
      <c r="A100" s="9" t="s">
        <v>317</v>
      </c>
      <c r="B100" s="24"/>
      <c r="C100" s="26"/>
      <c r="D100" s="25">
        <f t="shared" si="70"/>
        <v>275</v>
      </c>
      <c r="E100" s="29">
        <f t="shared" si="71"/>
        <v>141</v>
      </c>
      <c r="F100" s="25">
        <f t="shared" si="72"/>
        <v>290</v>
      </c>
      <c r="G100" s="29">
        <f t="shared" si="73"/>
        <v>155</v>
      </c>
      <c r="H100" s="4" t="s">
        <v>0</v>
      </c>
      <c r="I100" s="16" t="str">
        <f t="shared" si="50"/>
        <v>20-11</v>
      </c>
      <c r="J100" s="14">
        <f t="shared" si="51"/>
        <v>275</v>
      </c>
      <c r="K100" s="15">
        <f t="shared" si="52"/>
        <v>141</v>
      </c>
      <c r="L100" s="17">
        <f t="shared" si="53"/>
        <v>290</v>
      </c>
      <c r="M100" s="18">
        <f t="shared" si="54"/>
        <v>141</v>
      </c>
      <c r="N100" s="14">
        <f t="shared" si="55"/>
        <v>290</v>
      </c>
      <c r="O100" s="15">
        <f t="shared" si="56"/>
        <v>155</v>
      </c>
      <c r="P100" s="17">
        <f t="shared" si="57"/>
        <v>275</v>
      </c>
      <c r="Q100" s="18">
        <f t="shared" si="58"/>
        <v>155</v>
      </c>
      <c r="R100" s="4" t="s">
        <v>0</v>
      </c>
      <c r="S100" s="16" t="str">
        <f t="shared" si="59"/>
        <v>20-11</v>
      </c>
      <c r="T100" s="14">
        <f t="shared" si="60"/>
        <v>275</v>
      </c>
      <c r="U100" s="18">
        <f t="shared" si="61"/>
        <v>609</v>
      </c>
      <c r="V100" s="14">
        <f t="shared" si="62"/>
        <v>290</v>
      </c>
      <c r="W100" s="18">
        <f t="shared" si="63"/>
        <v>609</v>
      </c>
      <c r="X100" s="14">
        <f t="shared" si="64"/>
        <v>290</v>
      </c>
      <c r="Y100" s="18">
        <f t="shared" si="65"/>
        <v>595</v>
      </c>
      <c r="Z100" s="14">
        <f t="shared" si="66"/>
        <v>275</v>
      </c>
      <c r="AA100" s="18">
        <f t="shared" si="67"/>
        <v>595</v>
      </c>
      <c r="AB100" s="4" t="s">
        <v>0</v>
      </c>
    </row>
    <row r="101" spans="1:28">
      <c r="A101" s="9" t="s">
        <v>316</v>
      </c>
      <c r="B101" s="24"/>
      <c r="C101" s="26"/>
      <c r="D101" s="25">
        <f t="shared" si="70"/>
        <v>290</v>
      </c>
      <c r="E101" s="29">
        <f t="shared" si="71"/>
        <v>141</v>
      </c>
      <c r="F101" s="25">
        <f t="shared" si="72"/>
        <v>305</v>
      </c>
      <c r="G101" s="29">
        <f t="shared" si="73"/>
        <v>155</v>
      </c>
      <c r="H101" s="4" t="s">
        <v>0</v>
      </c>
      <c r="I101" s="16" t="str">
        <f t="shared" si="50"/>
        <v>20-10</v>
      </c>
      <c r="J101" s="14">
        <f t="shared" si="51"/>
        <v>290</v>
      </c>
      <c r="K101" s="15">
        <f t="shared" si="52"/>
        <v>141</v>
      </c>
      <c r="L101" s="17">
        <f t="shared" si="53"/>
        <v>305</v>
      </c>
      <c r="M101" s="18">
        <f t="shared" si="54"/>
        <v>141</v>
      </c>
      <c r="N101" s="14">
        <f t="shared" si="55"/>
        <v>305</v>
      </c>
      <c r="O101" s="15">
        <f t="shared" si="56"/>
        <v>155</v>
      </c>
      <c r="P101" s="17">
        <f t="shared" si="57"/>
        <v>290</v>
      </c>
      <c r="Q101" s="18">
        <f t="shared" si="58"/>
        <v>155</v>
      </c>
      <c r="R101" s="4" t="s">
        <v>0</v>
      </c>
      <c r="S101" s="16" t="str">
        <f t="shared" si="59"/>
        <v>20-10</v>
      </c>
      <c r="T101" s="14">
        <f t="shared" si="60"/>
        <v>290</v>
      </c>
      <c r="U101" s="18">
        <f t="shared" si="61"/>
        <v>609</v>
      </c>
      <c r="V101" s="14">
        <f t="shared" si="62"/>
        <v>305</v>
      </c>
      <c r="W101" s="18">
        <f t="shared" si="63"/>
        <v>609</v>
      </c>
      <c r="X101" s="14">
        <f t="shared" si="64"/>
        <v>305</v>
      </c>
      <c r="Y101" s="18">
        <f t="shared" si="65"/>
        <v>595</v>
      </c>
      <c r="Z101" s="14">
        <f t="shared" si="66"/>
        <v>290</v>
      </c>
      <c r="AA101" s="18">
        <f t="shared" si="67"/>
        <v>595</v>
      </c>
      <c r="AB101" s="4" t="s">
        <v>0</v>
      </c>
    </row>
    <row r="102" spans="1:28">
      <c r="A102" s="9" t="s">
        <v>315</v>
      </c>
      <c r="B102" s="24"/>
      <c r="C102" s="26"/>
      <c r="D102" s="25">
        <f t="shared" si="70"/>
        <v>305</v>
      </c>
      <c r="E102" s="29">
        <f t="shared" si="71"/>
        <v>141</v>
      </c>
      <c r="F102" s="25">
        <f t="shared" si="72"/>
        <v>320</v>
      </c>
      <c r="G102" s="29">
        <f t="shared" si="73"/>
        <v>155</v>
      </c>
      <c r="H102" s="4" t="s">
        <v>0</v>
      </c>
      <c r="I102" s="16" t="str">
        <f t="shared" si="50"/>
        <v>20-08</v>
      </c>
      <c r="J102" s="14">
        <f t="shared" si="51"/>
        <v>305</v>
      </c>
      <c r="K102" s="15">
        <f t="shared" si="52"/>
        <v>141</v>
      </c>
      <c r="L102" s="17">
        <f t="shared" si="53"/>
        <v>320</v>
      </c>
      <c r="M102" s="18">
        <f t="shared" si="54"/>
        <v>141</v>
      </c>
      <c r="N102" s="14">
        <f t="shared" si="55"/>
        <v>320</v>
      </c>
      <c r="O102" s="15">
        <f t="shared" si="56"/>
        <v>155</v>
      </c>
      <c r="P102" s="17">
        <f t="shared" si="57"/>
        <v>305</v>
      </c>
      <c r="Q102" s="18">
        <f t="shared" si="58"/>
        <v>155</v>
      </c>
      <c r="R102" s="4" t="s">
        <v>0</v>
      </c>
      <c r="S102" s="16" t="str">
        <f t="shared" si="59"/>
        <v>20-08</v>
      </c>
      <c r="T102" s="14">
        <f t="shared" si="60"/>
        <v>305</v>
      </c>
      <c r="U102" s="18">
        <f t="shared" si="61"/>
        <v>609</v>
      </c>
      <c r="V102" s="14">
        <f t="shared" si="62"/>
        <v>320</v>
      </c>
      <c r="W102" s="18">
        <f t="shared" si="63"/>
        <v>609</v>
      </c>
      <c r="X102" s="14">
        <f t="shared" si="64"/>
        <v>320</v>
      </c>
      <c r="Y102" s="18">
        <f t="shared" si="65"/>
        <v>595</v>
      </c>
      <c r="Z102" s="14">
        <f t="shared" si="66"/>
        <v>305</v>
      </c>
      <c r="AA102" s="18">
        <f t="shared" si="67"/>
        <v>595</v>
      </c>
      <c r="AB102" s="4" t="s">
        <v>0</v>
      </c>
    </row>
    <row r="103" spans="1:28">
      <c r="A103" s="9" t="s">
        <v>314</v>
      </c>
      <c r="B103" s="24"/>
      <c r="C103" s="26"/>
      <c r="D103" s="25">
        <f t="shared" si="70"/>
        <v>320</v>
      </c>
      <c r="E103" s="29">
        <f t="shared" si="71"/>
        <v>141</v>
      </c>
      <c r="F103" s="25">
        <f t="shared" si="72"/>
        <v>335</v>
      </c>
      <c r="G103" s="29">
        <f t="shared" si="73"/>
        <v>155</v>
      </c>
      <c r="H103" s="4" t="s">
        <v>0</v>
      </c>
      <c r="I103" s="16" t="str">
        <f t="shared" si="50"/>
        <v>20-07</v>
      </c>
      <c r="J103" s="14">
        <f t="shared" si="51"/>
        <v>320</v>
      </c>
      <c r="K103" s="15">
        <f t="shared" si="52"/>
        <v>141</v>
      </c>
      <c r="L103" s="17">
        <f t="shared" si="53"/>
        <v>335</v>
      </c>
      <c r="M103" s="18">
        <f t="shared" si="54"/>
        <v>141</v>
      </c>
      <c r="N103" s="14">
        <f t="shared" si="55"/>
        <v>335</v>
      </c>
      <c r="O103" s="15">
        <f t="shared" si="56"/>
        <v>155</v>
      </c>
      <c r="P103" s="17">
        <f t="shared" si="57"/>
        <v>320</v>
      </c>
      <c r="Q103" s="18">
        <f t="shared" si="58"/>
        <v>155</v>
      </c>
      <c r="R103" s="4" t="s">
        <v>0</v>
      </c>
      <c r="S103" s="16" t="str">
        <f t="shared" si="59"/>
        <v>20-07</v>
      </c>
      <c r="T103" s="14">
        <f t="shared" si="60"/>
        <v>320</v>
      </c>
      <c r="U103" s="18">
        <f t="shared" si="61"/>
        <v>609</v>
      </c>
      <c r="V103" s="14">
        <f t="shared" si="62"/>
        <v>335</v>
      </c>
      <c r="W103" s="18">
        <f t="shared" si="63"/>
        <v>609</v>
      </c>
      <c r="X103" s="14">
        <f t="shared" si="64"/>
        <v>335</v>
      </c>
      <c r="Y103" s="18">
        <f t="shared" si="65"/>
        <v>595</v>
      </c>
      <c r="Z103" s="14">
        <f t="shared" si="66"/>
        <v>320</v>
      </c>
      <c r="AA103" s="18">
        <f t="shared" si="67"/>
        <v>595</v>
      </c>
      <c r="AB103" s="4" t="s">
        <v>0</v>
      </c>
    </row>
    <row r="104" spans="1:28">
      <c r="A104" s="9" t="s">
        <v>313</v>
      </c>
      <c r="B104" s="24"/>
      <c r="C104" s="26"/>
      <c r="D104" s="25">
        <f t="shared" si="70"/>
        <v>335</v>
      </c>
      <c r="E104" s="29">
        <f t="shared" si="71"/>
        <v>141</v>
      </c>
      <c r="F104" s="25">
        <f t="shared" si="72"/>
        <v>350</v>
      </c>
      <c r="G104" s="29">
        <f t="shared" si="73"/>
        <v>155</v>
      </c>
      <c r="H104" s="4" t="s">
        <v>0</v>
      </c>
      <c r="I104" s="16" t="str">
        <f t="shared" si="50"/>
        <v>20-06</v>
      </c>
      <c r="J104" s="14">
        <f t="shared" si="51"/>
        <v>335</v>
      </c>
      <c r="K104" s="15">
        <f t="shared" si="52"/>
        <v>141</v>
      </c>
      <c r="L104" s="17">
        <f t="shared" si="53"/>
        <v>350</v>
      </c>
      <c r="M104" s="18">
        <f t="shared" si="54"/>
        <v>141</v>
      </c>
      <c r="N104" s="14">
        <f t="shared" si="55"/>
        <v>350</v>
      </c>
      <c r="O104" s="15">
        <f t="shared" si="56"/>
        <v>155</v>
      </c>
      <c r="P104" s="17">
        <f t="shared" si="57"/>
        <v>335</v>
      </c>
      <c r="Q104" s="18">
        <f t="shared" si="58"/>
        <v>155</v>
      </c>
      <c r="R104" s="4" t="s">
        <v>0</v>
      </c>
      <c r="S104" s="16" t="str">
        <f t="shared" si="59"/>
        <v>20-06</v>
      </c>
      <c r="T104" s="14">
        <f t="shared" si="60"/>
        <v>335</v>
      </c>
      <c r="U104" s="18">
        <f t="shared" si="61"/>
        <v>609</v>
      </c>
      <c r="V104" s="14">
        <f t="shared" si="62"/>
        <v>350</v>
      </c>
      <c r="W104" s="18">
        <f t="shared" si="63"/>
        <v>609</v>
      </c>
      <c r="X104" s="14">
        <f t="shared" si="64"/>
        <v>350</v>
      </c>
      <c r="Y104" s="18">
        <f t="shared" si="65"/>
        <v>595</v>
      </c>
      <c r="Z104" s="14">
        <f t="shared" si="66"/>
        <v>335</v>
      </c>
      <c r="AA104" s="18">
        <f t="shared" si="67"/>
        <v>595</v>
      </c>
      <c r="AB104" s="4" t="s">
        <v>0</v>
      </c>
    </row>
    <row r="105" spans="1:28">
      <c r="A105" s="9" t="s">
        <v>312</v>
      </c>
      <c r="B105" s="24"/>
      <c r="C105" s="26"/>
      <c r="D105" s="25">
        <f t="shared" si="70"/>
        <v>350</v>
      </c>
      <c r="E105" s="29">
        <f t="shared" si="71"/>
        <v>141</v>
      </c>
      <c r="F105" s="25">
        <f t="shared" si="72"/>
        <v>365</v>
      </c>
      <c r="G105" s="29">
        <f t="shared" si="73"/>
        <v>155</v>
      </c>
      <c r="H105" s="4" t="s">
        <v>0</v>
      </c>
      <c r="I105" s="16" t="str">
        <f t="shared" si="50"/>
        <v>20-05</v>
      </c>
      <c r="J105" s="14">
        <f t="shared" si="51"/>
        <v>350</v>
      </c>
      <c r="K105" s="15">
        <f t="shared" si="52"/>
        <v>141</v>
      </c>
      <c r="L105" s="17">
        <f t="shared" si="53"/>
        <v>365</v>
      </c>
      <c r="M105" s="18">
        <f t="shared" si="54"/>
        <v>141</v>
      </c>
      <c r="N105" s="14">
        <f t="shared" si="55"/>
        <v>365</v>
      </c>
      <c r="O105" s="15">
        <f t="shared" si="56"/>
        <v>155</v>
      </c>
      <c r="P105" s="17">
        <f t="shared" si="57"/>
        <v>350</v>
      </c>
      <c r="Q105" s="18">
        <f t="shared" si="58"/>
        <v>155</v>
      </c>
      <c r="R105" s="4" t="s">
        <v>0</v>
      </c>
      <c r="S105" s="16" t="str">
        <f t="shared" si="59"/>
        <v>20-05</v>
      </c>
      <c r="T105" s="14">
        <f t="shared" si="60"/>
        <v>350</v>
      </c>
      <c r="U105" s="18">
        <f t="shared" si="61"/>
        <v>609</v>
      </c>
      <c r="V105" s="14">
        <f t="shared" si="62"/>
        <v>365</v>
      </c>
      <c r="W105" s="18">
        <f t="shared" si="63"/>
        <v>609</v>
      </c>
      <c r="X105" s="14">
        <f t="shared" si="64"/>
        <v>365</v>
      </c>
      <c r="Y105" s="18">
        <f t="shared" si="65"/>
        <v>595</v>
      </c>
      <c r="Z105" s="14">
        <f t="shared" si="66"/>
        <v>350</v>
      </c>
      <c r="AA105" s="18">
        <f t="shared" si="67"/>
        <v>595</v>
      </c>
      <c r="AB105" s="4" t="s">
        <v>0</v>
      </c>
    </row>
    <row r="106" spans="1:28">
      <c r="A106" s="9" t="s">
        <v>311</v>
      </c>
      <c r="B106" s="24"/>
      <c r="C106" s="26"/>
      <c r="D106" s="25">
        <f t="shared" si="70"/>
        <v>365</v>
      </c>
      <c r="E106" s="29">
        <f t="shared" si="71"/>
        <v>141</v>
      </c>
      <c r="F106" s="25">
        <f t="shared" si="72"/>
        <v>380</v>
      </c>
      <c r="G106" s="29">
        <f t="shared" si="73"/>
        <v>155</v>
      </c>
      <c r="H106" s="4" t="s">
        <v>0</v>
      </c>
      <c r="I106" s="16" t="str">
        <f t="shared" si="50"/>
        <v>20-03</v>
      </c>
      <c r="J106" s="14">
        <f t="shared" si="51"/>
        <v>365</v>
      </c>
      <c r="K106" s="15">
        <f t="shared" si="52"/>
        <v>141</v>
      </c>
      <c r="L106" s="17">
        <f t="shared" si="53"/>
        <v>380</v>
      </c>
      <c r="M106" s="18">
        <f t="shared" si="54"/>
        <v>141</v>
      </c>
      <c r="N106" s="14">
        <f t="shared" si="55"/>
        <v>380</v>
      </c>
      <c r="O106" s="15">
        <f t="shared" si="56"/>
        <v>155</v>
      </c>
      <c r="P106" s="17">
        <f t="shared" si="57"/>
        <v>365</v>
      </c>
      <c r="Q106" s="18">
        <f t="shared" si="58"/>
        <v>155</v>
      </c>
      <c r="R106" s="4" t="s">
        <v>0</v>
      </c>
      <c r="S106" s="16" t="str">
        <f t="shared" si="59"/>
        <v>20-03</v>
      </c>
      <c r="T106" s="14">
        <f t="shared" si="60"/>
        <v>365</v>
      </c>
      <c r="U106" s="18">
        <f t="shared" si="61"/>
        <v>609</v>
      </c>
      <c r="V106" s="14">
        <f t="shared" si="62"/>
        <v>380</v>
      </c>
      <c r="W106" s="18">
        <f t="shared" si="63"/>
        <v>609</v>
      </c>
      <c r="X106" s="14">
        <f t="shared" si="64"/>
        <v>380</v>
      </c>
      <c r="Y106" s="18">
        <f t="shared" si="65"/>
        <v>595</v>
      </c>
      <c r="Z106" s="14">
        <f t="shared" si="66"/>
        <v>365</v>
      </c>
      <c r="AA106" s="18">
        <f t="shared" si="67"/>
        <v>595</v>
      </c>
      <c r="AB106" s="4" t="s">
        <v>0</v>
      </c>
    </row>
    <row r="107" spans="1:28">
      <c r="A107" s="9" t="s">
        <v>310</v>
      </c>
      <c r="B107" s="24"/>
      <c r="C107" s="26"/>
      <c r="D107" s="25">
        <f t="shared" si="70"/>
        <v>380</v>
      </c>
      <c r="E107" s="29">
        <f t="shared" si="71"/>
        <v>141</v>
      </c>
      <c r="F107" s="25">
        <f t="shared" si="72"/>
        <v>395</v>
      </c>
      <c r="G107" s="29">
        <f t="shared" si="73"/>
        <v>155</v>
      </c>
      <c r="H107" s="4" t="s">
        <v>0</v>
      </c>
      <c r="I107" s="16" t="str">
        <f t="shared" si="50"/>
        <v>20-02</v>
      </c>
      <c r="J107" s="14">
        <f t="shared" si="51"/>
        <v>380</v>
      </c>
      <c r="K107" s="15">
        <f t="shared" si="52"/>
        <v>141</v>
      </c>
      <c r="L107" s="17">
        <f t="shared" si="53"/>
        <v>395</v>
      </c>
      <c r="M107" s="18">
        <f t="shared" si="54"/>
        <v>141</v>
      </c>
      <c r="N107" s="14">
        <f t="shared" si="55"/>
        <v>395</v>
      </c>
      <c r="O107" s="15">
        <f t="shared" si="56"/>
        <v>155</v>
      </c>
      <c r="P107" s="17">
        <f t="shared" si="57"/>
        <v>380</v>
      </c>
      <c r="Q107" s="18">
        <f t="shared" si="58"/>
        <v>155</v>
      </c>
      <c r="R107" s="4" t="s">
        <v>0</v>
      </c>
      <c r="S107" s="16" t="str">
        <f t="shared" si="59"/>
        <v>20-02</v>
      </c>
      <c r="T107" s="14">
        <f t="shared" si="60"/>
        <v>380</v>
      </c>
      <c r="U107" s="18">
        <f t="shared" si="61"/>
        <v>609</v>
      </c>
      <c r="V107" s="14">
        <f t="shared" si="62"/>
        <v>395</v>
      </c>
      <c r="W107" s="18">
        <f t="shared" si="63"/>
        <v>609</v>
      </c>
      <c r="X107" s="14">
        <f t="shared" si="64"/>
        <v>395</v>
      </c>
      <c r="Y107" s="18">
        <f t="shared" si="65"/>
        <v>595</v>
      </c>
      <c r="Z107" s="14">
        <f t="shared" si="66"/>
        <v>380</v>
      </c>
      <c r="AA107" s="18">
        <f t="shared" si="67"/>
        <v>595</v>
      </c>
      <c r="AB107" s="4" t="s">
        <v>0</v>
      </c>
    </row>
    <row r="108" spans="1:28">
      <c r="A108" s="9" t="s">
        <v>309</v>
      </c>
      <c r="B108" s="24"/>
      <c r="C108" s="26"/>
      <c r="D108" s="25">
        <f t="shared" si="70"/>
        <v>395</v>
      </c>
      <c r="E108" s="29">
        <f t="shared" si="71"/>
        <v>141</v>
      </c>
      <c r="F108" s="25">
        <f t="shared" si="72"/>
        <v>410</v>
      </c>
      <c r="G108" s="29">
        <f t="shared" si="73"/>
        <v>155</v>
      </c>
      <c r="H108" s="4" t="s">
        <v>0</v>
      </c>
      <c r="I108" s="16" t="str">
        <f t="shared" si="50"/>
        <v>20-01</v>
      </c>
      <c r="J108" s="14">
        <f t="shared" si="51"/>
        <v>395</v>
      </c>
      <c r="K108" s="15">
        <f t="shared" si="52"/>
        <v>141</v>
      </c>
      <c r="L108" s="17">
        <f t="shared" si="53"/>
        <v>410</v>
      </c>
      <c r="M108" s="18">
        <f t="shared" si="54"/>
        <v>141</v>
      </c>
      <c r="N108" s="14">
        <f t="shared" si="55"/>
        <v>410</v>
      </c>
      <c r="O108" s="15">
        <f t="shared" si="56"/>
        <v>155</v>
      </c>
      <c r="P108" s="17">
        <f t="shared" si="57"/>
        <v>395</v>
      </c>
      <c r="Q108" s="18">
        <f t="shared" si="58"/>
        <v>155</v>
      </c>
      <c r="R108" s="4" t="s">
        <v>0</v>
      </c>
      <c r="S108" s="16" t="str">
        <f t="shared" si="59"/>
        <v>20-01</v>
      </c>
      <c r="T108" s="14">
        <f t="shared" si="60"/>
        <v>395</v>
      </c>
      <c r="U108" s="18">
        <f t="shared" si="61"/>
        <v>609</v>
      </c>
      <c r="V108" s="14">
        <f t="shared" si="62"/>
        <v>410</v>
      </c>
      <c r="W108" s="18">
        <f t="shared" si="63"/>
        <v>609</v>
      </c>
      <c r="X108" s="14">
        <f t="shared" si="64"/>
        <v>410</v>
      </c>
      <c r="Y108" s="18">
        <f t="shared" si="65"/>
        <v>595</v>
      </c>
      <c r="Z108" s="14">
        <f t="shared" si="66"/>
        <v>395</v>
      </c>
      <c r="AA108" s="18">
        <f t="shared" si="67"/>
        <v>595</v>
      </c>
      <c r="AB108" s="4" t="s">
        <v>0</v>
      </c>
    </row>
    <row r="109" spans="1:28">
      <c r="A109" s="9" t="s">
        <v>308</v>
      </c>
      <c r="B109" s="24"/>
      <c r="C109" s="26"/>
      <c r="D109" s="27">
        <v>26</v>
      </c>
      <c r="E109" s="31">
        <f>ROUND(E85+19,0)</f>
        <v>160</v>
      </c>
      <c r="F109" s="31">
        <v>41</v>
      </c>
      <c r="G109" s="31">
        <f>ROUND(G85+19,0)</f>
        <v>174</v>
      </c>
      <c r="H109" s="4" t="s">
        <v>0</v>
      </c>
      <c r="I109" s="16" t="str">
        <f t="shared" si="50"/>
        <v>18-30</v>
      </c>
      <c r="J109" s="14">
        <f t="shared" si="51"/>
        <v>26</v>
      </c>
      <c r="K109" s="15">
        <f t="shared" si="52"/>
        <v>160</v>
      </c>
      <c r="L109" s="17">
        <f t="shared" si="53"/>
        <v>41</v>
      </c>
      <c r="M109" s="18">
        <f t="shared" si="54"/>
        <v>160</v>
      </c>
      <c r="N109" s="14">
        <f t="shared" si="55"/>
        <v>41</v>
      </c>
      <c r="O109" s="15">
        <f t="shared" si="56"/>
        <v>174</v>
      </c>
      <c r="P109" s="17">
        <f t="shared" si="57"/>
        <v>26</v>
      </c>
      <c r="Q109" s="18">
        <f t="shared" si="58"/>
        <v>174</v>
      </c>
      <c r="R109" s="4" t="s">
        <v>0</v>
      </c>
      <c r="S109" s="16" t="str">
        <f t="shared" si="59"/>
        <v>18-30</v>
      </c>
      <c r="T109" s="14">
        <f t="shared" si="60"/>
        <v>26</v>
      </c>
      <c r="U109" s="18">
        <f t="shared" si="61"/>
        <v>590</v>
      </c>
      <c r="V109" s="14">
        <f t="shared" si="62"/>
        <v>41</v>
      </c>
      <c r="W109" s="18">
        <f t="shared" si="63"/>
        <v>590</v>
      </c>
      <c r="X109" s="14">
        <f t="shared" si="64"/>
        <v>41</v>
      </c>
      <c r="Y109" s="18">
        <f t="shared" si="65"/>
        <v>576</v>
      </c>
      <c r="Z109" s="14">
        <f t="shared" si="66"/>
        <v>26</v>
      </c>
      <c r="AA109" s="18">
        <f t="shared" si="67"/>
        <v>576</v>
      </c>
      <c r="AB109" s="4" t="s">
        <v>0</v>
      </c>
    </row>
    <row r="110" spans="1:28">
      <c r="A110" s="9" t="s">
        <v>307</v>
      </c>
      <c r="B110" s="24"/>
      <c r="C110" s="26"/>
      <c r="D110" s="25">
        <f>D86</f>
        <v>41</v>
      </c>
      <c r="E110" s="29">
        <f t="shared" ref="E110:E132" si="74">E109</f>
        <v>160</v>
      </c>
      <c r="F110" s="25">
        <f>F86</f>
        <v>56</v>
      </c>
      <c r="G110" s="29">
        <f t="shared" ref="G110:G132" si="75">G109</f>
        <v>174</v>
      </c>
      <c r="H110" s="4" t="s">
        <v>0</v>
      </c>
      <c r="I110" s="16" t="str">
        <f t="shared" si="50"/>
        <v>18-28</v>
      </c>
      <c r="J110" s="14">
        <f t="shared" si="51"/>
        <v>41</v>
      </c>
      <c r="K110" s="15">
        <f t="shared" si="52"/>
        <v>160</v>
      </c>
      <c r="L110" s="17">
        <f t="shared" si="53"/>
        <v>56</v>
      </c>
      <c r="M110" s="18">
        <f t="shared" si="54"/>
        <v>160</v>
      </c>
      <c r="N110" s="14">
        <f t="shared" si="55"/>
        <v>56</v>
      </c>
      <c r="O110" s="15">
        <f t="shared" si="56"/>
        <v>174</v>
      </c>
      <c r="P110" s="17">
        <f t="shared" si="57"/>
        <v>41</v>
      </c>
      <c r="Q110" s="18">
        <f t="shared" si="58"/>
        <v>174</v>
      </c>
      <c r="R110" s="4" t="s">
        <v>0</v>
      </c>
      <c r="S110" s="16" t="str">
        <f t="shared" si="59"/>
        <v>18-28</v>
      </c>
      <c r="T110" s="14">
        <f t="shared" si="60"/>
        <v>41</v>
      </c>
      <c r="U110" s="18">
        <f t="shared" si="61"/>
        <v>590</v>
      </c>
      <c r="V110" s="14">
        <f t="shared" si="62"/>
        <v>56</v>
      </c>
      <c r="W110" s="18">
        <f t="shared" si="63"/>
        <v>590</v>
      </c>
      <c r="X110" s="14">
        <f t="shared" si="64"/>
        <v>56</v>
      </c>
      <c r="Y110" s="18">
        <f t="shared" si="65"/>
        <v>576</v>
      </c>
      <c r="Z110" s="14">
        <f t="shared" si="66"/>
        <v>41</v>
      </c>
      <c r="AA110" s="18">
        <f t="shared" si="67"/>
        <v>576</v>
      </c>
      <c r="AB110" s="4" t="s">
        <v>0</v>
      </c>
    </row>
    <row r="111" spans="1:28">
      <c r="A111" s="9" t="s">
        <v>306</v>
      </c>
      <c r="B111" s="24"/>
      <c r="C111" s="26"/>
      <c r="D111" s="25">
        <f t="shared" ref="D111:D132" si="76">D87</f>
        <v>56</v>
      </c>
      <c r="E111" s="29">
        <f t="shared" si="74"/>
        <v>160</v>
      </c>
      <c r="F111" s="25">
        <f t="shared" ref="F111:F132" si="77">F87</f>
        <v>71</v>
      </c>
      <c r="G111" s="29">
        <f t="shared" si="75"/>
        <v>174</v>
      </c>
      <c r="H111" s="4" t="s">
        <v>0</v>
      </c>
      <c r="I111" s="16" t="str">
        <f t="shared" si="50"/>
        <v>18-27</v>
      </c>
      <c r="J111" s="14">
        <f t="shared" si="51"/>
        <v>56</v>
      </c>
      <c r="K111" s="15">
        <f t="shared" si="52"/>
        <v>160</v>
      </c>
      <c r="L111" s="17">
        <f t="shared" si="53"/>
        <v>71</v>
      </c>
      <c r="M111" s="18">
        <f t="shared" si="54"/>
        <v>160</v>
      </c>
      <c r="N111" s="14">
        <f t="shared" si="55"/>
        <v>71</v>
      </c>
      <c r="O111" s="15">
        <f t="shared" si="56"/>
        <v>174</v>
      </c>
      <c r="P111" s="17">
        <f t="shared" si="57"/>
        <v>56</v>
      </c>
      <c r="Q111" s="18">
        <f t="shared" si="58"/>
        <v>174</v>
      </c>
      <c r="R111" s="4" t="s">
        <v>0</v>
      </c>
      <c r="S111" s="16" t="str">
        <f t="shared" si="59"/>
        <v>18-27</v>
      </c>
      <c r="T111" s="14">
        <f t="shared" si="60"/>
        <v>56</v>
      </c>
      <c r="U111" s="18">
        <f t="shared" si="61"/>
        <v>590</v>
      </c>
      <c r="V111" s="14">
        <f t="shared" si="62"/>
        <v>71</v>
      </c>
      <c r="W111" s="18">
        <f t="shared" si="63"/>
        <v>590</v>
      </c>
      <c r="X111" s="14">
        <f t="shared" si="64"/>
        <v>71</v>
      </c>
      <c r="Y111" s="18">
        <f t="shared" si="65"/>
        <v>576</v>
      </c>
      <c r="Z111" s="14">
        <f t="shared" si="66"/>
        <v>56</v>
      </c>
      <c r="AA111" s="18">
        <f t="shared" si="67"/>
        <v>576</v>
      </c>
      <c r="AB111" s="4" t="s">
        <v>0</v>
      </c>
    </row>
    <row r="112" spans="1:28">
      <c r="A112" s="9" t="s">
        <v>305</v>
      </c>
      <c r="B112" s="24"/>
      <c r="C112" s="26"/>
      <c r="D112" s="25">
        <f t="shared" si="76"/>
        <v>71</v>
      </c>
      <c r="E112" s="29">
        <f t="shared" si="74"/>
        <v>160</v>
      </c>
      <c r="F112" s="25">
        <f t="shared" si="77"/>
        <v>86</v>
      </c>
      <c r="G112" s="29">
        <f t="shared" si="75"/>
        <v>174</v>
      </c>
      <c r="H112" s="4" t="s">
        <v>0</v>
      </c>
      <c r="I112" s="16" t="str">
        <f t="shared" si="50"/>
        <v>18-26</v>
      </c>
      <c r="J112" s="14">
        <f t="shared" si="51"/>
        <v>71</v>
      </c>
      <c r="K112" s="15">
        <f t="shared" si="52"/>
        <v>160</v>
      </c>
      <c r="L112" s="17">
        <f t="shared" si="53"/>
        <v>86</v>
      </c>
      <c r="M112" s="18">
        <f t="shared" si="54"/>
        <v>160</v>
      </c>
      <c r="N112" s="14">
        <f t="shared" si="55"/>
        <v>86</v>
      </c>
      <c r="O112" s="15">
        <f t="shared" si="56"/>
        <v>174</v>
      </c>
      <c r="P112" s="17">
        <f t="shared" si="57"/>
        <v>71</v>
      </c>
      <c r="Q112" s="18">
        <f t="shared" si="58"/>
        <v>174</v>
      </c>
      <c r="R112" s="4" t="s">
        <v>0</v>
      </c>
      <c r="S112" s="16" t="str">
        <f t="shared" si="59"/>
        <v>18-26</v>
      </c>
      <c r="T112" s="14">
        <f t="shared" si="60"/>
        <v>71</v>
      </c>
      <c r="U112" s="18">
        <f t="shared" si="61"/>
        <v>590</v>
      </c>
      <c r="V112" s="14">
        <f t="shared" si="62"/>
        <v>86</v>
      </c>
      <c r="W112" s="18">
        <f t="shared" si="63"/>
        <v>590</v>
      </c>
      <c r="X112" s="14">
        <f t="shared" si="64"/>
        <v>86</v>
      </c>
      <c r="Y112" s="18">
        <f t="shared" si="65"/>
        <v>576</v>
      </c>
      <c r="Z112" s="14">
        <f t="shared" si="66"/>
        <v>71</v>
      </c>
      <c r="AA112" s="18">
        <f t="shared" si="67"/>
        <v>576</v>
      </c>
      <c r="AB112" s="4" t="s">
        <v>0</v>
      </c>
    </row>
    <row r="113" spans="1:28">
      <c r="A113" s="9" t="s">
        <v>304</v>
      </c>
      <c r="B113" s="24"/>
      <c r="C113" s="26"/>
      <c r="D113" s="25">
        <f t="shared" si="76"/>
        <v>86</v>
      </c>
      <c r="E113" s="29">
        <f t="shared" si="74"/>
        <v>160</v>
      </c>
      <c r="F113" s="25">
        <f t="shared" si="77"/>
        <v>101</v>
      </c>
      <c r="G113" s="29">
        <f t="shared" si="75"/>
        <v>174</v>
      </c>
      <c r="H113" s="4" t="s">
        <v>0</v>
      </c>
      <c r="I113" s="16" t="str">
        <f t="shared" si="50"/>
        <v>18-25</v>
      </c>
      <c r="J113" s="14">
        <f t="shared" si="51"/>
        <v>86</v>
      </c>
      <c r="K113" s="15">
        <f t="shared" si="52"/>
        <v>160</v>
      </c>
      <c r="L113" s="17">
        <f t="shared" si="53"/>
        <v>101</v>
      </c>
      <c r="M113" s="18">
        <f t="shared" si="54"/>
        <v>160</v>
      </c>
      <c r="N113" s="14">
        <f t="shared" si="55"/>
        <v>101</v>
      </c>
      <c r="O113" s="15">
        <f t="shared" si="56"/>
        <v>174</v>
      </c>
      <c r="P113" s="17">
        <f t="shared" si="57"/>
        <v>86</v>
      </c>
      <c r="Q113" s="18">
        <f t="shared" si="58"/>
        <v>174</v>
      </c>
      <c r="R113" s="4" t="s">
        <v>0</v>
      </c>
      <c r="S113" s="16" t="str">
        <f t="shared" si="59"/>
        <v>18-25</v>
      </c>
      <c r="T113" s="14">
        <f t="shared" si="60"/>
        <v>86</v>
      </c>
      <c r="U113" s="18">
        <f t="shared" si="61"/>
        <v>590</v>
      </c>
      <c r="V113" s="14">
        <f t="shared" si="62"/>
        <v>101</v>
      </c>
      <c r="W113" s="18">
        <f t="shared" si="63"/>
        <v>590</v>
      </c>
      <c r="X113" s="14">
        <f t="shared" si="64"/>
        <v>101</v>
      </c>
      <c r="Y113" s="18">
        <f t="shared" si="65"/>
        <v>576</v>
      </c>
      <c r="Z113" s="14">
        <f t="shared" si="66"/>
        <v>86</v>
      </c>
      <c r="AA113" s="18">
        <f t="shared" si="67"/>
        <v>576</v>
      </c>
      <c r="AB113" s="4" t="s">
        <v>0</v>
      </c>
    </row>
    <row r="114" spans="1:28">
      <c r="A114" s="9" t="s">
        <v>303</v>
      </c>
      <c r="B114" s="24"/>
      <c r="C114" s="26"/>
      <c r="D114" s="25">
        <f t="shared" si="76"/>
        <v>101</v>
      </c>
      <c r="E114" s="29">
        <f t="shared" si="74"/>
        <v>160</v>
      </c>
      <c r="F114" s="25">
        <f t="shared" si="77"/>
        <v>116</v>
      </c>
      <c r="G114" s="29">
        <f t="shared" si="75"/>
        <v>174</v>
      </c>
      <c r="H114" s="4" t="s">
        <v>0</v>
      </c>
      <c r="I114" s="16" t="str">
        <f t="shared" si="50"/>
        <v>18-23</v>
      </c>
      <c r="J114" s="14">
        <f t="shared" si="51"/>
        <v>101</v>
      </c>
      <c r="K114" s="15">
        <f t="shared" si="52"/>
        <v>160</v>
      </c>
      <c r="L114" s="17">
        <f t="shared" si="53"/>
        <v>116</v>
      </c>
      <c r="M114" s="18">
        <f t="shared" si="54"/>
        <v>160</v>
      </c>
      <c r="N114" s="14">
        <f t="shared" si="55"/>
        <v>116</v>
      </c>
      <c r="O114" s="15">
        <f t="shared" si="56"/>
        <v>174</v>
      </c>
      <c r="P114" s="17">
        <f t="shared" si="57"/>
        <v>101</v>
      </c>
      <c r="Q114" s="18">
        <f t="shared" si="58"/>
        <v>174</v>
      </c>
      <c r="R114" s="4" t="s">
        <v>0</v>
      </c>
      <c r="S114" s="16" t="str">
        <f t="shared" si="59"/>
        <v>18-23</v>
      </c>
      <c r="T114" s="14">
        <f t="shared" si="60"/>
        <v>101</v>
      </c>
      <c r="U114" s="18">
        <f t="shared" si="61"/>
        <v>590</v>
      </c>
      <c r="V114" s="14">
        <f t="shared" si="62"/>
        <v>116</v>
      </c>
      <c r="W114" s="18">
        <f t="shared" si="63"/>
        <v>590</v>
      </c>
      <c r="X114" s="14">
        <f t="shared" si="64"/>
        <v>116</v>
      </c>
      <c r="Y114" s="18">
        <f t="shared" si="65"/>
        <v>576</v>
      </c>
      <c r="Z114" s="14">
        <f t="shared" si="66"/>
        <v>101</v>
      </c>
      <c r="AA114" s="18">
        <f t="shared" si="67"/>
        <v>576</v>
      </c>
      <c r="AB114" s="4" t="s">
        <v>0</v>
      </c>
    </row>
    <row r="115" spans="1:28">
      <c r="A115" s="9" t="s">
        <v>302</v>
      </c>
      <c r="B115" s="24"/>
      <c r="C115" s="26"/>
      <c r="D115" s="25">
        <f t="shared" si="76"/>
        <v>116</v>
      </c>
      <c r="E115" s="29">
        <f t="shared" si="74"/>
        <v>160</v>
      </c>
      <c r="F115" s="25">
        <f t="shared" si="77"/>
        <v>131</v>
      </c>
      <c r="G115" s="29">
        <f t="shared" si="75"/>
        <v>174</v>
      </c>
      <c r="H115" s="4" t="s">
        <v>0</v>
      </c>
      <c r="I115" s="16" t="str">
        <f t="shared" si="50"/>
        <v>18-22</v>
      </c>
      <c r="J115" s="14">
        <f t="shared" si="51"/>
        <v>116</v>
      </c>
      <c r="K115" s="15">
        <f t="shared" si="52"/>
        <v>160</v>
      </c>
      <c r="L115" s="17">
        <f t="shared" si="53"/>
        <v>131</v>
      </c>
      <c r="M115" s="18">
        <f t="shared" si="54"/>
        <v>160</v>
      </c>
      <c r="N115" s="14">
        <f t="shared" si="55"/>
        <v>131</v>
      </c>
      <c r="O115" s="15">
        <f t="shared" si="56"/>
        <v>174</v>
      </c>
      <c r="P115" s="17">
        <f t="shared" si="57"/>
        <v>116</v>
      </c>
      <c r="Q115" s="18">
        <f t="shared" si="58"/>
        <v>174</v>
      </c>
      <c r="R115" s="4" t="s">
        <v>0</v>
      </c>
      <c r="S115" s="16" t="str">
        <f t="shared" si="59"/>
        <v>18-22</v>
      </c>
      <c r="T115" s="14">
        <f t="shared" si="60"/>
        <v>116</v>
      </c>
      <c r="U115" s="18">
        <f t="shared" si="61"/>
        <v>590</v>
      </c>
      <c r="V115" s="14">
        <f t="shared" si="62"/>
        <v>131</v>
      </c>
      <c r="W115" s="18">
        <f t="shared" si="63"/>
        <v>590</v>
      </c>
      <c r="X115" s="14">
        <f t="shared" si="64"/>
        <v>131</v>
      </c>
      <c r="Y115" s="18">
        <f t="shared" si="65"/>
        <v>576</v>
      </c>
      <c r="Z115" s="14">
        <f t="shared" si="66"/>
        <v>116</v>
      </c>
      <c r="AA115" s="18">
        <f t="shared" si="67"/>
        <v>576</v>
      </c>
      <c r="AB115" s="4" t="s">
        <v>0</v>
      </c>
    </row>
    <row r="116" spans="1:28">
      <c r="A116" s="9" t="s">
        <v>301</v>
      </c>
      <c r="B116" s="24"/>
      <c r="C116" s="26"/>
      <c r="D116" s="25">
        <f t="shared" si="76"/>
        <v>131</v>
      </c>
      <c r="E116" s="29">
        <f t="shared" si="74"/>
        <v>160</v>
      </c>
      <c r="F116" s="25">
        <f t="shared" si="77"/>
        <v>146</v>
      </c>
      <c r="G116" s="29">
        <f t="shared" si="75"/>
        <v>174</v>
      </c>
      <c r="H116" s="4" t="s">
        <v>0</v>
      </c>
      <c r="I116" s="16" t="str">
        <f t="shared" si="50"/>
        <v>18-21</v>
      </c>
      <c r="J116" s="14">
        <f t="shared" si="51"/>
        <v>131</v>
      </c>
      <c r="K116" s="15">
        <f t="shared" si="52"/>
        <v>160</v>
      </c>
      <c r="L116" s="17">
        <f t="shared" si="53"/>
        <v>146</v>
      </c>
      <c r="M116" s="18">
        <f t="shared" si="54"/>
        <v>160</v>
      </c>
      <c r="N116" s="14">
        <f t="shared" si="55"/>
        <v>146</v>
      </c>
      <c r="O116" s="15">
        <f t="shared" si="56"/>
        <v>174</v>
      </c>
      <c r="P116" s="17">
        <f t="shared" si="57"/>
        <v>131</v>
      </c>
      <c r="Q116" s="18">
        <f t="shared" si="58"/>
        <v>174</v>
      </c>
      <c r="R116" s="4" t="s">
        <v>0</v>
      </c>
      <c r="S116" s="16" t="str">
        <f t="shared" si="59"/>
        <v>18-21</v>
      </c>
      <c r="T116" s="14">
        <f t="shared" si="60"/>
        <v>131</v>
      </c>
      <c r="U116" s="18">
        <f t="shared" si="61"/>
        <v>590</v>
      </c>
      <c r="V116" s="14">
        <f t="shared" si="62"/>
        <v>146</v>
      </c>
      <c r="W116" s="18">
        <f t="shared" si="63"/>
        <v>590</v>
      </c>
      <c r="X116" s="14">
        <f t="shared" si="64"/>
        <v>146</v>
      </c>
      <c r="Y116" s="18">
        <f t="shared" si="65"/>
        <v>576</v>
      </c>
      <c r="Z116" s="14">
        <f t="shared" si="66"/>
        <v>131</v>
      </c>
      <c r="AA116" s="18">
        <f t="shared" si="67"/>
        <v>576</v>
      </c>
      <c r="AB116" s="4" t="s">
        <v>0</v>
      </c>
    </row>
    <row r="117" spans="1:28">
      <c r="A117" s="9" t="s">
        <v>300</v>
      </c>
      <c r="B117" s="24"/>
      <c r="C117" s="26"/>
      <c r="D117" s="25">
        <f t="shared" si="76"/>
        <v>146</v>
      </c>
      <c r="E117" s="29">
        <f t="shared" si="74"/>
        <v>160</v>
      </c>
      <c r="F117" s="25">
        <f t="shared" si="77"/>
        <v>161</v>
      </c>
      <c r="G117" s="29">
        <f t="shared" si="75"/>
        <v>174</v>
      </c>
      <c r="H117" s="4" t="s">
        <v>0</v>
      </c>
      <c r="I117" s="16" t="str">
        <f t="shared" si="50"/>
        <v>18-20</v>
      </c>
      <c r="J117" s="14">
        <f t="shared" si="51"/>
        <v>146</v>
      </c>
      <c r="K117" s="15">
        <f t="shared" si="52"/>
        <v>160</v>
      </c>
      <c r="L117" s="17">
        <f t="shared" si="53"/>
        <v>161</v>
      </c>
      <c r="M117" s="18">
        <f t="shared" si="54"/>
        <v>160</v>
      </c>
      <c r="N117" s="14">
        <f t="shared" si="55"/>
        <v>161</v>
      </c>
      <c r="O117" s="15">
        <f t="shared" si="56"/>
        <v>174</v>
      </c>
      <c r="P117" s="17">
        <f t="shared" si="57"/>
        <v>146</v>
      </c>
      <c r="Q117" s="18">
        <f t="shared" si="58"/>
        <v>174</v>
      </c>
      <c r="R117" s="4" t="s">
        <v>0</v>
      </c>
      <c r="S117" s="16" t="str">
        <f t="shared" si="59"/>
        <v>18-20</v>
      </c>
      <c r="T117" s="14">
        <f t="shared" si="60"/>
        <v>146</v>
      </c>
      <c r="U117" s="18">
        <f t="shared" si="61"/>
        <v>590</v>
      </c>
      <c r="V117" s="14">
        <f t="shared" si="62"/>
        <v>161</v>
      </c>
      <c r="W117" s="18">
        <f t="shared" si="63"/>
        <v>590</v>
      </c>
      <c r="X117" s="14">
        <f t="shared" si="64"/>
        <v>161</v>
      </c>
      <c r="Y117" s="18">
        <f t="shared" si="65"/>
        <v>576</v>
      </c>
      <c r="Z117" s="14">
        <f t="shared" si="66"/>
        <v>146</v>
      </c>
      <c r="AA117" s="18">
        <f t="shared" si="67"/>
        <v>576</v>
      </c>
      <c r="AB117" s="4" t="s">
        <v>0</v>
      </c>
    </row>
    <row r="118" spans="1:28">
      <c r="A118" s="9" t="s">
        <v>299</v>
      </c>
      <c r="B118" s="24"/>
      <c r="C118" s="26"/>
      <c r="D118" s="25">
        <f t="shared" si="76"/>
        <v>161</v>
      </c>
      <c r="E118" s="29">
        <f t="shared" si="74"/>
        <v>160</v>
      </c>
      <c r="F118" s="25">
        <f t="shared" si="77"/>
        <v>176</v>
      </c>
      <c r="G118" s="29">
        <f t="shared" si="75"/>
        <v>174</v>
      </c>
      <c r="H118" s="4" t="s">
        <v>0</v>
      </c>
      <c r="I118" s="16" t="str">
        <f t="shared" si="50"/>
        <v>18-18</v>
      </c>
      <c r="J118" s="14">
        <f t="shared" si="51"/>
        <v>161</v>
      </c>
      <c r="K118" s="15">
        <f t="shared" si="52"/>
        <v>160</v>
      </c>
      <c r="L118" s="17">
        <f t="shared" si="53"/>
        <v>176</v>
      </c>
      <c r="M118" s="18">
        <f t="shared" si="54"/>
        <v>160</v>
      </c>
      <c r="N118" s="14">
        <f t="shared" si="55"/>
        <v>176</v>
      </c>
      <c r="O118" s="15">
        <f t="shared" si="56"/>
        <v>174</v>
      </c>
      <c r="P118" s="17">
        <f t="shared" si="57"/>
        <v>161</v>
      </c>
      <c r="Q118" s="18">
        <f t="shared" si="58"/>
        <v>174</v>
      </c>
      <c r="R118" s="4" t="s">
        <v>0</v>
      </c>
      <c r="S118" s="16" t="str">
        <f t="shared" si="59"/>
        <v>18-18</v>
      </c>
      <c r="T118" s="14">
        <f t="shared" si="60"/>
        <v>161</v>
      </c>
      <c r="U118" s="18">
        <f t="shared" si="61"/>
        <v>590</v>
      </c>
      <c r="V118" s="14">
        <f t="shared" si="62"/>
        <v>176</v>
      </c>
      <c r="W118" s="18">
        <f t="shared" si="63"/>
        <v>590</v>
      </c>
      <c r="X118" s="14">
        <f t="shared" si="64"/>
        <v>176</v>
      </c>
      <c r="Y118" s="18">
        <f t="shared" si="65"/>
        <v>576</v>
      </c>
      <c r="Z118" s="14">
        <f t="shared" si="66"/>
        <v>161</v>
      </c>
      <c r="AA118" s="18">
        <f t="shared" si="67"/>
        <v>576</v>
      </c>
      <c r="AB118" s="4" t="s">
        <v>0</v>
      </c>
    </row>
    <row r="119" spans="1:28">
      <c r="A119" s="9" t="s">
        <v>298</v>
      </c>
      <c r="B119" s="24"/>
      <c r="C119" s="26"/>
      <c r="D119" s="25">
        <f t="shared" si="76"/>
        <v>176</v>
      </c>
      <c r="E119" s="29">
        <f t="shared" si="74"/>
        <v>160</v>
      </c>
      <c r="F119" s="25">
        <f t="shared" si="77"/>
        <v>191</v>
      </c>
      <c r="G119" s="29">
        <f t="shared" si="75"/>
        <v>174</v>
      </c>
      <c r="H119" s="4" t="s">
        <v>0</v>
      </c>
      <c r="I119" s="16" t="str">
        <f t="shared" si="50"/>
        <v>18-17</v>
      </c>
      <c r="J119" s="14">
        <f t="shared" si="51"/>
        <v>176</v>
      </c>
      <c r="K119" s="15">
        <f t="shared" si="52"/>
        <v>160</v>
      </c>
      <c r="L119" s="17">
        <f t="shared" si="53"/>
        <v>191</v>
      </c>
      <c r="M119" s="18">
        <f t="shared" si="54"/>
        <v>160</v>
      </c>
      <c r="N119" s="14">
        <f t="shared" si="55"/>
        <v>191</v>
      </c>
      <c r="O119" s="15">
        <f t="shared" si="56"/>
        <v>174</v>
      </c>
      <c r="P119" s="17">
        <f t="shared" si="57"/>
        <v>176</v>
      </c>
      <c r="Q119" s="18">
        <f t="shared" si="58"/>
        <v>174</v>
      </c>
      <c r="R119" s="4" t="s">
        <v>0</v>
      </c>
      <c r="S119" s="16" t="str">
        <f t="shared" si="59"/>
        <v>18-17</v>
      </c>
      <c r="T119" s="14">
        <f t="shared" si="60"/>
        <v>176</v>
      </c>
      <c r="U119" s="18">
        <f t="shared" si="61"/>
        <v>590</v>
      </c>
      <c r="V119" s="14">
        <f t="shared" si="62"/>
        <v>191</v>
      </c>
      <c r="W119" s="18">
        <f t="shared" si="63"/>
        <v>590</v>
      </c>
      <c r="X119" s="14">
        <f t="shared" si="64"/>
        <v>191</v>
      </c>
      <c r="Y119" s="18">
        <f t="shared" si="65"/>
        <v>576</v>
      </c>
      <c r="Z119" s="14">
        <f t="shared" si="66"/>
        <v>176</v>
      </c>
      <c r="AA119" s="18">
        <f t="shared" si="67"/>
        <v>576</v>
      </c>
      <c r="AB119" s="4" t="s">
        <v>0</v>
      </c>
    </row>
    <row r="120" spans="1:28">
      <c r="A120" s="9" t="s">
        <v>297</v>
      </c>
      <c r="B120" s="24"/>
      <c r="C120" s="26"/>
      <c r="D120" s="25">
        <f t="shared" si="76"/>
        <v>191</v>
      </c>
      <c r="E120" s="29">
        <f t="shared" si="74"/>
        <v>160</v>
      </c>
      <c r="F120" s="25">
        <f t="shared" si="77"/>
        <v>206</v>
      </c>
      <c r="G120" s="29">
        <f t="shared" si="75"/>
        <v>174</v>
      </c>
      <c r="H120" s="4" t="s">
        <v>0</v>
      </c>
      <c r="I120" s="16" t="str">
        <f t="shared" si="50"/>
        <v>18-16</v>
      </c>
      <c r="J120" s="14">
        <f t="shared" si="51"/>
        <v>191</v>
      </c>
      <c r="K120" s="15">
        <f t="shared" si="52"/>
        <v>160</v>
      </c>
      <c r="L120" s="17">
        <f t="shared" si="53"/>
        <v>206</v>
      </c>
      <c r="M120" s="18">
        <f t="shared" si="54"/>
        <v>160</v>
      </c>
      <c r="N120" s="14">
        <f t="shared" si="55"/>
        <v>206</v>
      </c>
      <c r="O120" s="15">
        <f t="shared" si="56"/>
        <v>174</v>
      </c>
      <c r="P120" s="17">
        <f t="shared" si="57"/>
        <v>191</v>
      </c>
      <c r="Q120" s="18">
        <f t="shared" si="58"/>
        <v>174</v>
      </c>
      <c r="R120" s="4" t="s">
        <v>0</v>
      </c>
      <c r="S120" s="16" t="str">
        <f t="shared" si="59"/>
        <v>18-16</v>
      </c>
      <c r="T120" s="14">
        <f t="shared" si="60"/>
        <v>191</v>
      </c>
      <c r="U120" s="18">
        <f t="shared" si="61"/>
        <v>590</v>
      </c>
      <c r="V120" s="14">
        <f t="shared" si="62"/>
        <v>206</v>
      </c>
      <c r="W120" s="18">
        <f t="shared" si="63"/>
        <v>590</v>
      </c>
      <c r="X120" s="14">
        <f t="shared" si="64"/>
        <v>206</v>
      </c>
      <c r="Y120" s="18">
        <f t="shared" si="65"/>
        <v>576</v>
      </c>
      <c r="Z120" s="14">
        <f t="shared" si="66"/>
        <v>191</v>
      </c>
      <c r="AA120" s="18">
        <f t="shared" si="67"/>
        <v>576</v>
      </c>
      <c r="AB120" s="4" t="s">
        <v>0</v>
      </c>
    </row>
    <row r="121" spans="1:28">
      <c r="A121" s="9" t="s">
        <v>296</v>
      </c>
      <c r="B121" s="24"/>
      <c r="C121" s="26"/>
      <c r="D121" s="25">
        <f t="shared" si="76"/>
        <v>206</v>
      </c>
      <c r="E121" s="29">
        <f t="shared" si="74"/>
        <v>160</v>
      </c>
      <c r="F121" s="25">
        <f t="shared" si="77"/>
        <v>221</v>
      </c>
      <c r="G121" s="29">
        <f t="shared" si="75"/>
        <v>174</v>
      </c>
      <c r="H121" s="4" t="s">
        <v>0</v>
      </c>
      <c r="I121" s="16" t="str">
        <f t="shared" si="50"/>
        <v>18-15</v>
      </c>
      <c r="J121" s="14">
        <f t="shared" si="51"/>
        <v>206</v>
      </c>
      <c r="K121" s="15">
        <f t="shared" si="52"/>
        <v>160</v>
      </c>
      <c r="L121" s="17">
        <f t="shared" si="53"/>
        <v>221</v>
      </c>
      <c r="M121" s="18">
        <f t="shared" si="54"/>
        <v>160</v>
      </c>
      <c r="N121" s="14">
        <f t="shared" si="55"/>
        <v>221</v>
      </c>
      <c r="O121" s="15">
        <f t="shared" si="56"/>
        <v>174</v>
      </c>
      <c r="P121" s="17">
        <f t="shared" si="57"/>
        <v>206</v>
      </c>
      <c r="Q121" s="18">
        <f t="shared" si="58"/>
        <v>174</v>
      </c>
      <c r="R121" s="4" t="s">
        <v>0</v>
      </c>
      <c r="S121" s="16" t="str">
        <f t="shared" si="59"/>
        <v>18-15</v>
      </c>
      <c r="T121" s="14">
        <f t="shared" si="60"/>
        <v>206</v>
      </c>
      <c r="U121" s="18">
        <f t="shared" si="61"/>
        <v>590</v>
      </c>
      <c r="V121" s="14">
        <f t="shared" si="62"/>
        <v>221</v>
      </c>
      <c r="W121" s="18">
        <f t="shared" si="63"/>
        <v>590</v>
      </c>
      <c r="X121" s="14">
        <f t="shared" si="64"/>
        <v>221</v>
      </c>
      <c r="Y121" s="18">
        <f t="shared" si="65"/>
        <v>576</v>
      </c>
      <c r="Z121" s="14">
        <f t="shared" si="66"/>
        <v>206</v>
      </c>
      <c r="AA121" s="18">
        <f t="shared" si="67"/>
        <v>576</v>
      </c>
      <c r="AB121" s="4" t="s">
        <v>0</v>
      </c>
    </row>
    <row r="122" spans="1:28">
      <c r="A122" s="9" t="s">
        <v>295</v>
      </c>
      <c r="B122" s="24"/>
      <c r="C122" s="26"/>
      <c r="D122" s="25">
        <f t="shared" si="76"/>
        <v>245</v>
      </c>
      <c r="E122" s="29">
        <f t="shared" si="74"/>
        <v>160</v>
      </c>
      <c r="F122" s="25">
        <f t="shared" si="77"/>
        <v>260</v>
      </c>
      <c r="G122" s="29">
        <f t="shared" si="75"/>
        <v>174</v>
      </c>
      <c r="H122" s="4" t="s">
        <v>0</v>
      </c>
      <c r="I122" s="16" t="str">
        <f t="shared" si="50"/>
        <v>18-13</v>
      </c>
      <c r="J122" s="14">
        <f t="shared" si="51"/>
        <v>245</v>
      </c>
      <c r="K122" s="15">
        <f t="shared" si="52"/>
        <v>160</v>
      </c>
      <c r="L122" s="17">
        <f t="shared" si="53"/>
        <v>260</v>
      </c>
      <c r="M122" s="18">
        <f t="shared" si="54"/>
        <v>160</v>
      </c>
      <c r="N122" s="14">
        <f t="shared" si="55"/>
        <v>260</v>
      </c>
      <c r="O122" s="15">
        <f t="shared" si="56"/>
        <v>174</v>
      </c>
      <c r="P122" s="17">
        <f t="shared" si="57"/>
        <v>245</v>
      </c>
      <c r="Q122" s="18">
        <f t="shared" si="58"/>
        <v>174</v>
      </c>
      <c r="R122" s="4" t="s">
        <v>0</v>
      </c>
      <c r="S122" s="16" t="str">
        <f t="shared" si="59"/>
        <v>18-13</v>
      </c>
      <c r="T122" s="14">
        <f t="shared" si="60"/>
        <v>245</v>
      </c>
      <c r="U122" s="18">
        <f t="shared" si="61"/>
        <v>590</v>
      </c>
      <c r="V122" s="14">
        <f t="shared" si="62"/>
        <v>260</v>
      </c>
      <c r="W122" s="18">
        <f t="shared" si="63"/>
        <v>590</v>
      </c>
      <c r="X122" s="14">
        <f t="shared" si="64"/>
        <v>260</v>
      </c>
      <c r="Y122" s="18">
        <f t="shared" si="65"/>
        <v>576</v>
      </c>
      <c r="Z122" s="14">
        <f t="shared" si="66"/>
        <v>245</v>
      </c>
      <c r="AA122" s="18">
        <f t="shared" si="67"/>
        <v>576</v>
      </c>
      <c r="AB122" s="4" t="s">
        <v>0</v>
      </c>
    </row>
    <row r="123" spans="1:28">
      <c r="A123" s="9" t="s">
        <v>294</v>
      </c>
      <c r="B123" s="24"/>
      <c r="C123" s="26"/>
      <c r="D123" s="25">
        <f t="shared" si="76"/>
        <v>260</v>
      </c>
      <c r="E123" s="29">
        <f t="shared" si="74"/>
        <v>160</v>
      </c>
      <c r="F123" s="25">
        <f t="shared" si="77"/>
        <v>275</v>
      </c>
      <c r="G123" s="29">
        <f t="shared" si="75"/>
        <v>174</v>
      </c>
      <c r="H123" s="4" t="s">
        <v>0</v>
      </c>
      <c r="I123" s="16" t="str">
        <f t="shared" si="50"/>
        <v>18-12</v>
      </c>
      <c r="J123" s="14">
        <f t="shared" si="51"/>
        <v>260</v>
      </c>
      <c r="K123" s="15">
        <f t="shared" si="52"/>
        <v>160</v>
      </c>
      <c r="L123" s="17">
        <f t="shared" si="53"/>
        <v>275</v>
      </c>
      <c r="M123" s="18">
        <f t="shared" si="54"/>
        <v>160</v>
      </c>
      <c r="N123" s="14">
        <f t="shared" si="55"/>
        <v>275</v>
      </c>
      <c r="O123" s="15">
        <f t="shared" si="56"/>
        <v>174</v>
      </c>
      <c r="P123" s="17">
        <f t="shared" si="57"/>
        <v>260</v>
      </c>
      <c r="Q123" s="18">
        <f t="shared" si="58"/>
        <v>174</v>
      </c>
      <c r="R123" s="4" t="s">
        <v>0</v>
      </c>
      <c r="S123" s="16" t="str">
        <f t="shared" si="59"/>
        <v>18-12</v>
      </c>
      <c r="T123" s="14">
        <f t="shared" si="60"/>
        <v>260</v>
      </c>
      <c r="U123" s="18">
        <f t="shared" si="61"/>
        <v>590</v>
      </c>
      <c r="V123" s="14">
        <f t="shared" si="62"/>
        <v>275</v>
      </c>
      <c r="W123" s="18">
        <f t="shared" si="63"/>
        <v>590</v>
      </c>
      <c r="X123" s="14">
        <f t="shared" si="64"/>
        <v>275</v>
      </c>
      <c r="Y123" s="18">
        <f t="shared" si="65"/>
        <v>576</v>
      </c>
      <c r="Z123" s="14">
        <f t="shared" si="66"/>
        <v>260</v>
      </c>
      <c r="AA123" s="18">
        <f t="shared" si="67"/>
        <v>576</v>
      </c>
      <c r="AB123" s="4" t="s">
        <v>0</v>
      </c>
    </row>
    <row r="124" spans="1:28">
      <c r="A124" s="9" t="s">
        <v>293</v>
      </c>
      <c r="B124" s="24"/>
      <c r="C124" s="26"/>
      <c r="D124" s="25">
        <f t="shared" si="76"/>
        <v>275</v>
      </c>
      <c r="E124" s="29">
        <f t="shared" si="74"/>
        <v>160</v>
      </c>
      <c r="F124" s="25">
        <f t="shared" si="77"/>
        <v>290</v>
      </c>
      <c r="G124" s="29">
        <f t="shared" si="75"/>
        <v>174</v>
      </c>
      <c r="H124" s="4" t="s">
        <v>0</v>
      </c>
      <c r="I124" s="16" t="str">
        <f t="shared" si="50"/>
        <v>18-11</v>
      </c>
      <c r="J124" s="14">
        <f t="shared" si="51"/>
        <v>275</v>
      </c>
      <c r="K124" s="15">
        <f t="shared" si="52"/>
        <v>160</v>
      </c>
      <c r="L124" s="17">
        <f t="shared" si="53"/>
        <v>290</v>
      </c>
      <c r="M124" s="18">
        <f t="shared" si="54"/>
        <v>160</v>
      </c>
      <c r="N124" s="14">
        <f t="shared" si="55"/>
        <v>290</v>
      </c>
      <c r="O124" s="15">
        <f t="shared" si="56"/>
        <v>174</v>
      </c>
      <c r="P124" s="17">
        <f t="shared" si="57"/>
        <v>275</v>
      </c>
      <c r="Q124" s="18">
        <f t="shared" si="58"/>
        <v>174</v>
      </c>
      <c r="R124" s="4" t="s">
        <v>0</v>
      </c>
      <c r="S124" s="16" t="str">
        <f t="shared" si="59"/>
        <v>18-11</v>
      </c>
      <c r="T124" s="14">
        <f t="shared" si="60"/>
        <v>275</v>
      </c>
      <c r="U124" s="18">
        <f t="shared" si="61"/>
        <v>590</v>
      </c>
      <c r="V124" s="14">
        <f t="shared" si="62"/>
        <v>290</v>
      </c>
      <c r="W124" s="18">
        <f t="shared" si="63"/>
        <v>590</v>
      </c>
      <c r="X124" s="14">
        <f t="shared" si="64"/>
        <v>290</v>
      </c>
      <c r="Y124" s="18">
        <f t="shared" si="65"/>
        <v>576</v>
      </c>
      <c r="Z124" s="14">
        <f t="shared" si="66"/>
        <v>275</v>
      </c>
      <c r="AA124" s="18">
        <f t="shared" si="67"/>
        <v>576</v>
      </c>
      <c r="AB124" s="4" t="s">
        <v>0</v>
      </c>
    </row>
    <row r="125" spans="1:28">
      <c r="A125" s="9" t="s">
        <v>292</v>
      </c>
      <c r="B125" s="24"/>
      <c r="C125" s="26"/>
      <c r="D125" s="25">
        <f t="shared" si="76"/>
        <v>290</v>
      </c>
      <c r="E125" s="29">
        <f t="shared" si="74"/>
        <v>160</v>
      </c>
      <c r="F125" s="25">
        <f t="shared" si="77"/>
        <v>305</v>
      </c>
      <c r="G125" s="29">
        <f t="shared" si="75"/>
        <v>174</v>
      </c>
      <c r="H125" s="4" t="s">
        <v>0</v>
      </c>
      <c r="I125" s="16" t="str">
        <f t="shared" si="50"/>
        <v>18-10</v>
      </c>
      <c r="J125" s="14">
        <f t="shared" si="51"/>
        <v>290</v>
      </c>
      <c r="K125" s="15">
        <f t="shared" si="52"/>
        <v>160</v>
      </c>
      <c r="L125" s="17">
        <f t="shared" si="53"/>
        <v>305</v>
      </c>
      <c r="M125" s="18">
        <f t="shared" si="54"/>
        <v>160</v>
      </c>
      <c r="N125" s="14">
        <f t="shared" si="55"/>
        <v>305</v>
      </c>
      <c r="O125" s="15">
        <f t="shared" si="56"/>
        <v>174</v>
      </c>
      <c r="P125" s="17">
        <f t="shared" si="57"/>
        <v>290</v>
      </c>
      <c r="Q125" s="18">
        <f t="shared" si="58"/>
        <v>174</v>
      </c>
      <c r="R125" s="4" t="s">
        <v>0</v>
      </c>
      <c r="S125" s="16" t="str">
        <f t="shared" si="59"/>
        <v>18-10</v>
      </c>
      <c r="T125" s="14">
        <f t="shared" si="60"/>
        <v>290</v>
      </c>
      <c r="U125" s="18">
        <f t="shared" si="61"/>
        <v>590</v>
      </c>
      <c r="V125" s="14">
        <f t="shared" si="62"/>
        <v>305</v>
      </c>
      <c r="W125" s="18">
        <f t="shared" si="63"/>
        <v>590</v>
      </c>
      <c r="X125" s="14">
        <f t="shared" si="64"/>
        <v>305</v>
      </c>
      <c r="Y125" s="18">
        <f t="shared" si="65"/>
        <v>576</v>
      </c>
      <c r="Z125" s="14">
        <f t="shared" si="66"/>
        <v>290</v>
      </c>
      <c r="AA125" s="18">
        <f t="shared" si="67"/>
        <v>576</v>
      </c>
      <c r="AB125" s="4" t="s">
        <v>0</v>
      </c>
    </row>
    <row r="126" spans="1:28">
      <c r="A126" s="9" t="s">
        <v>291</v>
      </c>
      <c r="B126" s="24"/>
      <c r="C126" s="26"/>
      <c r="D126" s="25">
        <f t="shared" si="76"/>
        <v>305</v>
      </c>
      <c r="E126" s="29">
        <f t="shared" si="74"/>
        <v>160</v>
      </c>
      <c r="F126" s="25">
        <f t="shared" si="77"/>
        <v>320</v>
      </c>
      <c r="G126" s="29">
        <f t="shared" si="75"/>
        <v>174</v>
      </c>
      <c r="H126" s="4" t="s">
        <v>0</v>
      </c>
      <c r="I126" s="16" t="str">
        <f t="shared" si="50"/>
        <v>18-08</v>
      </c>
      <c r="J126" s="14">
        <f t="shared" si="51"/>
        <v>305</v>
      </c>
      <c r="K126" s="15">
        <f t="shared" si="52"/>
        <v>160</v>
      </c>
      <c r="L126" s="17">
        <f t="shared" si="53"/>
        <v>320</v>
      </c>
      <c r="M126" s="18">
        <f t="shared" si="54"/>
        <v>160</v>
      </c>
      <c r="N126" s="14">
        <f t="shared" si="55"/>
        <v>320</v>
      </c>
      <c r="O126" s="15">
        <f t="shared" si="56"/>
        <v>174</v>
      </c>
      <c r="P126" s="17">
        <f t="shared" si="57"/>
        <v>305</v>
      </c>
      <c r="Q126" s="18">
        <f t="shared" si="58"/>
        <v>174</v>
      </c>
      <c r="R126" s="4" t="s">
        <v>0</v>
      </c>
      <c r="S126" s="16" t="str">
        <f t="shared" si="59"/>
        <v>18-08</v>
      </c>
      <c r="T126" s="14">
        <f t="shared" si="60"/>
        <v>305</v>
      </c>
      <c r="U126" s="18">
        <f t="shared" si="61"/>
        <v>590</v>
      </c>
      <c r="V126" s="14">
        <f t="shared" si="62"/>
        <v>320</v>
      </c>
      <c r="W126" s="18">
        <f t="shared" si="63"/>
        <v>590</v>
      </c>
      <c r="X126" s="14">
        <f t="shared" si="64"/>
        <v>320</v>
      </c>
      <c r="Y126" s="18">
        <f t="shared" si="65"/>
        <v>576</v>
      </c>
      <c r="Z126" s="14">
        <f t="shared" si="66"/>
        <v>305</v>
      </c>
      <c r="AA126" s="18">
        <f t="shared" si="67"/>
        <v>576</v>
      </c>
      <c r="AB126" s="4" t="s">
        <v>0</v>
      </c>
    </row>
    <row r="127" spans="1:28">
      <c r="A127" s="9" t="s">
        <v>290</v>
      </c>
      <c r="B127" s="24"/>
      <c r="C127" s="26"/>
      <c r="D127" s="25">
        <f t="shared" si="76"/>
        <v>320</v>
      </c>
      <c r="E127" s="29">
        <f t="shared" si="74"/>
        <v>160</v>
      </c>
      <c r="F127" s="25">
        <f t="shared" si="77"/>
        <v>335</v>
      </c>
      <c r="G127" s="29">
        <f t="shared" si="75"/>
        <v>174</v>
      </c>
      <c r="H127" s="4" t="s">
        <v>0</v>
      </c>
      <c r="I127" s="16" t="str">
        <f t="shared" si="50"/>
        <v>18-07</v>
      </c>
      <c r="J127" s="14">
        <f t="shared" si="51"/>
        <v>320</v>
      </c>
      <c r="K127" s="15">
        <f t="shared" si="52"/>
        <v>160</v>
      </c>
      <c r="L127" s="17">
        <f t="shared" si="53"/>
        <v>335</v>
      </c>
      <c r="M127" s="18">
        <f t="shared" si="54"/>
        <v>160</v>
      </c>
      <c r="N127" s="14">
        <f t="shared" si="55"/>
        <v>335</v>
      </c>
      <c r="O127" s="15">
        <f t="shared" si="56"/>
        <v>174</v>
      </c>
      <c r="P127" s="17">
        <f t="shared" si="57"/>
        <v>320</v>
      </c>
      <c r="Q127" s="18">
        <f t="shared" si="58"/>
        <v>174</v>
      </c>
      <c r="R127" s="4" t="s">
        <v>0</v>
      </c>
      <c r="S127" s="16" t="str">
        <f t="shared" si="59"/>
        <v>18-07</v>
      </c>
      <c r="T127" s="14">
        <f t="shared" si="60"/>
        <v>320</v>
      </c>
      <c r="U127" s="18">
        <f t="shared" si="61"/>
        <v>590</v>
      </c>
      <c r="V127" s="14">
        <f t="shared" si="62"/>
        <v>335</v>
      </c>
      <c r="W127" s="18">
        <f t="shared" si="63"/>
        <v>590</v>
      </c>
      <c r="X127" s="14">
        <f t="shared" si="64"/>
        <v>335</v>
      </c>
      <c r="Y127" s="18">
        <f t="shared" si="65"/>
        <v>576</v>
      </c>
      <c r="Z127" s="14">
        <f t="shared" si="66"/>
        <v>320</v>
      </c>
      <c r="AA127" s="18">
        <f t="shared" si="67"/>
        <v>576</v>
      </c>
      <c r="AB127" s="4" t="s">
        <v>0</v>
      </c>
    </row>
    <row r="128" spans="1:28">
      <c r="A128" s="9" t="s">
        <v>289</v>
      </c>
      <c r="B128" s="24"/>
      <c r="C128" s="26"/>
      <c r="D128" s="25">
        <f t="shared" si="76"/>
        <v>335</v>
      </c>
      <c r="E128" s="29">
        <f t="shared" si="74"/>
        <v>160</v>
      </c>
      <c r="F128" s="25">
        <f t="shared" si="77"/>
        <v>350</v>
      </c>
      <c r="G128" s="29">
        <f t="shared" si="75"/>
        <v>174</v>
      </c>
      <c r="H128" s="4" t="s">
        <v>0</v>
      </c>
      <c r="I128" s="16" t="str">
        <f t="shared" si="50"/>
        <v>18-06</v>
      </c>
      <c r="J128" s="14">
        <f t="shared" si="51"/>
        <v>335</v>
      </c>
      <c r="K128" s="15">
        <f t="shared" si="52"/>
        <v>160</v>
      </c>
      <c r="L128" s="17">
        <f t="shared" si="53"/>
        <v>350</v>
      </c>
      <c r="M128" s="18">
        <f t="shared" si="54"/>
        <v>160</v>
      </c>
      <c r="N128" s="14">
        <f t="shared" si="55"/>
        <v>350</v>
      </c>
      <c r="O128" s="15">
        <f t="shared" si="56"/>
        <v>174</v>
      </c>
      <c r="P128" s="17">
        <f t="shared" si="57"/>
        <v>335</v>
      </c>
      <c r="Q128" s="18">
        <f t="shared" si="58"/>
        <v>174</v>
      </c>
      <c r="R128" s="4" t="s">
        <v>0</v>
      </c>
      <c r="S128" s="16" t="str">
        <f t="shared" si="59"/>
        <v>18-06</v>
      </c>
      <c r="T128" s="14">
        <f t="shared" si="60"/>
        <v>335</v>
      </c>
      <c r="U128" s="18">
        <f t="shared" si="61"/>
        <v>590</v>
      </c>
      <c r="V128" s="14">
        <f t="shared" si="62"/>
        <v>350</v>
      </c>
      <c r="W128" s="18">
        <f t="shared" si="63"/>
        <v>590</v>
      </c>
      <c r="X128" s="14">
        <f t="shared" si="64"/>
        <v>350</v>
      </c>
      <c r="Y128" s="18">
        <f t="shared" si="65"/>
        <v>576</v>
      </c>
      <c r="Z128" s="14">
        <f t="shared" si="66"/>
        <v>335</v>
      </c>
      <c r="AA128" s="18">
        <f t="shared" si="67"/>
        <v>576</v>
      </c>
      <c r="AB128" s="4" t="s">
        <v>0</v>
      </c>
    </row>
    <row r="129" spans="1:28">
      <c r="A129" s="9" t="s">
        <v>288</v>
      </c>
      <c r="B129" s="24"/>
      <c r="C129" s="26"/>
      <c r="D129" s="25">
        <f t="shared" si="76"/>
        <v>350</v>
      </c>
      <c r="E129" s="29">
        <f t="shared" si="74"/>
        <v>160</v>
      </c>
      <c r="F129" s="25">
        <f t="shared" si="77"/>
        <v>365</v>
      </c>
      <c r="G129" s="29">
        <f t="shared" si="75"/>
        <v>174</v>
      </c>
      <c r="H129" s="4" t="s">
        <v>0</v>
      </c>
      <c r="I129" s="16" t="str">
        <f t="shared" si="50"/>
        <v>18-05</v>
      </c>
      <c r="J129" s="14">
        <f t="shared" si="51"/>
        <v>350</v>
      </c>
      <c r="K129" s="15">
        <f t="shared" si="52"/>
        <v>160</v>
      </c>
      <c r="L129" s="17">
        <f t="shared" si="53"/>
        <v>365</v>
      </c>
      <c r="M129" s="18">
        <f t="shared" si="54"/>
        <v>160</v>
      </c>
      <c r="N129" s="14">
        <f t="shared" si="55"/>
        <v>365</v>
      </c>
      <c r="O129" s="15">
        <f t="shared" si="56"/>
        <v>174</v>
      </c>
      <c r="P129" s="17">
        <f t="shared" si="57"/>
        <v>350</v>
      </c>
      <c r="Q129" s="18">
        <f t="shared" si="58"/>
        <v>174</v>
      </c>
      <c r="R129" s="4" t="s">
        <v>0</v>
      </c>
      <c r="S129" s="16" t="str">
        <f t="shared" si="59"/>
        <v>18-05</v>
      </c>
      <c r="T129" s="14">
        <f t="shared" si="60"/>
        <v>350</v>
      </c>
      <c r="U129" s="18">
        <f t="shared" si="61"/>
        <v>590</v>
      </c>
      <c r="V129" s="14">
        <f t="shared" si="62"/>
        <v>365</v>
      </c>
      <c r="W129" s="18">
        <f t="shared" si="63"/>
        <v>590</v>
      </c>
      <c r="X129" s="14">
        <f t="shared" si="64"/>
        <v>365</v>
      </c>
      <c r="Y129" s="18">
        <f t="shared" si="65"/>
        <v>576</v>
      </c>
      <c r="Z129" s="14">
        <f t="shared" si="66"/>
        <v>350</v>
      </c>
      <c r="AA129" s="18">
        <f t="shared" si="67"/>
        <v>576</v>
      </c>
      <c r="AB129" s="4" t="s">
        <v>0</v>
      </c>
    </row>
    <row r="130" spans="1:28">
      <c r="A130" s="9" t="s">
        <v>287</v>
      </c>
      <c r="B130" s="24"/>
      <c r="C130" s="26"/>
      <c r="D130" s="25">
        <f t="shared" si="76"/>
        <v>365</v>
      </c>
      <c r="E130" s="29">
        <f t="shared" si="74"/>
        <v>160</v>
      </c>
      <c r="F130" s="25">
        <f t="shared" si="77"/>
        <v>380</v>
      </c>
      <c r="G130" s="29">
        <f t="shared" si="75"/>
        <v>174</v>
      </c>
      <c r="H130" s="4" t="s">
        <v>0</v>
      </c>
      <c r="I130" s="16" t="str">
        <f t="shared" si="50"/>
        <v>18-03</v>
      </c>
      <c r="J130" s="14">
        <f t="shared" si="51"/>
        <v>365</v>
      </c>
      <c r="K130" s="15">
        <f t="shared" si="52"/>
        <v>160</v>
      </c>
      <c r="L130" s="17">
        <f t="shared" si="53"/>
        <v>380</v>
      </c>
      <c r="M130" s="18">
        <f t="shared" si="54"/>
        <v>160</v>
      </c>
      <c r="N130" s="14">
        <f t="shared" si="55"/>
        <v>380</v>
      </c>
      <c r="O130" s="15">
        <f t="shared" si="56"/>
        <v>174</v>
      </c>
      <c r="P130" s="17">
        <f t="shared" si="57"/>
        <v>365</v>
      </c>
      <c r="Q130" s="18">
        <f t="shared" si="58"/>
        <v>174</v>
      </c>
      <c r="R130" s="4" t="s">
        <v>0</v>
      </c>
      <c r="S130" s="16" t="str">
        <f t="shared" si="59"/>
        <v>18-03</v>
      </c>
      <c r="T130" s="14">
        <f t="shared" si="60"/>
        <v>365</v>
      </c>
      <c r="U130" s="18">
        <f t="shared" si="61"/>
        <v>590</v>
      </c>
      <c r="V130" s="14">
        <f t="shared" si="62"/>
        <v>380</v>
      </c>
      <c r="W130" s="18">
        <f t="shared" si="63"/>
        <v>590</v>
      </c>
      <c r="X130" s="14">
        <f t="shared" si="64"/>
        <v>380</v>
      </c>
      <c r="Y130" s="18">
        <f t="shared" si="65"/>
        <v>576</v>
      </c>
      <c r="Z130" s="14">
        <f t="shared" si="66"/>
        <v>365</v>
      </c>
      <c r="AA130" s="18">
        <f t="shared" si="67"/>
        <v>576</v>
      </c>
      <c r="AB130" s="4" t="s">
        <v>0</v>
      </c>
    </row>
    <row r="131" spans="1:28">
      <c r="A131" s="9" t="s">
        <v>286</v>
      </c>
      <c r="B131" s="24"/>
      <c r="C131" s="26"/>
      <c r="D131" s="25">
        <f t="shared" si="76"/>
        <v>380</v>
      </c>
      <c r="E131" s="29">
        <f t="shared" si="74"/>
        <v>160</v>
      </c>
      <c r="F131" s="25">
        <f t="shared" si="77"/>
        <v>395</v>
      </c>
      <c r="G131" s="29">
        <f t="shared" si="75"/>
        <v>174</v>
      </c>
      <c r="H131" s="4" t="s">
        <v>0</v>
      </c>
      <c r="I131" s="16" t="str">
        <f t="shared" si="50"/>
        <v>18-02</v>
      </c>
      <c r="J131" s="14">
        <f t="shared" si="51"/>
        <v>380</v>
      </c>
      <c r="K131" s="15">
        <f t="shared" si="52"/>
        <v>160</v>
      </c>
      <c r="L131" s="17">
        <f t="shared" si="53"/>
        <v>395</v>
      </c>
      <c r="M131" s="18">
        <f t="shared" si="54"/>
        <v>160</v>
      </c>
      <c r="N131" s="14">
        <f t="shared" si="55"/>
        <v>395</v>
      </c>
      <c r="O131" s="15">
        <f t="shared" si="56"/>
        <v>174</v>
      </c>
      <c r="P131" s="17">
        <f t="shared" si="57"/>
        <v>380</v>
      </c>
      <c r="Q131" s="18">
        <f t="shared" si="58"/>
        <v>174</v>
      </c>
      <c r="R131" s="4" t="s">
        <v>0</v>
      </c>
      <c r="S131" s="16" t="str">
        <f t="shared" si="59"/>
        <v>18-02</v>
      </c>
      <c r="T131" s="14">
        <f t="shared" si="60"/>
        <v>380</v>
      </c>
      <c r="U131" s="18">
        <f t="shared" si="61"/>
        <v>590</v>
      </c>
      <c r="V131" s="14">
        <f t="shared" si="62"/>
        <v>395</v>
      </c>
      <c r="W131" s="18">
        <f t="shared" si="63"/>
        <v>590</v>
      </c>
      <c r="X131" s="14">
        <f t="shared" si="64"/>
        <v>395</v>
      </c>
      <c r="Y131" s="18">
        <f t="shared" si="65"/>
        <v>576</v>
      </c>
      <c r="Z131" s="14">
        <f t="shared" si="66"/>
        <v>380</v>
      </c>
      <c r="AA131" s="18">
        <f t="shared" si="67"/>
        <v>576</v>
      </c>
      <c r="AB131" s="4" t="s">
        <v>0</v>
      </c>
    </row>
    <row r="132" spans="1:28">
      <c r="A132" s="9" t="s">
        <v>285</v>
      </c>
      <c r="B132" s="24"/>
      <c r="C132" s="26"/>
      <c r="D132" s="25">
        <f t="shared" si="76"/>
        <v>395</v>
      </c>
      <c r="E132" s="29">
        <f t="shared" si="74"/>
        <v>160</v>
      </c>
      <c r="F132" s="25">
        <f t="shared" si="77"/>
        <v>410</v>
      </c>
      <c r="G132" s="29">
        <f t="shared" si="75"/>
        <v>174</v>
      </c>
      <c r="H132" s="4" t="s">
        <v>0</v>
      </c>
      <c r="I132" s="16" t="str">
        <f t="shared" si="50"/>
        <v>18-01</v>
      </c>
      <c r="J132" s="14">
        <f t="shared" si="51"/>
        <v>395</v>
      </c>
      <c r="K132" s="15">
        <f t="shared" si="52"/>
        <v>160</v>
      </c>
      <c r="L132" s="17">
        <f t="shared" si="53"/>
        <v>410</v>
      </c>
      <c r="M132" s="18">
        <f t="shared" si="54"/>
        <v>160</v>
      </c>
      <c r="N132" s="14">
        <f t="shared" si="55"/>
        <v>410</v>
      </c>
      <c r="O132" s="15">
        <f t="shared" si="56"/>
        <v>174</v>
      </c>
      <c r="P132" s="17">
        <f t="shared" si="57"/>
        <v>395</v>
      </c>
      <c r="Q132" s="18">
        <f t="shared" si="58"/>
        <v>174</v>
      </c>
      <c r="R132" s="4" t="s">
        <v>0</v>
      </c>
      <c r="S132" s="16" t="str">
        <f t="shared" si="59"/>
        <v>18-01</v>
      </c>
      <c r="T132" s="14">
        <f t="shared" si="60"/>
        <v>395</v>
      </c>
      <c r="U132" s="18">
        <f t="shared" si="61"/>
        <v>590</v>
      </c>
      <c r="V132" s="14">
        <f t="shared" si="62"/>
        <v>410</v>
      </c>
      <c r="W132" s="18">
        <f t="shared" si="63"/>
        <v>590</v>
      </c>
      <c r="X132" s="14">
        <f t="shared" si="64"/>
        <v>410</v>
      </c>
      <c r="Y132" s="18">
        <f t="shared" si="65"/>
        <v>576</v>
      </c>
      <c r="Z132" s="14">
        <f t="shared" si="66"/>
        <v>395</v>
      </c>
      <c r="AA132" s="18">
        <f t="shared" si="67"/>
        <v>576</v>
      </c>
      <c r="AB132" s="4" t="s">
        <v>0</v>
      </c>
    </row>
    <row r="133" spans="1:28">
      <c r="A133" s="9" t="s">
        <v>284</v>
      </c>
      <c r="B133" s="24"/>
      <c r="C133" s="26"/>
      <c r="D133" s="27">
        <v>41</v>
      </c>
      <c r="E133" s="31">
        <f>ROUND(E109+20,0)</f>
        <v>180</v>
      </c>
      <c r="F133" s="31">
        <v>56</v>
      </c>
      <c r="G133" s="31">
        <f>ROUND(G109+20,0)</f>
        <v>194</v>
      </c>
      <c r="H133" s="4" t="s">
        <v>0</v>
      </c>
      <c r="I133" s="16" t="str">
        <f t="shared" si="50"/>
        <v>17-26</v>
      </c>
      <c r="J133" s="14">
        <f t="shared" si="51"/>
        <v>41</v>
      </c>
      <c r="K133" s="15">
        <f t="shared" si="52"/>
        <v>180</v>
      </c>
      <c r="L133" s="17">
        <f t="shared" si="53"/>
        <v>56</v>
      </c>
      <c r="M133" s="18">
        <f t="shared" si="54"/>
        <v>180</v>
      </c>
      <c r="N133" s="14">
        <f t="shared" si="55"/>
        <v>56</v>
      </c>
      <c r="O133" s="15">
        <f t="shared" si="56"/>
        <v>194</v>
      </c>
      <c r="P133" s="17">
        <f t="shared" si="57"/>
        <v>41</v>
      </c>
      <c r="Q133" s="18">
        <f t="shared" si="58"/>
        <v>194</v>
      </c>
      <c r="R133" s="4" t="s">
        <v>0</v>
      </c>
      <c r="S133" s="16" t="str">
        <f t="shared" si="59"/>
        <v>17-26</v>
      </c>
      <c r="T133" s="14">
        <f t="shared" si="60"/>
        <v>41</v>
      </c>
      <c r="U133" s="18">
        <f t="shared" si="61"/>
        <v>570</v>
      </c>
      <c r="V133" s="14">
        <f t="shared" si="62"/>
        <v>56</v>
      </c>
      <c r="W133" s="18">
        <f t="shared" si="63"/>
        <v>570</v>
      </c>
      <c r="X133" s="14">
        <f t="shared" si="64"/>
        <v>56</v>
      </c>
      <c r="Y133" s="18">
        <f t="shared" si="65"/>
        <v>556</v>
      </c>
      <c r="Z133" s="14">
        <f t="shared" si="66"/>
        <v>41</v>
      </c>
      <c r="AA133" s="18">
        <f t="shared" si="67"/>
        <v>556</v>
      </c>
      <c r="AB133" s="4" t="s">
        <v>0</v>
      </c>
    </row>
    <row r="134" spans="1:28">
      <c r="A134" s="9" t="s">
        <v>283</v>
      </c>
      <c r="B134" s="24"/>
      <c r="C134" s="26"/>
      <c r="D134" s="25">
        <f>D111</f>
        <v>56</v>
      </c>
      <c r="E134" s="29">
        <f t="shared" ref="E134" si="78">E133</f>
        <v>180</v>
      </c>
      <c r="F134" s="25">
        <f>F111</f>
        <v>71</v>
      </c>
      <c r="G134" s="29">
        <f t="shared" ref="G134" si="79">G133</f>
        <v>194</v>
      </c>
      <c r="H134" s="4" t="s">
        <v>0</v>
      </c>
      <c r="I134" s="16" t="str">
        <f t="shared" si="50"/>
        <v>17-25</v>
      </c>
      <c r="J134" s="14">
        <f t="shared" si="51"/>
        <v>56</v>
      </c>
      <c r="K134" s="15">
        <f t="shared" si="52"/>
        <v>180</v>
      </c>
      <c r="L134" s="17">
        <f t="shared" si="53"/>
        <v>71</v>
      </c>
      <c r="M134" s="18">
        <f t="shared" si="54"/>
        <v>180</v>
      </c>
      <c r="N134" s="14">
        <f t="shared" si="55"/>
        <v>71</v>
      </c>
      <c r="O134" s="15">
        <f t="shared" si="56"/>
        <v>194</v>
      </c>
      <c r="P134" s="17">
        <f t="shared" si="57"/>
        <v>56</v>
      </c>
      <c r="Q134" s="18">
        <f t="shared" si="58"/>
        <v>194</v>
      </c>
      <c r="R134" s="4" t="s">
        <v>0</v>
      </c>
      <c r="S134" s="16" t="str">
        <f t="shared" si="59"/>
        <v>17-25</v>
      </c>
      <c r="T134" s="14">
        <f t="shared" si="60"/>
        <v>56</v>
      </c>
      <c r="U134" s="18">
        <f t="shared" si="61"/>
        <v>570</v>
      </c>
      <c r="V134" s="14">
        <f t="shared" si="62"/>
        <v>71</v>
      </c>
      <c r="W134" s="18">
        <f t="shared" si="63"/>
        <v>570</v>
      </c>
      <c r="X134" s="14">
        <f t="shared" si="64"/>
        <v>71</v>
      </c>
      <c r="Y134" s="18">
        <f t="shared" si="65"/>
        <v>556</v>
      </c>
      <c r="Z134" s="14">
        <f t="shared" si="66"/>
        <v>56</v>
      </c>
      <c r="AA134" s="18">
        <f t="shared" si="67"/>
        <v>556</v>
      </c>
      <c r="AB134" s="4" t="s">
        <v>0</v>
      </c>
    </row>
    <row r="135" spans="1:28">
      <c r="A135" s="9" t="s">
        <v>282</v>
      </c>
      <c r="B135" s="24"/>
      <c r="C135" s="26"/>
      <c r="D135" s="25">
        <f t="shared" ref="D135:D143" si="80">D112</f>
        <v>71</v>
      </c>
      <c r="E135" s="29">
        <f t="shared" ref="E135:E143" si="81">E134</f>
        <v>180</v>
      </c>
      <c r="F135" s="25">
        <f t="shared" ref="F135:F143" si="82">F112</f>
        <v>86</v>
      </c>
      <c r="G135" s="29">
        <f t="shared" ref="G135:G143" si="83">G134</f>
        <v>194</v>
      </c>
      <c r="H135" s="4" t="s">
        <v>0</v>
      </c>
      <c r="I135" s="16" t="str">
        <f t="shared" si="50"/>
        <v>17-23</v>
      </c>
      <c r="J135" s="14">
        <f t="shared" si="51"/>
        <v>71</v>
      </c>
      <c r="K135" s="15">
        <f t="shared" si="52"/>
        <v>180</v>
      </c>
      <c r="L135" s="17">
        <f t="shared" si="53"/>
        <v>86</v>
      </c>
      <c r="M135" s="18">
        <f t="shared" si="54"/>
        <v>180</v>
      </c>
      <c r="N135" s="14">
        <f t="shared" si="55"/>
        <v>86</v>
      </c>
      <c r="O135" s="15">
        <f t="shared" si="56"/>
        <v>194</v>
      </c>
      <c r="P135" s="17">
        <f t="shared" si="57"/>
        <v>71</v>
      </c>
      <c r="Q135" s="18">
        <f t="shared" si="58"/>
        <v>194</v>
      </c>
      <c r="R135" s="4" t="s">
        <v>0</v>
      </c>
      <c r="S135" s="16" t="str">
        <f t="shared" si="59"/>
        <v>17-23</v>
      </c>
      <c r="T135" s="14">
        <f t="shared" si="60"/>
        <v>71</v>
      </c>
      <c r="U135" s="18">
        <f t="shared" si="61"/>
        <v>570</v>
      </c>
      <c r="V135" s="14">
        <f t="shared" si="62"/>
        <v>86</v>
      </c>
      <c r="W135" s="18">
        <f t="shared" si="63"/>
        <v>570</v>
      </c>
      <c r="X135" s="14">
        <f t="shared" si="64"/>
        <v>86</v>
      </c>
      <c r="Y135" s="18">
        <f t="shared" si="65"/>
        <v>556</v>
      </c>
      <c r="Z135" s="14">
        <f t="shared" si="66"/>
        <v>71</v>
      </c>
      <c r="AA135" s="18">
        <f t="shared" si="67"/>
        <v>556</v>
      </c>
      <c r="AB135" s="4" t="s">
        <v>0</v>
      </c>
    </row>
    <row r="136" spans="1:28">
      <c r="A136" s="9" t="s">
        <v>281</v>
      </c>
      <c r="B136" s="24"/>
      <c r="C136" s="26"/>
      <c r="D136" s="25">
        <f t="shared" si="80"/>
        <v>86</v>
      </c>
      <c r="E136" s="29">
        <f t="shared" si="81"/>
        <v>180</v>
      </c>
      <c r="F136" s="25">
        <f t="shared" si="82"/>
        <v>101</v>
      </c>
      <c r="G136" s="29">
        <f t="shared" si="83"/>
        <v>194</v>
      </c>
      <c r="H136" s="4" t="s">
        <v>0</v>
      </c>
      <c r="I136" s="16" t="str">
        <f t="shared" si="50"/>
        <v>17-22</v>
      </c>
      <c r="J136" s="14">
        <f t="shared" si="51"/>
        <v>86</v>
      </c>
      <c r="K136" s="15">
        <f t="shared" si="52"/>
        <v>180</v>
      </c>
      <c r="L136" s="17">
        <f t="shared" si="53"/>
        <v>101</v>
      </c>
      <c r="M136" s="18">
        <f t="shared" si="54"/>
        <v>180</v>
      </c>
      <c r="N136" s="14">
        <f t="shared" si="55"/>
        <v>101</v>
      </c>
      <c r="O136" s="15">
        <f t="shared" si="56"/>
        <v>194</v>
      </c>
      <c r="P136" s="17">
        <f t="shared" si="57"/>
        <v>86</v>
      </c>
      <c r="Q136" s="18">
        <f t="shared" si="58"/>
        <v>194</v>
      </c>
      <c r="R136" s="4" t="s">
        <v>0</v>
      </c>
      <c r="S136" s="16" t="str">
        <f t="shared" si="59"/>
        <v>17-22</v>
      </c>
      <c r="T136" s="14">
        <f t="shared" si="60"/>
        <v>86</v>
      </c>
      <c r="U136" s="18">
        <f t="shared" si="61"/>
        <v>570</v>
      </c>
      <c r="V136" s="14">
        <f t="shared" si="62"/>
        <v>101</v>
      </c>
      <c r="W136" s="18">
        <f t="shared" si="63"/>
        <v>570</v>
      </c>
      <c r="X136" s="14">
        <f t="shared" si="64"/>
        <v>101</v>
      </c>
      <c r="Y136" s="18">
        <f t="shared" si="65"/>
        <v>556</v>
      </c>
      <c r="Z136" s="14">
        <f t="shared" si="66"/>
        <v>86</v>
      </c>
      <c r="AA136" s="18">
        <f t="shared" si="67"/>
        <v>556</v>
      </c>
      <c r="AB136" s="4" t="s">
        <v>0</v>
      </c>
    </row>
    <row r="137" spans="1:28">
      <c r="A137" s="9" t="s">
        <v>280</v>
      </c>
      <c r="B137" s="24"/>
      <c r="C137" s="26"/>
      <c r="D137" s="25">
        <f t="shared" si="80"/>
        <v>101</v>
      </c>
      <c r="E137" s="29">
        <f t="shared" si="81"/>
        <v>180</v>
      </c>
      <c r="F137" s="25">
        <f t="shared" si="82"/>
        <v>116</v>
      </c>
      <c r="G137" s="29">
        <f t="shared" si="83"/>
        <v>194</v>
      </c>
      <c r="H137" s="4" t="s">
        <v>0</v>
      </c>
      <c r="I137" s="16" t="str">
        <f t="shared" si="50"/>
        <v>17-21</v>
      </c>
      <c r="J137" s="14">
        <f t="shared" si="51"/>
        <v>101</v>
      </c>
      <c r="K137" s="15">
        <f t="shared" si="52"/>
        <v>180</v>
      </c>
      <c r="L137" s="17">
        <f t="shared" si="53"/>
        <v>116</v>
      </c>
      <c r="M137" s="18">
        <f t="shared" si="54"/>
        <v>180</v>
      </c>
      <c r="N137" s="14">
        <f t="shared" si="55"/>
        <v>116</v>
      </c>
      <c r="O137" s="15">
        <f t="shared" si="56"/>
        <v>194</v>
      </c>
      <c r="P137" s="17">
        <f t="shared" si="57"/>
        <v>101</v>
      </c>
      <c r="Q137" s="18">
        <f t="shared" si="58"/>
        <v>194</v>
      </c>
      <c r="R137" s="4" t="s">
        <v>0</v>
      </c>
      <c r="S137" s="16" t="str">
        <f t="shared" si="59"/>
        <v>17-21</v>
      </c>
      <c r="T137" s="14">
        <f t="shared" si="60"/>
        <v>101</v>
      </c>
      <c r="U137" s="18">
        <f t="shared" si="61"/>
        <v>570</v>
      </c>
      <c r="V137" s="14">
        <f t="shared" si="62"/>
        <v>116</v>
      </c>
      <c r="W137" s="18">
        <f t="shared" si="63"/>
        <v>570</v>
      </c>
      <c r="X137" s="14">
        <f t="shared" si="64"/>
        <v>116</v>
      </c>
      <c r="Y137" s="18">
        <f t="shared" si="65"/>
        <v>556</v>
      </c>
      <c r="Z137" s="14">
        <f t="shared" si="66"/>
        <v>101</v>
      </c>
      <c r="AA137" s="18">
        <f t="shared" si="67"/>
        <v>556</v>
      </c>
      <c r="AB137" s="4" t="s">
        <v>0</v>
      </c>
    </row>
    <row r="138" spans="1:28">
      <c r="A138" s="9" t="s">
        <v>279</v>
      </c>
      <c r="B138" s="24"/>
      <c r="C138" s="26"/>
      <c r="D138" s="25">
        <f t="shared" si="80"/>
        <v>116</v>
      </c>
      <c r="E138" s="29">
        <f t="shared" si="81"/>
        <v>180</v>
      </c>
      <c r="F138" s="25">
        <f t="shared" si="82"/>
        <v>131</v>
      </c>
      <c r="G138" s="29">
        <f t="shared" si="83"/>
        <v>194</v>
      </c>
      <c r="H138" s="4" t="s">
        <v>0</v>
      </c>
      <c r="I138" s="16" t="str">
        <f t="shared" si="50"/>
        <v>17-20</v>
      </c>
      <c r="J138" s="14">
        <f t="shared" si="51"/>
        <v>116</v>
      </c>
      <c r="K138" s="15">
        <f t="shared" si="52"/>
        <v>180</v>
      </c>
      <c r="L138" s="17">
        <f t="shared" si="53"/>
        <v>131</v>
      </c>
      <c r="M138" s="18">
        <f t="shared" si="54"/>
        <v>180</v>
      </c>
      <c r="N138" s="14">
        <f t="shared" si="55"/>
        <v>131</v>
      </c>
      <c r="O138" s="15">
        <f t="shared" si="56"/>
        <v>194</v>
      </c>
      <c r="P138" s="17">
        <f t="shared" si="57"/>
        <v>116</v>
      </c>
      <c r="Q138" s="18">
        <f t="shared" si="58"/>
        <v>194</v>
      </c>
      <c r="R138" s="4" t="s">
        <v>0</v>
      </c>
      <c r="S138" s="16" t="str">
        <f t="shared" si="59"/>
        <v>17-20</v>
      </c>
      <c r="T138" s="14">
        <f t="shared" si="60"/>
        <v>116</v>
      </c>
      <c r="U138" s="18">
        <f t="shared" si="61"/>
        <v>570</v>
      </c>
      <c r="V138" s="14">
        <f t="shared" si="62"/>
        <v>131</v>
      </c>
      <c r="W138" s="18">
        <f t="shared" si="63"/>
        <v>570</v>
      </c>
      <c r="X138" s="14">
        <f t="shared" si="64"/>
        <v>131</v>
      </c>
      <c r="Y138" s="18">
        <f t="shared" si="65"/>
        <v>556</v>
      </c>
      <c r="Z138" s="14">
        <f t="shared" si="66"/>
        <v>116</v>
      </c>
      <c r="AA138" s="18">
        <f t="shared" si="67"/>
        <v>556</v>
      </c>
      <c r="AB138" s="4" t="s">
        <v>0</v>
      </c>
    </row>
    <row r="139" spans="1:28">
      <c r="A139" s="9" t="s">
        <v>278</v>
      </c>
      <c r="B139" s="24"/>
      <c r="C139" s="26"/>
      <c r="D139" s="25">
        <f t="shared" si="80"/>
        <v>131</v>
      </c>
      <c r="E139" s="29">
        <f t="shared" si="81"/>
        <v>180</v>
      </c>
      <c r="F139" s="25">
        <f t="shared" si="82"/>
        <v>146</v>
      </c>
      <c r="G139" s="29">
        <f t="shared" si="83"/>
        <v>194</v>
      </c>
      <c r="H139" s="4" t="s">
        <v>0</v>
      </c>
      <c r="I139" s="16" t="str">
        <f t="shared" si="50"/>
        <v>17-18</v>
      </c>
      <c r="J139" s="14">
        <f t="shared" si="51"/>
        <v>131</v>
      </c>
      <c r="K139" s="15">
        <f t="shared" si="52"/>
        <v>180</v>
      </c>
      <c r="L139" s="17">
        <f t="shared" si="53"/>
        <v>146</v>
      </c>
      <c r="M139" s="18">
        <f t="shared" si="54"/>
        <v>180</v>
      </c>
      <c r="N139" s="14">
        <f t="shared" si="55"/>
        <v>146</v>
      </c>
      <c r="O139" s="15">
        <f t="shared" si="56"/>
        <v>194</v>
      </c>
      <c r="P139" s="17">
        <f t="shared" si="57"/>
        <v>131</v>
      </c>
      <c r="Q139" s="18">
        <f t="shared" si="58"/>
        <v>194</v>
      </c>
      <c r="R139" s="4" t="s">
        <v>0</v>
      </c>
      <c r="S139" s="16" t="str">
        <f t="shared" si="59"/>
        <v>17-18</v>
      </c>
      <c r="T139" s="14">
        <f t="shared" si="60"/>
        <v>131</v>
      </c>
      <c r="U139" s="18">
        <f t="shared" si="61"/>
        <v>570</v>
      </c>
      <c r="V139" s="14">
        <f t="shared" si="62"/>
        <v>146</v>
      </c>
      <c r="W139" s="18">
        <f t="shared" si="63"/>
        <v>570</v>
      </c>
      <c r="X139" s="14">
        <f t="shared" si="64"/>
        <v>146</v>
      </c>
      <c r="Y139" s="18">
        <f t="shared" si="65"/>
        <v>556</v>
      </c>
      <c r="Z139" s="14">
        <f t="shared" si="66"/>
        <v>131</v>
      </c>
      <c r="AA139" s="18">
        <f t="shared" si="67"/>
        <v>556</v>
      </c>
      <c r="AB139" s="4" t="s">
        <v>0</v>
      </c>
    </row>
    <row r="140" spans="1:28">
      <c r="A140" s="9" t="s">
        <v>277</v>
      </c>
      <c r="B140" s="24"/>
      <c r="C140" s="26"/>
      <c r="D140" s="25">
        <f t="shared" si="80"/>
        <v>146</v>
      </c>
      <c r="E140" s="29">
        <f t="shared" si="81"/>
        <v>180</v>
      </c>
      <c r="F140" s="25">
        <f t="shared" si="82"/>
        <v>161</v>
      </c>
      <c r="G140" s="29">
        <f t="shared" si="83"/>
        <v>194</v>
      </c>
      <c r="H140" s="4" t="s">
        <v>0</v>
      </c>
      <c r="I140" s="16" t="str">
        <f t="shared" si="50"/>
        <v>17-17</v>
      </c>
      <c r="J140" s="14">
        <f t="shared" si="51"/>
        <v>146</v>
      </c>
      <c r="K140" s="15">
        <f t="shared" si="52"/>
        <v>180</v>
      </c>
      <c r="L140" s="17">
        <f t="shared" si="53"/>
        <v>161</v>
      </c>
      <c r="M140" s="18">
        <f t="shared" si="54"/>
        <v>180</v>
      </c>
      <c r="N140" s="14">
        <f t="shared" si="55"/>
        <v>161</v>
      </c>
      <c r="O140" s="15">
        <f t="shared" si="56"/>
        <v>194</v>
      </c>
      <c r="P140" s="17">
        <f t="shared" si="57"/>
        <v>146</v>
      </c>
      <c r="Q140" s="18">
        <f t="shared" si="58"/>
        <v>194</v>
      </c>
      <c r="R140" s="4" t="s">
        <v>0</v>
      </c>
      <c r="S140" s="16" t="str">
        <f t="shared" si="59"/>
        <v>17-17</v>
      </c>
      <c r="T140" s="14">
        <f t="shared" si="60"/>
        <v>146</v>
      </c>
      <c r="U140" s="18">
        <f t="shared" si="61"/>
        <v>570</v>
      </c>
      <c r="V140" s="14">
        <f t="shared" si="62"/>
        <v>161</v>
      </c>
      <c r="W140" s="18">
        <f t="shared" si="63"/>
        <v>570</v>
      </c>
      <c r="X140" s="14">
        <f t="shared" si="64"/>
        <v>161</v>
      </c>
      <c r="Y140" s="18">
        <f t="shared" si="65"/>
        <v>556</v>
      </c>
      <c r="Z140" s="14">
        <f t="shared" si="66"/>
        <v>146</v>
      </c>
      <c r="AA140" s="18">
        <f t="shared" si="67"/>
        <v>556</v>
      </c>
      <c r="AB140" s="4" t="s">
        <v>0</v>
      </c>
    </row>
    <row r="141" spans="1:28">
      <c r="A141" s="9" t="s">
        <v>276</v>
      </c>
      <c r="B141" s="24"/>
      <c r="C141" s="26"/>
      <c r="D141" s="25">
        <f t="shared" si="80"/>
        <v>161</v>
      </c>
      <c r="E141" s="29">
        <f t="shared" si="81"/>
        <v>180</v>
      </c>
      <c r="F141" s="25">
        <f t="shared" si="82"/>
        <v>176</v>
      </c>
      <c r="G141" s="29">
        <f t="shared" si="83"/>
        <v>194</v>
      </c>
      <c r="H141" s="4" t="s">
        <v>0</v>
      </c>
      <c r="I141" s="16" t="str">
        <f t="shared" ref="I141:I174" si="84">A141</f>
        <v>17-16</v>
      </c>
      <c r="J141" s="14">
        <f t="shared" ref="J141:J174" si="85">IF(D141&lt;&gt;"",D141,0)</f>
        <v>161</v>
      </c>
      <c r="K141" s="15">
        <f t="shared" ref="K141:K174" si="86">IF(E141&lt;&gt;"",E141,0)</f>
        <v>180</v>
      </c>
      <c r="L141" s="17">
        <f t="shared" ref="L141:L174" si="87">N141</f>
        <v>176</v>
      </c>
      <c r="M141" s="18">
        <f t="shared" ref="M141:M174" si="88">K141</f>
        <v>180</v>
      </c>
      <c r="N141" s="14">
        <f t="shared" ref="N141:N174" si="89">IF(F141&lt;&gt;"",F141,0)</f>
        <v>176</v>
      </c>
      <c r="O141" s="15">
        <f t="shared" ref="O141:O174" si="90">IF(G141&lt;&gt;"",G141,0)</f>
        <v>194</v>
      </c>
      <c r="P141" s="17">
        <f t="shared" ref="P141:P174" si="91">J141</f>
        <v>161</v>
      </c>
      <c r="Q141" s="18">
        <f t="shared" ref="Q141:Q174" si="92">O141</f>
        <v>194</v>
      </c>
      <c r="R141" s="4" t="s">
        <v>0</v>
      </c>
      <c r="S141" s="16" t="str">
        <f t="shared" ref="S141:S174" si="93">I141</f>
        <v>17-16</v>
      </c>
      <c r="T141" s="14">
        <f t="shared" ref="T141:T174" si="94">IF(J141&lt;&gt;"",J141,"")</f>
        <v>161</v>
      </c>
      <c r="U141" s="18">
        <f t="shared" ref="U141:U174" si="95">IF(K141&lt;&gt;"",U$6-K141,"")</f>
        <v>570</v>
      </c>
      <c r="V141" s="14">
        <f t="shared" ref="V141:V174" si="96">IF(L141&lt;&gt;"",L141,"")</f>
        <v>176</v>
      </c>
      <c r="W141" s="18">
        <f t="shared" ref="W141:W174" si="97">IF(M141&lt;&gt;"",W$6-M141,"")</f>
        <v>570</v>
      </c>
      <c r="X141" s="14">
        <f t="shared" ref="X141:X174" si="98">IF(N141&lt;&gt;"",N141,"")</f>
        <v>176</v>
      </c>
      <c r="Y141" s="18">
        <f t="shared" ref="Y141:Y174" si="99">IF(O141&lt;&gt;"",Y$6-O141,"")</f>
        <v>556</v>
      </c>
      <c r="Z141" s="14">
        <f t="shared" ref="Z141:Z174" si="100">IF(P141&lt;&gt;"",P141,"")</f>
        <v>161</v>
      </c>
      <c r="AA141" s="18">
        <f t="shared" ref="AA141:AA174" si="101">IF(Q141&lt;&gt;"",AA$6-Q141,"")</f>
        <v>556</v>
      </c>
      <c r="AB141" s="4" t="s">
        <v>0</v>
      </c>
    </row>
    <row r="142" spans="1:28">
      <c r="A142" s="9" t="s">
        <v>275</v>
      </c>
      <c r="B142" s="24"/>
      <c r="C142" s="26"/>
      <c r="D142" s="25">
        <f t="shared" si="80"/>
        <v>176</v>
      </c>
      <c r="E142" s="29">
        <f t="shared" si="81"/>
        <v>180</v>
      </c>
      <c r="F142" s="25">
        <f t="shared" si="82"/>
        <v>191</v>
      </c>
      <c r="G142" s="29">
        <f t="shared" si="83"/>
        <v>194</v>
      </c>
      <c r="H142" s="4" t="s">
        <v>0</v>
      </c>
      <c r="I142" s="16" t="str">
        <f t="shared" si="84"/>
        <v>17-15</v>
      </c>
      <c r="J142" s="14">
        <f t="shared" si="85"/>
        <v>176</v>
      </c>
      <c r="K142" s="15">
        <f t="shared" si="86"/>
        <v>180</v>
      </c>
      <c r="L142" s="17">
        <f t="shared" si="87"/>
        <v>191</v>
      </c>
      <c r="M142" s="18">
        <f t="shared" si="88"/>
        <v>180</v>
      </c>
      <c r="N142" s="14">
        <f t="shared" si="89"/>
        <v>191</v>
      </c>
      <c r="O142" s="15">
        <f t="shared" si="90"/>
        <v>194</v>
      </c>
      <c r="P142" s="17">
        <f t="shared" si="91"/>
        <v>176</v>
      </c>
      <c r="Q142" s="18">
        <f t="shared" si="92"/>
        <v>194</v>
      </c>
      <c r="R142" s="4" t="s">
        <v>0</v>
      </c>
      <c r="S142" s="16" t="str">
        <f t="shared" si="93"/>
        <v>17-15</v>
      </c>
      <c r="T142" s="14">
        <f t="shared" si="94"/>
        <v>176</v>
      </c>
      <c r="U142" s="18">
        <f t="shared" si="95"/>
        <v>570</v>
      </c>
      <c r="V142" s="14">
        <f t="shared" si="96"/>
        <v>191</v>
      </c>
      <c r="W142" s="18">
        <f t="shared" si="97"/>
        <v>570</v>
      </c>
      <c r="X142" s="14">
        <f t="shared" si="98"/>
        <v>191</v>
      </c>
      <c r="Y142" s="18">
        <f t="shared" si="99"/>
        <v>556</v>
      </c>
      <c r="Z142" s="14">
        <f t="shared" si="100"/>
        <v>176</v>
      </c>
      <c r="AA142" s="18">
        <f t="shared" si="101"/>
        <v>556</v>
      </c>
      <c r="AB142" s="4" t="s">
        <v>0</v>
      </c>
    </row>
    <row r="143" spans="1:28">
      <c r="A143" s="9" t="s">
        <v>274</v>
      </c>
      <c r="B143" s="24"/>
      <c r="C143" s="26"/>
      <c r="D143" s="25">
        <f t="shared" si="80"/>
        <v>191</v>
      </c>
      <c r="E143" s="29">
        <f t="shared" si="81"/>
        <v>180</v>
      </c>
      <c r="F143" s="25">
        <f t="shared" si="82"/>
        <v>206</v>
      </c>
      <c r="G143" s="29">
        <f t="shared" si="83"/>
        <v>194</v>
      </c>
      <c r="H143" s="4" t="s">
        <v>0</v>
      </c>
      <c r="I143" s="16" t="str">
        <f t="shared" si="84"/>
        <v>17-13</v>
      </c>
      <c r="J143" s="14">
        <f t="shared" si="85"/>
        <v>191</v>
      </c>
      <c r="K143" s="15">
        <f t="shared" si="86"/>
        <v>180</v>
      </c>
      <c r="L143" s="17">
        <f t="shared" si="87"/>
        <v>206</v>
      </c>
      <c r="M143" s="18">
        <f t="shared" si="88"/>
        <v>180</v>
      </c>
      <c r="N143" s="14">
        <f t="shared" si="89"/>
        <v>206</v>
      </c>
      <c r="O143" s="15">
        <f t="shared" si="90"/>
        <v>194</v>
      </c>
      <c r="P143" s="17">
        <f t="shared" si="91"/>
        <v>191</v>
      </c>
      <c r="Q143" s="18">
        <f t="shared" si="92"/>
        <v>194</v>
      </c>
      <c r="R143" s="4" t="s">
        <v>0</v>
      </c>
      <c r="S143" s="16" t="str">
        <f t="shared" si="93"/>
        <v>17-13</v>
      </c>
      <c r="T143" s="14">
        <f t="shared" si="94"/>
        <v>191</v>
      </c>
      <c r="U143" s="18">
        <f t="shared" si="95"/>
        <v>570</v>
      </c>
      <c r="V143" s="14">
        <f t="shared" si="96"/>
        <v>206</v>
      </c>
      <c r="W143" s="18">
        <f t="shared" si="97"/>
        <v>570</v>
      </c>
      <c r="X143" s="14">
        <f t="shared" si="98"/>
        <v>206</v>
      </c>
      <c r="Y143" s="18">
        <f t="shared" si="99"/>
        <v>556</v>
      </c>
      <c r="Z143" s="14">
        <f t="shared" si="100"/>
        <v>191</v>
      </c>
      <c r="AA143" s="18">
        <f t="shared" si="101"/>
        <v>556</v>
      </c>
      <c r="AB143" s="4" t="s">
        <v>0</v>
      </c>
    </row>
    <row r="144" spans="1:28">
      <c r="A144" s="9" t="s">
        <v>273</v>
      </c>
      <c r="B144" s="24"/>
      <c r="C144" s="26"/>
      <c r="D144" s="25">
        <f>D122</f>
        <v>245</v>
      </c>
      <c r="E144" s="29">
        <f t="shared" ref="E144" si="102">E143</f>
        <v>180</v>
      </c>
      <c r="F144" s="25">
        <f>F122</f>
        <v>260</v>
      </c>
      <c r="G144" s="29">
        <f t="shared" ref="G144" si="103">G143</f>
        <v>194</v>
      </c>
      <c r="H144" s="4" t="s">
        <v>0</v>
      </c>
      <c r="I144" s="16" t="str">
        <f t="shared" si="84"/>
        <v>17-12</v>
      </c>
      <c r="J144" s="14">
        <f t="shared" si="85"/>
        <v>245</v>
      </c>
      <c r="K144" s="15">
        <f t="shared" si="86"/>
        <v>180</v>
      </c>
      <c r="L144" s="17">
        <f t="shared" si="87"/>
        <v>260</v>
      </c>
      <c r="M144" s="18">
        <f t="shared" si="88"/>
        <v>180</v>
      </c>
      <c r="N144" s="14">
        <f t="shared" si="89"/>
        <v>260</v>
      </c>
      <c r="O144" s="15">
        <f t="shared" si="90"/>
        <v>194</v>
      </c>
      <c r="P144" s="17">
        <f t="shared" si="91"/>
        <v>245</v>
      </c>
      <c r="Q144" s="18">
        <f t="shared" si="92"/>
        <v>194</v>
      </c>
      <c r="R144" s="4" t="s">
        <v>0</v>
      </c>
      <c r="S144" s="16" t="str">
        <f t="shared" si="93"/>
        <v>17-12</v>
      </c>
      <c r="T144" s="14">
        <f t="shared" si="94"/>
        <v>245</v>
      </c>
      <c r="U144" s="18">
        <f t="shared" si="95"/>
        <v>570</v>
      </c>
      <c r="V144" s="14">
        <f t="shared" si="96"/>
        <v>260</v>
      </c>
      <c r="W144" s="18">
        <f t="shared" si="97"/>
        <v>570</v>
      </c>
      <c r="X144" s="14">
        <f t="shared" si="98"/>
        <v>260</v>
      </c>
      <c r="Y144" s="18">
        <f t="shared" si="99"/>
        <v>556</v>
      </c>
      <c r="Z144" s="14">
        <f t="shared" si="100"/>
        <v>245</v>
      </c>
      <c r="AA144" s="18">
        <f t="shared" si="101"/>
        <v>556</v>
      </c>
      <c r="AB144" s="4" t="s">
        <v>0</v>
      </c>
    </row>
    <row r="145" spans="1:28">
      <c r="A145" s="9" t="s">
        <v>272</v>
      </c>
      <c r="B145" s="24"/>
      <c r="C145" s="26"/>
      <c r="D145" s="25">
        <f t="shared" ref="D145:D153" si="104">D123</f>
        <v>260</v>
      </c>
      <c r="E145" s="29">
        <f t="shared" ref="E145:E153" si="105">E144</f>
        <v>180</v>
      </c>
      <c r="F145" s="25">
        <f t="shared" ref="F145:F153" si="106">F123</f>
        <v>275</v>
      </c>
      <c r="G145" s="29">
        <f t="shared" ref="G145:G153" si="107">G144</f>
        <v>194</v>
      </c>
      <c r="H145" s="4" t="s">
        <v>0</v>
      </c>
      <c r="I145" s="16" t="str">
        <f t="shared" si="84"/>
        <v>17-11</v>
      </c>
      <c r="J145" s="14">
        <f t="shared" si="85"/>
        <v>260</v>
      </c>
      <c r="K145" s="15">
        <f t="shared" si="86"/>
        <v>180</v>
      </c>
      <c r="L145" s="17">
        <f t="shared" si="87"/>
        <v>275</v>
      </c>
      <c r="M145" s="18">
        <f t="shared" si="88"/>
        <v>180</v>
      </c>
      <c r="N145" s="14">
        <f t="shared" si="89"/>
        <v>275</v>
      </c>
      <c r="O145" s="15">
        <f t="shared" si="90"/>
        <v>194</v>
      </c>
      <c r="P145" s="17">
        <f t="shared" si="91"/>
        <v>260</v>
      </c>
      <c r="Q145" s="18">
        <f t="shared" si="92"/>
        <v>194</v>
      </c>
      <c r="R145" s="4" t="s">
        <v>0</v>
      </c>
      <c r="S145" s="16" t="str">
        <f t="shared" si="93"/>
        <v>17-11</v>
      </c>
      <c r="T145" s="14">
        <f t="shared" si="94"/>
        <v>260</v>
      </c>
      <c r="U145" s="18">
        <f t="shared" si="95"/>
        <v>570</v>
      </c>
      <c r="V145" s="14">
        <f t="shared" si="96"/>
        <v>275</v>
      </c>
      <c r="W145" s="18">
        <f t="shared" si="97"/>
        <v>570</v>
      </c>
      <c r="X145" s="14">
        <f t="shared" si="98"/>
        <v>275</v>
      </c>
      <c r="Y145" s="18">
        <f t="shared" si="99"/>
        <v>556</v>
      </c>
      <c r="Z145" s="14">
        <f t="shared" si="100"/>
        <v>260</v>
      </c>
      <c r="AA145" s="18">
        <f t="shared" si="101"/>
        <v>556</v>
      </c>
      <c r="AB145" s="4" t="s">
        <v>0</v>
      </c>
    </row>
    <row r="146" spans="1:28">
      <c r="A146" s="9" t="s">
        <v>271</v>
      </c>
      <c r="B146" s="24"/>
      <c r="C146" s="26"/>
      <c r="D146" s="25">
        <f t="shared" si="104"/>
        <v>275</v>
      </c>
      <c r="E146" s="29">
        <f t="shared" si="105"/>
        <v>180</v>
      </c>
      <c r="F146" s="25">
        <f t="shared" si="106"/>
        <v>290</v>
      </c>
      <c r="G146" s="29">
        <f t="shared" si="107"/>
        <v>194</v>
      </c>
      <c r="H146" s="4" t="s">
        <v>0</v>
      </c>
      <c r="I146" s="16" t="str">
        <f t="shared" si="84"/>
        <v>17-10</v>
      </c>
      <c r="J146" s="14">
        <f t="shared" si="85"/>
        <v>275</v>
      </c>
      <c r="K146" s="15">
        <f t="shared" si="86"/>
        <v>180</v>
      </c>
      <c r="L146" s="17">
        <f t="shared" si="87"/>
        <v>290</v>
      </c>
      <c r="M146" s="18">
        <f t="shared" si="88"/>
        <v>180</v>
      </c>
      <c r="N146" s="14">
        <f t="shared" si="89"/>
        <v>290</v>
      </c>
      <c r="O146" s="15">
        <f t="shared" si="90"/>
        <v>194</v>
      </c>
      <c r="P146" s="17">
        <f t="shared" si="91"/>
        <v>275</v>
      </c>
      <c r="Q146" s="18">
        <f t="shared" si="92"/>
        <v>194</v>
      </c>
      <c r="R146" s="4" t="s">
        <v>0</v>
      </c>
      <c r="S146" s="16" t="str">
        <f t="shared" si="93"/>
        <v>17-10</v>
      </c>
      <c r="T146" s="14">
        <f t="shared" si="94"/>
        <v>275</v>
      </c>
      <c r="U146" s="18">
        <f t="shared" si="95"/>
        <v>570</v>
      </c>
      <c r="V146" s="14">
        <f t="shared" si="96"/>
        <v>290</v>
      </c>
      <c r="W146" s="18">
        <f t="shared" si="97"/>
        <v>570</v>
      </c>
      <c r="X146" s="14">
        <f t="shared" si="98"/>
        <v>290</v>
      </c>
      <c r="Y146" s="18">
        <f t="shared" si="99"/>
        <v>556</v>
      </c>
      <c r="Z146" s="14">
        <f t="shared" si="100"/>
        <v>275</v>
      </c>
      <c r="AA146" s="18">
        <f t="shared" si="101"/>
        <v>556</v>
      </c>
      <c r="AB146" s="4" t="s">
        <v>0</v>
      </c>
    </row>
    <row r="147" spans="1:28">
      <c r="A147" s="9" t="s">
        <v>270</v>
      </c>
      <c r="B147" s="24"/>
      <c r="C147" s="26"/>
      <c r="D147" s="25">
        <f t="shared" si="104"/>
        <v>290</v>
      </c>
      <c r="E147" s="29">
        <f t="shared" si="105"/>
        <v>180</v>
      </c>
      <c r="F147" s="25">
        <f t="shared" si="106"/>
        <v>305</v>
      </c>
      <c r="G147" s="29">
        <f t="shared" si="107"/>
        <v>194</v>
      </c>
      <c r="H147" s="4" t="s">
        <v>0</v>
      </c>
      <c r="I147" s="16" t="str">
        <f t="shared" si="84"/>
        <v>17-08</v>
      </c>
      <c r="J147" s="14">
        <f t="shared" si="85"/>
        <v>290</v>
      </c>
      <c r="K147" s="15">
        <f t="shared" si="86"/>
        <v>180</v>
      </c>
      <c r="L147" s="17">
        <f t="shared" si="87"/>
        <v>305</v>
      </c>
      <c r="M147" s="18">
        <f t="shared" si="88"/>
        <v>180</v>
      </c>
      <c r="N147" s="14">
        <f t="shared" si="89"/>
        <v>305</v>
      </c>
      <c r="O147" s="15">
        <f t="shared" si="90"/>
        <v>194</v>
      </c>
      <c r="P147" s="17">
        <f t="shared" si="91"/>
        <v>290</v>
      </c>
      <c r="Q147" s="18">
        <f t="shared" si="92"/>
        <v>194</v>
      </c>
      <c r="R147" s="4" t="s">
        <v>0</v>
      </c>
      <c r="S147" s="16" t="str">
        <f t="shared" si="93"/>
        <v>17-08</v>
      </c>
      <c r="T147" s="14">
        <f t="shared" si="94"/>
        <v>290</v>
      </c>
      <c r="U147" s="18">
        <f t="shared" si="95"/>
        <v>570</v>
      </c>
      <c r="V147" s="14">
        <f t="shared" si="96"/>
        <v>305</v>
      </c>
      <c r="W147" s="18">
        <f t="shared" si="97"/>
        <v>570</v>
      </c>
      <c r="X147" s="14">
        <f t="shared" si="98"/>
        <v>305</v>
      </c>
      <c r="Y147" s="18">
        <f t="shared" si="99"/>
        <v>556</v>
      </c>
      <c r="Z147" s="14">
        <f t="shared" si="100"/>
        <v>290</v>
      </c>
      <c r="AA147" s="18">
        <f t="shared" si="101"/>
        <v>556</v>
      </c>
      <c r="AB147" s="4" t="s">
        <v>0</v>
      </c>
    </row>
    <row r="148" spans="1:28">
      <c r="A148" s="9" t="s">
        <v>269</v>
      </c>
      <c r="B148" s="24"/>
      <c r="C148" s="26"/>
      <c r="D148" s="25">
        <f t="shared" si="104"/>
        <v>305</v>
      </c>
      <c r="E148" s="29">
        <f t="shared" si="105"/>
        <v>180</v>
      </c>
      <c r="F148" s="25">
        <f t="shared" si="106"/>
        <v>320</v>
      </c>
      <c r="G148" s="29">
        <f t="shared" si="107"/>
        <v>194</v>
      </c>
      <c r="H148" s="4" t="s">
        <v>0</v>
      </c>
      <c r="I148" s="16" t="str">
        <f t="shared" si="84"/>
        <v>17-07</v>
      </c>
      <c r="J148" s="14">
        <f t="shared" si="85"/>
        <v>305</v>
      </c>
      <c r="K148" s="15">
        <f t="shared" si="86"/>
        <v>180</v>
      </c>
      <c r="L148" s="17">
        <f t="shared" si="87"/>
        <v>320</v>
      </c>
      <c r="M148" s="18">
        <f t="shared" si="88"/>
        <v>180</v>
      </c>
      <c r="N148" s="14">
        <f t="shared" si="89"/>
        <v>320</v>
      </c>
      <c r="O148" s="15">
        <f t="shared" si="90"/>
        <v>194</v>
      </c>
      <c r="P148" s="17">
        <f t="shared" si="91"/>
        <v>305</v>
      </c>
      <c r="Q148" s="18">
        <f t="shared" si="92"/>
        <v>194</v>
      </c>
      <c r="R148" s="4" t="s">
        <v>0</v>
      </c>
      <c r="S148" s="16" t="str">
        <f t="shared" si="93"/>
        <v>17-07</v>
      </c>
      <c r="T148" s="14">
        <f t="shared" si="94"/>
        <v>305</v>
      </c>
      <c r="U148" s="18">
        <f t="shared" si="95"/>
        <v>570</v>
      </c>
      <c r="V148" s="14">
        <f t="shared" si="96"/>
        <v>320</v>
      </c>
      <c r="W148" s="18">
        <f t="shared" si="97"/>
        <v>570</v>
      </c>
      <c r="X148" s="14">
        <f t="shared" si="98"/>
        <v>320</v>
      </c>
      <c r="Y148" s="18">
        <f t="shared" si="99"/>
        <v>556</v>
      </c>
      <c r="Z148" s="14">
        <f t="shared" si="100"/>
        <v>305</v>
      </c>
      <c r="AA148" s="18">
        <f t="shared" si="101"/>
        <v>556</v>
      </c>
      <c r="AB148" s="4" t="s">
        <v>0</v>
      </c>
    </row>
    <row r="149" spans="1:28">
      <c r="A149" s="9" t="s">
        <v>268</v>
      </c>
      <c r="B149" s="24"/>
      <c r="C149" s="26"/>
      <c r="D149" s="25">
        <f t="shared" si="104"/>
        <v>320</v>
      </c>
      <c r="E149" s="29">
        <f t="shared" si="105"/>
        <v>180</v>
      </c>
      <c r="F149" s="25">
        <f t="shared" si="106"/>
        <v>335</v>
      </c>
      <c r="G149" s="29">
        <f t="shared" si="107"/>
        <v>194</v>
      </c>
      <c r="H149" s="4" t="s">
        <v>0</v>
      </c>
      <c r="I149" s="16" t="str">
        <f t="shared" si="84"/>
        <v>17-06</v>
      </c>
      <c r="J149" s="14">
        <f t="shared" si="85"/>
        <v>320</v>
      </c>
      <c r="K149" s="15">
        <f t="shared" si="86"/>
        <v>180</v>
      </c>
      <c r="L149" s="17">
        <f t="shared" si="87"/>
        <v>335</v>
      </c>
      <c r="M149" s="18">
        <f t="shared" si="88"/>
        <v>180</v>
      </c>
      <c r="N149" s="14">
        <f t="shared" si="89"/>
        <v>335</v>
      </c>
      <c r="O149" s="15">
        <f t="shared" si="90"/>
        <v>194</v>
      </c>
      <c r="P149" s="17">
        <f t="shared" si="91"/>
        <v>320</v>
      </c>
      <c r="Q149" s="18">
        <f t="shared" si="92"/>
        <v>194</v>
      </c>
      <c r="R149" s="4" t="s">
        <v>0</v>
      </c>
      <c r="S149" s="16" t="str">
        <f t="shared" si="93"/>
        <v>17-06</v>
      </c>
      <c r="T149" s="14">
        <f t="shared" si="94"/>
        <v>320</v>
      </c>
      <c r="U149" s="18">
        <f t="shared" si="95"/>
        <v>570</v>
      </c>
      <c r="V149" s="14">
        <f t="shared" si="96"/>
        <v>335</v>
      </c>
      <c r="W149" s="18">
        <f t="shared" si="97"/>
        <v>570</v>
      </c>
      <c r="X149" s="14">
        <f t="shared" si="98"/>
        <v>335</v>
      </c>
      <c r="Y149" s="18">
        <f t="shared" si="99"/>
        <v>556</v>
      </c>
      <c r="Z149" s="14">
        <f t="shared" si="100"/>
        <v>320</v>
      </c>
      <c r="AA149" s="18">
        <f t="shared" si="101"/>
        <v>556</v>
      </c>
      <c r="AB149" s="4" t="s">
        <v>0</v>
      </c>
    </row>
    <row r="150" spans="1:28">
      <c r="A150" s="9" t="s">
        <v>267</v>
      </c>
      <c r="B150" s="24"/>
      <c r="C150" s="26"/>
      <c r="D150" s="25">
        <f t="shared" si="104"/>
        <v>335</v>
      </c>
      <c r="E150" s="29">
        <f t="shared" si="105"/>
        <v>180</v>
      </c>
      <c r="F150" s="25">
        <f t="shared" si="106"/>
        <v>350</v>
      </c>
      <c r="G150" s="29">
        <f t="shared" si="107"/>
        <v>194</v>
      </c>
      <c r="H150" s="4" t="s">
        <v>0</v>
      </c>
      <c r="I150" s="16" t="str">
        <f t="shared" si="84"/>
        <v>17-05</v>
      </c>
      <c r="J150" s="14">
        <f t="shared" si="85"/>
        <v>335</v>
      </c>
      <c r="K150" s="15">
        <f t="shared" si="86"/>
        <v>180</v>
      </c>
      <c r="L150" s="17">
        <f t="shared" si="87"/>
        <v>350</v>
      </c>
      <c r="M150" s="18">
        <f t="shared" si="88"/>
        <v>180</v>
      </c>
      <c r="N150" s="14">
        <f t="shared" si="89"/>
        <v>350</v>
      </c>
      <c r="O150" s="15">
        <f t="shared" si="90"/>
        <v>194</v>
      </c>
      <c r="P150" s="17">
        <f t="shared" si="91"/>
        <v>335</v>
      </c>
      <c r="Q150" s="18">
        <f t="shared" si="92"/>
        <v>194</v>
      </c>
      <c r="R150" s="4" t="s">
        <v>0</v>
      </c>
      <c r="S150" s="16" t="str">
        <f t="shared" si="93"/>
        <v>17-05</v>
      </c>
      <c r="T150" s="14">
        <f t="shared" si="94"/>
        <v>335</v>
      </c>
      <c r="U150" s="18">
        <f t="shared" si="95"/>
        <v>570</v>
      </c>
      <c r="V150" s="14">
        <f t="shared" si="96"/>
        <v>350</v>
      </c>
      <c r="W150" s="18">
        <f t="shared" si="97"/>
        <v>570</v>
      </c>
      <c r="X150" s="14">
        <f t="shared" si="98"/>
        <v>350</v>
      </c>
      <c r="Y150" s="18">
        <f t="shared" si="99"/>
        <v>556</v>
      </c>
      <c r="Z150" s="14">
        <f t="shared" si="100"/>
        <v>335</v>
      </c>
      <c r="AA150" s="18">
        <f t="shared" si="101"/>
        <v>556</v>
      </c>
      <c r="AB150" s="4" t="s">
        <v>0</v>
      </c>
    </row>
    <row r="151" spans="1:28">
      <c r="A151" s="9" t="s">
        <v>266</v>
      </c>
      <c r="B151" s="24"/>
      <c r="C151" s="26"/>
      <c r="D151" s="25">
        <f t="shared" si="104"/>
        <v>350</v>
      </c>
      <c r="E151" s="29">
        <f t="shared" si="105"/>
        <v>180</v>
      </c>
      <c r="F151" s="25">
        <f t="shared" si="106"/>
        <v>365</v>
      </c>
      <c r="G151" s="29">
        <f t="shared" si="107"/>
        <v>194</v>
      </c>
      <c r="H151" s="4" t="s">
        <v>0</v>
      </c>
      <c r="I151" s="16" t="str">
        <f t="shared" si="84"/>
        <v>17-03</v>
      </c>
      <c r="J151" s="14">
        <f t="shared" si="85"/>
        <v>350</v>
      </c>
      <c r="K151" s="15">
        <f t="shared" si="86"/>
        <v>180</v>
      </c>
      <c r="L151" s="17">
        <f t="shared" si="87"/>
        <v>365</v>
      </c>
      <c r="M151" s="18">
        <f t="shared" si="88"/>
        <v>180</v>
      </c>
      <c r="N151" s="14">
        <f t="shared" si="89"/>
        <v>365</v>
      </c>
      <c r="O151" s="15">
        <f t="shared" si="90"/>
        <v>194</v>
      </c>
      <c r="P151" s="17">
        <f t="shared" si="91"/>
        <v>350</v>
      </c>
      <c r="Q151" s="18">
        <f t="shared" si="92"/>
        <v>194</v>
      </c>
      <c r="R151" s="4" t="s">
        <v>0</v>
      </c>
      <c r="S151" s="16" t="str">
        <f t="shared" si="93"/>
        <v>17-03</v>
      </c>
      <c r="T151" s="14">
        <f t="shared" si="94"/>
        <v>350</v>
      </c>
      <c r="U151" s="18">
        <f t="shared" si="95"/>
        <v>570</v>
      </c>
      <c r="V151" s="14">
        <f t="shared" si="96"/>
        <v>365</v>
      </c>
      <c r="W151" s="18">
        <f t="shared" si="97"/>
        <v>570</v>
      </c>
      <c r="X151" s="14">
        <f t="shared" si="98"/>
        <v>365</v>
      </c>
      <c r="Y151" s="18">
        <f t="shared" si="99"/>
        <v>556</v>
      </c>
      <c r="Z151" s="14">
        <f t="shared" si="100"/>
        <v>350</v>
      </c>
      <c r="AA151" s="18">
        <f t="shared" si="101"/>
        <v>556</v>
      </c>
      <c r="AB151" s="4" t="s">
        <v>0</v>
      </c>
    </row>
    <row r="152" spans="1:28">
      <c r="A152" s="9" t="s">
        <v>265</v>
      </c>
      <c r="B152" s="24"/>
      <c r="C152" s="26"/>
      <c r="D152" s="25">
        <f t="shared" si="104"/>
        <v>365</v>
      </c>
      <c r="E152" s="29">
        <f t="shared" si="105"/>
        <v>180</v>
      </c>
      <c r="F152" s="25">
        <f t="shared" si="106"/>
        <v>380</v>
      </c>
      <c r="G152" s="29">
        <f t="shared" si="107"/>
        <v>194</v>
      </c>
      <c r="H152" s="4" t="s">
        <v>0</v>
      </c>
      <c r="I152" s="16" t="str">
        <f t="shared" si="84"/>
        <v>17-02</v>
      </c>
      <c r="J152" s="14">
        <f t="shared" si="85"/>
        <v>365</v>
      </c>
      <c r="K152" s="15">
        <f t="shared" si="86"/>
        <v>180</v>
      </c>
      <c r="L152" s="17">
        <f t="shared" si="87"/>
        <v>380</v>
      </c>
      <c r="M152" s="18">
        <f t="shared" si="88"/>
        <v>180</v>
      </c>
      <c r="N152" s="14">
        <f t="shared" si="89"/>
        <v>380</v>
      </c>
      <c r="O152" s="15">
        <f t="shared" si="90"/>
        <v>194</v>
      </c>
      <c r="P152" s="17">
        <f t="shared" si="91"/>
        <v>365</v>
      </c>
      <c r="Q152" s="18">
        <f t="shared" si="92"/>
        <v>194</v>
      </c>
      <c r="R152" s="4" t="s">
        <v>0</v>
      </c>
      <c r="S152" s="16" t="str">
        <f t="shared" si="93"/>
        <v>17-02</v>
      </c>
      <c r="T152" s="14">
        <f t="shared" si="94"/>
        <v>365</v>
      </c>
      <c r="U152" s="18">
        <f t="shared" si="95"/>
        <v>570</v>
      </c>
      <c r="V152" s="14">
        <f t="shared" si="96"/>
        <v>380</v>
      </c>
      <c r="W152" s="18">
        <f t="shared" si="97"/>
        <v>570</v>
      </c>
      <c r="X152" s="14">
        <f t="shared" si="98"/>
        <v>380</v>
      </c>
      <c r="Y152" s="18">
        <f t="shared" si="99"/>
        <v>556</v>
      </c>
      <c r="Z152" s="14">
        <f t="shared" si="100"/>
        <v>365</v>
      </c>
      <c r="AA152" s="18">
        <f t="shared" si="101"/>
        <v>556</v>
      </c>
      <c r="AB152" s="4" t="s">
        <v>0</v>
      </c>
    </row>
    <row r="153" spans="1:28">
      <c r="A153" s="9" t="s">
        <v>264</v>
      </c>
      <c r="B153" s="24"/>
      <c r="C153" s="26"/>
      <c r="D153" s="25">
        <f t="shared" si="104"/>
        <v>380</v>
      </c>
      <c r="E153" s="29">
        <f t="shared" si="105"/>
        <v>180</v>
      </c>
      <c r="F153" s="25">
        <f t="shared" si="106"/>
        <v>395</v>
      </c>
      <c r="G153" s="29">
        <f t="shared" si="107"/>
        <v>194</v>
      </c>
      <c r="H153" s="4" t="s">
        <v>0</v>
      </c>
      <c r="I153" s="16" t="str">
        <f t="shared" si="84"/>
        <v>17-01</v>
      </c>
      <c r="J153" s="14">
        <f t="shared" si="85"/>
        <v>380</v>
      </c>
      <c r="K153" s="15">
        <f t="shared" si="86"/>
        <v>180</v>
      </c>
      <c r="L153" s="17">
        <f t="shared" si="87"/>
        <v>395</v>
      </c>
      <c r="M153" s="18">
        <f t="shared" si="88"/>
        <v>180</v>
      </c>
      <c r="N153" s="14">
        <f t="shared" si="89"/>
        <v>395</v>
      </c>
      <c r="O153" s="15">
        <f t="shared" si="90"/>
        <v>194</v>
      </c>
      <c r="P153" s="17">
        <f t="shared" si="91"/>
        <v>380</v>
      </c>
      <c r="Q153" s="18">
        <f t="shared" si="92"/>
        <v>194</v>
      </c>
      <c r="R153" s="4" t="s">
        <v>0</v>
      </c>
      <c r="S153" s="16" t="str">
        <f t="shared" si="93"/>
        <v>17-01</v>
      </c>
      <c r="T153" s="14">
        <f t="shared" si="94"/>
        <v>380</v>
      </c>
      <c r="U153" s="18">
        <f t="shared" si="95"/>
        <v>570</v>
      </c>
      <c r="V153" s="14">
        <f t="shared" si="96"/>
        <v>395</v>
      </c>
      <c r="W153" s="18">
        <f t="shared" si="97"/>
        <v>570</v>
      </c>
      <c r="X153" s="14">
        <f t="shared" si="98"/>
        <v>395</v>
      </c>
      <c r="Y153" s="18">
        <f t="shared" si="99"/>
        <v>556</v>
      </c>
      <c r="Z153" s="14">
        <f t="shared" si="100"/>
        <v>380</v>
      </c>
      <c r="AA153" s="18">
        <f t="shared" si="101"/>
        <v>556</v>
      </c>
      <c r="AB153" s="4" t="s">
        <v>0</v>
      </c>
    </row>
    <row r="154" spans="1:28">
      <c r="A154" s="9" t="s">
        <v>263</v>
      </c>
      <c r="B154" s="24"/>
      <c r="C154" s="26"/>
      <c r="D154" s="27">
        <v>41</v>
      </c>
      <c r="E154" s="31">
        <f>ROUND(E133+19,0)</f>
        <v>199</v>
      </c>
      <c r="F154" s="31">
        <v>56</v>
      </c>
      <c r="G154" s="31">
        <f>ROUND(G133+19,0)</f>
        <v>213</v>
      </c>
      <c r="H154" s="4" t="s">
        <v>0</v>
      </c>
      <c r="I154" s="16" t="str">
        <f t="shared" si="84"/>
        <v>16-26</v>
      </c>
      <c r="J154" s="14">
        <f t="shared" si="85"/>
        <v>41</v>
      </c>
      <c r="K154" s="15">
        <f t="shared" si="86"/>
        <v>199</v>
      </c>
      <c r="L154" s="17">
        <f t="shared" si="87"/>
        <v>56</v>
      </c>
      <c r="M154" s="18">
        <f t="shared" si="88"/>
        <v>199</v>
      </c>
      <c r="N154" s="14">
        <f t="shared" si="89"/>
        <v>56</v>
      </c>
      <c r="O154" s="15">
        <f t="shared" si="90"/>
        <v>213</v>
      </c>
      <c r="P154" s="17">
        <f t="shared" si="91"/>
        <v>41</v>
      </c>
      <c r="Q154" s="18">
        <f t="shared" si="92"/>
        <v>213</v>
      </c>
      <c r="R154" s="4" t="s">
        <v>0</v>
      </c>
      <c r="S154" s="16" t="str">
        <f t="shared" si="93"/>
        <v>16-26</v>
      </c>
      <c r="T154" s="14">
        <f t="shared" si="94"/>
        <v>41</v>
      </c>
      <c r="U154" s="18">
        <f t="shared" si="95"/>
        <v>551</v>
      </c>
      <c r="V154" s="14">
        <f t="shared" si="96"/>
        <v>56</v>
      </c>
      <c r="W154" s="18">
        <f t="shared" si="97"/>
        <v>551</v>
      </c>
      <c r="X154" s="14">
        <f t="shared" si="98"/>
        <v>56</v>
      </c>
      <c r="Y154" s="18">
        <f t="shared" si="99"/>
        <v>537</v>
      </c>
      <c r="Z154" s="14">
        <f t="shared" si="100"/>
        <v>41</v>
      </c>
      <c r="AA154" s="18">
        <f t="shared" si="101"/>
        <v>537</v>
      </c>
      <c r="AB154" s="4" t="s">
        <v>0</v>
      </c>
    </row>
    <row r="155" spans="1:28">
      <c r="A155" s="9" t="s">
        <v>262</v>
      </c>
      <c r="B155" s="24"/>
      <c r="C155" s="26"/>
      <c r="D155" s="25">
        <f>D134</f>
        <v>56</v>
      </c>
      <c r="E155" s="29">
        <f t="shared" ref="E155" si="108">E154</f>
        <v>199</v>
      </c>
      <c r="F155" s="25">
        <f>F134</f>
        <v>71</v>
      </c>
      <c r="G155" s="29">
        <f t="shared" ref="G155" si="109">G154</f>
        <v>213</v>
      </c>
      <c r="H155" s="4" t="s">
        <v>0</v>
      </c>
      <c r="I155" s="16" t="str">
        <f t="shared" si="84"/>
        <v>16-25</v>
      </c>
      <c r="J155" s="14">
        <f t="shared" si="85"/>
        <v>56</v>
      </c>
      <c r="K155" s="15">
        <f t="shared" si="86"/>
        <v>199</v>
      </c>
      <c r="L155" s="17">
        <f t="shared" si="87"/>
        <v>71</v>
      </c>
      <c r="M155" s="18">
        <f t="shared" si="88"/>
        <v>199</v>
      </c>
      <c r="N155" s="14">
        <f t="shared" si="89"/>
        <v>71</v>
      </c>
      <c r="O155" s="15">
        <f t="shared" si="90"/>
        <v>213</v>
      </c>
      <c r="P155" s="17">
        <f t="shared" si="91"/>
        <v>56</v>
      </c>
      <c r="Q155" s="18">
        <f t="shared" si="92"/>
        <v>213</v>
      </c>
      <c r="R155" s="4" t="s">
        <v>0</v>
      </c>
      <c r="S155" s="16" t="str">
        <f t="shared" si="93"/>
        <v>16-25</v>
      </c>
      <c r="T155" s="14">
        <f t="shared" si="94"/>
        <v>56</v>
      </c>
      <c r="U155" s="18">
        <f t="shared" si="95"/>
        <v>551</v>
      </c>
      <c r="V155" s="14">
        <f t="shared" si="96"/>
        <v>71</v>
      </c>
      <c r="W155" s="18">
        <f t="shared" si="97"/>
        <v>551</v>
      </c>
      <c r="X155" s="14">
        <f t="shared" si="98"/>
        <v>71</v>
      </c>
      <c r="Y155" s="18">
        <f t="shared" si="99"/>
        <v>537</v>
      </c>
      <c r="Z155" s="14">
        <f t="shared" si="100"/>
        <v>56</v>
      </c>
      <c r="AA155" s="18">
        <f t="shared" si="101"/>
        <v>537</v>
      </c>
      <c r="AB155" s="4" t="s">
        <v>0</v>
      </c>
    </row>
    <row r="156" spans="1:28">
      <c r="A156" s="9" t="s">
        <v>261</v>
      </c>
      <c r="B156" s="24"/>
      <c r="C156" s="26"/>
      <c r="D156" s="25">
        <f t="shared" ref="D156:D174" si="110">D135</f>
        <v>71</v>
      </c>
      <c r="E156" s="29">
        <f t="shared" ref="E156:E164" si="111">E155</f>
        <v>199</v>
      </c>
      <c r="F156" s="25">
        <f t="shared" ref="F156:F174" si="112">F135</f>
        <v>86</v>
      </c>
      <c r="G156" s="29">
        <f t="shared" ref="G156:G164" si="113">G155</f>
        <v>213</v>
      </c>
      <c r="H156" s="4" t="s">
        <v>0</v>
      </c>
      <c r="I156" s="16" t="str">
        <f t="shared" si="84"/>
        <v>16-23</v>
      </c>
      <c r="J156" s="14">
        <f t="shared" si="85"/>
        <v>71</v>
      </c>
      <c r="K156" s="15">
        <f t="shared" si="86"/>
        <v>199</v>
      </c>
      <c r="L156" s="17">
        <f t="shared" si="87"/>
        <v>86</v>
      </c>
      <c r="M156" s="18">
        <f t="shared" si="88"/>
        <v>199</v>
      </c>
      <c r="N156" s="14">
        <f t="shared" si="89"/>
        <v>86</v>
      </c>
      <c r="O156" s="15">
        <f t="shared" si="90"/>
        <v>213</v>
      </c>
      <c r="P156" s="17">
        <f t="shared" si="91"/>
        <v>71</v>
      </c>
      <c r="Q156" s="18">
        <f t="shared" si="92"/>
        <v>213</v>
      </c>
      <c r="R156" s="4" t="s">
        <v>0</v>
      </c>
      <c r="S156" s="16" t="str">
        <f t="shared" si="93"/>
        <v>16-23</v>
      </c>
      <c r="T156" s="14">
        <f t="shared" si="94"/>
        <v>71</v>
      </c>
      <c r="U156" s="18">
        <f t="shared" si="95"/>
        <v>551</v>
      </c>
      <c r="V156" s="14">
        <f t="shared" si="96"/>
        <v>86</v>
      </c>
      <c r="W156" s="18">
        <f t="shared" si="97"/>
        <v>551</v>
      </c>
      <c r="X156" s="14">
        <f t="shared" si="98"/>
        <v>86</v>
      </c>
      <c r="Y156" s="18">
        <f t="shared" si="99"/>
        <v>537</v>
      </c>
      <c r="Z156" s="14">
        <f t="shared" si="100"/>
        <v>71</v>
      </c>
      <c r="AA156" s="18">
        <f t="shared" si="101"/>
        <v>537</v>
      </c>
      <c r="AB156" s="4" t="s">
        <v>0</v>
      </c>
    </row>
    <row r="157" spans="1:28">
      <c r="A157" s="9" t="s">
        <v>260</v>
      </c>
      <c r="B157" s="24"/>
      <c r="C157" s="26"/>
      <c r="D157" s="25">
        <f t="shared" si="110"/>
        <v>86</v>
      </c>
      <c r="E157" s="29">
        <f t="shared" si="111"/>
        <v>199</v>
      </c>
      <c r="F157" s="25">
        <f t="shared" si="112"/>
        <v>101</v>
      </c>
      <c r="G157" s="29">
        <f t="shared" si="113"/>
        <v>213</v>
      </c>
      <c r="H157" s="4" t="s">
        <v>0</v>
      </c>
      <c r="I157" s="16" t="str">
        <f t="shared" si="84"/>
        <v>16-22</v>
      </c>
      <c r="J157" s="14">
        <f t="shared" si="85"/>
        <v>86</v>
      </c>
      <c r="K157" s="15">
        <f t="shared" si="86"/>
        <v>199</v>
      </c>
      <c r="L157" s="17">
        <f t="shared" si="87"/>
        <v>101</v>
      </c>
      <c r="M157" s="18">
        <f t="shared" si="88"/>
        <v>199</v>
      </c>
      <c r="N157" s="14">
        <f t="shared" si="89"/>
        <v>101</v>
      </c>
      <c r="O157" s="15">
        <f t="shared" si="90"/>
        <v>213</v>
      </c>
      <c r="P157" s="17">
        <f t="shared" si="91"/>
        <v>86</v>
      </c>
      <c r="Q157" s="18">
        <f t="shared" si="92"/>
        <v>213</v>
      </c>
      <c r="R157" s="4" t="s">
        <v>0</v>
      </c>
      <c r="S157" s="16" t="str">
        <f t="shared" si="93"/>
        <v>16-22</v>
      </c>
      <c r="T157" s="14">
        <f t="shared" si="94"/>
        <v>86</v>
      </c>
      <c r="U157" s="18">
        <f t="shared" si="95"/>
        <v>551</v>
      </c>
      <c r="V157" s="14">
        <f t="shared" si="96"/>
        <v>101</v>
      </c>
      <c r="W157" s="18">
        <f t="shared" si="97"/>
        <v>551</v>
      </c>
      <c r="X157" s="14">
        <f t="shared" si="98"/>
        <v>101</v>
      </c>
      <c r="Y157" s="18">
        <f t="shared" si="99"/>
        <v>537</v>
      </c>
      <c r="Z157" s="14">
        <f t="shared" si="100"/>
        <v>86</v>
      </c>
      <c r="AA157" s="18">
        <f t="shared" si="101"/>
        <v>537</v>
      </c>
      <c r="AB157" s="4" t="s">
        <v>0</v>
      </c>
    </row>
    <row r="158" spans="1:28">
      <c r="A158" s="9" t="s">
        <v>259</v>
      </c>
      <c r="B158" s="24"/>
      <c r="C158" s="26"/>
      <c r="D158" s="25">
        <f t="shared" si="110"/>
        <v>101</v>
      </c>
      <c r="E158" s="29">
        <f t="shared" si="111"/>
        <v>199</v>
      </c>
      <c r="F158" s="25">
        <f t="shared" si="112"/>
        <v>116</v>
      </c>
      <c r="G158" s="29">
        <f t="shared" si="113"/>
        <v>213</v>
      </c>
      <c r="H158" s="4" t="s">
        <v>0</v>
      </c>
      <c r="I158" s="16" t="str">
        <f t="shared" si="84"/>
        <v>16-21</v>
      </c>
      <c r="J158" s="14">
        <f t="shared" si="85"/>
        <v>101</v>
      </c>
      <c r="K158" s="15">
        <f t="shared" si="86"/>
        <v>199</v>
      </c>
      <c r="L158" s="17">
        <f t="shared" si="87"/>
        <v>116</v>
      </c>
      <c r="M158" s="18">
        <f t="shared" si="88"/>
        <v>199</v>
      </c>
      <c r="N158" s="14">
        <f t="shared" si="89"/>
        <v>116</v>
      </c>
      <c r="O158" s="15">
        <f t="shared" si="90"/>
        <v>213</v>
      </c>
      <c r="P158" s="17">
        <f t="shared" si="91"/>
        <v>101</v>
      </c>
      <c r="Q158" s="18">
        <f t="shared" si="92"/>
        <v>213</v>
      </c>
      <c r="R158" s="4" t="s">
        <v>0</v>
      </c>
      <c r="S158" s="16" t="str">
        <f t="shared" si="93"/>
        <v>16-21</v>
      </c>
      <c r="T158" s="14">
        <f t="shared" si="94"/>
        <v>101</v>
      </c>
      <c r="U158" s="18">
        <f t="shared" si="95"/>
        <v>551</v>
      </c>
      <c r="V158" s="14">
        <f t="shared" si="96"/>
        <v>116</v>
      </c>
      <c r="W158" s="18">
        <f t="shared" si="97"/>
        <v>551</v>
      </c>
      <c r="X158" s="14">
        <f t="shared" si="98"/>
        <v>116</v>
      </c>
      <c r="Y158" s="18">
        <f t="shared" si="99"/>
        <v>537</v>
      </c>
      <c r="Z158" s="14">
        <f t="shared" si="100"/>
        <v>101</v>
      </c>
      <c r="AA158" s="18">
        <f t="shared" si="101"/>
        <v>537</v>
      </c>
      <c r="AB158" s="4" t="s">
        <v>0</v>
      </c>
    </row>
    <row r="159" spans="1:28">
      <c r="A159" s="9" t="s">
        <v>258</v>
      </c>
      <c r="B159" s="24"/>
      <c r="C159" s="26"/>
      <c r="D159" s="25">
        <f t="shared" si="110"/>
        <v>116</v>
      </c>
      <c r="E159" s="29">
        <f t="shared" si="111"/>
        <v>199</v>
      </c>
      <c r="F159" s="25">
        <f t="shared" si="112"/>
        <v>131</v>
      </c>
      <c r="G159" s="29">
        <f t="shared" si="113"/>
        <v>213</v>
      </c>
      <c r="H159" s="4" t="s">
        <v>0</v>
      </c>
      <c r="I159" s="16" t="str">
        <f t="shared" si="84"/>
        <v>16-20</v>
      </c>
      <c r="J159" s="14">
        <f t="shared" si="85"/>
        <v>116</v>
      </c>
      <c r="K159" s="15">
        <f t="shared" si="86"/>
        <v>199</v>
      </c>
      <c r="L159" s="17">
        <f t="shared" si="87"/>
        <v>131</v>
      </c>
      <c r="M159" s="18">
        <f t="shared" si="88"/>
        <v>199</v>
      </c>
      <c r="N159" s="14">
        <f t="shared" si="89"/>
        <v>131</v>
      </c>
      <c r="O159" s="15">
        <f t="shared" si="90"/>
        <v>213</v>
      </c>
      <c r="P159" s="17">
        <f t="shared" si="91"/>
        <v>116</v>
      </c>
      <c r="Q159" s="18">
        <f t="shared" si="92"/>
        <v>213</v>
      </c>
      <c r="R159" s="4" t="s">
        <v>0</v>
      </c>
      <c r="S159" s="16" t="str">
        <f t="shared" si="93"/>
        <v>16-20</v>
      </c>
      <c r="T159" s="14">
        <f t="shared" si="94"/>
        <v>116</v>
      </c>
      <c r="U159" s="18">
        <f t="shared" si="95"/>
        <v>551</v>
      </c>
      <c r="V159" s="14">
        <f t="shared" si="96"/>
        <v>131</v>
      </c>
      <c r="W159" s="18">
        <f t="shared" si="97"/>
        <v>551</v>
      </c>
      <c r="X159" s="14">
        <f t="shared" si="98"/>
        <v>131</v>
      </c>
      <c r="Y159" s="18">
        <f t="shared" si="99"/>
        <v>537</v>
      </c>
      <c r="Z159" s="14">
        <f t="shared" si="100"/>
        <v>116</v>
      </c>
      <c r="AA159" s="18">
        <f t="shared" si="101"/>
        <v>537</v>
      </c>
      <c r="AB159" s="4" t="s">
        <v>0</v>
      </c>
    </row>
    <row r="160" spans="1:28">
      <c r="A160" s="9" t="s">
        <v>257</v>
      </c>
      <c r="B160" s="24"/>
      <c r="C160" s="26"/>
      <c r="D160" s="25">
        <f t="shared" si="110"/>
        <v>131</v>
      </c>
      <c r="E160" s="29">
        <f t="shared" si="111"/>
        <v>199</v>
      </c>
      <c r="F160" s="25">
        <f t="shared" si="112"/>
        <v>146</v>
      </c>
      <c r="G160" s="29">
        <f t="shared" si="113"/>
        <v>213</v>
      </c>
      <c r="H160" s="4" t="s">
        <v>0</v>
      </c>
      <c r="I160" s="16" t="str">
        <f t="shared" si="84"/>
        <v>16-18</v>
      </c>
      <c r="J160" s="14">
        <f t="shared" si="85"/>
        <v>131</v>
      </c>
      <c r="K160" s="15">
        <f t="shared" si="86"/>
        <v>199</v>
      </c>
      <c r="L160" s="17">
        <f t="shared" si="87"/>
        <v>146</v>
      </c>
      <c r="M160" s="18">
        <f t="shared" si="88"/>
        <v>199</v>
      </c>
      <c r="N160" s="14">
        <f t="shared" si="89"/>
        <v>146</v>
      </c>
      <c r="O160" s="15">
        <f t="shared" si="90"/>
        <v>213</v>
      </c>
      <c r="P160" s="17">
        <f t="shared" si="91"/>
        <v>131</v>
      </c>
      <c r="Q160" s="18">
        <f t="shared" si="92"/>
        <v>213</v>
      </c>
      <c r="R160" s="4" t="s">
        <v>0</v>
      </c>
      <c r="S160" s="16" t="str">
        <f t="shared" si="93"/>
        <v>16-18</v>
      </c>
      <c r="T160" s="14">
        <f t="shared" si="94"/>
        <v>131</v>
      </c>
      <c r="U160" s="18">
        <f t="shared" si="95"/>
        <v>551</v>
      </c>
      <c r="V160" s="14">
        <f t="shared" si="96"/>
        <v>146</v>
      </c>
      <c r="W160" s="18">
        <f t="shared" si="97"/>
        <v>551</v>
      </c>
      <c r="X160" s="14">
        <f t="shared" si="98"/>
        <v>146</v>
      </c>
      <c r="Y160" s="18">
        <f t="shared" si="99"/>
        <v>537</v>
      </c>
      <c r="Z160" s="14">
        <f t="shared" si="100"/>
        <v>131</v>
      </c>
      <c r="AA160" s="18">
        <f t="shared" si="101"/>
        <v>537</v>
      </c>
      <c r="AB160" s="4" t="s">
        <v>0</v>
      </c>
    </row>
    <row r="161" spans="1:28">
      <c r="A161" s="9" t="s">
        <v>256</v>
      </c>
      <c r="B161" s="24"/>
      <c r="C161" s="26"/>
      <c r="D161" s="25">
        <f t="shared" si="110"/>
        <v>146</v>
      </c>
      <c r="E161" s="29">
        <f t="shared" si="111"/>
        <v>199</v>
      </c>
      <c r="F161" s="25">
        <f t="shared" si="112"/>
        <v>161</v>
      </c>
      <c r="G161" s="29">
        <f t="shared" si="113"/>
        <v>213</v>
      </c>
      <c r="H161" s="4" t="s">
        <v>0</v>
      </c>
      <c r="I161" s="16" t="str">
        <f t="shared" si="84"/>
        <v>16-17</v>
      </c>
      <c r="J161" s="14">
        <f t="shared" si="85"/>
        <v>146</v>
      </c>
      <c r="K161" s="15">
        <f t="shared" si="86"/>
        <v>199</v>
      </c>
      <c r="L161" s="17">
        <f t="shared" si="87"/>
        <v>161</v>
      </c>
      <c r="M161" s="18">
        <f t="shared" si="88"/>
        <v>199</v>
      </c>
      <c r="N161" s="14">
        <f t="shared" si="89"/>
        <v>161</v>
      </c>
      <c r="O161" s="15">
        <f t="shared" si="90"/>
        <v>213</v>
      </c>
      <c r="P161" s="17">
        <f t="shared" si="91"/>
        <v>146</v>
      </c>
      <c r="Q161" s="18">
        <f t="shared" si="92"/>
        <v>213</v>
      </c>
      <c r="R161" s="4" t="s">
        <v>0</v>
      </c>
      <c r="S161" s="16" t="str">
        <f t="shared" si="93"/>
        <v>16-17</v>
      </c>
      <c r="T161" s="14">
        <f t="shared" si="94"/>
        <v>146</v>
      </c>
      <c r="U161" s="18">
        <f t="shared" si="95"/>
        <v>551</v>
      </c>
      <c r="V161" s="14">
        <f t="shared" si="96"/>
        <v>161</v>
      </c>
      <c r="W161" s="18">
        <f t="shared" si="97"/>
        <v>551</v>
      </c>
      <c r="X161" s="14">
        <f t="shared" si="98"/>
        <v>161</v>
      </c>
      <c r="Y161" s="18">
        <f t="shared" si="99"/>
        <v>537</v>
      </c>
      <c r="Z161" s="14">
        <f t="shared" si="100"/>
        <v>146</v>
      </c>
      <c r="AA161" s="18">
        <f t="shared" si="101"/>
        <v>537</v>
      </c>
      <c r="AB161" s="4" t="s">
        <v>0</v>
      </c>
    </row>
    <row r="162" spans="1:28">
      <c r="A162" s="9" t="s">
        <v>255</v>
      </c>
      <c r="B162" s="24"/>
      <c r="C162" s="26"/>
      <c r="D162" s="25">
        <f t="shared" si="110"/>
        <v>161</v>
      </c>
      <c r="E162" s="29">
        <f t="shared" si="111"/>
        <v>199</v>
      </c>
      <c r="F162" s="25">
        <f t="shared" si="112"/>
        <v>176</v>
      </c>
      <c r="G162" s="29">
        <f t="shared" si="113"/>
        <v>213</v>
      </c>
      <c r="H162" s="4" t="s">
        <v>0</v>
      </c>
      <c r="I162" s="16" t="str">
        <f t="shared" si="84"/>
        <v>16-16</v>
      </c>
      <c r="J162" s="14">
        <f t="shared" si="85"/>
        <v>161</v>
      </c>
      <c r="K162" s="15">
        <f t="shared" si="86"/>
        <v>199</v>
      </c>
      <c r="L162" s="17">
        <f t="shared" si="87"/>
        <v>176</v>
      </c>
      <c r="M162" s="18">
        <f t="shared" si="88"/>
        <v>199</v>
      </c>
      <c r="N162" s="14">
        <f t="shared" si="89"/>
        <v>176</v>
      </c>
      <c r="O162" s="15">
        <f t="shared" si="90"/>
        <v>213</v>
      </c>
      <c r="P162" s="17">
        <f t="shared" si="91"/>
        <v>161</v>
      </c>
      <c r="Q162" s="18">
        <f t="shared" si="92"/>
        <v>213</v>
      </c>
      <c r="R162" s="4" t="s">
        <v>0</v>
      </c>
      <c r="S162" s="16" t="str">
        <f t="shared" si="93"/>
        <v>16-16</v>
      </c>
      <c r="T162" s="14">
        <f t="shared" si="94"/>
        <v>161</v>
      </c>
      <c r="U162" s="18">
        <f t="shared" si="95"/>
        <v>551</v>
      </c>
      <c r="V162" s="14">
        <f t="shared" si="96"/>
        <v>176</v>
      </c>
      <c r="W162" s="18">
        <f t="shared" si="97"/>
        <v>551</v>
      </c>
      <c r="X162" s="14">
        <f t="shared" si="98"/>
        <v>176</v>
      </c>
      <c r="Y162" s="18">
        <f t="shared" si="99"/>
        <v>537</v>
      </c>
      <c r="Z162" s="14">
        <f t="shared" si="100"/>
        <v>161</v>
      </c>
      <c r="AA162" s="18">
        <f t="shared" si="101"/>
        <v>537</v>
      </c>
      <c r="AB162" s="4" t="s">
        <v>0</v>
      </c>
    </row>
    <row r="163" spans="1:28">
      <c r="A163" s="9" t="s">
        <v>254</v>
      </c>
      <c r="B163" s="24"/>
      <c r="C163" s="26"/>
      <c r="D163" s="25">
        <f t="shared" si="110"/>
        <v>176</v>
      </c>
      <c r="E163" s="29">
        <f t="shared" si="111"/>
        <v>199</v>
      </c>
      <c r="F163" s="25">
        <f t="shared" si="112"/>
        <v>191</v>
      </c>
      <c r="G163" s="29">
        <f t="shared" si="113"/>
        <v>213</v>
      </c>
      <c r="H163" s="4" t="s">
        <v>0</v>
      </c>
      <c r="I163" s="16" t="str">
        <f t="shared" si="84"/>
        <v>16-15</v>
      </c>
      <c r="J163" s="14">
        <f t="shared" si="85"/>
        <v>176</v>
      </c>
      <c r="K163" s="15">
        <f t="shared" si="86"/>
        <v>199</v>
      </c>
      <c r="L163" s="17">
        <f t="shared" si="87"/>
        <v>191</v>
      </c>
      <c r="M163" s="18">
        <f t="shared" si="88"/>
        <v>199</v>
      </c>
      <c r="N163" s="14">
        <f t="shared" si="89"/>
        <v>191</v>
      </c>
      <c r="O163" s="15">
        <f t="shared" si="90"/>
        <v>213</v>
      </c>
      <c r="P163" s="17">
        <f t="shared" si="91"/>
        <v>176</v>
      </c>
      <c r="Q163" s="18">
        <f t="shared" si="92"/>
        <v>213</v>
      </c>
      <c r="R163" s="4" t="s">
        <v>0</v>
      </c>
      <c r="S163" s="16" t="str">
        <f t="shared" si="93"/>
        <v>16-15</v>
      </c>
      <c r="T163" s="14">
        <f t="shared" si="94"/>
        <v>176</v>
      </c>
      <c r="U163" s="18">
        <f t="shared" si="95"/>
        <v>551</v>
      </c>
      <c r="V163" s="14">
        <f t="shared" si="96"/>
        <v>191</v>
      </c>
      <c r="W163" s="18">
        <f t="shared" si="97"/>
        <v>551</v>
      </c>
      <c r="X163" s="14">
        <f t="shared" si="98"/>
        <v>191</v>
      </c>
      <c r="Y163" s="18">
        <f t="shared" si="99"/>
        <v>537</v>
      </c>
      <c r="Z163" s="14">
        <f t="shared" si="100"/>
        <v>176</v>
      </c>
      <c r="AA163" s="18">
        <f t="shared" si="101"/>
        <v>537</v>
      </c>
      <c r="AB163" s="4" t="s">
        <v>0</v>
      </c>
    </row>
    <row r="164" spans="1:28">
      <c r="A164" s="9" t="s">
        <v>253</v>
      </c>
      <c r="B164" s="24"/>
      <c r="C164" s="26"/>
      <c r="D164" s="25">
        <f t="shared" si="110"/>
        <v>191</v>
      </c>
      <c r="E164" s="29">
        <f t="shared" si="111"/>
        <v>199</v>
      </c>
      <c r="F164" s="25">
        <f t="shared" si="112"/>
        <v>206</v>
      </c>
      <c r="G164" s="29">
        <f t="shared" si="113"/>
        <v>213</v>
      </c>
      <c r="H164" s="4" t="s">
        <v>0</v>
      </c>
      <c r="I164" s="16" t="str">
        <f t="shared" si="84"/>
        <v>16-13</v>
      </c>
      <c r="J164" s="14">
        <f t="shared" si="85"/>
        <v>191</v>
      </c>
      <c r="K164" s="15">
        <f t="shared" si="86"/>
        <v>199</v>
      </c>
      <c r="L164" s="17">
        <f t="shared" si="87"/>
        <v>206</v>
      </c>
      <c r="M164" s="18">
        <f t="shared" si="88"/>
        <v>199</v>
      </c>
      <c r="N164" s="14">
        <f t="shared" si="89"/>
        <v>206</v>
      </c>
      <c r="O164" s="15">
        <f t="shared" si="90"/>
        <v>213</v>
      </c>
      <c r="P164" s="17">
        <f t="shared" si="91"/>
        <v>191</v>
      </c>
      <c r="Q164" s="18">
        <f t="shared" si="92"/>
        <v>213</v>
      </c>
      <c r="R164" s="4" t="s">
        <v>0</v>
      </c>
      <c r="S164" s="16" t="str">
        <f t="shared" si="93"/>
        <v>16-13</v>
      </c>
      <c r="T164" s="14">
        <f t="shared" si="94"/>
        <v>191</v>
      </c>
      <c r="U164" s="18">
        <f t="shared" si="95"/>
        <v>551</v>
      </c>
      <c r="V164" s="14">
        <f t="shared" si="96"/>
        <v>206</v>
      </c>
      <c r="W164" s="18">
        <f t="shared" si="97"/>
        <v>551</v>
      </c>
      <c r="X164" s="14">
        <f t="shared" si="98"/>
        <v>206</v>
      </c>
      <c r="Y164" s="18">
        <f t="shared" si="99"/>
        <v>537</v>
      </c>
      <c r="Z164" s="14">
        <f t="shared" si="100"/>
        <v>191</v>
      </c>
      <c r="AA164" s="18">
        <f t="shared" si="101"/>
        <v>537</v>
      </c>
      <c r="AB164" s="4" t="s">
        <v>0</v>
      </c>
    </row>
    <row r="165" spans="1:28">
      <c r="A165" s="9" t="s">
        <v>252</v>
      </c>
      <c r="B165" s="24"/>
      <c r="C165" s="26"/>
      <c r="D165" s="25">
        <f t="shared" si="110"/>
        <v>245</v>
      </c>
      <c r="E165" s="29">
        <f t="shared" ref="E165" si="114">E164</f>
        <v>199</v>
      </c>
      <c r="F165" s="25">
        <f t="shared" si="112"/>
        <v>260</v>
      </c>
      <c r="G165" s="29">
        <f t="shared" ref="G165" si="115">G164</f>
        <v>213</v>
      </c>
      <c r="H165" s="4" t="s">
        <v>0</v>
      </c>
      <c r="I165" s="16" t="str">
        <f t="shared" si="84"/>
        <v>16-12</v>
      </c>
      <c r="J165" s="14">
        <f t="shared" si="85"/>
        <v>245</v>
      </c>
      <c r="K165" s="15">
        <f t="shared" si="86"/>
        <v>199</v>
      </c>
      <c r="L165" s="17">
        <f t="shared" si="87"/>
        <v>260</v>
      </c>
      <c r="M165" s="18">
        <f t="shared" si="88"/>
        <v>199</v>
      </c>
      <c r="N165" s="14">
        <f t="shared" si="89"/>
        <v>260</v>
      </c>
      <c r="O165" s="15">
        <f t="shared" si="90"/>
        <v>213</v>
      </c>
      <c r="P165" s="17">
        <f t="shared" si="91"/>
        <v>245</v>
      </c>
      <c r="Q165" s="18">
        <f t="shared" si="92"/>
        <v>213</v>
      </c>
      <c r="R165" s="4" t="s">
        <v>0</v>
      </c>
      <c r="S165" s="16" t="str">
        <f t="shared" si="93"/>
        <v>16-12</v>
      </c>
      <c r="T165" s="14">
        <f t="shared" si="94"/>
        <v>245</v>
      </c>
      <c r="U165" s="18">
        <f t="shared" si="95"/>
        <v>551</v>
      </c>
      <c r="V165" s="14">
        <f t="shared" si="96"/>
        <v>260</v>
      </c>
      <c r="W165" s="18">
        <f t="shared" si="97"/>
        <v>551</v>
      </c>
      <c r="X165" s="14">
        <f t="shared" si="98"/>
        <v>260</v>
      </c>
      <c r="Y165" s="18">
        <f t="shared" si="99"/>
        <v>537</v>
      </c>
      <c r="Z165" s="14">
        <f t="shared" si="100"/>
        <v>245</v>
      </c>
      <c r="AA165" s="18">
        <f t="shared" si="101"/>
        <v>537</v>
      </c>
      <c r="AB165" s="4" t="s">
        <v>0</v>
      </c>
    </row>
    <row r="166" spans="1:28">
      <c r="A166" s="9" t="s">
        <v>251</v>
      </c>
      <c r="B166" s="24"/>
      <c r="C166" s="26"/>
      <c r="D166" s="25">
        <f t="shared" si="110"/>
        <v>260</v>
      </c>
      <c r="E166" s="29">
        <f t="shared" ref="E166:E174" si="116">E165</f>
        <v>199</v>
      </c>
      <c r="F166" s="25">
        <f t="shared" si="112"/>
        <v>275</v>
      </c>
      <c r="G166" s="29">
        <f t="shared" ref="G166:G174" si="117">G165</f>
        <v>213</v>
      </c>
      <c r="H166" s="4" t="s">
        <v>0</v>
      </c>
      <c r="I166" s="16" t="str">
        <f t="shared" si="84"/>
        <v>16-11</v>
      </c>
      <c r="J166" s="14">
        <f t="shared" si="85"/>
        <v>260</v>
      </c>
      <c r="K166" s="15">
        <f t="shared" si="86"/>
        <v>199</v>
      </c>
      <c r="L166" s="17">
        <f t="shared" si="87"/>
        <v>275</v>
      </c>
      <c r="M166" s="18">
        <f t="shared" si="88"/>
        <v>199</v>
      </c>
      <c r="N166" s="14">
        <f t="shared" si="89"/>
        <v>275</v>
      </c>
      <c r="O166" s="15">
        <f t="shared" si="90"/>
        <v>213</v>
      </c>
      <c r="P166" s="17">
        <f t="shared" si="91"/>
        <v>260</v>
      </c>
      <c r="Q166" s="18">
        <f t="shared" si="92"/>
        <v>213</v>
      </c>
      <c r="R166" s="4" t="s">
        <v>0</v>
      </c>
      <c r="S166" s="16" t="str">
        <f t="shared" si="93"/>
        <v>16-11</v>
      </c>
      <c r="T166" s="14">
        <f t="shared" si="94"/>
        <v>260</v>
      </c>
      <c r="U166" s="18">
        <f t="shared" si="95"/>
        <v>551</v>
      </c>
      <c r="V166" s="14">
        <f t="shared" si="96"/>
        <v>275</v>
      </c>
      <c r="W166" s="18">
        <f t="shared" si="97"/>
        <v>551</v>
      </c>
      <c r="X166" s="14">
        <f t="shared" si="98"/>
        <v>275</v>
      </c>
      <c r="Y166" s="18">
        <f t="shared" si="99"/>
        <v>537</v>
      </c>
      <c r="Z166" s="14">
        <f t="shared" si="100"/>
        <v>260</v>
      </c>
      <c r="AA166" s="18">
        <f t="shared" si="101"/>
        <v>537</v>
      </c>
      <c r="AB166" s="4" t="s">
        <v>0</v>
      </c>
    </row>
    <row r="167" spans="1:28">
      <c r="A167" s="9" t="s">
        <v>250</v>
      </c>
      <c r="B167" s="24"/>
      <c r="C167" s="26"/>
      <c r="D167" s="25">
        <f t="shared" si="110"/>
        <v>275</v>
      </c>
      <c r="E167" s="29">
        <f t="shared" si="116"/>
        <v>199</v>
      </c>
      <c r="F167" s="25">
        <f t="shared" si="112"/>
        <v>290</v>
      </c>
      <c r="G167" s="29">
        <f t="shared" si="117"/>
        <v>213</v>
      </c>
      <c r="H167" s="4" t="s">
        <v>0</v>
      </c>
      <c r="I167" s="16" t="str">
        <f t="shared" si="84"/>
        <v>16-10</v>
      </c>
      <c r="J167" s="14">
        <f t="shared" si="85"/>
        <v>275</v>
      </c>
      <c r="K167" s="15">
        <f t="shared" si="86"/>
        <v>199</v>
      </c>
      <c r="L167" s="17">
        <f t="shared" si="87"/>
        <v>290</v>
      </c>
      <c r="M167" s="18">
        <f t="shared" si="88"/>
        <v>199</v>
      </c>
      <c r="N167" s="14">
        <f t="shared" si="89"/>
        <v>290</v>
      </c>
      <c r="O167" s="15">
        <f t="shared" si="90"/>
        <v>213</v>
      </c>
      <c r="P167" s="17">
        <f t="shared" si="91"/>
        <v>275</v>
      </c>
      <c r="Q167" s="18">
        <f t="shared" si="92"/>
        <v>213</v>
      </c>
      <c r="R167" s="4" t="s">
        <v>0</v>
      </c>
      <c r="S167" s="16" t="str">
        <f t="shared" si="93"/>
        <v>16-10</v>
      </c>
      <c r="T167" s="14">
        <f t="shared" si="94"/>
        <v>275</v>
      </c>
      <c r="U167" s="18">
        <f t="shared" si="95"/>
        <v>551</v>
      </c>
      <c r="V167" s="14">
        <f t="shared" si="96"/>
        <v>290</v>
      </c>
      <c r="W167" s="18">
        <f t="shared" si="97"/>
        <v>551</v>
      </c>
      <c r="X167" s="14">
        <f t="shared" si="98"/>
        <v>290</v>
      </c>
      <c r="Y167" s="18">
        <f t="shared" si="99"/>
        <v>537</v>
      </c>
      <c r="Z167" s="14">
        <f t="shared" si="100"/>
        <v>275</v>
      </c>
      <c r="AA167" s="18">
        <f t="shared" si="101"/>
        <v>537</v>
      </c>
      <c r="AB167" s="4" t="s">
        <v>0</v>
      </c>
    </row>
    <row r="168" spans="1:28">
      <c r="A168" s="9" t="s">
        <v>249</v>
      </c>
      <c r="B168" s="24"/>
      <c r="C168" s="26"/>
      <c r="D168" s="25">
        <f t="shared" si="110"/>
        <v>290</v>
      </c>
      <c r="E168" s="29">
        <f t="shared" si="116"/>
        <v>199</v>
      </c>
      <c r="F168" s="25">
        <f t="shared" si="112"/>
        <v>305</v>
      </c>
      <c r="G168" s="29">
        <f t="shared" si="117"/>
        <v>213</v>
      </c>
      <c r="H168" s="4" t="s">
        <v>0</v>
      </c>
      <c r="I168" s="16" t="str">
        <f t="shared" si="84"/>
        <v>16-08</v>
      </c>
      <c r="J168" s="14">
        <f t="shared" si="85"/>
        <v>290</v>
      </c>
      <c r="K168" s="15">
        <f t="shared" si="86"/>
        <v>199</v>
      </c>
      <c r="L168" s="17">
        <f t="shared" si="87"/>
        <v>305</v>
      </c>
      <c r="M168" s="18">
        <f t="shared" si="88"/>
        <v>199</v>
      </c>
      <c r="N168" s="14">
        <f t="shared" si="89"/>
        <v>305</v>
      </c>
      <c r="O168" s="15">
        <f t="shared" si="90"/>
        <v>213</v>
      </c>
      <c r="P168" s="17">
        <f t="shared" si="91"/>
        <v>290</v>
      </c>
      <c r="Q168" s="18">
        <f t="shared" si="92"/>
        <v>213</v>
      </c>
      <c r="R168" s="4" t="s">
        <v>0</v>
      </c>
      <c r="S168" s="16" t="str">
        <f t="shared" si="93"/>
        <v>16-08</v>
      </c>
      <c r="T168" s="14">
        <f t="shared" si="94"/>
        <v>290</v>
      </c>
      <c r="U168" s="18">
        <f t="shared" si="95"/>
        <v>551</v>
      </c>
      <c r="V168" s="14">
        <f t="shared" si="96"/>
        <v>305</v>
      </c>
      <c r="W168" s="18">
        <f t="shared" si="97"/>
        <v>551</v>
      </c>
      <c r="X168" s="14">
        <f t="shared" si="98"/>
        <v>305</v>
      </c>
      <c r="Y168" s="18">
        <f t="shared" si="99"/>
        <v>537</v>
      </c>
      <c r="Z168" s="14">
        <f t="shared" si="100"/>
        <v>290</v>
      </c>
      <c r="AA168" s="18">
        <f t="shared" si="101"/>
        <v>537</v>
      </c>
      <c r="AB168" s="4" t="s">
        <v>0</v>
      </c>
    </row>
    <row r="169" spans="1:28">
      <c r="A169" s="9" t="s">
        <v>248</v>
      </c>
      <c r="B169" s="24"/>
      <c r="C169" s="26"/>
      <c r="D169" s="25">
        <f t="shared" si="110"/>
        <v>305</v>
      </c>
      <c r="E169" s="29">
        <f t="shared" si="116"/>
        <v>199</v>
      </c>
      <c r="F169" s="25">
        <f t="shared" si="112"/>
        <v>320</v>
      </c>
      <c r="G169" s="29">
        <f t="shared" si="117"/>
        <v>213</v>
      </c>
      <c r="H169" s="4" t="s">
        <v>0</v>
      </c>
      <c r="I169" s="16" t="str">
        <f t="shared" si="84"/>
        <v>16-07</v>
      </c>
      <c r="J169" s="14">
        <f t="shared" si="85"/>
        <v>305</v>
      </c>
      <c r="K169" s="15">
        <f t="shared" si="86"/>
        <v>199</v>
      </c>
      <c r="L169" s="17">
        <f t="shared" si="87"/>
        <v>320</v>
      </c>
      <c r="M169" s="18">
        <f t="shared" si="88"/>
        <v>199</v>
      </c>
      <c r="N169" s="14">
        <f t="shared" si="89"/>
        <v>320</v>
      </c>
      <c r="O169" s="15">
        <f t="shared" si="90"/>
        <v>213</v>
      </c>
      <c r="P169" s="17">
        <f t="shared" si="91"/>
        <v>305</v>
      </c>
      <c r="Q169" s="18">
        <f t="shared" si="92"/>
        <v>213</v>
      </c>
      <c r="R169" s="4" t="s">
        <v>0</v>
      </c>
      <c r="S169" s="16" t="str">
        <f t="shared" si="93"/>
        <v>16-07</v>
      </c>
      <c r="T169" s="14">
        <f t="shared" si="94"/>
        <v>305</v>
      </c>
      <c r="U169" s="18">
        <f t="shared" si="95"/>
        <v>551</v>
      </c>
      <c r="V169" s="14">
        <f t="shared" si="96"/>
        <v>320</v>
      </c>
      <c r="W169" s="18">
        <f t="shared" si="97"/>
        <v>551</v>
      </c>
      <c r="X169" s="14">
        <f t="shared" si="98"/>
        <v>320</v>
      </c>
      <c r="Y169" s="18">
        <f t="shared" si="99"/>
        <v>537</v>
      </c>
      <c r="Z169" s="14">
        <f t="shared" si="100"/>
        <v>305</v>
      </c>
      <c r="AA169" s="18">
        <f t="shared" si="101"/>
        <v>537</v>
      </c>
      <c r="AB169" s="4" t="s">
        <v>0</v>
      </c>
    </row>
    <row r="170" spans="1:28">
      <c r="A170" s="9" t="s">
        <v>247</v>
      </c>
      <c r="B170" s="24"/>
      <c r="C170" s="26"/>
      <c r="D170" s="25">
        <f t="shared" si="110"/>
        <v>320</v>
      </c>
      <c r="E170" s="29">
        <f t="shared" si="116"/>
        <v>199</v>
      </c>
      <c r="F170" s="25">
        <f t="shared" si="112"/>
        <v>335</v>
      </c>
      <c r="G170" s="29">
        <f t="shared" si="117"/>
        <v>213</v>
      </c>
      <c r="H170" s="4" t="s">
        <v>0</v>
      </c>
      <c r="I170" s="16" t="str">
        <f t="shared" si="84"/>
        <v>16-06</v>
      </c>
      <c r="J170" s="14">
        <f t="shared" si="85"/>
        <v>320</v>
      </c>
      <c r="K170" s="15">
        <f t="shared" si="86"/>
        <v>199</v>
      </c>
      <c r="L170" s="17">
        <f t="shared" si="87"/>
        <v>335</v>
      </c>
      <c r="M170" s="18">
        <f t="shared" si="88"/>
        <v>199</v>
      </c>
      <c r="N170" s="14">
        <f t="shared" si="89"/>
        <v>335</v>
      </c>
      <c r="O170" s="15">
        <f t="shared" si="90"/>
        <v>213</v>
      </c>
      <c r="P170" s="17">
        <f t="shared" si="91"/>
        <v>320</v>
      </c>
      <c r="Q170" s="18">
        <f t="shared" si="92"/>
        <v>213</v>
      </c>
      <c r="R170" s="4" t="s">
        <v>0</v>
      </c>
      <c r="S170" s="16" t="str">
        <f t="shared" si="93"/>
        <v>16-06</v>
      </c>
      <c r="T170" s="14">
        <f t="shared" si="94"/>
        <v>320</v>
      </c>
      <c r="U170" s="18">
        <f t="shared" si="95"/>
        <v>551</v>
      </c>
      <c r="V170" s="14">
        <f t="shared" si="96"/>
        <v>335</v>
      </c>
      <c r="W170" s="18">
        <f t="shared" si="97"/>
        <v>551</v>
      </c>
      <c r="X170" s="14">
        <f t="shared" si="98"/>
        <v>335</v>
      </c>
      <c r="Y170" s="18">
        <f t="shared" si="99"/>
        <v>537</v>
      </c>
      <c r="Z170" s="14">
        <f t="shared" si="100"/>
        <v>320</v>
      </c>
      <c r="AA170" s="18">
        <f t="shared" si="101"/>
        <v>537</v>
      </c>
      <c r="AB170" s="4" t="s">
        <v>0</v>
      </c>
    </row>
    <row r="171" spans="1:28">
      <c r="A171" s="9" t="s">
        <v>246</v>
      </c>
      <c r="B171" s="24"/>
      <c r="C171" s="26"/>
      <c r="D171" s="25">
        <f t="shared" si="110"/>
        <v>335</v>
      </c>
      <c r="E171" s="29">
        <f t="shared" si="116"/>
        <v>199</v>
      </c>
      <c r="F171" s="25">
        <f t="shared" si="112"/>
        <v>350</v>
      </c>
      <c r="G171" s="29">
        <f t="shared" si="117"/>
        <v>213</v>
      </c>
      <c r="H171" s="4" t="s">
        <v>0</v>
      </c>
      <c r="I171" s="16" t="str">
        <f t="shared" si="84"/>
        <v>16-05</v>
      </c>
      <c r="J171" s="14">
        <f t="shared" si="85"/>
        <v>335</v>
      </c>
      <c r="K171" s="15">
        <f t="shared" si="86"/>
        <v>199</v>
      </c>
      <c r="L171" s="17">
        <f t="shared" si="87"/>
        <v>350</v>
      </c>
      <c r="M171" s="18">
        <f t="shared" si="88"/>
        <v>199</v>
      </c>
      <c r="N171" s="14">
        <f t="shared" si="89"/>
        <v>350</v>
      </c>
      <c r="O171" s="15">
        <f t="shared" si="90"/>
        <v>213</v>
      </c>
      <c r="P171" s="17">
        <f t="shared" si="91"/>
        <v>335</v>
      </c>
      <c r="Q171" s="18">
        <f t="shared" si="92"/>
        <v>213</v>
      </c>
      <c r="R171" s="4" t="s">
        <v>0</v>
      </c>
      <c r="S171" s="16" t="str">
        <f t="shared" si="93"/>
        <v>16-05</v>
      </c>
      <c r="T171" s="14">
        <f t="shared" si="94"/>
        <v>335</v>
      </c>
      <c r="U171" s="18">
        <f t="shared" si="95"/>
        <v>551</v>
      </c>
      <c r="V171" s="14">
        <f t="shared" si="96"/>
        <v>350</v>
      </c>
      <c r="W171" s="18">
        <f t="shared" si="97"/>
        <v>551</v>
      </c>
      <c r="X171" s="14">
        <f t="shared" si="98"/>
        <v>350</v>
      </c>
      <c r="Y171" s="18">
        <f t="shared" si="99"/>
        <v>537</v>
      </c>
      <c r="Z171" s="14">
        <f t="shared" si="100"/>
        <v>335</v>
      </c>
      <c r="AA171" s="18">
        <f t="shared" si="101"/>
        <v>537</v>
      </c>
      <c r="AB171" s="4" t="s">
        <v>0</v>
      </c>
    </row>
    <row r="172" spans="1:28">
      <c r="A172" s="9" t="s">
        <v>245</v>
      </c>
      <c r="B172" s="24"/>
      <c r="C172" s="26"/>
      <c r="D172" s="25">
        <f t="shared" si="110"/>
        <v>350</v>
      </c>
      <c r="E172" s="29">
        <f t="shared" si="116"/>
        <v>199</v>
      </c>
      <c r="F172" s="25">
        <f t="shared" si="112"/>
        <v>365</v>
      </c>
      <c r="G172" s="29">
        <f t="shared" si="117"/>
        <v>213</v>
      </c>
      <c r="H172" s="4" t="s">
        <v>0</v>
      </c>
      <c r="I172" s="16" t="str">
        <f t="shared" si="84"/>
        <v>16-03</v>
      </c>
      <c r="J172" s="14">
        <f t="shared" si="85"/>
        <v>350</v>
      </c>
      <c r="K172" s="15">
        <f t="shared" si="86"/>
        <v>199</v>
      </c>
      <c r="L172" s="17">
        <f t="shared" si="87"/>
        <v>365</v>
      </c>
      <c r="M172" s="18">
        <f t="shared" si="88"/>
        <v>199</v>
      </c>
      <c r="N172" s="14">
        <f t="shared" si="89"/>
        <v>365</v>
      </c>
      <c r="O172" s="15">
        <f t="shared" si="90"/>
        <v>213</v>
      </c>
      <c r="P172" s="17">
        <f t="shared" si="91"/>
        <v>350</v>
      </c>
      <c r="Q172" s="18">
        <f t="shared" si="92"/>
        <v>213</v>
      </c>
      <c r="R172" s="4" t="s">
        <v>0</v>
      </c>
      <c r="S172" s="16" t="str">
        <f t="shared" si="93"/>
        <v>16-03</v>
      </c>
      <c r="T172" s="14">
        <f t="shared" si="94"/>
        <v>350</v>
      </c>
      <c r="U172" s="18">
        <f t="shared" si="95"/>
        <v>551</v>
      </c>
      <c r="V172" s="14">
        <f t="shared" si="96"/>
        <v>365</v>
      </c>
      <c r="W172" s="18">
        <f t="shared" si="97"/>
        <v>551</v>
      </c>
      <c r="X172" s="14">
        <f t="shared" si="98"/>
        <v>365</v>
      </c>
      <c r="Y172" s="18">
        <f t="shared" si="99"/>
        <v>537</v>
      </c>
      <c r="Z172" s="14">
        <f t="shared" si="100"/>
        <v>350</v>
      </c>
      <c r="AA172" s="18">
        <f t="shared" si="101"/>
        <v>537</v>
      </c>
      <c r="AB172" s="4" t="s">
        <v>0</v>
      </c>
    </row>
    <row r="173" spans="1:28">
      <c r="A173" s="9" t="s">
        <v>244</v>
      </c>
      <c r="B173" s="24"/>
      <c r="C173" s="26"/>
      <c r="D173" s="25">
        <f t="shared" si="110"/>
        <v>365</v>
      </c>
      <c r="E173" s="29">
        <f t="shared" si="116"/>
        <v>199</v>
      </c>
      <c r="F173" s="25">
        <f t="shared" si="112"/>
        <v>380</v>
      </c>
      <c r="G173" s="29">
        <f t="shared" si="117"/>
        <v>213</v>
      </c>
      <c r="H173" s="4" t="s">
        <v>0</v>
      </c>
      <c r="I173" s="16" t="str">
        <f t="shared" si="84"/>
        <v>16-02</v>
      </c>
      <c r="J173" s="14">
        <f t="shared" si="85"/>
        <v>365</v>
      </c>
      <c r="K173" s="15">
        <f t="shared" si="86"/>
        <v>199</v>
      </c>
      <c r="L173" s="17">
        <f t="shared" si="87"/>
        <v>380</v>
      </c>
      <c r="M173" s="18">
        <f t="shared" si="88"/>
        <v>199</v>
      </c>
      <c r="N173" s="14">
        <f t="shared" si="89"/>
        <v>380</v>
      </c>
      <c r="O173" s="15">
        <f t="shared" si="90"/>
        <v>213</v>
      </c>
      <c r="P173" s="17">
        <f t="shared" si="91"/>
        <v>365</v>
      </c>
      <c r="Q173" s="18">
        <f t="shared" si="92"/>
        <v>213</v>
      </c>
      <c r="R173" s="4" t="s">
        <v>0</v>
      </c>
      <c r="S173" s="16" t="str">
        <f t="shared" si="93"/>
        <v>16-02</v>
      </c>
      <c r="T173" s="14">
        <f t="shared" si="94"/>
        <v>365</v>
      </c>
      <c r="U173" s="18">
        <f t="shared" si="95"/>
        <v>551</v>
      </c>
      <c r="V173" s="14">
        <f t="shared" si="96"/>
        <v>380</v>
      </c>
      <c r="W173" s="18">
        <f t="shared" si="97"/>
        <v>551</v>
      </c>
      <c r="X173" s="14">
        <f t="shared" si="98"/>
        <v>380</v>
      </c>
      <c r="Y173" s="18">
        <f t="shared" si="99"/>
        <v>537</v>
      </c>
      <c r="Z173" s="14">
        <f t="shared" si="100"/>
        <v>365</v>
      </c>
      <c r="AA173" s="18">
        <f t="shared" si="101"/>
        <v>537</v>
      </c>
      <c r="AB173" s="4" t="s">
        <v>0</v>
      </c>
    </row>
    <row r="174" spans="1:28">
      <c r="A174" s="9" t="s">
        <v>243</v>
      </c>
      <c r="B174" s="24"/>
      <c r="C174" s="26"/>
      <c r="D174" s="25">
        <f t="shared" si="110"/>
        <v>380</v>
      </c>
      <c r="E174" s="29">
        <f t="shared" si="116"/>
        <v>199</v>
      </c>
      <c r="F174" s="25">
        <f t="shared" si="112"/>
        <v>395</v>
      </c>
      <c r="G174" s="29">
        <f t="shared" si="117"/>
        <v>213</v>
      </c>
      <c r="H174" s="4" t="s">
        <v>0</v>
      </c>
      <c r="I174" s="16" t="str">
        <f t="shared" si="84"/>
        <v>16-01</v>
      </c>
      <c r="J174" s="14">
        <f t="shared" si="85"/>
        <v>380</v>
      </c>
      <c r="K174" s="15">
        <f t="shared" si="86"/>
        <v>199</v>
      </c>
      <c r="L174" s="17">
        <f t="shared" si="87"/>
        <v>395</v>
      </c>
      <c r="M174" s="18">
        <f t="shared" si="88"/>
        <v>199</v>
      </c>
      <c r="N174" s="14">
        <f t="shared" si="89"/>
        <v>395</v>
      </c>
      <c r="O174" s="15">
        <f t="shared" si="90"/>
        <v>213</v>
      </c>
      <c r="P174" s="17">
        <f t="shared" si="91"/>
        <v>380</v>
      </c>
      <c r="Q174" s="18">
        <f t="shared" si="92"/>
        <v>213</v>
      </c>
      <c r="R174" s="4" t="s">
        <v>0</v>
      </c>
      <c r="S174" s="16" t="str">
        <f t="shared" si="93"/>
        <v>16-01</v>
      </c>
      <c r="T174" s="14">
        <f t="shared" si="94"/>
        <v>380</v>
      </c>
      <c r="U174" s="18">
        <f t="shared" si="95"/>
        <v>551</v>
      </c>
      <c r="V174" s="14">
        <f t="shared" si="96"/>
        <v>395</v>
      </c>
      <c r="W174" s="18">
        <f t="shared" si="97"/>
        <v>551</v>
      </c>
      <c r="X174" s="14">
        <f t="shared" si="98"/>
        <v>395</v>
      </c>
      <c r="Y174" s="18">
        <f t="shared" si="99"/>
        <v>537</v>
      </c>
      <c r="Z174" s="14">
        <f t="shared" si="100"/>
        <v>380</v>
      </c>
      <c r="AA174" s="18">
        <f t="shared" si="101"/>
        <v>537</v>
      </c>
      <c r="AB174" s="4" t="s">
        <v>0</v>
      </c>
    </row>
  </sheetData>
  <autoFilter ref="A10:AB174" xr:uid="{00000000-0001-0000-0000-000000000000}"/>
  <mergeCells count="2">
    <mergeCell ref="D3:G3"/>
    <mergeCell ref="D4:G4"/>
  </mergeCells>
  <phoneticPr fontId="1"/>
  <hyperlinks>
    <hyperlink ref="N4" r:id="rId1" xr:uid="{62F9D34A-11E6-495A-8D58-327FB2813D4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1666D-4491-425D-B324-3DA92CD54DD6}">
  <sheetPr codeName="Sheet4">
    <pageSetUpPr fitToPage="1"/>
  </sheetPr>
  <dimension ref="A1:AB171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SEC_11_3_日C.json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SEC_11_3_日C.png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190</v>
      </c>
      <c r="B11" s="30" t="s">
        <v>698</v>
      </c>
      <c r="C11" s="4" t="s">
        <v>0</v>
      </c>
      <c r="D11" s="27">
        <v>50</v>
      </c>
      <c r="E11" s="31">
        <v>89</v>
      </c>
      <c r="F11" s="31">
        <v>65</v>
      </c>
      <c r="G11" s="31">
        <v>106</v>
      </c>
      <c r="H11" s="4" t="s">
        <v>0</v>
      </c>
      <c r="I11" s="16" t="str">
        <f t="shared" ref="I11:I12" si="0">A11</f>
        <v>10-17</v>
      </c>
      <c r="J11" s="14">
        <f>IF(D11&lt;&gt;"",D11,0)</f>
        <v>50</v>
      </c>
      <c r="K11" s="15">
        <f>IF(E11&lt;&gt;"",E11,0)</f>
        <v>89</v>
      </c>
      <c r="L11" s="17">
        <f>N11</f>
        <v>65</v>
      </c>
      <c r="M11" s="18">
        <f>K11</f>
        <v>89</v>
      </c>
      <c r="N11" s="14">
        <f>IF(F11&lt;&gt;"",F11,0)</f>
        <v>65</v>
      </c>
      <c r="O11" s="15">
        <f>IF(G11&lt;&gt;"",G11,0)</f>
        <v>106</v>
      </c>
      <c r="P11" s="17">
        <f>J11</f>
        <v>50</v>
      </c>
      <c r="Q11" s="18">
        <f>O11</f>
        <v>106</v>
      </c>
      <c r="R11" s="4" t="s">
        <v>0</v>
      </c>
      <c r="S11" s="16" t="str">
        <f>I11</f>
        <v>10-17</v>
      </c>
      <c r="T11" s="14">
        <f>IF(J11&lt;&gt;"",J11,"")</f>
        <v>50</v>
      </c>
      <c r="U11" s="18">
        <f>IF(K11&lt;&gt;"",U$6-K11,"")</f>
        <v>661</v>
      </c>
      <c r="V11" s="14">
        <f t="shared" ref="V11:Z12" si="1">IF(L11&lt;&gt;"",L11,"")</f>
        <v>65</v>
      </c>
      <c r="W11" s="18">
        <f>IF(M11&lt;&gt;"",W$6-M11,"")</f>
        <v>661</v>
      </c>
      <c r="X11" s="14">
        <f t="shared" si="1"/>
        <v>65</v>
      </c>
      <c r="Y11" s="18">
        <f>IF(O11&lt;&gt;"",Y$6-O11,"")</f>
        <v>644</v>
      </c>
      <c r="Z11" s="14">
        <f t="shared" si="1"/>
        <v>50</v>
      </c>
      <c r="AA11" s="18">
        <f>IF(Q11&lt;&gt;"",AA$6-Q11,"")</f>
        <v>644</v>
      </c>
      <c r="AB11" s="4" t="s">
        <v>0</v>
      </c>
    </row>
    <row r="12" spans="1:28">
      <c r="A12" s="9" t="s">
        <v>189</v>
      </c>
      <c r="B12" s="24"/>
      <c r="C12" s="26">
        <v>1</v>
      </c>
      <c r="D12" s="28">
        <f>ROUND(D$11+14.7*$C12, 0)</f>
        <v>65</v>
      </c>
      <c r="E12" s="29">
        <f t="shared" ref="E12:G24" si="2">E11</f>
        <v>89</v>
      </c>
      <c r="F12" s="28">
        <f>ROUND(F$11+14.7*$C12, 0)</f>
        <v>80</v>
      </c>
      <c r="G12" s="29">
        <f t="shared" si="2"/>
        <v>106</v>
      </c>
      <c r="H12" s="4" t="s">
        <v>0</v>
      </c>
      <c r="I12" s="16" t="str">
        <f t="shared" si="0"/>
        <v>10-16</v>
      </c>
      <c r="J12" s="14">
        <f t="shared" ref="J12:K12" si="3">IF(D12&lt;&gt;"",D12,0)</f>
        <v>65</v>
      </c>
      <c r="K12" s="15">
        <f t="shared" si="3"/>
        <v>89</v>
      </c>
      <c r="L12" s="17">
        <f t="shared" ref="L12" si="4">N12</f>
        <v>80</v>
      </c>
      <c r="M12" s="18">
        <f t="shared" ref="M12" si="5">K12</f>
        <v>89</v>
      </c>
      <c r="N12" s="14">
        <f t="shared" ref="N12:O12" si="6">IF(F12&lt;&gt;"",F12,0)</f>
        <v>80</v>
      </c>
      <c r="O12" s="15">
        <f t="shared" si="6"/>
        <v>106</v>
      </c>
      <c r="P12" s="17">
        <f t="shared" ref="P12" si="7">J12</f>
        <v>65</v>
      </c>
      <c r="Q12" s="18">
        <f t="shared" ref="Q12" si="8">O12</f>
        <v>106</v>
      </c>
      <c r="R12" s="4" t="s">
        <v>0</v>
      </c>
      <c r="S12" s="16" t="str">
        <f t="shared" ref="S12" si="9">I12</f>
        <v>10-16</v>
      </c>
      <c r="T12" s="14">
        <f t="shared" ref="T12" si="10">IF(J12&lt;&gt;"",J12,"")</f>
        <v>65</v>
      </c>
      <c r="U12" s="18">
        <f t="shared" ref="U12" si="11">IF(K12&lt;&gt;"",U$6-K12,"")</f>
        <v>661</v>
      </c>
      <c r="V12" s="14">
        <f t="shared" si="1"/>
        <v>80</v>
      </c>
      <c r="W12" s="18">
        <f t="shared" ref="W12" si="12">IF(M12&lt;&gt;"",W$6-M12,"")</f>
        <v>661</v>
      </c>
      <c r="X12" s="14">
        <f t="shared" si="1"/>
        <v>80</v>
      </c>
      <c r="Y12" s="18">
        <f t="shared" ref="Y12" si="13">IF(O12&lt;&gt;"",Y$6-O12,"")</f>
        <v>644</v>
      </c>
      <c r="Z12" s="14">
        <f t="shared" si="1"/>
        <v>65</v>
      </c>
      <c r="AA12" s="18">
        <f t="shared" ref="AA12" si="14">IF(Q12&lt;&gt;"",AA$6-Q12,"")</f>
        <v>644</v>
      </c>
      <c r="AB12" s="4" t="s">
        <v>0</v>
      </c>
    </row>
    <row r="13" spans="1:28">
      <c r="A13" s="9" t="s">
        <v>188</v>
      </c>
      <c r="B13" s="24"/>
      <c r="C13" s="26">
        <v>2</v>
      </c>
      <c r="D13" s="28">
        <f t="shared" ref="D13:D24" si="15">ROUND(D$11+14.7*$C13, 0)</f>
        <v>79</v>
      </c>
      <c r="E13" s="29">
        <f t="shared" si="2"/>
        <v>89</v>
      </c>
      <c r="F13" s="28">
        <f t="shared" ref="F13:F24" si="16">ROUND(F$11+14.7*$C13, 0)</f>
        <v>94</v>
      </c>
      <c r="G13" s="29">
        <f t="shared" si="2"/>
        <v>106</v>
      </c>
      <c r="H13" s="4" t="s">
        <v>0</v>
      </c>
      <c r="I13" s="16" t="str">
        <f t="shared" ref="I13:I75" si="17">A13</f>
        <v>10-15</v>
      </c>
      <c r="J13" s="14">
        <f t="shared" ref="J13:J75" si="18">IF(D13&lt;&gt;"",D13,0)</f>
        <v>79</v>
      </c>
      <c r="K13" s="15">
        <f t="shared" ref="K13:K75" si="19">IF(E13&lt;&gt;"",E13,0)</f>
        <v>89</v>
      </c>
      <c r="L13" s="17">
        <f t="shared" ref="L13:L75" si="20">N13</f>
        <v>94</v>
      </c>
      <c r="M13" s="18">
        <f t="shared" ref="M13:M75" si="21">K13</f>
        <v>89</v>
      </c>
      <c r="N13" s="14">
        <f t="shared" ref="N13:N75" si="22">IF(F13&lt;&gt;"",F13,0)</f>
        <v>94</v>
      </c>
      <c r="O13" s="15">
        <f t="shared" ref="O13:O75" si="23">IF(G13&lt;&gt;"",G13,0)</f>
        <v>106</v>
      </c>
      <c r="P13" s="17">
        <f t="shared" ref="P13:P75" si="24">J13</f>
        <v>79</v>
      </c>
      <c r="Q13" s="18">
        <f t="shared" ref="Q13:Q75" si="25">O13</f>
        <v>106</v>
      </c>
      <c r="R13" s="4" t="s">
        <v>0</v>
      </c>
      <c r="S13" s="16" t="str">
        <f t="shared" ref="S13:S75" si="26">I13</f>
        <v>10-15</v>
      </c>
      <c r="T13" s="14">
        <f t="shared" ref="T13:T75" si="27">IF(J13&lt;&gt;"",J13,"")</f>
        <v>79</v>
      </c>
      <c r="U13" s="18">
        <f t="shared" ref="U13:U75" si="28">IF(K13&lt;&gt;"",U$6-K13,"")</f>
        <v>661</v>
      </c>
      <c r="V13" s="14">
        <f t="shared" ref="V13:V75" si="29">IF(L13&lt;&gt;"",L13,"")</f>
        <v>94</v>
      </c>
      <c r="W13" s="18">
        <f t="shared" ref="W13:W75" si="30">IF(M13&lt;&gt;"",W$6-M13,"")</f>
        <v>661</v>
      </c>
      <c r="X13" s="14">
        <f t="shared" ref="X13:X75" si="31">IF(N13&lt;&gt;"",N13,"")</f>
        <v>94</v>
      </c>
      <c r="Y13" s="18">
        <f t="shared" ref="Y13:Y75" si="32">IF(O13&lt;&gt;"",Y$6-O13,"")</f>
        <v>644</v>
      </c>
      <c r="Z13" s="14">
        <f t="shared" ref="Z13:Z75" si="33">IF(P13&lt;&gt;"",P13,"")</f>
        <v>79</v>
      </c>
      <c r="AA13" s="18">
        <f t="shared" ref="AA13:AA75" si="34">IF(Q13&lt;&gt;"",AA$6-Q13,"")</f>
        <v>644</v>
      </c>
      <c r="AB13" s="4" t="s">
        <v>0</v>
      </c>
    </row>
    <row r="14" spans="1:28">
      <c r="A14" s="9" t="s">
        <v>187</v>
      </c>
      <c r="B14" s="24"/>
      <c r="C14" s="26">
        <v>3</v>
      </c>
      <c r="D14" s="28">
        <f t="shared" si="15"/>
        <v>94</v>
      </c>
      <c r="E14" s="29">
        <f t="shared" si="2"/>
        <v>89</v>
      </c>
      <c r="F14" s="28">
        <f t="shared" si="16"/>
        <v>109</v>
      </c>
      <c r="G14" s="29">
        <f t="shared" si="2"/>
        <v>106</v>
      </c>
      <c r="H14" s="4" t="s">
        <v>0</v>
      </c>
      <c r="I14" s="16" t="str">
        <f t="shared" si="17"/>
        <v>10-13</v>
      </c>
      <c r="J14" s="14">
        <f t="shared" si="18"/>
        <v>94</v>
      </c>
      <c r="K14" s="15">
        <f t="shared" si="19"/>
        <v>89</v>
      </c>
      <c r="L14" s="17">
        <f t="shared" si="20"/>
        <v>109</v>
      </c>
      <c r="M14" s="18">
        <f t="shared" si="21"/>
        <v>89</v>
      </c>
      <c r="N14" s="14">
        <f t="shared" si="22"/>
        <v>109</v>
      </c>
      <c r="O14" s="15">
        <f t="shared" si="23"/>
        <v>106</v>
      </c>
      <c r="P14" s="17">
        <f t="shared" si="24"/>
        <v>94</v>
      </c>
      <c r="Q14" s="18">
        <f t="shared" si="25"/>
        <v>106</v>
      </c>
      <c r="R14" s="4" t="s">
        <v>0</v>
      </c>
      <c r="S14" s="16" t="str">
        <f t="shared" si="26"/>
        <v>10-13</v>
      </c>
      <c r="T14" s="14">
        <f t="shared" si="27"/>
        <v>94</v>
      </c>
      <c r="U14" s="18">
        <f t="shared" si="28"/>
        <v>661</v>
      </c>
      <c r="V14" s="14">
        <f t="shared" si="29"/>
        <v>109</v>
      </c>
      <c r="W14" s="18">
        <f t="shared" si="30"/>
        <v>661</v>
      </c>
      <c r="X14" s="14">
        <f t="shared" si="31"/>
        <v>109</v>
      </c>
      <c r="Y14" s="18">
        <f t="shared" si="32"/>
        <v>644</v>
      </c>
      <c r="Z14" s="14">
        <f t="shared" si="33"/>
        <v>94</v>
      </c>
      <c r="AA14" s="18">
        <f t="shared" si="34"/>
        <v>644</v>
      </c>
      <c r="AB14" s="4" t="s">
        <v>0</v>
      </c>
    </row>
    <row r="15" spans="1:28">
      <c r="A15" s="9" t="s">
        <v>88</v>
      </c>
      <c r="B15" s="24"/>
      <c r="C15" s="26">
        <v>4</v>
      </c>
      <c r="D15" s="28">
        <f t="shared" si="15"/>
        <v>109</v>
      </c>
      <c r="E15" s="29">
        <f t="shared" si="2"/>
        <v>89</v>
      </c>
      <c r="F15" s="28">
        <f t="shared" si="16"/>
        <v>124</v>
      </c>
      <c r="G15" s="29">
        <f t="shared" si="2"/>
        <v>106</v>
      </c>
      <c r="H15" s="4" t="s">
        <v>0</v>
      </c>
      <c r="I15" s="16" t="str">
        <f t="shared" si="17"/>
        <v>10-12</v>
      </c>
      <c r="J15" s="14">
        <f t="shared" si="18"/>
        <v>109</v>
      </c>
      <c r="K15" s="15">
        <f t="shared" si="19"/>
        <v>89</v>
      </c>
      <c r="L15" s="17">
        <f t="shared" si="20"/>
        <v>124</v>
      </c>
      <c r="M15" s="18">
        <f t="shared" si="21"/>
        <v>89</v>
      </c>
      <c r="N15" s="14">
        <f t="shared" si="22"/>
        <v>124</v>
      </c>
      <c r="O15" s="15">
        <f t="shared" si="23"/>
        <v>106</v>
      </c>
      <c r="P15" s="17">
        <f t="shared" si="24"/>
        <v>109</v>
      </c>
      <c r="Q15" s="18">
        <f t="shared" si="25"/>
        <v>106</v>
      </c>
      <c r="R15" s="4" t="s">
        <v>0</v>
      </c>
      <c r="S15" s="16" t="str">
        <f t="shared" si="26"/>
        <v>10-12</v>
      </c>
      <c r="T15" s="14">
        <f t="shared" si="27"/>
        <v>109</v>
      </c>
      <c r="U15" s="18">
        <f t="shared" si="28"/>
        <v>661</v>
      </c>
      <c r="V15" s="14">
        <f t="shared" si="29"/>
        <v>124</v>
      </c>
      <c r="W15" s="18">
        <f t="shared" si="30"/>
        <v>661</v>
      </c>
      <c r="X15" s="14">
        <f t="shared" si="31"/>
        <v>124</v>
      </c>
      <c r="Y15" s="18">
        <f t="shared" si="32"/>
        <v>644</v>
      </c>
      <c r="Z15" s="14">
        <f t="shared" si="33"/>
        <v>109</v>
      </c>
      <c r="AA15" s="18">
        <f t="shared" si="34"/>
        <v>644</v>
      </c>
      <c r="AB15" s="4" t="s">
        <v>0</v>
      </c>
    </row>
    <row r="16" spans="1:28">
      <c r="A16" s="9" t="s">
        <v>87</v>
      </c>
      <c r="B16" s="24"/>
      <c r="C16" s="26">
        <v>5</v>
      </c>
      <c r="D16" s="28">
        <f t="shared" si="15"/>
        <v>124</v>
      </c>
      <c r="E16" s="29">
        <f t="shared" si="2"/>
        <v>89</v>
      </c>
      <c r="F16" s="28">
        <f t="shared" si="16"/>
        <v>139</v>
      </c>
      <c r="G16" s="29">
        <f t="shared" si="2"/>
        <v>106</v>
      </c>
      <c r="H16" s="4" t="s">
        <v>0</v>
      </c>
      <c r="I16" s="16" t="str">
        <f t="shared" si="17"/>
        <v>10-11</v>
      </c>
      <c r="J16" s="14">
        <f t="shared" si="18"/>
        <v>124</v>
      </c>
      <c r="K16" s="15">
        <f t="shared" si="19"/>
        <v>89</v>
      </c>
      <c r="L16" s="17">
        <f t="shared" si="20"/>
        <v>139</v>
      </c>
      <c r="M16" s="18">
        <f t="shared" si="21"/>
        <v>89</v>
      </c>
      <c r="N16" s="14">
        <f t="shared" si="22"/>
        <v>139</v>
      </c>
      <c r="O16" s="15">
        <f t="shared" si="23"/>
        <v>106</v>
      </c>
      <c r="P16" s="17">
        <f t="shared" si="24"/>
        <v>124</v>
      </c>
      <c r="Q16" s="18">
        <f t="shared" si="25"/>
        <v>106</v>
      </c>
      <c r="R16" s="4" t="s">
        <v>0</v>
      </c>
      <c r="S16" s="16" t="str">
        <f t="shared" si="26"/>
        <v>10-11</v>
      </c>
      <c r="T16" s="14">
        <f t="shared" si="27"/>
        <v>124</v>
      </c>
      <c r="U16" s="18">
        <f t="shared" si="28"/>
        <v>661</v>
      </c>
      <c r="V16" s="14">
        <f t="shared" si="29"/>
        <v>139</v>
      </c>
      <c r="W16" s="18">
        <f t="shared" si="30"/>
        <v>661</v>
      </c>
      <c r="X16" s="14">
        <f t="shared" si="31"/>
        <v>139</v>
      </c>
      <c r="Y16" s="18">
        <f t="shared" si="32"/>
        <v>644</v>
      </c>
      <c r="Z16" s="14">
        <f t="shared" si="33"/>
        <v>124</v>
      </c>
      <c r="AA16" s="18">
        <f t="shared" si="34"/>
        <v>644</v>
      </c>
      <c r="AB16" s="4" t="s">
        <v>0</v>
      </c>
    </row>
    <row r="17" spans="1:28">
      <c r="A17" s="9" t="s">
        <v>86</v>
      </c>
      <c r="B17" s="24"/>
      <c r="C17" s="26">
        <v>6</v>
      </c>
      <c r="D17" s="28">
        <f t="shared" si="15"/>
        <v>138</v>
      </c>
      <c r="E17" s="29">
        <f t="shared" si="2"/>
        <v>89</v>
      </c>
      <c r="F17" s="28">
        <f t="shared" si="16"/>
        <v>153</v>
      </c>
      <c r="G17" s="29">
        <f t="shared" si="2"/>
        <v>106</v>
      </c>
      <c r="H17" s="4" t="s">
        <v>0</v>
      </c>
      <c r="I17" s="16" t="str">
        <f t="shared" si="17"/>
        <v>10-10</v>
      </c>
      <c r="J17" s="14">
        <f t="shared" si="18"/>
        <v>138</v>
      </c>
      <c r="K17" s="15">
        <f t="shared" si="19"/>
        <v>89</v>
      </c>
      <c r="L17" s="17">
        <f t="shared" si="20"/>
        <v>153</v>
      </c>
      <c r="M17" s="18">
        <f t="shared" si="21"/>
        <v>89</v>
      </c>
      <c r="N17" s="14">
        <f t="shared" si="22"/>
        <v>153</v>
      </c>
      <c r="O17" s="15">
        <f t="shared" si="23"/>
        <v>106</v>
      </c>
      <c r="P17" s="17">
        <f t="shared" si="24"/>
        <v>138</v>
      </c>
      <c r="Q17" s="18">
        <f t="shared" si="25"/>
        <v>106</v>
      </c>
      <c r="R17" s="4" t="s">
        <v>0</v>
      </c>
      <c r="S17" s="16" t="str">
        <f t="shared" si="26"/>
        <v>10-10</v>
      </c>
      <c r="T17" s="14">
        <f t="shared" si="27"/>
        <v>138</v>
      </c>
      <c r="U17" s="18">
        <f t="shared" si="28"/>
        <v>661</v>
      </c>
      <c r="V17" s="14">
        <f t="shared" si="29"/>
        <v>153</v>
      </c>
      <c r="W17" s="18">
        <f t="shared" si="30"/>
        <v>661</v>
      </c>
      <c r="X17" s="14">
        <f t="shared" si="31"/>
        <v>153</v>
      </c>
      <c r="Y17" s="18">
        <f t="shared" si="32"/>
        <v>644</v>
      </c>
      <c r="Z17" s="14">
        <f t="shared" si="33"/>
        <v>138</v>
      </c>
      <c r="AA17" s="18">
        <f t="shared" si="34"/>
        <v>644</v>
      </c>
      <c r="AB17" s="4" t="s">
        <v>0</v>
      </c>
    </row>
    <row r="18" spans="1:28">
      <c r="A18" s="9" t="s">
        <v>85</v>
      </c>
      <c r="B18" s="24"/>
      <c r="C18" s="26">
        <v>7</v>
      </c>
      <c r="D18" s="28">
        <f t="shared" si="15"/>
        <v>153</v>
      </c>
      <c r="E18" s="29">
        <f t="shared" si="2"/>
        <v>89</v>
      </c>
      <c r="F18" s="28">
        <f t="shared" si="16"/>
        <v>168</v>
      </c>
      <c r="G18" s="29">
        <f t="shared" si="2"/>
        <v>106</v>
      </c>
      <c r="H18" s="4" t="s">
        <v>0</v>
      </c>
      <c r="I18" s="16" t="str">
        <f t="shared" si="17"/>
        <v>10-08</v>
      </c>
      <c r="J18" s="14">
        <f t="shared" si="18"/>
        <v>153</v>
      </c>
      <c r="K18" s="15">
        <f t="shared" si="19"/>
        <v>89</v>
      </c>
      <c r="L18" s="17">
        <f t="shared" si="20"/>
        <v>168</v>
      </c>
      <c r="M18" s="18">
        <f t="shared" si="21"/>
        <v>89</v>
      </c>
      <c r="N18" s="14">
        <f t="shared" si="22"/>
        <v>168</v>
      </c>
      <c r="O18" s="15">
        <f t="shared" si="23"/>
        <v>106</v>
      </c>
      <c r="P18" s="17">
        <f t="shared" si="24"/>
        <v>153</v>
      </c>
      <c r="Q18" s="18">
        <f t="shared" si="25"/>
        <v>106</v>
      </c>
      <c r="R18" s="4" t="s">
        <v>0</v>
      </c>
      <c r="S18" s="16" t="str">
        <f t="shared" si="26"/>
        <v>10-08</v>
      </c>
      <c r="T18" s="14">
        <f t="shared" si="27"/>
        <v>153</v>
      </c>
      <c r="U18" s="18">
        <f t="shared" si="28"/>
        <v>661</v>
      </c>
      <c r="V18" s="14">
        <f t="shared" si="29"/>
        <v>168</v>
      </c>
      <c r="W18" s="18">
        <f t="shared" si="30"/>
        <v>661</v>
      </c>
      <c r="X18" s="14">
        <f t="shared" si="31"/>
        <v>168</v>
      </c>
      <c r="Y18" s="18">
        <f t="shared" si="32"/>
        <v>644</v>
      </c>
      <c r="Z18" s="14">
        <f t="shared" si="33"/>
        <v>153</v>
      </c>
      <c r="AA18" s="18">
        <f t="shared" si="34"/>
        <v>644</v>
      </c>
      <c r="AB18" s="4" t="s">
        <v>0</v>
      </c>
    </row>
    <row r="19" spans="1:28">
      <c r="A19" s="9" t="s">
        <v>84</v>
      </c>
      <c r="B19" s="24"/>
      <c r="C19" s="26">
        <v>8</v>
      </c>
      <c r="D19" s="28">
        <f t="shared" si="15"/>
        <v>168</v>
      </c>
      <c r="E19" s="29">
        <f t="shared" si="2"/>
        <v>89</v>
      </c>
      <c r="F19" s="28">
        <f t="shared" si="16"/>
        <v>183</v>
      </c>
      <c r="G19" s="29">
        <f t="shared" si="2"/>
        <v>106</v>
      </c>
      <c r="H19" s="4" t="s">
        <v>0</v>
      </c>
      <c r="I19" s="16" t="str">
        <f t="shared" si="17"/>
        <v>10-07</v>
      </c>
      <c r="J19" s="14">
        <f t="shared" si="18"/>
        <v>168</v>
      </c>
      <c r="K19" s="15">
        <f t="shared" si="19"/>
        <v>89</v>
      </c>
      <c r="L19" s="17">
        <f t="shared" si="20"/>
        <v>183</v>
      </c>
      <c r="M19" s="18">
        <f t="shared" si="21"/>
        <v>89</v>
      </c>
      <c r="N19" s="14">
        <f t="shared" si="22"/>
        <v>183</v>
      </c>
      <c r="O19" s="15">
        <f t="shared" si="23"/>
        <v>106</v>
      </c>
      <c r="P19" s="17">
        <f t="shared" si="24"/>
        <v>168</v>
      </c>
      <c r="Q19" s="18">
        <f t="shared" si="25"/>
        <v>106</v>
      </c>
      <c r="R19" s="4" t="s">
        <v>0</v>
      </c>
      <c r="S19" s="16" t="str">
        <f t="shared" si="26"/>
        <v>10-07</v>
      </c>
      <c r="T19" s="14">
        <f t="shared" si="27"/>
        <v>168</v>
      </c>
      <c r="U19" s="18">
        <f t="shared" si="28"/>
        <v>661</v>
      </c>
      <c r="V19" s="14">
        <f t="shared" si="29"/>
        <v>183</v>
      </c>
      <c r="W19" s="18">
        <f t="shared" si="30"/>
        <v>661</v>
      </c>
      <c r="X19" s="14">
        <f t="shared" si="31"/>
        <v>183</v>
      </c>
      <c r="Y19" s="18">
        <f t="shared" si="32"/>
        <v>644</v>
      </c>
      <c r="Z19" s="14">
        <f t="shared" si="33"/>
        <v>168</v>
      </c>
      <c r="AA19" s="18">
        <f t="shared" si="34"/>
        <v>644</v>
      </c>
      <c r="AB19" s="4" t="s">
        <v>0</v>
      </c>
    </row>
    <row r="20" spans="1:28">
      <c r="A20" s="9" t="s">
        <v>83</v>
      </c>
      <c r="B20" s="24"/>
      <c r="C20" s="26">
        <v>9</v>
      </c>
      <c r="D20" s="28">
        <f t="shared" si="15"/>
        <v>182</v>
      </c>
      <c r="E20" s="29">
        <f t="shared" si="2"/>
        <v>89</v>
      </c>
      <c r="F20" s="28">
        <f t="shared" si="16"/>
        <v>197</v>
      </c>
      <c r="G20" s="29">
        <f t="shared" si="2"/>
        <v>106</v>
      </c>
      <c r="H20" s="4" t="s">
        <v>0</v>
      </c>
      <c r="I20" s="16" t="str">
        <f t="shared" si="17"/>
        <v>10-06</v>
      </c>
      <c r="J20" s="14">
        <f t="shared" si="18"/>
        <v>182</v>
      </c>
      <c r="K20" s="15">
        <f t="shared" si="19"/>
        <v>89</v>
      </c>
      <c r="L20" s="17">
        <f t="shared" si="20"/>
        <v>197</v>
      </c>
      <c r="M20" s="18">
        <f t="shared" si="21"/>
        <v>89</v>
      </c>
      <c r="N20" s="14">
        <f t="shared" si="22"/>
        <v>197</v>
      </c>
      <c r="O20" s="15">
        <f t="shared" si="23"/>
        <v>106</v>
      </c>
      <c r="P20" s="17">
        <f t="shared" si="24"/>
        <v>182</v>
      </c>
      <c r="Q20" s="18">
        <f t="shared" si="25"/>
        <v>106</v>
      </c>
      <c r="R20" s="4" t="s">
        <v>0</v>
      </c>
      <c r="S20" s="16" t="str">
        <f t="shared" si="26"/>
        <v>10-06</v>
      </c>
      <c r="T20" s="14">
        <f t="shared" si="27"/>
        <v>182</v>
      </c>
      <c r="U20" s="18">
        <f t="shared" si="28"/>
        <v>661</v>
      </c>
      <c r="V20" s="14">
        <f t="shared" si="29"/>
        <v>197</v>
      </c>
      <c r="W20" s="18">
        <f t="shared" si="30"/>
        <v>661</v>
      </c>
      <c r="X20" s="14">
        <f t="shared" si="31"/>
        <v>197</v>
      </c>
      <c r="Y20" s="18">
        <f t="shared" si="32"/>
        <v>644</v>
      </c>
      <c r="Z20" s="14">
        <f t="shared" si="33"/>
        <v>182</v>
      </c>
      <c r="AA20" s="18">
        <f t="shared" si="34"/>
        <v>644</v>
      </c>
      <c r="AB20" s="4" t="s">
        <v>0</v>
      </c>
    </row>
    <row r="21" spans="1:28">
      <c r="A21" s="9" t="s">
        <v>82</v>
      </c>
      <c r="B21" s="24"/>
      <c r="C21" s="26">
        <v>10</v>
      </c>
      <c r="D21" s="28">
        <f t="shared" si="15"/>
        <v>197</v>
      </c>
      <c r="E21" s="29">
        <f t="shared" si="2"/>
        <v>89</v>
      </c>
      <c r="F21" s="28">
        <f t="shared" si="16"/>
        <v>212</v>
      </c>
      <c r="G21" s="29">
        <f t="shared" si="2"/>
        <v>106</v>
      </c>
      <c r="H21" s="4" t="s">
        <v>0</v>
      </c>
      <c r="I21" s="16" t="str">
        <f t="shared" si="17"/>
        <v>10-05</v>
      </c>
      <c r="J21" s="14">
        <f t="shared" si="18"/>
        <v>197</v>
      </c>
      <c r="K21" s="15">
        <f t="shared" si="19"/>
        <v>89</v>
      </c>
      <c r="L21" s="17">
        <f t="shared" si="20"/>
        <v>212</v>
      </c>
      <c r="M21" s="18">
        <f t="shared" si="21"/>
        <v>89</v>
      </c>
      <c r="N21" s="14">
        <f t="shared" si="22"/>
        <v>212</v>
      </c>
      <c r="O21" s="15">
        <f t="shared" si="23"/>
        <v>106</v>
      </c>
      <c r="P21" s="17">
        <f t="shared" si="24"/>
        <v>197</v>
      </c>
      <c r="Q21" s="18">
        <f t="shared" si="25"/>
        <v>106</v>
      </c>
      <c r="R21" s="4" t="s">
        <v>0</v>
      </c>
      <c r="S21" s="16" t="str">
        <f t="shared" si="26"/>
        <v>10-05</v>
      </c>
      <c r="T21" s="14">
        <f t="shared" si="27"/>
        <v>197</v>
      </c>
      <c r="U21" s="18">
        <f t="shared" si="28"/>
        <v>661</v>
      </c>
      <c r="V21" s="14">
        <f t="shared" si="29"/>
        <v>212</v>
      </c>
      <c r="W21" s="18">
        <f t="shared" si="30"/>
        <v>661</v>
      </c>
      <c r="X21" s="14">
        <f t="shared" si="31"/>
        <v>212</v>
      </c>
      <c r="Y21" s="18">
        <f t="shared" si="32"/>
        <v>644</v>
      </c>
      <c r="Z21" s="14">
        <f t="shared" si="33"/>
        <v>197</v>
      </c>
      <c r="AA21" s="18">
        <f t="shared" si="34"/>
        <v>644</v>
      </c>
      <c r="AB21" s="4" t="s">
        <v>0</v>
      </c>
    </row>
    <row r="22" spans="1:28">
      <c r="A22" s="9" t="s">
        <v>81</v>
      </c>
      <c r="B22" s="24"/>
      <c r="C22" s="26">
        <v>11</v>
      </c>
      <c r="D22" s="28">
        <f t="shared" si="15"/>
        <v>212</v>
      </c>
      <c r="E22" s="29">
        <f t="shared" si="2"/>
        <v>89</v>
      </c>
      <c r="F22" s="28">
        <f t="shared" si="16"/>
        <v>227</v>
      </c>
      <c r="G22" s="29">
        <f t="shared" si="2"/>
        <v>106</v>
      </c>
      <c r="H22" s="4" t="s">
        <v>0</v>
      </c>
      <c r="I22" s="16" t="str">
        <f t="shared" si="17"/>
        <v>10-03</v>
      </c>
      <c r="J22" s="14">
        <f t="shared" si="18"/>
        <v>212</v>
      </c>
      <c r="K22" s="15">
        <f t="shared" si="19"/>
        <v>89</v>
      </c>
      <c r="L22" s="17">
        <f t="shared" si="20"/>
        <v>227</v>
      </c>
      <c r="M22" s="18">
        <f t="shared" si="21"/>
        <v>89</v>
      </c>
      <c r="N22" s="14">
        <f t="shared" si="22"/>
        <v>227</v>
      </c>
      <c r="O22" s="15">
        <f t="shared" si="23"/>
        <v>106</v>
      </c>
      <c r="P22" s="17">
        <f t="shared" si="24"/>
        <v>212</v>
      </c>
      <c r="Q22" s="18">
        <f t="shared" si="25"/>
        <v>106</v>
      </c>
      <c r="R22" s="4" t="s">
        <v>0</v>
      </c>
      <c r="S22" s="16" t="str">
        <f t="shared" si="26"/>
        <v>10-03</v>
      </c>
      <c r="T22" s="14">
        <f t="shared" si="27"/>
        <v>212</v>
      </c>
      <c r="U22" s="18">
        <f t="shared" si="28"/>
        <v>661</v>
      </c>
      <c r="V22" s="14">
        <f t="shared" si="29"/>
        <v>227</v>
      </c>
      <c r="W22" s="18">
        <f t="shared" si="30"/>
        <v>661</v>
      </c>
      <c r="X22" s="14">
        <f t="shared" si="31"/>
        <v>227</v>
      </c>
      <c r="Y22" s="18">
        <f t="shared" si="32"/>
        <v>644</v>
      </c>
      <c r="Z22" s="14">
        <f t="shared" si="33"/>
        <v>212</v>
      </c>
      <c r="AA22" s="18">
        <f t="shared" si="34"/>
        <v>644</v>
      </c>
      <c r="AB22" s="4" t="s">
        <v>0</v>
      </c>
    </row>
    <row r="23" spans="1:28">
      <c r="A23" s="9" t="s">
        <v>80</v>
      </c>
      <c r="B23" s="24"/>
      <c r="C23" s="26">
        <v>12</v>
      </c>
      <c r="D23" s="28">
        <f t="shared" si="15"/>
        <v>226</v>
      </c>
      <c r="E23" s="29">
        <f t="shared" si="2"/>
        <v>89</v>
      </c>
      <c r="F23" s="28">
        <f t="shared" si="16"/>
        <v>241</v>
      </c>
      <c r="G23" s="29">
        <f t="shared" si="2"/>
        <v>106</v>
      </c>
      <c r="H23" s="4" t="s">
        <v>0</v>
      </c>
      <c r="I23" s="16" t="str">
        <f t="shared" si="17"/>
        <v>10-02</v>
      </c>
      <c r="J23" s="14">
        <f t="shared" si="18"/>
        <v>226</v>
      </c>
      <c r="K23" s="15">
        <f t="shared" si="19"/>
        <v>89</v>
      </c>
      <c r="L23" s="17">
        <f t="shared" si="20"/>
        <v>241</v>
      </c>
      <c r="M23" s="18">
        <f t="shared" si="21"/>
        <v>89</v>
      </c>
      <c r="N23" s="14">
        <f t="shared" si="22"/>
        <v>241</v>
      </c>
      <c r="O23" s="15">
        <f t="shared" si="23"/>
        <v>106</v>
      </c>
      <c r="P23" s="17">
        <f t="shared" si="24"/>
        <v>226</v>
      </c>
      <c r="Q23" s="18">
        <f t="shared" si="25"/>
        <v>106</v>
      </c>
      <c r="R23" s="4" t="s">
        <v>0</v>
      </c>
      <c r="S23" s="16" t="str">
        <f t="shared" si="26"/>
        <v>10-02</v>
      </c>
      <c r="T23" s="14">
        <f t="shared" si="27"/>
        <v>226</v>
      </c>
      <c r="U23" s="18">
        <f t="shared" si="28"/>
        <v>661</v>
      </c>
      <c r="V23" s="14">
        <f t="shared" si="29"/>
        <v>241</v>
      </c>
      <c r="W23" s="18">
        <f t="shared" si="30"/>
        <v>661</v>
      </c>
      <c r="X23" s="14">
        <f t="shared" si="31"/>
        <v>241</v>
      </c>
      <c r="Y23" s="18">
        <f t="shared" si="32"/>
        <v>644</v>
      </c>
      <c r="Z23" s="14">
        <f t="shared" si="33"/>
        <v>226</v>
      </c>
      <c r="AA23" s="18">
        <f t="shared" si="34"/>
        <v>644</v>
      </c>
      <c r="AB23" s="4" t="s">
        <v>0</v>
      </c>
    </row>
    <row r="24" spans="1:28">
      <c r="A24" s="9" t="s">
        <v>79</v>
      </c>
      <c r="B24" s="24"/>
      <c r="C24" s="26">
        <v>13</v>
      </c>
      <c r="D24" s="28">
        <f t="shared" si="15"/>
        <v>241</v>
      </c>
      <c r="E24" s="29">
        <f t="shared" si="2"/>
        <v>89</v>
      </c>
      <c r="F24" s="28">
        <f t="shared" si="16"/>
        <v>256</v>
      </c>
      <c r="G24" s="29">
        <f t="shared" si="2"/>
        <v>106</v>
      </c>
      <c r="H24" s="4" t="s">
        <v>0</v>
      </c>
      <c r="I24" s="16" t="str">
        <f t="shared" si="17"/>
        <v>10-01</v>
      </c>
      <c r="J24" s="14">
        <f t="shared" si="18"/>
        <v>241</v>
      </c>
      <c r="K24" s="15">
        <f t="shared" si="19"/>
        <v>89</v>
      </c>
      <c r="L24" s="17">
        <f t="shared" si="20"/>
        <v>256</v>
      </c>
      <c r="M24" s="18">
        <f t="shared" si="21"/>
        <v>89</v>
      </c>
      <c r="N24" s="14">
        <f t="shared" si="22"/>
        <v>256</v>
      </c>
      <c r="O24" s="15">
        <f t="shared" si="23"/>
        <v>106</v>
      </c>
      <c r="P24" s="17">
        <f t="shared" si="24"/>
        <v>241</v>
      </c>
      <c r="Q24" s="18">
        <f t="shared" si="25"/>
        <v>106</v>
      </c>
      <c r="R24" s="4" t="s">
        <v>0</v>
      </c>
      <c r="S24" s="16" t="str">
        <f t="shared" si="26"/>
        <v>10-01</v>
      </c>
      <c r="T24" s="14">
        <f t="shared" si="27"/>
        <v>241</v>
      </c>
      <c r="U24" s="18">
        <f t="shared" si="28"/>
        <v>661</v>
      </c>
      <c r="V24" s="14">
        <f t="shared" si="29"/>
        <v>256</v>
      </c>
      <c r="W24" s="18">
        <f t="shared" si="30"/>
        <v>661</v>
      </c>
      <c r="X24" s="14">
        <f t="shared" si="31"/>
        <v>256</v>
      </c>
      <c r="Y24" s="18">
        <f t="shared" si="32"/>
        <v>644</v>
      </c>
      <c r="Z24" s="14">
        <f t="shared" si="33"/>
        <v>241</v>
      </c>
      <c r="AA24" s="18">
        <f t="shared" si="34"/>
        <v>644</v>
      </c>
      <c r="AB24" s="4" t="s">
        <v>0</v>
      </c>
    </row>
    <row r="25" spans="1:28">
      <c r="A25" s="9" t="s">
        <v>184</v>
      </c>
      <c r="B25" s="24"/>
      <c r="C25" s="26">
        <v>1</v>
      </c>
      <c r="D25" s="25">
        <f>D11</f>
        <v>50</v>
      </c>
      <c r="E25" s="28">
        <f>ROUND(E$11+23*$C25, 0)</f>
        <v>112</v>
      </c>
      <c r="F25" s="25">
        <f>F11</f>
        <v>65</v>
      </c>
      <c r="G25" s="28">
        <f>ROUND(G$11+23*$C25, 0)</f>
        <v>129</v>
      </c>
      <c r="H25" s="4" t="s">
        <v>0</v>
      </c>
      <c r="I25" s="16" t="str">
        <f t="shared" si="17"/>
        <v>08-18</v>
      </c>
      <c r="J25" s="14">
        <f t="shared" si="18"/>
        <v>50</v>
      </c>
      <c r="K25" s="15">
        <f t="shared" si="19"/>
        <v>112</v>
      </c>
      <c r="L25" s="17">
        <f t="shared" si="20"/>
        <v>65</v>
      </c>
      <c r="M25" s="18">
        <f t="shared" si="21"/>
        <v>112</v>
      </c>
      <c r="N25" s="14">
        <f t="shared" si="22"/>
        <v>65</v>
      </c>
      <c r="O25" s="15">
        <f t="shared" si="23"/>
        <v>129</v>
      </c>
      <c r="P25" s="17">
        <f t="shared" si="24"/>
        <v>50</v>
      </c>
      <c r="Q25" s="18">
        <f t="shared" si="25"/>
        <v>129</v>
      </c>
      <c r="R25" s="4" t="s">
        <v>0</v>
      </c>
      <c r="S25" s="16" t="str">
        <f t="shared" si="26"/>
        <v>08-18</v>
      </c>
      <c r="T25" s="14">
        <f t="shared" si="27"/>
        <v>50</v>
      </c>
      <c r="U25" s="18">
        <f t="shared" si="28"/>
        <v>638</v>
      </c>
      <c r="V25" s="14">
        <f t="shared" si="29"/>
        <v>65</v>
      </c>
      <c r="W25" s="18">
        <f t="shared" si="30"/>
        <v>638</v>
      </c>
      <c r="X25" s="14">
        <f t="shared" si="31"/>
        <v>65</v>
      </c>
      <c r="Y25" s="18">
        <f t="shared" si="32"/>
        <v>621</v>
      </c>
      <c r="Z25" s="14">
        <f t="shared" si="33"/>
        <v>50</v>
      </c>
      <c r="AA25" s="18">
        <f t="shared" si="34"/>
        <v>621</v>
      </c>
      <c r="AB25" s="4" t="s">
        <v>0</v>
      </c>
    </row>
    <row r="26" spans="1:28">
      <c r="A26" s="9" t="s">
        <v>183</v>
      </c>
      <c r="B26" s="24"/>
      <c r="C26" s="4"/>
      <c r="D26" s="25">
        <f t="shared" ref="D26:D52" si="35">D12</f>
        <v>65</v>
      </c>
      <c r="E26" s="29">
        <f>E25</f>
        <v>112</v>
      </c>
      <c r="F26" s="25">
        <f t="shared" ref="F26:F52" si="36">F12</f>
        <v>80</v>
      </c>
      <c r="G26" s="29">
        <f>G25</f>
        <v>129</v>
      </c>
      <c r="H26" s="4" t="s">
        <v>0</v>
      </c>
      <c r="I26" s="16" t="str">
        <f t="shared" si="17"/>
        <v>08-17</v>
      </c>
      <c r="J26" s="14">
        <f t="shared" si="18"/>
        <v>65</v>
      </c>
      <c r="K26" s="15">
        <f t="shared" si="19"/>
        <v>112</v>
      </c>
      <c r="L26" s="17">
        <f t="shared" si="20"/>
        <v>80</v>
      </c>
      <c r="M26" s="18">
        <f t="shared" si="21"/>
        <v>112</v>
      </c>
      <c r="N26" s="14">
        <f t="shared" si="22"/>
        <v>80</v>
      </c>
      <c r="O26" s="15">
        <f t="shared" si="23"/>
        <v>129</v>
      </c>
      <c r="P26" s="17">
        <f t="shared" si="24"/>
        <v>65</v>
      </c>
      <c r="Q26" s="18">
        <f t="shared" si="25"/>
        <v>129</v>
      </c>
      <c r="R26" s="4" t="s">
        <v>0</v>
      </c>
      <c r="S26" s="16" t="str">
        <f t="shared" si="26"/>
        <v>08-17</v>
      </c>
      <c r="T26" s="14">
        <f t="shared" si="27"/>
        <v>65</v>
      </c>
      <c r="U26" s="18">
        <f t="shared" si="28"/>
        <v>638</v>
      </c>
      <c r="V26" s="14">
        <f t="shared" si="29"/>
        <v>80</v>
      </c>
      <c r="W26" s="18">
        <f t="shared" si="30"/>
        <v>638</v>
      </c>
      <c r="X26" s="14">
        <f t="shared" si="31"/>
        <v>80</v>
      </c>
      <c r="Y26" s="18">
        <f t="shared" si="32"/>
        <v>621</v>
      </c>
      <c r="Z26" s="14">
        <f t="shared" si="33"/>
        <v>65</v>
      </c>
      <c r="AA26" s="18">
        <f t="shared" si="34"/>
        <v>621</v>
      </c>
      <c r="AB26" s="4" t="s">
        <v>0</v>
      </c>
    </row>
    <row r="27" spans="1:28">
      <c r="A27" s="9" t="s">
        <v>182</v>
      </c>
      <c r="B27" s="24"/>
      <c r="C27" s="4"/>
      <c r="D27" s="25">
        <f t="shared" si="35"/>
        <v>79</v>
      </c>
      <c r="E27" s="29">
        <f t="shared" ref="E27:E38" si="37">E26</f>
        <v>112</v>
      </c>
      <c r="F27" s="25">
        <f t="shared" si="36"/>
        <v>94</v>
      </c>
      <c r="G27" s="29">
        <f t="shared" ref="G27:G38" si="38">G26</f>
        <v>129</v>
      </c>
      <c r="H27" s="4" t="s">
        <v>0</v>
      </c>
      <c r="I27" s="16" t="str">
        <f t="shared" si="17"/>
        <v>08-16</v>
      </c>
      <c r="J27" s="14">
        <f t="shared" si="18"/>
        <v>79</v>
      </c>
      <c r="K27" s="15">
        <f t="shared" si="19"/>
        <v>112</v>
      </c>
      <c r="L27" s="17">
        <f t="shared" si="20"/>
        <v>94</v>
      </c>
      <c r="M27" s="18">
        <f t="shared" si="21"/>
        <v>112</v>
      </c>
      <c r="N27" s="14">
        <f t="shared" si="22"/>
        <v>94</v>
      </c>
      <c r="O27" s="15">
        <f t="shared" si="23"/>
        <v>129</v>
      </c>
      <c r="P27" s="17">
        <f t="shared" si="24"/>
        <v>79</v>
      </c>
      <c r="Q27" s="18">
        <f t="shared" si="25"/>
        <v>129</v>
      </c>
      <c r="R27" s="4" t="s">
        <v>0</v>
      </c>
      <c r="S27" s="16" t="str">
        <f t="shared" si="26"/>
        <v>08-16</v>
      </c>
      <c r="T27" s="14">
        <f t="shared" si="27"/>
        <v>79</v>
      </c>
      <c r="U27" s="18">
        <f t="shared" si="28"/>
        <v>638</v>
      </c>
      <c r="V27" s="14">
        <f t="shared" si="29"/>
        <v>94</v>
      </c>
      <c r="W27" s="18">
        <f t="shared" si="30"/>
        <v>638</v>
      </c>
      <c r="X27" s="14">
        <f t="shared" si="31"/>
        <v>94</v>
      </c>
      <c r="Y27" s="18">
        <f t="shared" si="32"/>
        <v>621</v>
      </c>
      <c r="Z27" s="14">
        <f t="shared" si="33"/>
        <v>79</v>
      </c>
      <c r="AA27" s="18">
        <f t="shared" si="34"/>
        <v>621</v>
      </c>
      <c r="AB27" s="4" t="s">
        <v>0</v>
      </c>
    </row>
    <row r="28" spans="1:28">
      <c r="A28" s="9" t="s">
        <v>181</v>
      </c>
      <c r="B28" s="24"/>
      <c r="C28" s="4"/>
      <c r="D28" s="25">
        <f t="shared" si="35"/>
        <v>94</v>
      </c>
      <c r="E28" s="29">
        <f t="shared" si="37"/>
        <v>112</v>
      </c>
      <c r="F28" s="25">
        <f t="shared" si="36"/>
        <v>109</v>
      </c>
      <c r="G28" s="29">
        <f t="shared" si="38"/>
        <v>129</v>
      </c>
      <c r="H28" s="4" t="s">
        <v>0</v>
      </c>
      <c r="I28" s="16" t="str">
        <f t="shared" si="17"/>
        <v>08-15</v>
      </c>
      <c r="J28" s="14">
        <f t="shared" si="18"/>
        <v>94</v>
      </c>
      <c r="K28" s="15">
        <f t="shared" si="19"/>
        <v>112</v>
      </c>
      <c r="L28" s="17">
        <f t="shared" si="20"/>
        <v>109</v>
      </c>
      <c r="M28" s="18">
        <f t="shared" si="21"/>
        <v>112</v>
      </c>
      <c r="N28" s="14">
        <f t="shared" si="22"/>
        <v>109</v>
      </c>
      <c r="O28" s="15">
        <f t="shared" si="23"/>
        <v>129</v>
      </c>
      <c r="P28" s="17">
        <f t="shared" si="24"/>
        <v>94</v>
      </c>
      <c r="Q28" s="18">
        <f t="shared" si="25"/>
        <v>129</v>
      </c>
      <c r="R28" s="4" t="s">
        <v>0</v>
      </c>
      <c r="S28" s="16" t="str">
        <f t="shared" si="26"/>
        <v>08-15</v>
      </c>
      <c r="T28" s="14">
        <f t="shared" si="27"/>
        <v>94</v>
      </c>
      <c r="U28" s="18">
        <f t="shared" si="28"/>
        <v>638</v>
      </c>
      <c r="V28" s="14">
        <f t="shared" si="29"/>
        <v>109</v>
      </c>
      <c r="W28" s="18">
        <f t="shared" si="30"/>
        <v>638</v>
      </c>
      <c r="X28" s="14">
        <f t="shared" si="31"/>
        <v>109</v>
      </c>
      <c r="Y28" s="18">
        <f t="shared" si="32"/>
        <v>621</v>
      </c>
      <c r="Z28" s="14">
        <f t="shared" si="33"/>
        <v>94</v>
      </c>
      <c r="AA28" s="18">
        <f t="shared" si="34"/>
        <v>621</v>
      </c>
      <c r="AB28" s="4" t="s">
        <v>0</v>
      </c>
    </row>
    <row r="29" spans="1:28">
      <c r="A29" s="9" t="s">
        <v>180</v>
      </c>
      <c r="B29" s="24"/>
      <c r="C29" s="4"/>
      <c r="D29" s="25">
        <f t="shared" si="35"/>
        <v>109</v>
      </c>
      <c r="E29" s="29">
        <f t="shared" si="37"/>
        <v>112</v>
      </c>
      <c r="F29" s="25">
        <f t="shared" si="36"/>
        <v>124</v>
      </c>
      <c r="G29" s="29">
        <f t="shared" si="38"/>
        <v>129</v>
      </c>
      <c r="H29" s="4" t="s">
        <v>0</v>
      </c>
      <c r="I29" s="16" t="str">
        <f t="shared" si="17"/>
        <v>08-13</v>
      </c>
      <c r="J29" s="14">
        <f t="shared" si="18"/>
        <v>109</v>
      </c>
      <c r="K29" s="15">
        <f t="shared" si="19"/>
        <v>112</v>
      </c>
      <c r="L29" s="17">
        <f t="shared" si="20"/>
        <v>124</v>
      </c>
      <c r="M29" s="18">
        <f t="shared" si="21"/>
        <v>112</v>
      </c>
      <c r="N29" s="14">
        <f t="shared" si="22"/>
        <v>124</v>
      </c>
      <c r="O29" s="15">
        <f t="shared" si="23"/>
        <v>129</v>
      </c>
      <c r="P29" s="17">
        <f t="shared" si="24"/>
        <v>109</v>
      </c>
      <c r="Q29" s="18">
        <f t="shared" si="25"/>
        <v>129</v>
      </c>
      <c r="R29" s="4" t="s">
        <v>0</v>
      </c>
      <c r="S29" s="16" t="str">
        <f t="shared" si="26"/>
        <v>08-13</v>
      </c>
      <c r="T29" s="14">
        <f t="shared" si="27"/>
        <v>109</v>
      </c>
      <c r="U29" s="18">
        <f t="shared" si="28"/>
        <v>638</v>
      </c>
      <c r="V29" s="14">
        <f t="shared" si="29"/>
        <v>124</v>
      </c>
      <c r="W29" s="18">
        <f t="shared" si="30"/>
        <v>638</v>
      </c>
      <c r="X29" s="14">
        <f t="shared" si="31"/>
        <v>124</v>
      </c>
      <c r="Y29" s="18">
        <f t="shared" si="32"/>
        <v>621</v>
      </c>
      <c r="Z29" s="14">
        <f t="shared" si="33"/>
        <v>109</v>
      </c>
      <c r="AA29" s="18">
        <f t="shared" si="34"/>
        <v>621</v>
      </c>
      <c r="AB29" s="4" t="s">
        <v>0</v>
      </c>
    </row>
    <row r="30" spans="1:28">
      <c r="A30" s="9" t="s">
        <v>78</v>
      </c>
      <c r="B30" s="24"/>
      <c r="C30" s="4"/>
      <c r="D30" s="25">
        <f t="shared" si="35"/>
        <v>124</v>
      </c>
      <c r="E30" s="29">
        <f t="shared" si="37"/>
        <v>112</v>
      </c>
      <c r="F30" s="25">
        <f t="shared" si="36"/>
        <v>139</v>
      </c>
      <c r="G30" s="29">
        <f t="shared" si="38"/>
        <v>129</v>
      </c>
      <c r="H30" s="4" t="s">
        <v>0</v>
      </c>
      <c r="I30" s="16" t="str">
        <f t="shared" si="17"/>
        <v>08-12</v>
      </c>
      <c r="J30" s="14">
        <f t="shared" si="18"/>
        <v>124</v>
      </c>
      <c r="K30" s="15">
        <f t="shared" si="19"/>
        <v>112</v>
      </c>
      <c r="L30" s="17">
        <f t="shared" si="20"/>
        <v>139</v>
      </c>
      <c r="M30" s="18">
        <f t="shared" si="21"/>
        <v>112</v>
      </c>
      <c r="N30" s="14">
        <f t="shared" si="22"/>
        <v>139</v>
      </c>
      <c r="O30" s="15">
        <f t="shared" si="23"/>
        <v>129</v>
      </c>
      <c r="P30" s="17">
        <f t="shared" si="24"/>
        <v>124</v>
      </c>
      <c r="Q30" s="18">
        <f t="shared" si="25"/>
        <v>129</v>
      </c>
      <c r="R30" s="4" t="s">
        <v>0</v>
      </c>
      <c r="S30" s="16" t="str">
        <f t="shared" si="26"/>
        <v>08-12</v>
      </c>
      <c r="T30" s="14">
        <f t="shared" si="27"/>
        <v>124</v>
      </c>
      <c r="U30" s="18">
        <f t="shared" si="28"/>
        <v>638</v>
      </c>
      <c r="V30" s="14">
        <f t="shared" si="29"/>
        <v>139</v>
      </c>
      <c r="W30" s="18">
        <f t="shared" si="30"/>
        <v>638</v>
      </c>
      <c r="X30" s="14">
        <f t="shared" si="31"/>
        <v>139</v>
      </c>
      <c r="Y30" s="18">
        <f t="shared" si="32"/>
        <v>621</v>
      </c>
      <c r="Z30" s="14">
        <f t="shared" si="33"/>
        <v>124</v>
      </c>
      <c r="AA30" s="18">
        <f t="shared" si="34"/>
        <v>621</v>
      </c>
      <c r="AB30" s="4" t="s">
        <v>0</v>
      </c>
    </row>
    <row r="31" spans="1:28">
      <c r="A31" s="9" t="s">
        <v>77</v>
      </c>
      <c r="B31" s="24"/>
      <c r="C31" s="4"/>
      <c r="D31" s="25">
        <f t="shared" si="35"/>
        <v>138</v>
      </c>
      <c r="E31" s="29">
        <f t="shared" si="37"/>
        <v>112</v>
      </c>
      <c r="F31" s="25">
        <f t="shared" si="36"/>
        <v>153</v>
      </c>
      <c r="G31" s="29">
        <f t="shared" si="38"/>
        <v>129</v>
      </c>
      <c r="H31" s="4" t="s">
        <v>0</v>
      </c>
      <c r="I31" s="16" t="str">
        <f t="shared" si="17"/>
        <v>08-11</v>
      </c>
      <c r="J31" s="14">
        <f t="shared" si="18"/>
        <v>138</v>
      </c>
      <c r="K31" s="15">
        <f t="shared" si="19"/>
        <v>112</v>
      </c>
      <c r="L31" s="17">
        <f t="shared" si="20"/>
        <v>153</v>
      </c>
      <c r="M31" s="18">
        <f t="shared" si="21"/>
        <v>112</v>
      </c>
      <c r="N31" s="14">
        <f t="shared" si="22"/>
        <v>153</v>
      </c>
      <c r="O31" s="15">
        <f t="shared" si="23"/>
        <v>129</v>
      </c>
      <c r="P31" s="17">
        <f t="shared" si="24"/>
        <v>138</v>
      </c>
      <c r="Q31" s="18">
        <f t="shared" si="25"/>
        <v>129</v>
      </c>
      <c r="R31" s="4" t="s">
        <v>0</v>
      </c>
      <c r="S31" s="16" t="str">
        <f t="shared" si="26"/>
        <v>08-11</v>
      </c>
      <c r="T31" s="14">
        <f t="shared" si="27"/>
        <v>138</v>
      </c>
      <c r="U31" s="18">
        <f t="shared" si="28"/>
        <v>638</v>
      </c>
      <c r="V31" s="14">
        <f t="shared" si="29"/>
        <v>153</v>
      </c>
      <c r="W31" s="18">
        <f t="shared" si="30"/>
        <v>638</v>
      </c>
      <c r="X31" s="14">
        <f t="shared" si="31"/>
        <v>153</v>
      </c>
      <c r="Y31" s="18">
        <f t="shared" si="32"/>
        <v>621</v>
      </c>
      <c r="Z31" s="14">
        <f t="shared" si="33"/>
        <v>138</v>
      </c>
      <c r="AA31" s="18">
        <f t="shared" si="34"/>
        <v>621</v>
      </c>
      <c r="AB31" s="4" t="s">
        <v>0</v>
      </c>
    </row>
    <row r="32" spans="1:28">
      <c r="A32" s="9" t="s">
        <v>76</v>
      </c>
      <c r="B32" s="24"/>
      <c r="C32" s="4"/>
      <c r="D32" s="25">
        <f t="shared" si="35"/>
        <v>153</v>
      </c>
      <c r="E32" s="29">
        <f t="shared" si="37"/>
        <v>112</v>
      </c>
      <c r="F32" s="25">
        <f t="shared" si="36"/>
        <v>168</v>
      </c>
      <c r="G32" s="29">
        <f t="shared" si="38"/>
        <v>129</v>
      </c>
      <c r="H32" s="4" t="s">
        <v>0</v>
      </c>
      <c r="I32" s="16" t="str">
        <f t="shared" si="17"/>
        <v>08-10</v>
      </c>
      <c r="J32" s="14">
        <f t="shared" si="18"/>
        <v>153</v>
      </c>
      <c r="K32" s="15">
        <f t="shared" si="19"/>
        <v>112</v>
      </c>
      <c r="L32" s="17">
        <f t="shared" si="20"/>
        <v>168</v>
      </c>
      <c r="M32" s="18">
        <f t="shared" si="21"/>
        <v>112</v>
      </c>
      <c r="N32" s="14">
        <f t="shared" si="22"/>
        <v>168</v>
      </c>
      <c r="O32" s="15">
        <f t="shared" si="23"/>
        <v>129</v>
      </c>
      <c r="P32" s="17">
        <f t="shared" si="24"/>
        <v>153</v>
      </c>
      <c r="Q32" s="18">
        <f t="shared" si="25"/>
        <v>129</v>
      </c>
      <c r="R32" s="4" t="s">
        <v>0</v>
      </c>
      <c r="S32" s="16" t="str">
        <f t="shared" si="26"/>
        <v>08-10</v>
      </c>
      <c r="T32" s="14">
        <f t="shared" si="27"/>
        <v>153</v>
      </c>
      <c r="U32" s="18">
        <f t="shared" si="28"/>
        <v>638</v>
      </c>
      <c r="V32" s="14">
        <f t="shared" si="29"/>
        <v>168</v>
      </c>
      <c r="W32" s="18">
        <f t="shared" si="30"/>
        <v>638</v>
      </c>
      <c r="X32" s="14">
        <f t="shared" si="31"/>
        <v>168</v>
      </c>
      <c r="Y32" s="18">
        <f t="shared" si="32"/>
        <v>621</v>
      </c>
      <c r="Z32" s="14">
        <f t="shared" si="33"/>
        <v>153</v>
      </c>
      <c r="AA32" s="18">
        <f t="shared" si="34"/>
        <v>621</v>
      </c>
      <c r="AB32" s="4" t="s">
        <v>0</v>
      </c>
    </row>
    <row r="33" spans="1:28">
      <c r="A33" s="9" t="s">
        <v>75</v>
      </c>
      <c r="B33" s="24"/>
      <c r="C33" s="4"/>
      <c r="D33" s="25">
        <f t="shared" si="35"/>
        <v>168</v>
      </c>
      <c r="E33" s="29">
        <f t="shared" si="37"/>
        <v>112</v>
      </c>
      <c r="F33" s="25">
        <f t="shared" si="36"/>
        <v>183</v>
      </c>
      <c r="G33" s="29">
        <f t="shared" si="38"/>
        <v>129</v>
      </c>
      <c r="H33" s="4" t="s">
        <v>0</v>
      </c>
      <c r="I33" s="16" t="str">
        <f t="shared" si="17"/>
        <v>08-08</v>
      </c>
      <c r="J33" s="14">
        <f t="shared" si="18"/>
        <v>168</v>
      </c>
      <c r="K33" s="15">
        <f t="shared" si="19"/>
        <v>112</v>
      </c>
      <c r="L33" s="17">
        <f t="shared" si="20"/>
        <v>183</v>
      </c>
      <c r="M33" s="18">
        <f t="shared" si="21"/>
        <v>112</v>
      </c>
      <c r="N33" s="14">
        <f t="shared" si="22"/>
        <v>183</v>
      </c>
      <c r="O33" s="15">
        <f t="shared" si="23"/>
        <v>129</v>
      </c>
      <c r="P33" s="17">
        <f t="shared" si="24"/>
        <v>168</v>
      </c>
      <c r="Q33" s="18">
        <f t="shared" si="25"/>
        <v>129</v>
      </c>
      <c r="R33" s="4" t="s">
        <v>0</v>
      </c>
      <c r="S33" s="16" t="str">
        <f t="shared" si="26"/>
        <v>08-08</v>
      </c>
      <c r="T33" s="14">
        <f t="shared" si="27"/>
        <v>168</v>
      </c>
      <c r="U33" s="18">
        <f t="shared" si="28"/>
        <v>638</v>
      </c>
      <c r="V33" s="14">
        <f t="shared" si="29"/>
        <v>183</v>
      </c>
      <c r="W33" s="18">
        <f t="shared" si="30"/>
        <v>638</v>
      </c>
      <c r="X33" s="14">
        <f t="shared" si="31"/>
        <v>183</v>
      </c>
      <c r="Y33" s="18">
        <f t="shared" si="32"/>
        <v>621</v>
      </c>
      <c r="Z33" s="14">
        <f t="shared" si="33"/>
        <v>168</v>
      </c>
      <c r="AA33" s="18">
        <f t="shared" si="34"/>
        <v>621</v>
      </c>
      <c r="AB33" s="4" t="s">
        <v>0</v>
      </c>
    </row>
    <row r="34" spans="1:28">
      <c r="A34" s="9" t="s">
        <v>74</v>
      </c>
      <c r="B34" s="24"/>
      <c r="C34" s="4"/>
      <c r="D34" s="25">
        <f t="shared" si="35"/>
        <v>182</v>
      </c>
      <c r="E34" s="29">
        <f t="shared" si="37"/>
        <v>112</v>
      </c>
      <c r="F34" s="25">
        <f t="shared" si="36"/>
        <v>197</v>
      </c>
      <c r="G34" s="29">
        <f t="shared" si="38"/>
        <v>129</v>
      </c>
      <c r="H34" s="4" t="s">
        <v>0</v>
      </c>
      <c r="I34" s="16" t="str">
        <f t="shared" si="17"/>
        <v>08-07</v>
      </c>
      <c r="J34" s="14">
        <f t="shared" si="18"/>
        <v>182</v>
      </c>
      <c r="K34" s="15">
        <f t="shared" si="19"/>
        <v>112</v>
      </c>
      <c r="L34" s="17">
        <f t="shared" si="20"/>
        <v>197</v>
      </c>
      <c r="M34" s="18">
        <f t="shared" si="21"/>
        <v>112</v>
      </c>
      <c r="N34" s="14">
        <f t="shared" si="22"/>
        <v>197</v>
      </c>
      <c r="O34" s="15">
        <f t="shared" si="23"/>
        <v>129</v>
      </c>
      <c r="P34" s="17">
        <f t="shared" si="24"/>
        <v>182</v>
      </c>
      <c r="Q34" s="18">
        <f t="shared" si="25"/>
        <v>129</v>
      </c>
      <c r="R34" s="4" t="s">
        <v>0</v>
      </c>
      <c r="S34" s="16" t="str">
        <f t="shared" si="26"/>
        <v>08-07</v>
      </c>
      <c r="T34" s="14">
        <f t="shared" si="27"/>
        <v>182</v>
      </c>
      <c r="U34" s="18">
        <f t="shared" si="28"/>
        <v>638</v>
      </c>
      <c r="V34" s="14">
        <f t="shared" si="29"/>
        <v>197</v>
      </c>
      <c r="W34" s="18">
        <f t="shared" si="30"/>
        <v>638</v>
      </c>
      <c r="X34" s="14">
        <f t="shared" si="31"/>
        <v>197</v>
      </c>
      <c r="Y34" s="18">
        <f t="shared" si="32"/>
        <v>621</v>
      </c>
      <c r="Z34" s="14">
        <f t="shared" si="33"/>
        <v>182</v>
      </c>
      <c r="AA34" s="18">
        <f t="shared" si="34"/>
        <v>621</v>
      </c>
      <c r="AB34" s="4" t="s">
        <v>0</v>
      </c>
    </row>
    <row r="35" spans="1:28">
      <c r="A35" s="9" t="s">
        <v>73</v>
      </c>
      <c r="B35" s="24"/>
      <c r="C35" s="4"/>
      <c r="D35" s="25">
        <f t="shared" si="35"/>
        <v>197</v>
      </c>
      <c r="E35" s="29">
        <f t="shared" si="37"/>
        <v>112</v>
      </c>
      <c r="F35" s="25">
        <f t="shared" si="36"/>
        <v>212</v>
      </c>
      <c r="G35" s="29">
        <f t="shared" si="38"/>
        <v>129</v>
      </c>
      <c r="H35" s="4" t="s">
        <v>0</v>
      </c>
      <c r="I35" s="16" t="str">
        <f t="shared" si="17"/>
        <v>08-06</v>
      </c>
      <c r="J35" s="14">
        <f t="shared" si="18"/>
        <v>197</v>
      </c>
      <c r="K35" s="15">
        <f t="shared" si="19"/>
        <v>112</v>
      </c>
      <c r="L35" s="17">
        <f t="shared" si="20"/>
        <v>212</v>
      </c>
      <c r="M35" s="18">
        <f t="shared" si="21"/>
        <v>112</v>
      </c>
      <c r="N35" s="14">
        <f t="shared" si="22"/>
        <v>212</v>
      </c>
      <c r="O35" s="15">
        <f t="shared" si="23"/>
        <v>129</v>
      </c>
      <c r="P35" s="17">
        <f t="shared" si="24"/>
        <v>197</v>
      </c>
      <c r="Q35" s="18">
        <f t="shared" si="25"/>
        <v>129</v>
      </c>
      <c r="R35" s="4" t="s">
        <v>0</v>
      </c>
      <c r="S35" s="16" t="str">
        <f t="shared" si="26"/>
        <v>08-06</v>
      </c>
      <c r="T35" s="14">
        <f t="shared" si="27"/>
        <v>197</v>
      </c>
      <c r="U35" s="18">
        <f t="shared" si="28"/>
        <v>638</v>
      </c>
      <c r="V35" s="14">
        <f t="shared" si="29"/>
        <v>212</v>
      </c>
      <c r="W35" s="18">
        <f t="shared" si="30"/>
        <v>638</v>
      </c>
      <c r="X35" s="14">
        <f t="shared" si="31"/>
        <v>212</v>
      </c>
      <c r="Y35" s="18">
        <f t="shared" si="32"/>
        <v>621</v>
      </c>
      <c r="Z35" s="14">
        <f t="shared" si="33"/>
        <v>197</v>
      </c>
      <c r="AA35" s="18">
        <f t="shared" si="34"/>
        <v>621</v>
      </c>
      <c r="AB35" s="4" t="s">
        <v>0</v>
      </c>
    </row>
    <row r="36" spans="1:28">
      <c r="A36" s="9" t="s">
        <v>72</v>
      </c>
      <c r="B36" s="24"/>
      <c r="C36" s="4"/>
      <c r="D36" s="25">
        <f t="shared" si="35"/>
        <v>212</v>
      </c>
      <c r="E36" s="29">
        <f t="shared" si="37"/>
        <v>112</v>
      </c>
      <c r="F36" s="25">
        <f t="shared" si="36"/>
        <v>227</v>
      </c>
      <c r="G36" s="29">
        <f t="shared" si="38"/>
        <v>129</v>
      </c>
      <c r="H36" s="4" t="s">
        <v>0</v>
      </c>
      <c r="I36" s="16" t="str">
        <f t="shared" si="17"/>
        <v>08-05</v>
      </c>
      <c r="J36" s="14">
        <f t="shared" si="18"/>
        <v>212</v>
      </c>
      <c r="K36" s="15">
        <f t="shared" si="19"/>
        <v>112</v>
      </c>
      <c r="L36" s="17">
        <f t="shared" si="20"/>
        <v>227</v>
      </c>
      <c r="M36" s="18">
        <f t="shared" si="21"/>
        <v>112</v>
      </c>
      <c r="N36" s="14">
        <f t="shared" si="22"/>
        <v>227</v>
      </c>
      <c r="O36" s="15">
        <f t="shared" si="23"/>
        <v>129</v>
      </c>
      <c r="P36" s="17">
        <f t="shared" si="24"/>
        <v>212</v>
      </c>
      <c r="Q36" s="18">
        <f t="shared" si="25"/>
        <v>129</v>
      </c>
      <c r="R36" s="4" t="s">
        <v>0</v>
      </c>
      <c r="S36" s="16" t="str">
        <f t="shared" si="26"/>
        <v>08-05</v>
      </c>
      <c r="T36" s="14">
        <f t="shared" si="27"/>
        <v>212</v>
      </c>
      <c r="U36" s="18">
        <f t="shared" si="28"/>
        <v>638</v>
      </c>
      <c r="V36" s="14">
        <f t="shared" si="29"/>
        <v>227</v>
      </c>
      <c r="W36" s="18">
        <f t="shared" si="30"/>
        <v>638</v>
      </c>
      <c r="X36" s="14">
        <f t="shared" si="31"/>
        <v>227</v>
      </c>
      <c r="Y36" s="18">
        <f t="shared" si="32"/>
        <v>621</v>
      </c>
      <c r="Z36" s="14">
        <f t="shared" si="33"/>
        <v>212</v>
      </c>
      <c r="AA36" s="18">
        <f t="shared" si="34"/>
        <v>621</v>
      </c>
      <c r="AB36" s="4" t="s">
        <v>0</v>
      </c>
    </row>
    <row r="37" spans="1:28">
      <c r="A37" s="9" t="s">
        <v>71</v>
      </c>
      <c r="B37" s="24"/>
      <c r="C37" s="4"/>
      <c r="D37" s="25">
        <f t="shared" si="35"/>
        <v>226</v>
      </c>
      <c r="E37" s="29">
        <f t="shared" si="37"/>
        <v>112</v>
      </c>
      <c r="F37" s="25">
        <f t="shared" si="36"/>
        <v>241</v>
      </c>
      <c r="G37" s="29">
        <f t="shared" si="38"/>
        <v>129</v>
      </c>
      <c r="H37" s="4" t="s">
        <v>0</v>
      </c>
      <c r="I37" s="16" t="str">
        <f t="shared" si="17"/>
        <v>08-03</v>
      </c>
      <c r="J37" s="14">
        <f t="shared" si="18"/>
        <v>226</v>
      </c>
      <c r="K37" s="15">
        <f t="shared" si="19"/>
        <v>112</v>
      </c>
      <c r="L37" s="17">
        <f t="shared" si="20"/>
        <v>241</v>
      </c>
      <c r="M37" s="18">
        <f t="shared" si="21"/>
        <v>112</v>
      </c>
      <c r="N37" s="14">
        <f t="shared" si="22"/>
        <v>241</v>
      </c>
      <c r="O37" s="15">
        <f t="shared" si="23"/>
        <v>129</v>
      </c>
      <c r="P37" s="17">
        <f t="shared" si="24"/>
        <v>226</v>
      </c>
      <c r="Q37" s="18">
        <f t="shared" si="25"/>
        <v>129</v>
      </c>
      <c r="R37" s="4" t="s">
        <v>0</v>
      </c>
      <c r="S37" s="16" t="str">
        <f t="shared" si="26"/>
        <v>08-03</v>
      </c>
      <c r="T37" s="14">
        <f t="shared" si="27"/>
        <v>226</v>
      </c>
      <c r="U37" s="18">
        <f t="shared" si="28"/>
        <v>638</v>
      </c>
      <c r="V37" s="14">
        <f t="shared" si="29"/>
        <v>241</v>
      </c>
      <c r="W37" s="18">
        <f t="shared" si="30"/>
        <v>638</v>
      </c>
      <c r="X37" s="14">
        <f t="shared" si="31"/>
        <v>241</v>
      </c>
      <c r="Y37" s="18">
        <f t="shared" si="32"/>
        <v>621</v>
      </c>
      <c r="Z37" s="14">
        <f t="shared" si="33"/>
        <v>226</v>
      </c>
      <c r="AA37" s="18">
        <f t="shared" si="34"/>
        <v>621</v>
      </c>
      <c r="AB37" s="4" t="s">
        <v>0</v>
      </c>
    </row>
    <row r="38" spans="1:28">
      <c r="A38" s="9" t="s">
        <v>70</v>
      </c>
      <c r="B38" s="24"/>
      <c r="C38" s="4"/>
      <c r="D38" s="25">
        <f t="shared" si="35"/>
        <v>241</v>
      </c>
      <c r="E38" s="29">
        <f t="shared" si="37"/>
        <v>112</v>
      </c>
      <c r="F38" s="25">
        <f t="shared" si="36"/>
        <v>256</v>
      </c>
      <c r="G38" s="29">
        <f t="shared" si="38"/>
        <v>129</v>
      </c>
      <c r="H38" s="4" t="s">
        <v>0</v>
      </c>
      <c r="I38" s="16" t="str">
        <f t="shared" si="17"/>
        <v>08-02</v>
      </c>
      <c r="J38" s="14">
        <f t="shared" si="18"/>
        <v>241</v>
      </c>
      <c r="K38" s="15">
        <f t="shared" si="19"/>
        <v>112</v>
      </c>
      <c r="L38" s="17">
        <f t="shared" si="20"/>
        <v>256</v>
      </c>
      <c r="M38" s="18">
        <f t="shared" si="21"/>
        <v>112</v>
      </c>
      <c r="N38" s="14">
        <f t="shared" si="22"/>
        <v>256</v>
      </c>
      <c r="O38" s="15">
        <f t="shared" si="23"/>
        <v>129</v>
      </c>
      <c r="P38" s="17">
        <f t="shared" si="24"/>
        <v>241</v>
      </c>
      <c r="Q38" s="18">
        <f t="shared" si="25"/>
        <v>129</v>
      </c>
      <c r="R38" s="4" t="s">
        <v>0</v>
      </c>
      <c r="S38" s="16" t="str">
        <f t="shared" si="26"/>
        <v>08-02</v>
      </c>
      <c r="T38" s="14">
        <f t="shared" si="27"/>
        <v>241</v>
      </c>
      <c r="U38" s="18">
        <f t="shared" si="28"/>
        <v>638</v>
      </c>
      <c r="V38" s="14">
        <f t="shared" si="29"/>
        <v>256</v>
      </c>
      <c r="W38" s="18">
        <f t="shared" si="30"/>
        <v>638</v>
      </c>
      <c r="X38" s="14">
        <f t="shared" si="31"/>
        <v>256</v>
      </c>
      <c r="Y38" s="18">
        <f t="shared" si="32"/>
        <v>621</v>
      </c>
      <c r="Z38" s="14">
        <f t="shared" si="33"/>
        <v>241</v>
      </c>
      <c r="AA38" s="18">
        <f t="shared" si="34"/>
        <v>621</v>
      </c>
      <c r="AB38" s="4" t="s">
        <v>0</v>
      </c>
    </row>
    <row r="39" spans="1:28">
      <c r="A39" s="9" t="s">
        <v>69</v>
      </c>
      <c r="B39" s="24"/>
      <c r="C39" s="4"/>
      <c r="D39" s="28">
        <f>ROUND(D38+14.7, 0)</f>
        <v>256</v>
      </c>
      <c r="E39" s="29">
        <f t="shared" ref="E39" si="39">E38</f>
        <v>112</v>
      </c>
      <c r="F39" s="28">
        <f>ROUND(F38+14.7, 0)</f>
        <v>271</v>
      </c>
      <c r="G39" s="29">
        <f t="shared" ref="G39" si="40">G38</f>
        <v>129</v>
      </c>
      <c r="H39" s="4" t="s">
        <v>0</v>
      </c>
      <c r="I39" s="16" t="str">
        <f t="shared" si="17"/>
        <v>08-01</v>
      </c>
      <c r="J39" s="14">
        <f t="shared" si="18"/>
        <v>256</v>
      </c>
      <c r="K39" s="15">
        <f t="shared" si="19"/>
        <v>112</v>
      </c>
      <c r="L39" s="17">
        <f t="shared" si="20"/>
        <v>271</v>
      </c>
      <c r="M39" s="18">
        <f t="shared" si="21"/>
        <v>112</v>
      </c>
      <c r="N39" s="14">
        <f t="shared" si="22"/>
        <v>271</v>
      </c>
      <c r="O39" s="15">
        <f t="shared" si="23"/>
        <v>129</v>
      </c>
      <c r="P39" s="17">
        <f t="shared" si="24"/>
        <v>256</v>
      </c>
      <c r="Q39" s="18">
        <f t="shared" si="25"/>
        <v>129</v>
      </c>
      <c r="R39" s="4" t="s">
        <v>0</v>
      </c>
      <c r="S39" s="16" t="str">
        <f t="shared" si="26"/>
        <v>08-01</v>
      </c>
      <c r="T39" s="14">
        <f t="shared" si="27"/>
        <v>256</v>
      </c>
      <c r="U39" s="18">
        <f t="shared" si="28"/>
        <v>638</v>
      </c>
      <c r="V39" s="14">
        <f t="shared" si="29"/>
        <v>271</v>
      </c>
      <c r="W39" s="18">
        <f t="shared" si="30"/>
        <v>638</v>
      </c>
      <c r="X39" s="14">
        <f t="shared" si="31"/>
        <v>271</v>
      </c>
      <c r="Y39" s="18">
        <f t="shared" si="32"/>
        <v>621</v>
      </c>
      <c r="Z39" s="14">
        <f t="shared" si="33"/>
        <v>256</v>
      </c>
      <c r="AA39" s="18">
        <f t="shared" si="34"/>
        <v>621</v>
      </c>
      <c r="AB39" s="4" t="s">
        <v>0</v>
      </c>
    </row>
    <row r="40" spans="1:28">
      <c r="A40" s="9" t="s">
        <v>179</v>
      </c>
      <c r="B40" s="24"/>
      <c r="C40" s="26">
        <v>2</v>
      </c>
      <c r="D40" s="25">
        <f>D26</f>
        <v>65</v>
      </c>
      <c r="E40" s="28">
        <f>ROUND(E$11+23*$C40, 0)</f>
        <v>135</v>
      </c>
      <c r="F40" s="25">
        <f>F26</f>
        <v>80</v>
      </c>
      <c r="G40" s="28">
        <f>ROUND(G$11+23*$C40, 0)</f>
        <v>152</v>
      </c>
      <c r="H40" s="4" t="s">
        <v>0</v>
      </c>
      <c r="I40" s="16" t="str">
        <f t="shared" si="17"/>
        <v>07-21</v>
      </c>
      <c r="J40" s="14">
        <f t="shared" si="18"/>
        <v>65</v>
      </c>
      <c r="K40" s="15">
        <f t="shared" si="19"/>
        <v>135</v>
      </c>
      <c r="L40" s="17">
        <f t="shared" si="20"/>
        <v>80</v>
      </c>
      <c r="M40" s="18">
        <f t="shared" si="21"/>
        <v>135</v>
      </c>
      <c r="N40" s="14">
        <f t="shared" si="22"/>
        <v>80</v>
      </c>
      <c r="O40" s="15">
        <f t="shared" si="23"/>
        <v>152</v>
      </c>
      <c r="P40" s="17">
        <f t="shared" si="24"/>
        <v>65</v>
      </c>
      <c r="Q40" s="18">
        <f t="shared" si="25"/>
        <v>152</v>
      </c>
      <c r="R40" s="4" t="s">
        <v>0</v>
      </c>
      <c r="S40" s="16" t="str">
        <f t="shared" si="26"/>
        <v>07-21</v>
      </c>
      <c r="T40" s="14">
        <f t="shared" si="27"/>
        <v>65</v>
      </c>
      <c r="U40" s="18">
        <f t="shared" si="28"/>
        <v>615</v>
      </c>
      <c r="V40" s="14">
        <f t="shared" si="29"/>
        <v>80</v>
      </c>
      <c r="W40" s="18">
        <f t="shared" si="30"/>
        <v>615</v>
      </c>
      <c r="X40" s="14">
        <f t="shared" si="31"/>
        <v>80</v>
      </c>
      <c r="Y40" s="18">
        <f t="shared" si="32"/>
        <v>598</v>
      </c>
      <c r="Z40" s="14">
        <f t="shared" si="33"/>
        <v>65</v>
      </c>
      <c r="AA40" s="18">
        <f t="shared" si="34"/>
        <v>598</v>
      </c>
      <c r="AB40" s="4" t="s">
        <v>0</v>
      </c>
    </row>
    <row r="41" spans="1:28">
      <c r="A41" s="9" t="s">
        <v>178</v>
      </c>
      <c r="B41" s="24"/>
      <c r="C41" s="4"/>
      <c r="D41" s="25">
        <f t="shared" si="35"/>
        <v>79</v>
      </c>
      <c r="E41" s="29">
        <f t="shared" ref="E41:E44" si="41">E40</f>
        <v>135</v>
      </c>
      <c r="F41" s="25">
        <f t="shared" si="36"/>
        <v>94</v>
      </c>
      <c r="G41" s="29">
        <f t="shared" ref="G41:G44" si="42">G40</f>
        <v>152</v>
      </c>
      <c r="H41" s="4" t="s">
        <v>0</v>
      </c>
      <c r="I41" s="16" t="str">
        <f t="shared" si="17"/>
        <v>07-20</v>
      </c>
      <c r="J41" s="14">
        <f t="shared" si="18"/>
        <v>79</v>
      </c>
      <c r="K41" s="15">
        <f t="shared" si="19"/>
        <v>135</v>
      </c>
      <c r="L41" s="17">
        <f t="shared" si="20"/>
        <v>94</v>
      </c>
      <c r="M41" s="18">
        <f t="shared" si="21"/>
        <v>135</v>
      </c>
      <c r="N41" s="14">
        <f t="shared" si="22"/>
        <v>94</v>
      </c>
      <c r="O41" s="15">
        <f t="shared" si="23"/>
        <v>152</v>
      </c>
      <c r="P41" s="17">
        <f t="shared" si="24"/>
        <v>79</v>
      </c>
      <c r="Q41" s="18">
        <f t="shared" si="25"/>
        <v>152</v>
      </c>
      <c r="R41" s="4" t="s">
        <v>0</v>
      </c>
      <c r="S41" s="16" t="str">
        <f t="shared" si="26"/>
        <v>07-20</v>
      </c>
      <c r="T41" s="14">
        <f t="shared" si="27"/>
        <v>79</v>
      </c>
      <c r="U41" s="18">
        <f t="shared" si="28"/>
        <v>615</v>
      </c>
      <c r="V41" s="14">
        <f t="shared" si="29"/>
        <v>94</v>
      </c>
      <c r="W41" s="18">
        <f t="shared" si="30"/>
        <v>615</v>
      </c>
      <c r="X41" s="14">
        <f t="shared" si="31"/>
        <v>94</v>
      </c>
      <c r="Y41" s="18">
        <f t="shared" si="32"/>
        <v>598</v>
      </c>
      <c r="Z41" s="14">
        <f t="shared" si="33"/>
        <v>79</v>
      </c>
      <c r="AA41" s="18">
        <f t="shared" si="34"/>
        <v>598</v>
      </c>
      <c r="AB41" s="4" t="s">
        <v>0</v>
      </c>
    </row>
    <row r="42" spans="1:28">
      <c r="A42" s="9" t="s">
        <v>177</v>
      </c>
      <c r="B42" s="24"/>
      <c r="C42" s="4"/>
      <c r="D42" s="25">
        <f t="shared" si="35"/>
        <v>94</v>
      </c>
      <c r="E42" s="29">
        <f t="shared" si="41"/>
        <v>135</v>
      </c>
      <c r="F42" s="25">
        <f t="shared" si="36"/>
        <v>109</v>
      </c>
      <c r="G42" s="29">
        <f t="shared" si="42"/>
        <v>152</v>
      </c>
      <c r="H42" s="4" t="s">
        <v>0</v>
      </c>
      <c r="I42" s="16" t="str">
        <f t="shared" si="17"/>
        <v>07-18</v>
      </c>
      <c r="J42" s="14">
        <f t="shared" si="18"/>
        <v>94</v>
      </c>
      <c r="K42" s="15">
        <f t="shared" si="19"/>
        <v>135</v>
      </c>
      <c r="L42" s="17">
        <f t="shared" si="20"/>
        <v>109</v>
      </c>
      <c r="M42" s="18">
        <f t="shared" si="21"/>
        <v>135</v>
      </c>
      <c r="N42" s="14">
        <f t="shared" si="22"/>
        <v>109</v>
      </c>
      <c r="O42" s="15">
        <f t="shared" si="23"/>
        <v>152</v>
      </c>
      <c r="P42" s="17">
        <f t="shared" si="24"/>
        <v>94</v>
      </c>
      <c r="Q42" s="18">
        <f t="shared" si="25"/>
        <v>152</v>
      </c>
      <c r="R42" s="4" t="s">
        <v>0</v>
      </c>
      <c r="S42" s="16" t="str">
        <f t="shared" si="26"/>
        <v>07-18</v>
      </c>
      <c r="T42" s="14">
        <f t="shared" si="27"/>
        <v>94</v>
      </c>
      <c r="U42" s="18">
        <f t="shared" si="28"/>
        <v>615</v>
      </c>
      <c r="V42" s="14">
        <f t="shared" si="29"/>
        <v>109</v>
      </c>
      <c r="W42" s="18">
        <f t="shared" si="30"/>
        <v>615</v>
      </c>
      <c r="X42" s="14">
        <f t="shared" si="31"/>
        <v>109</v>
      </c>
      <c r="Y42" s="18">
        <f t="shared" si="32"/>
        <v>598</v>
      </c>
      <c r="Z42" s="14">
        <f t="shared" si="33"/>
        <v>94</v>
      </c>
      <c r="AA42" s="18">
        <f t="shared" si="34"/>
        <v>598</v>
      </c>
      <c r="AB42" s="4" t="s">
        <v>0</v>
      </c>
    </row>
    <row r="43" spans="1:28">
      <c r="A43" s="9" t="s">
        <v>176</v>
      </c>
      <c r="B43" s="24"/>
      <c r="C43" s="4"/>
      <c r="D43" s="25">
        <f t="shared" si="35"/>
        <v>109</v>
      </c>
      <c r="E43" s="29">
        <f t="shared" si="41"/>
        <v>135</v>
      </c>
      <c r="F43" s="25">
        <f t="shared" si="36"/>
        <v>124</v>
      </c>
      <c r="G43" s="29">
        <f t="shared" si="42"/>
        <v>152</v>
      </c>
      <c r="H43" s="4" t="s">
        <v>0</v>
      </c>
      <c r="I43" s="16" t="str">
        <f t="shared" si="17"/>
        <v>07-17</v>
      </c>
      <c r="J43" s="14">
        <f t="shared" si="18"/>
        <v>109</v>
      </c>
      <c r="K43" s="15">
        <f t="shared" si="19"/>
        <v>135</v>
      </c>
      <c r="L43" s="17">
        <f t="shared" si="20"/>
        <v>124</v>
      </c>
      <c r="M43" s="18">
        <f t="shared" si="21"/>
        <v>135</v>
      </c>
      <c r="N43" s="14">
        <f t="shared" si="22"/>
        <v>124</v>
      </c>
      <c r="O43" s="15">
        <f t="shared" si="23"/>
        <v>152</v>
      </c>
      <c r="P43" s="17">
        <f t="shared" si="24"/>
        <v>109</v>
      </c>
      <c r="Q43" s="18">
        <f t="shared" si="25"/>
        <v>152</v>
      </c>
      <c r="R43" s="4" t="s">
        <v>0</v>
      </c>
      <c r="S43" s="16" t="str">
        <f t="shared" si="26"/>
        <v>07-17</v>
      </c>
      <c r="T43" s="14">
        <f t="shared" si="27"/>
        <v>109</v>
      </c>
      <c r="U43" s="18">
        <f t="shared" si="28"/>
        <v>615</v>
      </c>
      <c r="V43" s="14">
        <f t="shared" si="29"/>
        <v>124</v>
      </c>
      <c r="W43" s="18">
        <f t="shared" si="30"/>
        <v>615</v>
      </c>
      <c r="X43" s="14">
        <f t="shared" si="31"/>
        <v>124</v>
      </c>
      <c r="Y43" s="18">
        <f t="shared" si="32"/>
        <v>598</v>
      </c>
      <c r="Z43" s="14">
        <f t="shared" si="33"/>
        <v>109</v>
      </c>
      <c r="AA43" s="18">
        <f t="shared" si="34"/>
        <v>598</v>
      </c>
      <c r="AB43" s="4" t="s">
        <v>0</v>
      </c>
    </row>
    <row r="44" spans="1:28">
      <c r="A44" s="9" t="s">
        <v>175</v>
      </c>
      <c r="B44" s="24"/>
      <c r="C44" s="4"/>
      <c r="D44" s="25">
        <f t="shared" si="35"/>
        <v>124</v>
      </c>
      <c r="E44" s="29">
        <f t="shared" si="41"/>
        <v>135</v>
      </c>
      <c r="F44" s="25">
        <f t="shared" si="36"/>
        <v>139</v>
      </c>
      <c r="G44" s="29">
        <f t="shared" si="42"/>
        <v>152</v>
      </c>
      <c r="H44" s="4" t="s">
        <v>0</v>
      </c>
      <c r="I44" s="16" t="str">
        <f t="shared" si="17"/>
        <v>07-16</v>
      </c>
      <c r="J44" s="14">
        <f t="shared" si="18"/>
        <v>124</v>
      </c>
      <c r="K44" s="15">
        <f t="shared" si="19"/>
        <v>135</v>
      </c>
      <c r="L44" s="17">
        <f t="shared" si="20"/>
        <v>139</v>
      </c>
      <c r="M44" s="18">
        <f t="shared" si="21"/>
        <v>135</v>
      </c>
      <c r="N44" s="14">
        <f t="shared" si="22"/>
        <v>139</v>
      </c>
      <c r="O44" s="15">
        <f t="shared" si="23"/>
        <v>152</v>
      </c>
      <c r="P44" s="17">
        <f t="shared" si="24"/>
        <v>124</v>
      </c>
      <c r="Q44" s="18">
        <f t="shared" si="25"/>
        <v>152</v>
      </c>
      <c r="R44" s="4" t="s">
        <v>0</v>
      </c>
      <c r="S44" s="16" t="str">
        <f t="shared" si="26"/>
        <v>07-16</v>
      </c>
      <c r="T44" s="14">
        <f t="shared" si="27"/>
        <v>124</v>
      </c>
      <c r="U44" s="18">
        <f t="shared" si="28"/>
        <v>615</v>
      </c>
      <c r="V44" s="14">
        <f t="shared" si="29"/>
        <v>139</v>
      </c>
      <c r="W44" s="18">
        <f t="shared" si="30"/>
        <v>615</v>
      </c>
      <c r="X44" s="14">
        <f t="shared" si="31"/>
        <v>139</v>
      </c>
      <c r="Y44" s="18">
        <f t="shared" si="32"/>
        <v>598</v>
      </c>
      <c r="Z44" s="14">
        <f t="shared" si="33"/>
        <v>124</v>
      </c>
      <c r="AA44" s="18">
        <f t="shared" si="34"/>
        <v>598</v>
      </c>
      <c r="AB44" s="4" t="s">
        <v>0</v>
      </c>
    </row>
    <row r="45" spans="1:28">
      <c r="A45" s="9" t="s">
        <v>174</v>
      </c>
      <c r="B45" s="24"/>
      <c r="C45" s="4"/>
      <c r="D45" s="25">
        <f t="shared" si="35"/>
        <v>138</v>
      </c>
      <c r="E45" s="29">
        <f t="shared" ref="E45:E56" si="43">E44</f>
        <v>135</v>
      </c>
      <c r="F45" s="25">
        <f t="shared" si="36"/>
        <v>153</v>
      </c>
      <c r="G45" s="29">
        <f t="shared" ref="G45:G56" si="44">G44</f>
        <v>152</v>
      </c>
      <c r="H45" s="4" t="s">
        <v>0</v>
      </c>
      <c r="I45" s="16" t="str">
        <f t="shared" si="17"/>
        <v>07-15</v>
      </c>
      <c r="J45" s="14">
        <f t="shared" si="18"/>
        <v>138</v>
      </c>
      <c r="K45" s="15">
        <f t="shared" si="19"/>
        <v>135</v>
      </c>
      <c r="L45" s="17">
        <f t="shared" si="20"/>
        <v>153</v>
      </c>
      <c r="M45" s="18">
        <f t="shared" si="21"/>
        <v>135</v>
      </c>
      <c r="N45" s="14">
        <f t="shared" si="22"/>
        <v>153</v>
      </c>
      <c r="O45" s="15">
        <f t="shared" si="23"/>
        <v>152</v>
      </c>
      <c r="P45" s="17">
        <f t="shared" si="24"/>
        <v>138</v>
      </c>
      <c r="Q45" s="18">
        <f t="shared" si="25"/>
        <v>152</v>
      </c>
      <c r="R45" s="4" t="s">
        <v>0</v>
      </c>
      <c r="S45" s="16" t="str">
        <f t="shared" si="26"/>
        <v>07-15</v>
      </c>
      <c r="T45" s="14">
        <f t="shared" si="27"/>
        <v>138</v>
      </c>
      <c r="U45" s="18">
        <f t="shared" si="28"/>
        <v>615</v>
      </c>
      <c r="V45" s="14">
        <f t="shared" si="29"/>
        <v>153</v>
      </c>
      <c r="W45" s="18">
        <f t="shared" si="30"/>
        <v>615</v>
      </c>
      <c r="X45" s="14">
        <f t="shared" si="31"/>
        <v>153</v>
      </c>
      <c r="Y45" s="18">
        <f t="shared" si="32"/>
        <v>598</v>
      </c>
      <c r="Z45" s="14">
        <f t="shared" si="33"/>
        <v>138</v>
      </c>
      <c r="AA45" s="18">
        <f t="shared" si="34"/>
        <v>598</v>
      </c>
      <c r="AB45" s="4" t="s">
        <v>0</v>
      </c>
    </row>
    <row r="46" spans="1:28">
      <c r="A46" s="9" t="s">
        <v>173</v>
      </c>
      <c r="B46" s="24"/>
      <c r="C46" s="4"/>
      <c r="D46" s="25">
        <f t="shared" si="35"/>
        <v>153</v>
      </c>
      <c r="E46" s="29">
        <f t="shared" si="43"/>
        <v>135</v>
      </c>
      <c r="F46" s="25">
        <f t="shared" si="36"/>
        <v>168</v>
      </c>
      <c r="G46" s="29">
        <f t="shared" si="44"/>
        <v>152</v>
      </c>
      <c r="H46" s="4" t="s">
        <v>0</v>
      </c>
      <c r="I46" s="16" t="str">
        <f t="shared" si="17"/>
        <v>07-13</v>
      </c>
      <c r="J46" s="14">
        <f t="shared" si="18"/>
        <v>153</v>
      </c>
      <c r="K46" s="15">
        <f t="shared" si="19"/>
        <v>135</v>
      </c>
      <c r="L46" s="17">
        <f t="shared" si="20"/>
        <v>168</v>
      </c>
      <c r="M46" s="18">
        <f t="shared" si="21"/>
        <v>135</v>
      </c>
      <c r="N46" s="14">
        <f t="shared" si="22"/>
        <v>168</v>
      </c>
      <c r="O46" s="15">
        <f t="shared" si="23"/>
        <v>152</v>
      </c>
      <c r="P46" s="17">
        <f t="shared" si="24"/>
        <v>153</v>
      </c>
      <c r="Q46" s="18">
        <f t="shared" si="25"/>
        <v>152</v>
      </c>
      <c r="R46" s="4" t="s">
        <v>0</v>
      </c>
      <c r="S46" s="16" t="str">
        <f t="shared" si="26"/>
        <v>07-13</v>
      </c>
      <c r="T46" s="14">
        <f t="shared" si="27"/>
        <v>153</v>
      </c>
      <c r="U46" s="18">
        <f t="shared" si="28"/>
        <v>615</v>
      </c>
      <c r="V46" s="14">
        <f t="shared" si="29"/>
        <v>168</v>
      </c>
      <c r="W46" s="18">
        <f t="shared" si="30"/>
        <v>615</v>
      </c>
      <c r="X46" s="14">
        <f t="shared" si="31"/>
        <v>168</v>
      </c>
      <c r="Y46" s="18">
        <f t="shared" si="32"/>
        <v>598</v>
      </c>
      <c r="Z46" s="14">
        <f t="shared" si="33"/>
        <v>153</v>
      </c>
      <c r="AA46" s="18">
        <f t="shared" si="34"/>
        <v>598</v>
      </c>
      <c r="AB46" s="4" t="s">
        <v>0</v>
      </c>
    </row>
    <row r="47" spans="1:28">
      <c r="A47" s="9" t="s">
        <v>68</v>
      </c>
      <c r="B47" s="24"/>
      <c r="C47" s="4"/>
      <c r="D47" s="25">
        <f t="shared" si="35"/>
        <v>168</v>
      </c>
      <c r="E47" s="29">
        <f t="shared" si="43"/>
        <v>135</v>
      </c>
      <c r="F47" s="25">
        <f t="shared" si="36"/>
        <v>183</v>
      </c>
      <c r="G47" s="29">
        <f t="shared" si="44"/>
        <v>152</v>
      </c>
      <c r="H47" s="4" t="s">
        <v>0</v>
      </c>
      <c r="I47" s="16" t="str">
        <f t="shared" si="17"/>
        <v>07-12</v>
      </c>
      <c r="J47" s="14">
        <f t="shared" si="18"/>
        <v>168</v>
      </c>
      <c r="K47" s="15">
        <f t="shared" si="19"/>
        <v>135</v>
      </c>
      <c r="L47" s="17">
        <f t="shared" si="20"/>
        <v>183</v>
      </c>
      <c r="M47" s="18">
        <f t="shared" si="21"/>
        <v>135</v>
      </c>
      <c r="N47" s="14">
        <f t="shared" si="22"/>
        <v>183</v>
      </c>
      <c r="O47" s="15">
        <f t="shared" si="23"/>
        <v>152</v>
      </c>
      <c r="P47" s="17">
        <f t="shared" si="24"/>
        <v>168</v>
      </c>
      <c r="Q47" s="18">
        <f t="shared" si="25"/>
        <v>152</v>
      </c>
      <c r="R47" s="4" t="s">
        <v>0</v>
      </c>
      <c r="S47" s="16" t="str">
        <f t="shared" si="26"/>
        <v>07-12</v>
      </c>
      <c r="T47" s="14">
        <f t="shared" si="27"/>
        <v>168</v>
      </c>
      <c r="U47" s="18">
        <f t="shared" si="28"/>
        <v>615</v>
      </c>
      <c r="V47" s="14">
        <f t="shared" si="29"/>
        <v>183</v>
      </c>
      <c r="W47" s="18">
        <f t="shared" si="30"/>
        <v>615</v>
      </c>
      <c r="X47" s="14">
        <f t="shared" si="31"/>
        <v>183</v>
      </c>
      <c r="Y47" s="18">
        <f t="shared" si="32"/>
        <v>598</v>
      </c>
      <c r="Z47" s="14">
        <f t="shared" si="33"/>
        <v>168</v>
      </c>
      <c r="AA47" s="18">
        <f t="shared" si="34"/>
        <v>598</v>
      </c>
      <c r="AB47" s="4" t="s">
        <v>0</v>
      </c>
    </row>
    <row r="48" spans="1:28">
      <c r="A48" s="9" t="s">
        <v>67</v>
      </c>
      <c r="B48" s="24"/>
      <c r="C48" s="4"/>
      <c r="D48" s="25">
        <f t="shared" si="35"/>
        <v>182</v>
      </c>
      <c r="E48" s="29">
        <f t="shared" si="43"/>
        <v>135</v>
      </c>
      <c r="F48" s="25">
        <f t="shared" si="36"/>
        <v>197</v>
      </c>
      <c r="G48" s="29">
        <f t="shared" si="44"/>
        <v>152</v>
      </c>
      <c r="H48" s="4" t="s">
        <v>0</v>
      </c>
      <c r="I48" s="16" t="str">
        <f t="shared" si="17"/>
        <v>07-11</v>
      </c>
      <c r="J48" s="14">
        <f t="shared" si="18"/>
        <v>182</v>
      </c>
      <c r="K48" s="15">
        <f t="shared" si="19"/>
        <v>135</v>
      </c>
      <c r="L48" s="17">
        <f t="shared" si="20"/>
        <v>197</v>
      </c>
      <c r="M48" s="18">
        <f t="shared" si="21"/>
        <v>135</v>
      </c>
      <c r="N48" s="14">
        <f t="shared" si="22"/>
        <v>197</v>
      </c>
      <c r="O48" s="15">
        <f t="shared" si="23"/>
        <v>152</v>
      </c>
      <c r="P48" s="17">
        <f t="shared" si="24"/>
        <v>182</v>
      </c>
      <c r="Q48" s="18">
        <f t="shared" si="25"/>
        <v>152</v>
      </c>
      <c r="R48" s="4" t="s">
        <v>0</v>
      </c>
      <c r="S48" s="16" t="str">
        <f t="shared" si="26"/>
        <v>07-11</v>
      </c>
      <c r="T48" s="14">
        <f t="shared" si="27"/>
        <v>182</v>
      </c>
      <c r="U48" s="18">
        <f t="shared" si="28"/>
        <v>615</v>
      </c>
      <c r="V48" s="14">
        <f t="shared" si="29"/>
        <v>197</v>
      </c>
      <c r="W48" s="18">
        <f t="shared" si="30"/>
        <v>615</v>
      </c>
      <c r="X48" s="14">
        <f t="shared" si="31"/>
        <v>197</v>
      </c>
      <c r="Y48" s="18">
        <f t="shared" si="32"/>
        <v>598</v>
      </c>
      <c r="Z48" s="14">
        <f t="shared" si="33"/>
        <v>182</v>
      </c>
      <c r="AA48" s="18">
        <f t="shared" si="34"/>
        <v>598</v>
      </c>
      <c r="AB48" s="4" t="s">
        <v>0</v>
      </c>
    </row>
    <row r="49" spans="1:28">
      <c r="A49" s="9" t="s">
        <v>66</v>
      </c>
      <c r="B49" s="24"/>
      <c r="C49" s="4"/>
      <c r="D49" s="25">
        <f t="shared" si="35"/>
        <v>197</v>
      </c>
      <c r="E49" s="29">
        <f t="shared" si="43"/>
        <v>135</v>
      </c>
      <c r="F49" s="25">
        <f t="shared" si="36"/>
        <v>212</v>
      </c>
      <c r="G49" s="29">
        <f t="shared" si="44"/>
        <v>152</v>
      </c>
      <c r="H49" s="4" t="s">
        <v>0</v>
      </c>
      <c r="I49" s="16" t="str">
        <f t="shared" si="17"/>
        <v>07-10</v>
      </c>
      <c r="J49" s="14">
        <f t="shared" si="18"/>
        <v>197</v>
      </c>
      <c r="K49" s="15">
        <f t="shared" si="19"/>
        <v>135</v>
      </c>
      <c r="L49" s="17">
        <f t="shared" si="20"/>
        <v>212</v>
      </c>
      <c r="M49" s="18">
        <f t="shared" si="21"/>
        <v>135</v>
      </c>
      <c r="N49" s="14">
        <f t="shared" si="22"/>
        <v>212</v>
      </c>
      <c r="O49" s="15">
        <f t="shared" si="23"/>
        <v>152</v>
      </c>
      <c r="P49" s="17">
        <f t="shared" si="24"/>
        <v>197</v>
      </c>
      <c r="Q49" s="18">
        <f t="shared" si="25"/>
        <v>152</v>
      </c>
      <c r="R49" s="4" t="s">
        <v>0</v>
      </c>
      <c r="S49" s="16" t="str">
        <f t="shared" si="26"/>
        <v>07-10</v>
      </c>
      <c r="T49" s="14">
        <f t="shared" si="27"/>
        <v>197</v>
      </c>
      <c r="U49" s="18">
        <f t="shared" si="28"/>
        <v>615</v>
      </c>
      <c r="V49" s="14">
        <f t="shared" si="29"/>
        <v>212</v>
      </c>
      <c r="W49" s="18">
        <f t="shared" si="30"/>
        <v>615</v>
      </c>
      <c r="X49" s="14">
        <f t="shared" si="31"/>
        <v>212</v>
      </c>
      <c r="Y49" s="18">
        <f t="shared" si="32"/>
        <v>598</v>
      </c>
      <c r="Z49" s="14">
        <f t="shared" si="33"/>
        <v>197</v>
      </c>
      <c r="AA49" s="18">
        <f t="shared" si="34"/>
        <v>598</v>
      </c>
      <c r="AB49" s="4" t="s">
        <v>0</v>
      </c>
    </row>
    <row r="50" spans="1:28">
      <c r="A50" s="9" t="s">
        <v>65</v>
      </c>
      <c r="B50" s="24"/>
      <c r="C50" s="4"/>
      <c r="D50" s="25">
        <f t="shared" si="35"/>
        <v>212</v>
      </c>
      <c r="E50" s="29">
        <f t="shared" si="43"/>
        <v>135</v>
      </c>
      <c r="F50" s="25">
        <f t="shared" si="36"/>
        <v>227</v>
      </c>
      <c r="G50" s="29">
        <f t="shared" si="44"/>
        <v>152</v>
      </c>
      <c r="H50" s="4" t="s">
        <v>0</v>
      </c>
      <c r="I50" s="16" t="str">
        <f t="shared" si="17"/>
        <v>07-08</v>
      </c>
      <c r="J50" s="14">
        <f t="shared" si="18"/>
        <v>212</v>
      </c>
      <c r="K50" s="15">
        <f t="shared" si="19"/>
        <v>135</v>
      </c>
      <c r="L50" s="17">
        <f t="shared" si="20"/>
        <v>227</v>
      </c>
      <c r="M50" s="18">
        <f t="shared" si="21"/>
        <v>135</v>
      </c>
      <c r="N50" s="14">
        <f t="shared" si="22"/>
        <v>227</v>
      </c>
      <c r="O50" s="15">
        <f t="shared" si="23"/>
        <v>152</v>
      </c>
      <c r="P50" s="17">
        <f t="shared" si="24"/>
        <v>212</v>
      </c>
      <c r="Q50" s="18">
        <f t="shared" si="25"/>
        <v>152</v>
      </c>
      <c r="R50" s="4" t="s">
        <v>0</v>
      </c>
      <c r="S50" s="16" t="str">
        <f t="shared" si="26"/>
        <v>07-08</v>
      </c>
      <c r="T50" s="14">
        <f t="shared" si="27"/>
        <v>212</v>
      </c>
      <c r="U50" s="18">
        <f t="shared" si="28"/>
        <v>615</v>
      </c>
      <c r="V50" s="14">
        <f t="shared" si="29"/>
        <v>227</v>
      </c>
      <c r="W50" s="18">
        <f t="shared" si="30"/>
        <v>615</v>
      </c>
      <c r="X50" s="14">
        <f t="shared" si="31"/>
        <v>227</v>
      </c>
      <c r="Y50" s="18">
        <f t="shared" si="32"/>
        <v>598</v>
      </c>
      <c r="Z50" s="14">
        <f t="shared" si="33"/>
        <v>212</v>
      </c>
      <c r="AA50" s="18">
        <f t="shared" si="34"/>
        <v>598</v>
      </c>
      <c r="AB50" s="4" t="s">
        <v>0</v>
      </c>
    </row>
    <row r="51" spans="1:28">
      <c r="A51" s="9" t="s">
        <v>64</v>
      </c>
      <c r="B51" s="24"/>
      <c r="C51" s="4"/>
      <c r="D51" s="25">
        <f t="shared" si="35"/>
        <v>226</v>
      </c>
      <c r="E51" s="29">
        <f t="shared" si="43"/>
        <v>135</v>
      </c>
      <c r="F51" s="25">
        <f t="shared" si="36"/>
        <v>241</v>
      </c>
      <c r="G51" s="29">
        <f t="shared" si="44"/>
        <v>152</v>
      </c>
      <c r="H51" s="4" t="s">
        <v>0</v>
      </c>
      <c r="I51" s="16" t="str">
        <f t="shared" si="17"/>
        <v>07-07</v>
      </c>
      <c r="J51" s="14">
        <f t="shared" si="18"/>
        <v>226</v>
      </c>
      <c r="K51" s="15">
        <f t="shared" si="19"/>
        <v>135</v>
      </c>
      <c r="L51" s="17">
        <f t="shared" si="20"/>
        <v>241</v>
      </c>
      <c r="M51" s="18">
        <f t="shared" si="21"/>
        <v>135</v>
      </c>
      <c r="N51" s="14">
        <f t="shared" si="22"/>
        <v>241</v>
      </c>
      <c r="O51" s="15">
        <f t="shared" si="23"/>
        <v>152</v>
      </c>
      <c r="P51" s="17">
        <f t="shared" si="24"/>
        <v>226</v>
      </c>
      <c r="Q51" s="18">
        <f t="shared" si="25"/>
        <v>152</v>
      </c>
      <c r="R51" s="4" t="s">
        <v>0</v>
      </c>
      <c r="S51" s="16" t="str">
        <f t="shared" si="26"/>
        <v>07-07</v>
      </c>
      <c r="T51" s="14">
        <f t="shared" si="27"/>
        <v>226</v>
      </c>
      <c r="U51" s="18">
        <f t="shared" si="28"/>
        <v>615</v>
      </c>
      <c r="V51" s="14">
        <f t="shared" si="29"/>
        <v>241</v>
      </c>
      <c r="W51" s="18">
        <f t="shared" si="30"/>
        <v>615</v>
      </c>
      <c r="X51" s="14">
        <f t="shared" si="31"/>
        <v>241</v>
      </c>
      <c r="Y51" s="18">
        <f t="shared" si="32"/>
        <v>598</v>
      </c>
      <c r="Z51" s="14">
        <f t="shared" si="33"/>
        <v>226</v>
      </c>
      <c r="AA51" s="18">
        <f t="shared" si="34"/>
        <v>598</v>
      </c>
      <c r="AB51" s="4" t="s">
        <v>0</v>
      </c>
    </row>
    <row r="52" spans="1:28">
      <c r="A52" s="9" t="s">
        <v>63</v>
      </c>
      <c r="B52" s="24"/>
      <c r="C52" s="4"/>
      <c r="D52" s="25">
        <f t="shared" si="35"/>
        <v>241</v>
      </c>
      <c r="E52" s="29">
        <f t="shared" si="43"/>
        <v>135</v>
      </c>
      <c r="F52" s="25">
        <f t="shared" si="36"/>
        <v>256</v>
      </c>
      <c r="G52" s="29">
        <f t="shared" si="44"/>
        <v>152</v>
      </c>
      <c r="H52" s="4" t="s">
        <v>0</v>
      </c>
      <c r="I52" s="16" t="str">
        <f t="shared" si="17"/>
        <v>07-06</v>
      </c>
      <c r="J52" s="14">
        <f t="shared" si="18"/>
        <v>241</v>
      </c>
      <c r="K52" s="15">
        <f t="shared" si="19"/>
        <v>135</v>
      </c>
      <c r="L52" s="17">
        <f t="shared" si="20"/>
        <v>256</v>
      </c>
      <c r="M52" s="18">
        <f t="shared" si="21"/>
        <v>135</v>
      </c>
      <c r="N52" s="14">
        <f t="shared" si="22"/>
        <v>256</v>
      </c>
      <c r="O52" s="15">
        <f t="shared" si="23"/>
        <v>152</v>
      </c>
      <c r="P52" s="17">
        <f t="shared" si="24"/>
        <v>241</v>
      </c>
      <c r="Q52" s="18">
        <f t="shared" si="25"/>
        <v>152</v>
      </c>
      <c r="R52" s="4" t="s">
        <v>0</v>
      </c>
      <c r="S52" s="16" t="str">
        <f t="shared" si="26"/>
        <v>07-06</v>
      </c>
      <c r="T52" s="14">
        <f t="shared" si="27"/>
        <v>241</v>
      </c>
      <c r="U52" s="18">
        <f t="shared" si="28"/>
        <v>615</v>
      </c>
      <c r="V52" s="14">
        <f t="shared" si="29"/>
        <v>256</v>
      </c>
      <c r="W52" s="18">
        <f t="shared" si="30"/>
        <v>615</v>
      </c>
      <c r="X52" s="14">
        <f t="shared" si="31"/>
        <v>256</v>
      </c>
      <c r="Y52" s="18">
        <f t="shared" si="32"/>
        <v>598</v>
      </c>
      <c r="Z52" s="14">
        <f t="shared" si="33"/>
        <v>241</v>
      </c>
      <c r="AA52" s="18">
        <f t="shared" si="34"/>
        <v>598</v>
      </c>
      <c r="AB52" s="4" t="s">
        <v>0</v>
      </c>
    </row>
    <row r="53" spans="1:28">
      <c r="A53" s="9" t="s">
        <v>62</v>
      </c>
      <c r="B53" s="24"/>
      <c r="C53" s="4"/>
      <c r="D53" s="28">
        <f t="shared" ref="D53:D55" si="45">ROUND(D52+14.7, 0)</f>
        <v>256</v>
      </c>
      <c r="E53" s="29">
        <f t="shared" si="43"/>
        <v>135</v>
      </c>
      <c r="F53" s="28">
        <f t="shared" ref="F53:F54" si="46">ROUND(F52+14.7, 0)</f>
        <v>271</v>
      </c>
      <c r="G53" s="29">
        <f t="shared" si="44"/>
        <v>152</v>
      </c>
      <c r="H53" s="4" t="s">
        <v>0</v>
      </c>
      <c r="I53" s="16" t="str">
        <f t="shared" si="17"/>
        <v>07-05</v>
      </c>
      <c r="J53" s="14">
        <f t="shared" si="18"/>
        <v>256</v>
      </c>
      <c r="K53" s="15">
        <f t="shared" si="19"/>
        <v>135</v>
      </c>
      <c r="L53" s="17">
        <f t="shared" si="20"/>
        <v>271</v>
      </c>
      <c r="M53" s="18">
        <f t="shared" si="21"/>
        <v>135</v>
      </c>
      <c r="N53" s="14">
        <f t="shared" si="22"/>
        <v>271</v>
      </c>
      <c r="O53" s="15">
        <f t="shared" si="23"/>
        <v>152</v>
      </c>
      <c r="P53" s="17">
        <f t="shared" si="24"/>
        <v>256</v>
      </c>
      <c r="Q53" s="18">
        <f t="shared" si="25"/>
        <v>152</v>
      </c>
      <c r="R53" s="4" t="s">
        <v>0</v>
      </c>
      <c r="S53" s="16" t="str">
        <f t="shared" si="26"/>
        <v>07-05</v>
      </c>
      <c r="T53" s="14">
        <f t="shared" si="27"/>
        <v>256</v>
      </c>
      <c r="U53" s="18">
        <f t="shared" si="28"/>
        <v>615</v>
      </c>
      <c r="V53" s="14">
        <f t="shared" si="29"/>
        <v>271</v>
      </c>
      <c r="W53" s="18">
        <f t="shared" si="30"/>
        <v>615</v>
      </c>
      <c r="X53" s="14">
        <f t="shared" si="31"/>
        <v>271</v>
      </c>
      <c r="Y53" s="18">
        <f t="shared" si="32"/>
        <v>598</v>
      </c>
      <c r="Z53" s="14">
        <f t="shared" si="33"/>
        <v>256</v>
      </c>
      <c r="AA53" s="18">
        <f t="shared" si="34"/>
        <v>598</v>
      </c>
      <c r="AB53" s="4" t="s">
        <v>0</v>
      </c>
    </row>
    <row r="54" spans="1:28">
      <c r="A54" s="9" t="s">
        <v>3</v>
      </c>
      <c r="B54" s="24"/>
      <c r="C54" s="4"/>
      <c r="D54" s="28">
        <f t="shared" si="45"/>
        <v>271</v>
      </c>
      <c r="E54" s="29">
        <f t="shared" si="43"/>
        <v>135</v>
      </c>
      <c r="F54" s="28">
        <f t="shared" si="46"/>
        <v>286</v>
      </c>
      <c r="G54" s="29">
        <f t="shared" si="44"/>
        <v>152</v>
      </c>
      <c r="H54" s="4" t="s">
        <v>0</v>
      </c>
      <c r="I54" s="16" t="str">
        <f t="shared" si="17"/>
        <v>07-03</v>
      </c>
      <c r="J54" s="14">
        <f t="shared" si="18"/>
        <v>271</v>
      </c>
      <c r="K54" s="15">
        <f t="shared" si="19"/>
        <v>135</v>
      </c>
      <c r="L54" s="17">
        <f t="shared" si="20"/>
        <v>286</v>
      </c>
      <c r="M54" s="18">
        <f t="shared" si="21"/>
        <v>135</v>
      </c>
      <c r="N54" s="14">
        <f t="shared" si="22"/>
        <v>286</v>
      </c>
      <c r="O54" s="15">
        <f t="shared" si="23"/>
        <v>152</v>
      </c>
      <c r="P54" s="17">
        <f t="shared" si="24"/>
        <v>271</v>
      </c>
      <c r="Q54" s="18">
        <f t="shared" si="25"/>
        <v>152</v>
      </c>
      <c r="R54" s="4" t="s">
        <v>0</v>
      </c>
      <c r="S54" s="16" t="str">
        <f t="shared" si="26"/>
        <v>07-03</v>
      </c>
      <c r="T54" s="14">
        <f t="shared" si="27"/>
        <v>271</v>
      </c>
      <c r="U54" s="18">
        <f t="shared" si="28"/>
        <v>615</v>
      </c>
      <c r="V54" s="14">
        <f t="shared" si="29"/>
        <v>286</v>
      </c>
      <c r="W54" s="18">
        <f t="shared" si="30"/>
        <v>615</v>
      </c>
      <c r="X54" s="14">
        <f t="shared" si="31"/>
        <v>286</v>
      </c>
      <c r="Y54" s="18">
        <f t="shared" si="32"/>
        <v>598</v>
      </c>
      <c r="Z54" s="14">
        <f t="shared" si="33"/>
        <v>271</v>
      </c>
      <c r="AA54" s="18">
        <f t="shared" si="34"/>
        <v>598</v>
      </c>
      <c r="AB54" s="4" t="s">
        <v>0</v>
      </c>
    </row>
    <row r="55" spans="1:28">
      <c r="A55" s="9" t="s">
        <v>61</v>
      </c>
      <c r="B55" s="24"/>
      <c r="C55" s="4"/>
      <c r="D55" s="28">
        <f t="shared" si="45"/>
        <v>286</v>
      </c>
      <c r="E55" s="29">
        <f t="shared" si="43"/>
        <v>135</v>
      </c>
      <c r="F55" s="32">
        <v>300</v>
      </c>
      <c r="G55" s="29">
        <f t="shared" si="44"/>
        <v>152</v>
      </c>
      <c r="H55" s="4" t="s">
        <v>0</v>
      </c>
      <c r="I55" s="16" t="str">
        <f t="shared" si="17"/>
        <v>07-02</v>
      </c>
      <c r="J55" s="14">
        <f t="shared" si="18"/>
        <v>286</v>
      </c>
      <c r="K55" s="15">
        <f t="shared" si="19"/>
        <v>135</v>
      </c>
      <c r="L55" s="17">
        <f t="shared" si="20"/>
        <v>300</v>
      </c>
      <c r="M55" s="18">
        <f t="shared" si="21"/>
        <v>135</v>
      </c>
      <c r="N55" s="14">
        <f t="shared" si="22"/>
        <v>300</v>
      </c>
      <c r="O55" s="15">
        <f t="shared" si="23"/>
        <v>152</v>
      </c>
      <c r="P55" s="17">
        <f t="shared" si="24"/>
        <v>286</v>
      </c>
      <c r="Q55" s="18">
        <f t="shared" si="25"/>
        <v>152</v>
      </c>
      <c r="R55" s="4" t="s">
        <v>0</v>
      </c>
      <c r="S55" s="16" t="str">
        <f t="shared" si="26"/>
        <v>07-02</v>
      </c>
      <c r="T55" s="14">
        <f t="shared" si="27"/>
        <v>286</v>
      </c>
      <c r="U55" s="18">
        <f t="shared" si="28"/>
        <v>615</v>
      </c>
      <c r="V55" s="14">
        <f t="shared" si="29"/>
        <v>300</v>
      </c>
      <c r="W55" s="18">
        <f t="shared" si="30"/>
        <v>615</v>
      </c>
      <c r="X55" s="14">
        <f t="shared" si="31"/>
        <v>300</v>
      </c>
      <c r="Y55" s="18">
        <f t="shared" si="32"/>
        <v>598</v>
      </c>
      <c r="Z55" s="14">
        <f t="shared" si="33"/>
        <v>286</v>
      </c>
      <c r="AA55" s="18">
        <f t="shared" si="34"/>
        <v>598</v>
      </c>
      <c r="AB55" s="4" t="s">
        <v>0</v>
      </c>
    </row>
    <row r="56" spans="1:28">
      <c r="A56" s="9" t="s">
        <v>60</v>
      </c>
      <c r="B56" s="24"/>
      <c r="C56" s="4"/>
      <c r="D56" s="32">
        <v>300</v>
      </c>
      <c r="E56" s="29">
        <f t="shared" si="43"/>
        <v>135</v>
      </c>
      <c r="F56" s="32">
        <v>314</v>
      </c>
      <c r="G56" s="29">
        <f t="shared" si="44"/>
        <v>152</v>
      </c>
      <c r="H56" s="4" t="s">
        <v>0</v>
      </c>
      <c r="I56" s="16" t="str">
        <f t="shared" si="17"/>
        <v>07-01</v>
      </c>
      <c r="J56" s="14">
        <f t="shared" si="18"/>
        <v>300</v>
      </c>
      <c r="K56" s="15">
        <f t="shared" si="19"/>
        <v>135</v>
      </c>
      <c r="L56" s="17">
        <f t="shared" si="20"/>
        <v>314</v>
      </c>
      <c r="M56" s="18">
        <f t="shared" si="21"/>
        <v>135</v>
      </c>
      <c r="N56" s="14">
        <f t="shared" si="22"/>
        <v>314</v>
      </c>
      <c r="O56" s="15">
        <f t="shared" si="23"/>
        <v>152</v>
      </c>
      <c r="P56" s="17">
        <f t="shared" si="24"/>
        <v>300</v>
      </c>
      <c r="Q56" s="18">
        <f t="shared" si="25"/>
        <v>152</v>
      </c>
      <c r="R56" s="4" t="s">
        <v>0</v>
      </c>
      <c r="S56" s="16" t="str">
        <f t="shared" si="26"/>
        <v>07-01</v>
      </c>
      <c r="T56" s="14">
        <f t="shared" si="27"/>
        <v>300</v>
      </c>
      <c r="U56" s="18">
        <f t="shared" si="28"/>
        <v>615</v>
      </c>
      <c r="V56" s="14">
        <f t="shared" si="29"/>
        <v>314</v>
      </c>
      <c r="W56" s="18">
        <f t="shared" si="30"/>
        <v>615</v>
      </c>
      <c r="X56" s="14">
        <f t="shared" si="31"/>
        <v>314</v>
      </c>
      <c r="Y56" s="18">
        <f t="shared" si="32"/>
        <v>598</v>
      </c>
      <c r="Z56" s="14">
        <f t="shared" si="33"/>
        <v>300</v>
      </c>
      <c r="AA56" s="18">
        <f t="shared" si="34"/>
        <v>598</v>
      </c>
      <c r="AB56" s="4" t="s">
        <v>0</v>
      </c>
    </row>
    <row r="57" spans="1:28">
      <c r="A57" s="9" t="s">
        <v>438</v>
      </c>
      <c r="B57" s="24"/>
      <c r="C57" s="26">
        <v>3</v>
      </c>
      <c r="D57" s="25">
        <f>D41</f>
        <v>79</v>
      </c>
      <c r="E57" s="28">
        <f>ROUND(E$11+23*$C57, 0)</f>
        <v>158</v>
      </c>
      <c r="F57" s="25">
        <f>F41</f>
        <v>94</v>
      </c>
      <c r="G57" s="28">
        <f>ROUND(G$11+23*$C57, 0)</f>
        <v>175</v>
      </c>
      <c r="H57" s="4" t="s">
        <v>0</v>
      </c>
      <c r="I57" s="16" t="str">
        <f t="shared" si="17"/>
        <v>06-23</v>
      </c>
      <c r="J57" s="14">
        <f t="shared" si="18"/>
        <v>79</v>
      </c>
      <c r="K57" s="15">
        <f t="shared" si="19"/>
        <v>158</v>
      </c>
      <c r="L57" s="17">
        <f t="shared" si="20"/>
        <v>94</v>
      </c>
      <c r="M57" s="18">
        <f t="shared" si="21"/>
        <v>158</v>
      </c>
      <c r="N57" s="14">
        <f t="shared" si="22"/>
        <v>94</v>
      </c>
      <c r="O57" s="15">
        <f t="shared" si="23"/>
        <v>175</v>
      </c>
      <c r="P57" s="17">
        <f t="shared" si="24"/>
        <v>79</v>
      </c>
      <c r="Q57" s="18">
        <f t="shared" si="25"/>
        <v>175</v>
      </c>
      <c r="R57" s="4" t="s">
        <v>0</v>
      </c>
      <c r="S57" s="16" t="str">
        <f t="shared" si="26"/>
        <v>06-23</v>
      </c>
      <c r="T57" s="14">
        <f t="shared" si="27"/>
        <v>79</v>
      </c>
      <c r="U57" s="18">
        <f t="shared" si="28"/>
        <v>592</v>
      </c>
      <c r="V57" s="14">
        <f t="shared" si="29"/>
        <v>94</v>
      </c>
      <c r="W57" s="18">
        <f t="shared" si="30"/>
        <v>592</v>
      </c>
      <c r="X57" s="14">
        <f t="shared" si="31"/>
        <v>94</v>
      </c>
      <c r="Y57" s="18">
        <f t="shared" si="32"/>
        <v>575</v>
      </c>
      <c r="Z57" s="14">
        <f t="shared" si="33"/>
        <v>79</v>
      </c>
      <c r="AA57" s="18">
        <f t="shared" si="34"/>
        <v>575</v>
      </c>
      <c r="AB57" s="4" t="s">
        <v>0</v>
      </c>
    </row>
    <row r="58" spans="1:28">
      <c r="A58" s="9" t="s">
        <v>437</v>
      </c>
      <c r="B58" s="24"/>
      <c r="C58" s="4"/>
      <c r="D58" s="25">
        <f t="shared" ref="D58:D68" si="47">D42</f>
        <v>94</v>
      </c>
      <c r="E58" s="29">
        <f t="shared" ref="E58:E75" si="48">E57</f>
        <v>158</v>
      </c>
      <c r="F58" s="25">
        <f t="shared" ref="F58:F68" si="49">F42</f>
        <v>109</v>
      </c>
      <c r="G58" s="29">
        <f t="shared" ref="G58:G75" si="50">G57</f>
        <v>175</v>
      </c>
      <c r="H58" s="4" t="s">
        <v>0</v>
      </c>
      <c r="I58" s="16" t="str">
        <f t="shared" si="17"/>
        <v>06-22</v>
      </c>
      <c r="J58" s="14">
        <f t="shared" si="18"/>
        <v>94</v>
      </c>
      <c r="K58" s="15">
        <f t="shared" si="19"/>
        <v>158</v>
      </c>
      <c r="L58" s="17">
        <f t="shared" si="20"/>
        <v>109</v>
      </c>
      <c r="M58" s="18">
        <f t="shared" si="21"/>
        <v>158</v>
      </c>
      <c r="N58" s="14">
        <f t="shared" si="22"/>
        <v>109</v>
      </c>
      <c r="O58" s="15">
        <f t="shared" si="23"/>
        <v>175</v>
      </c>
      <c r="P58" s="17">
        <f t="shared" si="24"/>
        <v>94</v>
      </c>
      <c r="Q58" s="18">
        <f t="shared" si="25"/>
        <v>175</v>
      </c>
      <c r="R58" s="4" t="s">
        <v>0</v>
      </c>
      <c r="S58" s="16" t="str">
        <f t="shared" si="26"/>
        <v>06-22</v>
      </c>
      <c r="T58" s="14">
        <f t="shared" si="27"/>
        <v>94</v>
      </c>
      <c r="U58" s="18">
        <f t="shared" si="28"/>
        <v>592</v>
      </c>
      <c r="V58" s="14">
        <f t="shared" si="29"/>
        <v>109</v>
      </c>
      <c r="W58" s="18">
        <f t="shared" si="30"/>
        <v>592</v>
      </c>
      <c r="X58" s="14">
        <f t="shared" si="31"/>
        <v>109</v>
      </c>
      <c r="Y58" s="18">
        <f t="shared" si="32"/>
        <v>575</v>
      </c>
      <c r="Z58" s="14">
        <f t="shared" si="33"/>
        <v>94</v>
      </c>
      <c r="AA58" s="18">
        <f t="shared" si="34"/>
        <v>575</v>
      </c>
      <c r="AB58" s="4" t="s">
        <v>0</v>
      </c>
    </row>
    <row r="59" spans="1:28">
      <c r="A59" s="9" t="s">
        <v>172</v>
      </c>
      <c r="B59" s="24"/>
      <c r="C59" s="4"/>
      <c r="D59" s="25">
        <f t="shared" si="47"/>
        <v>109</v>
      </c>
      <c r="E59" s="29">
        <f t="shared" si="48"/>
        <v>158</v>
      </c>
      <c r="F59" s="25">
        <f t="shared" si="49"/>
        <v>124</v>
      </c>
      <c r="G59" s="29">
        <f t="shared" si="50"/>
        <v>175</v>
      </c>
      <c r="H59" s="4" t="s">
        <v>0</v>
      </c>
      <c r="I59" s="16" t="str">
        <f t="shared" si="17"/>
        <v>06-21</v>
      </c>
      <c r="J59" s="14">
        <f t="shared" si="18"/>
        <v>109</v>
      </c>
      <c r="K59" s="15">
        <f t="shared" si="19"/>
        <v>158</v>
      </c>
      <c r="L59" s="17">
        <f t="shared" si="20"/>
        <v>124</v>
      </c>
      <c r="M59" s="18">
        <f t="shared" si="21"/>
        <v>158</v>
      </c>
      <c r="N59" s="14">
        <f t="shared" si="22"/>
        <v>124</v>
      </c>
      <c r="O59" s="15">
        <f t="shared" si="23"/>
        <v>175</v>
      </c>
      <c r="P59" s="17">
        <f t="shared" si="24"/>
        <v>109</v>
      </c>
      <c r="Q59" s="18">
        <f t="shared" si="25"/>
        <v>175</v>
      </c>
      <c r="R59" s="4" t="s">
        <v>0</v>
      </c>
      <c r="S59" s="16" t="str">
        <f t="shared" si="26"/>
        <v>06-21</v>
      </c>
      <c r="T59" s="14">
        <f t="shared" si="27"/>
        <v>109</v>
      </c>
      <c r="U59" s="18">
        <f t="shared" si="28"/>
        <v>592</v>
      </c>
      <c r="V59" s="14">
        <f t="shared" si="29"/>
        <v>124</v>
      </c>
      <c r="W59" s="18">
        <f t="shared" si="30"/>
        <v>592</v>
      </c>
      <c r="X59" s="14">
        <f t="shared" si="31"/>
        <v>124</v>
      </c>
      <c r="Y59" s="18">
        <f t="shared" si="32"/>
        <v>575</v>
      </c>
      <c r="Z59" s="14">
        <f t="shared" si="33"/>
        <v>109</v>
      </c>
      <c r="AA59" s="18">
        <f t="shared" si="34"/>
        <v>575</v>
      </c>
      <c r="AB59" s="4" t="s">
        <v>0</v>
      </c>
    </row>
    <row r="60" spans="1:28">
      <c r="A60" s="9" t="s">
        <v>171</v>
      </c>
      <c r="B60" s="24"/>
      <c r="C60" s="4"/>
      <c r="D60" s="25">
        <f t="shared" si="47"/>
        <v>124</v>
      </c>
      <c r="E60" s="29">
        <f t="shared" si="48"/>
        <v>158</v>
      </c>
      <c r="F60" s="25">
        <f t="shared" si="49"/>
        <v>139</v>
      </c>
      <c r="G60" s="29">
        <f t="shared" si="50"/>
        <v>175</v>
      </c>
      <c r="H60" s="4" t="s">
        <v>0</v>
      </c>
      <c r="I60" s="16" t="str">
        <f t="shared" si="17"/>
        <v>06-20</v>
      </c>
      <c r="J60" s="14">
        <f t="shared" si="18"/>
        <v>124</v>
      </c>
      <c r="K60" s="15">
        <f t="shared" si="19"/>
        <v>158</v>
      </c>
      <c r="L60" s="17">
        <f t="shared" si="20"/>
        <v>139</v>
      </c>
      <c r="M60" s="18">
        <f t="shared" si="21"/>
        <v>158</v>
      </c>
      <c r="N60" s="14">
        <f t="shared" si="22"/>
        <v>139</v>
      </c>
      <c r="O60" s="15">
        <f t="shared" si="23"/>
        <v>175</v>
      </c>
      <c r="P60" s="17">
        <f t="shared" si="24"/>
        <v>124</v>
      </c>
      <c r="Q60" s="18">
        <f t="shared" si="25"/>
        <v>175</v>
      </c>
      <c r="R60" s="4" t="s">
        <v>0</v>
      </c>
      <c r="S60" s="16" t="str">
        <f t="shared" si="26"/>
        <v>06-20</v>
      </c>
      <c r="T60" s="14">
        <f t="shared" si="27"/>
        <v>124</v>
      </c>
      <c r="U60" s="18">
        <f t="shared" si="28"/>
        <v>592</v>
      </c>
      <c r="V60" s="14">
        <f t="shared" si="29"/>
        <v>139</v>
      </c>
      <c r="W60" s="18">
        <f t="shared" si="30"/>
        <v>592</v>
      </c>
      <c r="X60" s="14">
        <f t="shared" si="31"/>
        <v>139</v>
      </c>
      <c r="Y60" s="18">
        <f t="shared" si="32"/>
        <v>575</v>
      </c>
      <c r="Z60" s="14">
        <f t="shared" si="33"/>
        <v>124</v>
      </c>
      <c r="AA60" s="18">
        <f t="shared" si="34"/>
        <v>575</v>
      </c>
      <c r="AB60" s="4" t="s">
        <v>0</v>
      </c>
    </row>
    <row r="61" spans="1:28">
      <c r="A61" s="9" t="s">
        <v>170</v>
      </c>
      <c r="B61" s="24"/>
      <c r="C61" s="4"/>
      <c r="D61" s="25">
        <f t="shared" si="47"/>
        <v>138</v>
      </c>
      <c r="E61" s="29">
        <f t="shared" si="48"/>
        <v>158</v>
      </c>
      <c r="F61" s="25">
        <f t="shared" si="49"/>
        <v>153</v>
      </c>
      <c r="G61" s="29">
        <f t="shared" si="50"/>
        <v>175</v>
      </c>
      <c r="H61" s="4" t="s">
        <v>0</v>
      </c>
      <c r="I61" s="16" t="str">
        <f t="shared" si="17"/>
        <v>06-18</v>
      </c>
      <c r="J61" s="14">
        <f t="shared" si="18"/>
        <v>138</v>
      </c>
      <c r="K61" s="15">
        <f t="shared" si="19"/>
        <v>158</v>
      </c>
      <c r="L61" s="17">
        <f t="shared" si="20"/>
        <v>153</v>
      </c>
      <c r="M61" s="18">
        <f t="shared" si="21"/>
        <v>158</v>
      </c>
      <c r="N61" s="14">
        <f t="shared" si="22"/>
        <v>153</v>
      </c>
      <c r="O61" s="15">
        <f t="shared" si="23"/>
        <v>175</v>
      </c>
      <c r="P61" s="17">
        <f t="shared" si="24"/>
        <v>138</v>
      </c>
      <c r="Q61" s="18">
        <f t="shared" si="25"/>
        <v>175</v>
      </c>
      <c r="R61" s="4" t="s">
        <v>0</v>
      </c>
      <c r="S61" s="16" t="str">
        <f t="shared" si="26"/>
        <v>06-18</v>
      </c>
      <c r="T61" s="14">
        <f t="shared" si="27"/>
        <v>138</v>
      </c>
      <c r="U61" s="18">
        <f t="shared" si="28"/>
        <v>592</v>
      </c>
      <c r="V61" s="14">
        <f t="shared" si="29"/>
        <v>153</v>
      </c>
      <c r="W61" s="18">
        <f t="shared" si="30"/>
        <v>592</v>
      </c>
      <c r="X61" s="14">
        <f t="shared" si="31"/>
        <v>153</v>
      </c>
      <c r="Y61" s="18">
        <f t="shared" si="32"/>
        <v>575</v>
      </c>
      <c r="Z61" s="14">
        <f t="shared" si="33"/>
        <v>138</v>
      </c>
      <c r="AA61" s="18">
        <f t="shared" si="34"/>
        <v>575</v>
      </c>
      <c r="AB61" s="4" t="s">
        <v>0</v>
      </c>
    </row>
    <row r="62" spans="1:28">
      <c r="A62" s="9" t="s">
        <v>137</v>
      </c>
      <c r="B62" s="24"/>
      <c r="C62" s="4"/>
      <c r="D62" s="25">
        <f t="shared" si="47"/>
        <v>153</v>
      </c>
      <c r="E62" s="29">
        <f t="shared" si="48"/>
        <v>158</v>
      </c>
      <c r="F62" s="25">
        <f t="shared" si="49"/>
        <v>168</v>
      </c>
      <c r="G62" s="29">
        <f t="shared" si="50"/>
        <v>175</v>
      </c>
      <c r="H62" s="4" t="s">
        <v>0</v>
      </c>
      <c r="I62" s="16" t="str">
        <f t="shared" si="17"/>
        <v>06-17</v>
      </c>
      <c r="J62" s="14">
        <f t="shared" si="18"/>
        <v>153</v>
      </c>
      <c r="K62" s="15">
        <f t="shared" si="19"/>
        <v>158</v>
      </c>
      <c r="L62" s="17">
        <f t="shared" si="20"/>
        <v>168</v>
      </c>
      <c r="M62" s="18">
        <f t="shared" si="21"/>
        <v>158</v>
      </c>
      <c r="N62" s="14">
        <f t="shared" si="22"/>
        <v>168</v>
      </c>
      <c r="O62" s="15">
        <f t="shared" si="23"/>
        <v>175</v>
      </c>
      <c r="P62" s="17">
        <f t="shared" si="24"/>
        <v>153</v>
      </c>
      <c r="Q62" s="18">
        <f t="shared" si="25"/>
        <v>175</v>
      </c>
      <c r="R62" s="4" t="s">
        <v>0</v>
      </c>
      <c r="S62" s="16" t="str">
        <f t="shared" si="26"/>
        <v>06-17</v>
      </c>
      <c r="T62" s="14">
        <f t="shared" si="27"/>
        <v>153</v>
      </c>
      <c r="U62" s="18">
        <f t="shared" si="28"/>
        <v>592</v>
      </c>
      <c r="V62" s="14">
        <f t="shared" si="29"/>
        <v>168</v>
      </c>
      <c r="W62" s="18">
        <f t="shared" si="30"/>
        <v>592</v>
      </c>
      <c r="X62" s="14">
        <f t="shared" si="31"/>
        <v>168</v>
      </c>
      <c r="Y62" s="18">
        <f t="shared" si="32"/>
        <v>575</v>
      </c>
      <c r="Z62" s="14">
        <f t="shared" si="33"/>
        <v>153</v>
      </c>
      <c r="AA62" s="18">
        <f t="shared" si="34"/>
        <v>575</v>
      </c>
      <c r="AB62" s="4" t="s">
        <v>0</v>
      </c>
    </row>
    <row r="63" spans="1:28">
      <c r="A63" s="9" t="s">
        <v>169</v>
      </c>
      <c r="B63" s="24"/>
      <c r="C63" s="4"/>
      <c r="D63" s="25">
        <f t="shared" si="47"/>
        <v>168</v>
      </c>
      <c r="E63" s="29">
        <f t="shared" si="48"/>
        <v>158</v>
      </c>
      <c r="F63" s="25">
        <f t="shared" si="49"/>
        <v>183</v>
      </c>
      <c r="G63" s="29">
        <f t="shared" si="50"/>
        <v>175</v>
      </c>
      <c r="H63" s="4" t="s">
        <v>0</v>
      </c>
      <c r="I63" s="16" t="str">
        <f t="shared" si="17"/>
        <v>06-16</v>
      </c>
      <c r="J63" s="14">
        <f t="shared" si="18"/>
        <v>168</v>
      </c>
      <c r="K63" s="15">
        <f t="shared" si="19"/>
        <v>158</v>
      </c>
      <c r="L63" s="17">
        <f t="shared" si="20"/>
        <v>183</v>
      </c>
      <c r="M63" s="18">
        <f t="shared" si="21"/>
        <v>158</v>
      </c>
      <c r="N63" s="14">
        <f t="shared" si="22"/>
        <v>183</v>
      </c>
      <c r="O63" s="15">
        <f t="shared" si="23"/>
        <v>175</v>
      </c>
      <c r="P63" s="17">
        <f t="shared" si="24"/>
        <v>168</v>
      </c>
      <c r="Q63" s="18">
        <f t="shared" si="25"/>
        <v>175</v>
      </c>
      <c r="R63" s="4" t="s">
        <v>0</v>
      </c>
      <c r="S63" s="16" t="str">
        <f t="shared" si="26"/>
        <v>06-16</v>
      </c>
      <c r="T63" s="14">
        <f t="shared" si="27"/>
        <v>168</v>
      </c>
      <c r="U63" s="18">
        <f t="shared" si="28"/>
        <v>592</v>
      </c>
      <c r="V63" s="14">
        <f t="shared" si="29"/>
        <v>183</v>
      </c>
      <c r="W63" s="18">
        <f t="shared" si="30"/>
        <v>592</v>
      </c>
      <c r="X63" s="14">
        <f t="shared" si="31"/>
        <v>183</v>
      </c>
      <c r="Y63" s="18">
        <f t="shared" si="32"/>
        <v>575</v>
      </c>
      <c r="Z63" s="14">
        <f t="shared" si="33"/>
        <v>168</v>
      </c>
      <c r="AA63" s="18">
        <f t="shared" si="34"/>
        <v>575</v>
      </c>
      <c r="AB63" s="4" t="s">
        <v>0</v>
      </c>
    </row>
    <row r="64" spans="1:28">
      <c r="A64" s="9" t="s">
        <v>168</v>
      </c>
      <c r="B64" s="24"/>
      <c r="C64" s="4"/>
      <c r="D64" s="25">
        <f t="shared" si="47"/>
        <v>182</v>
      </c>
      <c r="E64" s="29">
        <f t="shared" si="48"/>
        <v>158</v>
      </c>
      <c r="F64" s="25">
        <f t="shared" si="49"/>
        <v>197</v>
      </c>
      <c r="G64" s="29">
        <f t="shared" si="50"/>
        <v>175</v>
      </c>
      <c r="H64" s="4" t="s">
        <v>0</v>
      </c>
      <c r="I64" s="16" t="str">
        <f t="shared" si="17"/>
        <v>06-15</v>
      </c>
      <c r="J64" s="14">
        <f t="shared" si="18"/>
        <v>182</v>
      </c>
      <c r="K64" s="15">
        <f t="shared" si="19"/>
        <v>158</v>
      </c>
      <c r="L64" s="17">
        <f t="shared" si="20"/>
        <v>197</v>
      </c>
      <c r="M64" s="18">
        <f t="shared" si="21"/>
        <v>158</v>
      </c>
      <c r="N64" s="14">
        <f t="shared" si="22"/>
        <v>197</v>
      </c>
      <c r="O64" s="15">
        <f t="shared" si="23"/>
        <v>175</v>
      </c>
      <c r="P64" s="17">
        <f t="shared" si="24"/>
        <v>182</v>
      </c>
      <c r="Q64" s="18">
        <f t="shared" si="25"/>
        <v>175</v>
      </c>
      <c r="R64" s="4" t="s">
        <v>0</v>
      </c>
      <c r="S64" s="16" t="str">
        <f t="shared" si="26"/>
        <v>06-15</v>
      </c>
      <c r="T64" s="14">
        <f t="shared" si="27"/>
        <v>182</v>
      </c>
      <c r="U64" s="18">
        <f t="shared" si="28"/>
        <v>592</v>
      </c>
      <c r="V64" s="14">
        <f t="shared" si="29"/>
        <v>197</v>
      </c>
      <c r="W64" s="18">
        <f t="shared" si="30"/>
        <v>592</v>
      </c>
      <c r="X64" s="14">
        <f t="shared" si="31"/>
        <v>197</v>
      </c>
      <c r="Y64" s="18">
        <f t="shared" si="32"/>
        <v>575</v>
      </c>
      <c r="Z64" s="14">
        <f t="shared" si="33"/>
        <v>182</v>
      </c>
      <c r="AA64" s="18">
        <f t="shared" si="34"/>
        <v>575</v>
      </c>
      <c r="AB64" s="4" t="s">
        <v>0</v>
      </c>
    </row>
    <row r="65" spans="1:28">
      <c r="A65" s="9" t="s">
        <v>167</v>
      </c>
      <c r="B65" s="24"/>
      <c r="C65" s="4"/>
      <c r="D65" s="25">
        <f t="shared" si="47"/>
        <v>197</v>
      </c>
      <c r="E65" s="29">
        <f t="shared" si="48"/>
        <v>158</v>
      </c>
      <c r="F65" s="25">
        <f t="shared" si="49"/>
        <v>212</v>
      </c>
      <c r="G65" s="29">
        <f t="shared" si="50"/>
        <v>175</v>
      </c>
      <c r="H65" s="4" t="s">
        <v>0</v>
      </c>
      <c r="I65" s="16" t="str">
        <f t="shared" si="17"/>
        <v>06-13</v>
      </c>
      <c r="J65" s="14">
        <f t="shared" si="18"/>
        <v>197</v>
      </c>
      <c r="K65" s="15">
        <f t="shared" si="19"/>
        <v>158</v>
      </c>
      <c r="L65" s="17">
        <f t="shared" si="20"/>
        <v>212</v>
      </c>
      <c r="M65" s="18">
        <f t="shared" si="21"/>
        <v>158</v>
      </c>
      <c r="N65" s="14">
        <f t="shared" si="22"/>
        <v>212</v>
      </c>
      <c r="O65" s="15">
        <f t="shared" si="23"/>
        <v>175</v>
      </c>
      <c r="P65" s="17">
        <f t="shared" si="24"/>
        <v>197</v>
      </c>
      <c r="Q65" s="18">
        <f t="shared" si="25"/>
        <v>175</v>
      </c>
      <c r="R65" s="4" t="s">
        <v>0</v>
      </c>
      <c r="S65" s="16" t="str">
        <f t="shared" si="26"/>
        <v>06-13</v>
      </c>
      <c r="T65" s="14">
        <f t="shared" si="27"/>
        <v>197</v>
      </c>
      <c r="U65" s="18">
        <f t="shared" si="28"/>
        <v>592</v>
      </c>
      <c r="V65" s="14">
        <f t="shared" si="29"/>
        <v>212</v>
      </c>
      <c r="W65" s="18">
        <f t="shared" si="30"/>
        <v>592</v>
      </c>
      <c r="X65" s="14">
        <f t="shared" si="31"/>
        <v>212</v>
      </c>
      <c r="Y65" s="18">
        <f t="shared" si="32"/>
        <v>575</v>
      </c>
      <c r="Z65" s="14">
        <f t="shared" si="33"/>
        <v>197</v>
      </c>
      <c r="AA65" s="18">
        <f t="shared" si="34"/>
        <v>575</v>
      </c>
      <c r="AB65" s="4" t="s">
        <v>0</v>
      </c>
    </row>
    <row r="66" spans="1:28">
      <c r="A66" s="9" t="s">
        <v>59</v>
      </c>
      <c r="B66" s="24"/>
      <c r="C66" s="4"/>
      <c r="D66" s="25">
        <f t="shared" si="47"/>
        <v>212</v>
      </c>
      <c r="E66" s="29">
        <f t="shared" si="48"/>
        <v>158</v>
      </c>
      <c r="F66" s="25">
        <f t="shared" si="49"/>
        <v>227</v>
      </c>
      <c r="G66" s="29">
        <f t="shared" si="50"/>
        <v>175</v>
      </c>
      <c r="H66" s="4" t="s">
        <v>0</v>
      </c>
      <c r="I66" s="16" t="str">
        <f t="shared" si="17"/>
        <v>06-12</v>
      </c>
      <c r="J66" s="14">
        <f t="shared" si="18"/>
        <v>212</v>
      </c>
      <c r="K66" s="15">
        <f t="shared" si="19"/>
        <v>158</v>
      </c>
      <c r="L66" s="17">
        <f t="shared" si="20"/>
        <v>227</v>
      </c>
      <c r="M66" s="18">
        <f t="shared" si="21"/>
        <v>158</v>
      </c>
      <c r="N66" s="14">
        <f t="shared" si="22"/>
        <v>227</v>
      </c>
      <c r="O66" s="15">
        <f t="shared" si="23"/>
        <v>175</v>
      </c>
      <c r="P66" s="17">
        <f t="shared" si="24"/>
        <v>212</v>
      </c>
      <c r="Q66" s="18">
        <f t="shared" si="25"/>
        <v>175</v>
      </c>
      <c r="R66" s="4" t="s">
        <v>0</v>
      </c>
      <c r="S66" s="16" t="str">
        <f t="shared" si="26"/>
        <v>06-12</v>
      </c>
      <c r="T66" s="14">
        <f t="shared" si="27"/>
        <v>212</v>
      </c>
      <c r="U66" s="18">
        <f t="shared" si="28"/>
        <v>592</v>
      </c>
      <c r="V66" s="14">
        <f t="shared" si="29"/>
        <v>227</v>
      </c>
      <c r="W66" s="18">
        <f t="shared" si="30"/>
        <v>592</v>
      </c>
      <c r="X66" s="14">
        <f t="shared" si="31"/>
        <v>227</v>
      </c>
      <c r="Y66" s="18">
        <f t="shared" si="32"/>
        <v>575</v>
      </c>
      <c r="Z66" s="14">
        <f t="shared" si="33"/>
        <v>212</v>
      </c>
      <c r="AA66" s="18">
        <f t="shared" si="34"/>
        <v>575</v>
      </c>
      <c r="AB66" s="4" t="s">
        <v>0</v>
      </c>
    </row>
    <row r="67" spans="1:28">
      <c r="A67" s="9" t="s">
        <v>58</v>
      </c>
      <c r="B67" s="24"/>
      <c r="C67" s="4"/>
      <c r="D67" s="25">
        <f t="shared" si="47"/>
        <v>226</v>
      </c>
      <c r="E67" s="29">
        <f t="shared" si="48"/>
        <v>158</v>
      </c>
      <c r="F67" s="25">
        <f t="shared" si="49"/>
        <v>241</v>
      </c>
      <c r="G67" s="29">
        <f t="shared" si="50"/>
        <v>175</v>
      </c>
      <c r="H67" s="4" t="s">
        <v>0</v>
      </c>
      <c r="I67" s="16" t="str">
        <f t="shared" si="17"/>
        <v>06-11</v>
      </c>
      <c r="J67" s="14">
        <f t="shared" si="18"/>
        <v>226</v>
      </c>
      <c r="K67" s="15">
        <f t="shared" si="19"/>
        <v>158</v>
      </c>
      <c r="L67" s="17">
        <f t="shared" si="20"/>
        <v>241</v>
      </c>
      <c r="M67" s="18">
        <f t="shared" si="21"/>
        <v>158</v>
      </c>
      <c r="N67" s="14">
        <f t="shared" si="22"/>
        <v>241</v>
      </c>
      <c r="O67" s="15">
        <f t="shared" si="23"/>
        <v>175</v>
      </c>
      <c r="P67" s="17">
        <f t="shared" si="24"/>
        <v>226</v>
      </c>
      <c r="Q67" s="18">
        <f t="shared" si="25"/>
        <v>175</v>
      </c>
      <c r="R67" s="4" t="s">
        <v>0</v>
      </c>
      <c r="S67" s="16" t="str">
        <f t="shared" si="26"/>
        <v>06-11</v>
      </c>
      <c r="T67" s="14">
        <f t="shared" si="27"/>
        <v>226</v>
      </c>
      <c r="U67" s="18">
        <f t="shared" si="28"/>
        <v>592</v>
      </c>
      <c r="V67" s="14">
        <f t="shared" si="29"/>
        <v>241</v>
      </c>
      <c r="W67" s="18">
        <f t="shared" si="30"/>
        <v>592</v>
      </c>
      <c r="X67" s="14">
        <f t="shared" si="31"/>
        <v>241</v>
      </c>
      <c r="Y67" s="18">
        <f t="shared" si="32"/>
        <v>575</v>
      </c>
      <c r="Z67" s="14">
        <f t="shared" si="33"/>
        <v>226</v>
      </c>
      <c r="AA67" s="18">
        <f t="shared" si="34"/>
        <v>575</v>
      </c>
      <c r="AB67" s="4" t="s">
        <v>0</v>
      </c>
    </row>
    <row r="68" spans="1:28">
      <c r="A68" s="9" t="s">
        <v>57</v>
      </c>
      <c r="B68" s="24"/>
      <c r="C68" s="4"/>
      <c r="D68" s="25">
        <f t="shared" si="47"/>
        <v>241</v>
      </c>
      <c r="E68" s="29">
        <f t="shared" si="48"/>
        <v>158</v>
      </c>
      <c r="F68" s="25">
        <f t="shared" si="49"/>
        <v>256</v>
      </c>
      <c r="G68" s="29">
        <f t="shared" si="50"/>
        <v>175</v>
      </c>
      <c r="H68" s="4" t="s">
        <v>0</v>
      </c>
      <c r="I68" s="16" t="str">
        <f t="shared" si="17"/>
        <v>06-10</v>
      </c>
      <c r="J68" s="14">
        <f t="shared" si="18"/>
        <v>241</v>
      </c>
      <c r="K68" s="15">
        <f t="shared" si="19"/>
        <v>158</v>
      </c>
      <c r="L68" s="17">
        <f t="shared" si="20"/>
        <v>256</v>
      </c>
      <c r="M68" s="18">
        <f t="shared" si="21"/>
        <v>158</v>
      </c>
      <c r="N68" s="14">
        <f t="shared" si="22"/>
        <v>256</v>
      </c>
      <c r="O68" s="15">
        <f t="shared" si="23"/>
        <v>175</v>
      </c>
      <c r="P68" s="17">
        <f t="shared" si="24"/>
        <v>241</v>
      </c>
      <c r="Q68" s="18">
        <f t="shared" si="25"/>
        <v>175</v>
      </c>
      <c r="R68" s="4" t="s">
        <v>0</v>
      </c>
      <c r="S68" s="16" t="str">
        <f t="shared" si="26"/>
        <v>06-10</v>
      </c>
      <c r="T68" s="14">
        <f t="shared" si="27"/>
        <v>241</v>
      </c>
      <c r="U68" s="18">
        <f t="shared" si="28"/>
        <v>592</v>
      </c>
      <c r="V68" s="14">
        <f t="shared" si="29"/>
        <v>256</v>
      </c>
      <c r="W68" s="18">
        <f t="shared" si="30"/>
        <v>592</v>
      </c>
      <c r="X68" s="14">
        <f t="shared" si="31"/>
        <v>256</v>
      </c>
      <c r="Y68" s="18">
        <f t="shared" si="32"/>
        <v>575</v>
      </c>
      <c r="Z68" s="14">
        <f t="shared" si="33"/>
        <v>241</v>
      </c>
      <c r="AA68" s="18">
        <f t="shared" si="34"/>
        <v>575</v>
      </c>
      <c r="AB68" s="4" t="s">
        <v>0</v>
      </c>
    </row>
    <row r="69" spans="1:28">
      <c r="A69" s="9" t="s">
        <v>56</v>
      </c>
      <c r="B69" s="24"/>
      <c r="C69" s="4"/>
      <c r="D69" s="28">
        <f t="shared" ref="D69:D71" si="51">ROUND(D68+14.7, 0)</f>
        <v>256</v>
      </c>
      <c r="E69" s="29">
        <f t="shared" si="48"/>
        <v>158</v>
      </c>
      <c r="F69" s="28">
        <f t="shared" ref="F69:F70" si="52">ROUND(F68+14.7, 0)</f>
        <v>271</v>
      </c>
      <c r="G69" s="29">
        <f t="shared" si="50"/>
        <v>175</v>
      </c>
      <c r="H69" s="4" t="s">
        <v>0</v>
      </c>
      <c r="I69" s="16" t="str">
        <f t="shared" si="17"/>
        <v>06-08</v>
      </c>
      <c r="J69" s="14">
        <f t="shared" si="18"/>
        <v>256</v>
      </c>
      <c r="K69" s="15">
        <f t="shared" si="19"/>
        <v>158</v>
      </c>
      <c r="L69" s="17">
        <f t="shared" si="20"/>
        <v>271</v>
      </c>
      <c r="M69" s="18">
        <f t="shared" si="21"/>
        <v>158</v>
      </c>
      <c r="N69" s="14">
        <f t="shared" si="22"/>
        <v>271</v>
      </c>
      <c r="O69" s="15">
        <f t="shared" si="23"/>
        <v>175</v>
      </c>
      <c r="P69" s="17">
        <f t="shared" si="24"/>
        <v>256</v>
      </c>
      <c r="Q69" s="18">
        <f t="shared" si="25"/>
        <v>175</v>
      </c>
      <c r="R69" s="4" t="s">
        <v>0</v>
      </c>
      <c r="S69" s="16" t="str">
        <f t="shared" si="26"/>
        <v>06-08</v>
      </c>
      <c r="T69" s="14">
        <f t="shared" si="27"/>
        <v>256</v>
      </c>
      <c r="U69" s="18">
        <f t="shared" si="28"/>
        <v>592</v>
      </c>
      <c r="V69" s="14">
        <f t="shared" si="29"/>
        <v>271</v>
      </c>
      <c r="W69" s="18">
        <f t="shared" si="30"/>
        <v>592</v>
      </c>
      <c r="X69" s="14">
        <f t="shared" si="31"/>
        <v>271</v>
      </c>
      <c r="Y69" s="18">
        <f t="shared" si="32"/>
        <v>575</v>
      </c>
      <c r="Z69" s="14">
        <f t="shared" si="33"/>
        <v>256</v>
      </c>
      <c r="AA69" s="18">
        <f t="shared" si="34"/>
        <v>575</v>
      </c>
      <c r="AB69" s="4" t="s">
        <v>0</v>
      </c>
    </row>
    <row r="70" spans="1:28">
      <c r="A70" s="9" t="s">
        <v>55</v>
      </c>
      <c r="B70" s="24"/>
      <c r="C70" s="4"/>
      <c r="D70" s="28">
        <f t="shared" si="51"/>
        <v>271</v>
      </c>
      <c r="E70" s="29">
        <f t="shared" si="48"/>
        <v>158</v>
      </c>
      <c r="F70" s="28">
        <f t="shared" si="52"/>
        <v>286</v>
      </c>
      <c r="G70" s="29">
        <f t="shared" si="50"/>
        <v>175</v>
      </c>
      <c r="H70" s="4" t="s">
        <v>0</v>
      </c>
      <c r="I70" s="16" t="str">
        <f t="shared" si="17"/>
        <v>06-07</v>
      </c>
      <c r="J70" s="14">
        <f t="shared" si="18"/>
        <v>271</v>
      </c>
      <c r="K70" s="15">
        <f t="shared" si="19"/>
        <v>158</v>
      </c>
      <c r="L70" s="17">
        <f t="shared" si="20"/>
        <v>286</v>
      </c>
      <c r="M70" s="18">
        <f t="shared" si="21"/>
        <v>158</v>
      </c>
      <c r="N70" s="14">
        <f t="shared" si="22"/>
        <v>286</v>
      </c>
      <c r="O70" s="15">
        <f t="shared" si="23"/>
        <v>175</v>
      </c>
      <c r="P70" s="17">
        <f t="shared" si="24"/>
        <v>271</v>
      </c>
      <c r="Q70" s="18">
        <f t="shared" si="25"/>
        <v>175</v>
      </c>
      <c r="R70" s="4" t="s">
        <v>0</v>
      </c>
      <c r="S70" s="16" t="str">
        <f t="shared" si="26"/>
        <v>06-07</v>
      </c>
      <c r="T70" s="14">
        <f t="shared" si="27"/>
        <v>271</v>
      </c>
      <c r="U70" s="18">
        <f t="shared" si="28"/>
        <v>592</v>
      </c>
      <c r="V70" s="14">
        <f t="shared" si="29"/>
        <v>286</v>
      </c>
      <c r="W70" s="18">
        <f t="shared" si="30"/>
        <v>592</v>
      </c>
      <c r="X70" s="14">
        <f t="shared" si="31"/>
        <v>286</v>
      </c>
      <c r="Y70" s="18">
        <f t="shared" si="32"/>
        <v>575</v>
      </c>
      <c r="Z70" s="14">
        <f t="shared" si="33"/>
        <v>271</v>
      </c>
      <c r="AA70" s="18">
        <f t="shared" si="34"/>
        <v>575</v>
      </c>
      <c r="AB70" s="4" t="s">
        <v>0</v>
      </c>
    </row>
    <row r="71" spans="1:28">
      <c r="A71" s="9" t="s">
        <v>54</v>
      </c>
      <c r="B71" s="24"/>
      <c r="C71" s="4"/>
      <c r="D71" s="28">
        <f t="shared" si="51"/>
        <v>286</v>
      </c>
      <c r="E71" s="29">
        <f t="shared" si="48"/>
        <v>158</v>
      </c>
      <c r="F71" s="32">
        <v>300</v>
      </c>
      <c r="G71" s="29">
        <f t="shared" si="50"/>
        <v>175</v>
      </c>
      <c r="H71" s="4" t="s">
        <v>0</v>
      </c>
      <c r="I71" s="16" t="str">
        <f t="shared" si="17"/>
        <v>06-06</v>
      </c>
      <c r="J71" s="14">
        <f t="shared" si="18"/>
        <v>286</v>
      </c>
      <c r="K71" s="15">
        <f t="shared" si="19"/>
        <v>158</v>
      </c>
      <c r="L71" s="17">
        <f t="shared" si="20"/>
        <v>300</v>
      </c>
      <c r="M71" s="18">
        <f t="shared" si="21"/>
        <v>158</v>
      </c>
      <c r="N71" s="14">
        <f t="shared" si="22"/>
        <v>300</v>
      </c>
      <c r="O71" s="15">
        <f t="shared" si="23"/>
        <v>175</v>
      </c>
      <c r="P71" s="17">
        <f t="shared" si="24"/>
        <v>286</v>
      </c>
      <c r="Q71" s="18">
        <f t="shared" si="25"/>
        <v>175</v>
      </c>
      <c r="R71" s="4" t="s">
        <v>0</v>
      </c>
      <c r="S71" s="16" t="str">
        <f t="shared" si="26"/>
        <v>06-06</v>
      </c>
      <c r="T71" s="14">
        <f t="shared" si="27"/>
        <v>286</v>
      </c>
      <c r="U71" s="18">
        <f t="shared" si="28"/>
        <v>592</v>
      </c>
      <c r="V71" s="14">
        <f t="shared" si="29"/>
        <v>300</v>
      </c>
      <c r="W71" s="18">
        <f t="shared" si="30"/>
        <v>592</v>
      </c>
      <c r="X71" s="14">
        <f t="shared" si="31"/>
        <v>300</v>
      </c>
      <c r="Y71" s="18">
        <f t="shared" si="32"/>
        <v>575</v>
      </c>
      <c r="Z71" s="14">
        <f t="shared" si="33"/>
        <v>286</v>
      </c>
      <c r="AA71" s="18">
        <f t="shared" si="34"/>
        <v>575</v>
      </c>
      <c r="AB71" s="4" t="s">
        <v>0</v>
      </c>
    </row>
    <row r="72" spans="1:28">
      <c r="A72" s="9" t="s">
        <v>53</v>
      </c>
      <c r="B72" s="24"/>
      <c r="C72" s="4"/>
      <c r="D72" s="32">
        <v>300</v>
      </c>
      <c r="E72" s="29">
        <f t="shared" si="48"/>
        <v>158</v>
      </c>
      <c r="F72" s="32">
        <v>314</v>
      </c>
      <c r="G72" s="29">
        <f t="shared" si="50"/>
        <v>175</v>
      </c>
      <c r="H72" s="4" t="s">
        <v>0</v>
      </c>
      <c r="I72" s="16" t="str">
        <f t="shared" si="17"/>
        <v>06-05</v>
      </c>
      <c r="J72" s="14">
        <f t="shared" si="18"/>
        <v>300</v>
      </c>
      <c r="K72" s="15">
        <f t="shared" si="19"/>
        <v>158</v>
      </c>
      <c r="L72" s="17">
        <f t="shared" si="20"/>
        <v>314</v>
      </c>
      <c r="M72" s="18">
        <f t="shared" si="21"/>
        <v>158</v>
      </c>
      <c r="N72" s="14">
        <f t="shared" si="22"/>
        <v>314</v>
      </c>
      <c r="O72" s="15">
        <f t="shared" si="23"/>
        <v>175</v>
      </c>
      <c r="P72" s="17">
        <f t="shared" si="24"/>
        <v>300</v>
      </c>
      <c r="Q72" s="18">
        <f t="shared" si="25"/>
        <v>175</v>
      </c>
      <c r="R72" s="4" t="s">
        <v>0</v>
      </c>
      <c r="S72" s="16" t="str">
        <f t="shared" si="26"/>
        <v>06-05</v>
      </c>
      <c r="T72" s="14">
        <f t="shared" si="27"/>
        <v>300</v>
      </c>
      <c r="U72" s="18">
        <f t="shared" si="28"/>
        <v>592</v>
      </c>
      <c r="V72" s="14">
        <f t="shared" si="29"/>
        <v>314</v>
      </c>
      <c r="W72" s="18">
        <f t="shared" si="30"/>
        <v>592</v>
      </c>
      <c r="X72" s="14">
        <f t="shared" si="31"/>
        <v>314</v>
      </c>
      <c r="Y72" s="18">
        <f t="shared" si="32"/>
        <v>575</v>
      </c>
      <c r="Z72" s="14">
        <f t="shared" si="33"/>
        <v>300</v>
      </c>
      <c r="AA72" s="18">
        <f t="shared" si="34"/>
        <v>575</v>
      </c>
      <c r="AB72" s="4" t="s">
        <v>0</v>
      </c>
    </row>
    <row r="73" spans="1:28">
      <c r="A73" s="9" t="s">
        <v>52</v>
      </c>
      <c r="B73" s="24"/>
      <c r="C73" s="4"/>
      <c r="D73" s="32">
        <v>314</v>
      </c>
      <c r="E73" s="29">
        <f t="shared" si="48"/>
        <v>158</v>
      </c>
      <c r="F73" s="32">
        <v>329</v>
      </c>
      <c r="G73" s="29">
        <f t="shared" si="50"/>
        <v>175</v>
      </c>
      <c r="H73" s="4" t="s">
        <v>0</v>
      </c>
      <c r="I73" s="16" t="str">
        <f t="shared" si="17"/>
        <v>06-03</v>
      </c>
      <c r="J73" s="14">
        <f t="shared" si="18"/>
        <v>314</v>
      </c>
      <c r="K73" s="15">
        <f t="shared" si="19"/>
        <v>158</v>
      </c>
      <c r="L73" s="17">
        <f t="shared" si="20"/>
        <v>329</v>
      </c>
      <c r="M73" s="18">
        <f t="shared" si="21"/>
        <v>158</v>
      </c>
      <c r="N73" s="14">
        <f t="shared" si="22"/>
        <v>329</v>
      </c>
      <c r="O73" s="15">
        <f t="shared" si="23"/>
        <v>175</v>
      </c>
      <c r="P73" s="17">
        <f t="shared" si="24"/>
        <v>314</v>
      </c>
      <c r="Q73" s="18">
        <f t="shared" si="25"/>
        <v>175</v>
      </c>
      <c r="R73" s="4" t="s">
        <v>0</v>
      </c>
      <c r="S73" s="16" t="str">
        <f t="shared" si="26"/>
        <v>06-03</v>
      </c>
      <c r="T73" s="14">
        <f t="shared" si="27"/>
        <v>314</v>
      </c>
      <c r="U73" s="18">
        <f t="shared" si="28"/>
        <v>592</v>
      </c>
      <c r="V73" s="14">
        <f t="shared" si="29"/>
        <v>329</v>
      </c>
      <c r="W73" s="18">
        <f t="shared" si="30"/>
        <v>592</v>
      </c>
      <c r="X73" s="14">
        <f t="shared" si="31"/>
        <v>329</v>
      </c>
      <c r="Y73" s="18">
        <f t="shared" si="32"/>
        <v>575</v>
      </c>
      <c r="Z73" s="14">
        <f t="shared" si="33"/>
        <v>314</v>
      </c>
      <c r="AA73" s="18">
        <f t="shared" si="34"/>
        <v>575</v>
      </c>
      <c r="AB73" s="4" t="s">
        <v>0</v>
      </c>
    </row>
    <row r="74" spans="1:28">
      <c r="A74" s="9" t="s">
        <v>51</v>
      </c>
      <c r="B74" s="24"/>
      <c r="C74" s="4"/>
      <c r="D74" s="32">
        <v>329</v>
      </c>
      <c r="E74" s="29">
        <f t="shared" si="48"/>
        <v>158</v>
      </c>
      <c r="F74" s="32">
        <v>344</v>
      </c>
      <c r="G74" s="29">
        <f t="shared" si="50"/>
        <v>175</v>
      </c>
      <c r="H74" s="4" t="s">
        <v>0</v>
      </c>
      <c r="I74" s="16" t="str">
        <f t="shared" si="17"/>
        <v>06-02</v>
      </c>
      <c r="J74" s="14">
        <f t="shared" si="18"/>
        <v>329</v>
      </c>
      <c r="K74" s="15">
        <f t="shared" si="19"/>
        <v>158</v>
      </c>
      <c r="L74" s="17">
        <f t="shared" si="20"/>
        <v>344</v>
      </c>
      <c r="M74" s="18">
        <f t="shared" si="21"/>
        <v>158</v>
      </c>
      <c r="N74" s="14">
        <f t="shared" si="22"/>
        <v>344</v>
      </c>
      <c r="O74" s="15">
        <f t="shared" si="23"/>
        <v>175</v>
      </c>
      <c r="P74" s="17">
        <f t="shared" si="24"/>
        <v>329</v>
      </c>
      <c r="Q74" s="18">
        <f t="shared" si="25"/>
        <v>175</v>
      </c>
      <c r="R74" s="4" t="s">
        <v>0</v>
      </c>
      <c r="S74" s="16" t="str">
        <f t="shared" si="26"/>
        <v>06-02</v>
      </c>
      <c r="T74" s="14">
        <f t="shared" si="27"/>
        <v>329</v>
      </c>
      <c r="U74" s="18">
        <f t="shared" si="28"/>
        <v>592</v>
      </c>
      <c r="V74" s="14">
        <f t="shared" si="29"/>
        <v>344</v>
      </c>
      <c r="W74" s="18">
        <f t="shared" si="30"/>
        <v>592</v>
      </c>
      <c r="X74" s="14">
        <f t="shared" si="31"/>
        <v>344</v>
      </c>
      <c r="Y74" s="18">
        <f t="shared" si="32"/>
        <v>575</v>
      </c>
      <c r="Z74" s="14">
        <f t="shared" si="33"/>
        <v>329</v>
      </c>
      <c r="AA74" s="18">
        <f t="shared" si="34"/>
        <v>575</v>
      </c>
      <c r="AB74" s="4" t="s">
        <v>0</v>
      </c>
    </row>
    <row r="75" spans="1:28">
      <c r="A75" s="9" t="s">
        <v>50</v>
      </c>
      <c r="B75" s="24"/>
      <c r="C75" s="4"/>
      <c r="D75" s="32">
        <v>344</v>
      </c>
      <c r="E75" s="29">
        <f t="shared" si="48"/>
        <v>158</v>
      </c>
      <c r="F75" s="32">
        <v>358</v>
      </c>
      <c r="G75" s="29">
        <f t="shared" si="50"/>
        <v>175</v>
      </c>
      <c r="H75" s="4" t="s">
        <v>0</v>
      </c>
      <c r="I75" s="16" t="str">
        <f t="shared" si="17"/>
        <v>06-01</v>
      </c>
      <c r="J75" s="14">
        <f t="shared" si="18"/>
        <v>344</v>
      </c>
      <c r="K75" s="15">
        <f t="shared" si="19"/>
        <v>158</v>
      </c>
      <c r="L75" s="17">
        <f t="shared" si="20"/>
        <v>358</v>
      </c>
      <c r="M75" s="18">
        <f t="shared" si="21"/>
        <v>158</v>
      </c>
      <c r="N75" s="14">
        <f t="shared" si="22"/>
        <v>358</v>
      </c>
      <c r="O75" s="15">
        <f t="shared" si="23"/>
        <v>175</v>
      </c>
      <c r="P75" s="17">
        <f t="shared" si="24"/>
        <v>344</v>
      </c>
      <c r="Q75" s="18">
        <f t="shared" si="25"/>
        <v>175</v>
      </c>
      <c r="R75" s="4" t="s">
        <v>0</v>
      </c>
      <c r="S75" s="16" t="str">
        <f t="shared" si="26"/>
        <v>06-01</v>
      </c>
      <c r="T75" s="14">
        <f t="shared" si="27"/>
        <v>344</v>
      </c>
      <c r="U75" s="18">
        <f t="shared" si="28"/>
        <v>592</v>
      </c>
      <c r="V75" s="14">
        <f t="shared" si="29"/>
        <v>358</v>
      </c>
      <c r="W75" s="18">
        <f t="shared" si="30"/>
        <v>592</v>
      </c>
      <c r="X75" s="14">
        <f t="shared" si="31"/>
        <v>358</v>
      </c>
      <c r="Y75" s="18">
        <f t="shared" si="32"/>
        <v>575</v>
      </c>
      <c r="Z75" s="14">
        <f t="shared" si="33"/>
        <v>344</v>
      </c>
      <c r="AA75" s="18">
        <f t="shared" si="34"/>
        <v>575</v>
      </c>
      <c r="AB75" s="4" t="s">
        <v>0</v>
      </c>
    </row>
    <row r="76" spans="1:28">
      <c r="A76" s="9" t="s">
        <v>436</v>
      </c>
      <c r="B76" s="24"/>
      <c r="C76" s="4"/>
      <c r="D76" s="27">
        <v>45</v>
      </c>
      <c r="E76" s="31">
        <v>229</v>
      </c>
      <c r="F76" s="31">
        <v>59</v>
      </c>
      <c r="G76" s="31">
        <v>244</v>
      </c>
      <c r="H76" s="4" t="s">
        <v>0</v>
      </c>
      <c r="I76" s="16" t="str">
        <f t="shared" ref="I76:I139" si="53">A76</f>
        <v>05-28</v>
      </c>
      <c r="J76" s="14">
        <f t="shared" ref="J76:J139" si="54">IF(D76&lt;&gt;"",D76,0)</f>
        <v>45</v>
      </c>
      <c r="K76" s="15">
        <f t="shared" ref="K76:K139" si="55">IF(E76&lt;&gt;"",E76,0)</f>
        <v>229</v>
      </c>
      <c r="L76" s="17">
        <f t="shared" ref="L76:L139" si="56">N76</f>
        <v>59</v>
      </c>
      <c r="M76" s="18">
        <f t="shared" ref="M76:M139" si="57">K76</f>
        <v>229</v>
      </c>
      <c r="N76" s="14">
        <f t="shared" ref="N76:N139" si="58">IF(F76&lt;&gt;"",F76,0)</f>
        <v>59</v>
      </c>
      <c r="O76" s="15">
        <f t="shared" ref="O76:O139" si="59">IF(G76&lt;&gt;"",G76,0)</f>
        <v>244</v>
      </c>
      <c r="P76" s="17">
        <f t="shared" ref="P76:P139" si="60">J76</f>
        <v>45</v>
      </c>
      <c r="Q76" s="18">
        <f t="shared" ref="Q76:Q139" si="61">O76</f>
        <v>244</v>
      </c>
      <c r="R76" s="4" t="s">
        <v>0</v>
      </c>
      <c r="S76" s="16" t="str">
        <f t="shared" ref="S76:S139" si="62">I76</f>
        <v>05-28</v>
      </c>
      <c r="T76" s="14">
        <f t="shared" ref="T76:T139" si="63">IF(J76&lt;&gt;"",J76,"")</f>
        <v>45</v>
      </c>
      <c r="U76" s="18">
        <f t="shared" ref="U76:U139" si="64">IF(K76&lt;&gt;"",U$6-K76,"")</f>
        <v>521</v>
      </c>
      <c r="V76" s="14">
        <f t="shared" ref="V76:V139" si="65">IF(L76&lt;&gt;"",L76,"")</f>
        <v>59</v>
      </c>
      <c r="W76" s="18">
        <f t="shared" ref="W76:W139" si="66">IF(M76&lt;&gt;"",W$6-M76,"")</f>
        <v>521</v>
      </c>
      <c r="X76" s="14">
        <f t="shared" ref="X76:X139" si="67">IF(N76&lt;&gt;"",N76,"")</f>
        <v>59</v>
      </c>
      <c r="Y76" s="18">
        <f t="shared" ref="Y76:Y139" si="68">IF(O76&lt;&gt;"",Y$6-O76,"")</f>
        <v>506</v>
      </c>
      <c r="Z76" s="14">
        <f t="shared" ref="Z76:Z139" si="69">IF(P76&lt;&gt;"",P76,"")</f>
        <v>45</v>
      </c>
      <c r="AA76" s="18">
        <f t="shared" ref="AA76:AA139" si="70">IF(Q76&lt;&gt;"",AA$6-Q76,"")</f>
        <v>506</v>
      </c>
      <c r="AB76" s="4" t="s">
        <v>0</v>
      </c>
    </row>
    <row r="77" spans="1:28">
      <c r="A77" s="9" t="s">
        <v>435</v>
      </c>
      <c r="B77" s="24"/>
      <c r="C77" s="26">
        <v>1</v>
      </c>
      <c r="D77" s="28">
        <f>ROUND(D$76+14.4*$C77, 0)</f>
        <v>59</v>
      </c>
      <c r="E77" s="29">
        <f t="shared" ref="E77" si="71">E76</f>
        <v>229</v>
      </c>
      <c r="F77" s="28">
        <f>ROUND(F$76+14.4*$C77, 0)</f>
        <v>73</v>
      </c>
      <c r="G77" s="29">
        <f t="shared" ref="G77" si="72">G76</f>
        <v>244</v>
      </c>
      <c r="H77" s="4" t="s">
        <v>0</v>
      </c>
      <c r="I77" s="16" t="str">
        <f t="shared" si="53"/>
        <v>05-27</v>
      </c>
      <c r="J77" s="14">
        <f t="shared" si="54"/>
        <v>59</v>
      </c>
      <c r="K77" s="15">
        <f t="shared" si="55"/>
        <v>229</v>
      </c>
      <c r="L77" s="17">
        <f t="shared" si="56"/>
        <v>73</v>
      </c>
      <c r="M77" s="18">
        <f t="shared" si="57"/>
        <v>229</v>
      </c>
      <c r="N77" s="14">
        <f t="shared" si="58"/>
        <v>73</v>
      </c>
      <c r="O77" s="15">
        <f t="shared" si="59"/>
        <v>244</v>
      </c>
      <c r="P77" s="17">
        <f t="shared" si="60"/>
        <v>59</v>
      </c>
      <c r="Q77" s="18">
        <f t="shared" si="61"/>
        <v>244</v>
      </c>
      <c r="R77" s="4" t="s">
        <v>0</v>
      </c>
      <c r="S77" s="16" t="str">
        <f t="shared" si="62"/>
        <v>05-27</v>
      </c>
      <c r="T77" s="14">
        <f t="shared" si="63"/>
        <v>59</v>
      </c>
      <c r="U77" s="18">
        <f t="shared" si="64"/>
        <v>521</v>
      </c>
      <c r="V77" s="14">
        <f t="shared" si="65"/>
        <v>73</v>
      </c>
      <c r="W77" s="18">
        <f t="shared" si="66"/>
        <v>521</v>
      </c>
      <c r="X77" s="14">
        <f t="shared" si="67"/>
        <v>73</v>
      </c>
      <c r="Y77" s="18">
        <f t="shared" si="68"/>
        <v>506</v>
      </c>
      <c r="Z77" s="14">
        <f t="shared" si="69"/>
        <v>59</v>
      </c>
      <c r="AA77" s="18">
        <f t="shared" si="70"/>
        <v>506</v>
      </c>
      <c r="AB77" s="4" t="s">
        <v>0</v>
      </c>
    </row>
    <row r="78" spans="1:28">
      <c r="A78" s="9" t="s">
        <v>434</v>
      </c>
      <c r="B78" s="24"/>
      <c r="C78" s="26">
        <v>2</v>
      </c>
      <c r="D78" s="28">
        <f t="shared" ref="D78:D88" si="73">ROUND(D$76+14.4*$C78, 0)</f>
        <v>74</v>
      </c>
      <c r="E78" s="29">
        <f t="shared" ref="E78:E88" si="74">E77</f>
        <v>229</v>
      </c>
      <c r="F78" s="28">
        <f t="shared" ref="F78:F88" si="75">ROUND(F$76+14.4*$C78, 0)</f>
        <v>88</v>
      </c>
      <c r="G78" s="29">
        <f t="shared" ref="G78:G88" si="76">G77</f>
        <v>244</v>
      </c>
      <c r="H78" s="4" t="s">
        <v>0</v>
      </c>
      <c r="I78" s="16" t="str">
        <f t="shared" si="53"/>
        <v>05-26</v>
      </c>
      <c r="J78" s="14">
        <f t="shared" si="54"/>
        <v>74</v>
      </c>
      <c r="K78" s="15">
        <f t="shared" si="55"/>
        <v>229</v>
      </c>
      <c r="L78" s="17">
        <f t="shared" si="56"/>
        <v>88</v>
      </c>
      <c r="M78" s="18">
        <f t="shared" si="57"/>
        <v>229</v>
      </c>
      <c r="N78" s="14">
        <f t="shared" si="58"/>
        <v>88</v>
      </c>
      <c r="O78" s="15">
        <f t="shared" si="59"/>
        <v>244</v>
      </c>
      <c r="P78" s="17">
        <f t="shared" si="60"/>
        <v>74</v>
      </c>
      <c r="Q78" s="18">
        <f t="shared" si="61"/>
        <v>244</v>
      </c>
      <c r="R78" s="4" t="s">
        <v>0</v>
      </c>
      <c r="S78" s="16" t="str">
        <f t="shared" si="62"/>
        <v>05-26</v>
      </c>
      <c r="T78" s="14">
        <f t="shared" si="63"/>
        <v>74</v>
      </c>
      <c r="U78" s="18">
        <f t="shared" si="64"/>
        <v>521</v>
      </c>
      <c r="V78" s="14">
        <f t="shared" si="65"/>
        <v>88</v>
      </c>
      <c r="W78" s="18">
        <f t="shared" si="66"/>
        <v>521</v>
      </c>
      <c r="X78" s="14">
        <f t="shared" si="67"/>
        <v>88</v>
      </c>
      <c r="Y78" s="18">
        <f t="shared" si="68"/>
        <v>506</v>
      </c>
      <c r="Z78" s="14">
        <f t="shared" si="69"/>
        <v>74</v>
      </c>
      <c r="AA78" s="18">
        <f t="shared" si="70"/>
        <v>506</v>
      </c>
      <c r="AB78" s="4" t="s">
        <v>0</v>
      </c>
    </row>
    <row r="79" spans="1:28">
      <c r="A79" s="9" t="s">
        <v>433</v>
      </c>
      <c r="B79" s="24"/>
      <c r="C79" s="26">
        <v>3</v>
      </c>
      <c r="D79" s="28">
        <f t="shared" si="73"/>
        <v>88</v>
      </c>
      <c r="E79" s="29">
        <f t="shared" si="74"/>
        <v>229</v>
      </c>
      <c r="F79" s="28">
        <f t="shared" si="75"/>
        <v>102</v>
      </c>
      <c r="G79" s="29">
        <f t="shared" si="76"/>
        <v>244</v>
      </c>
      <c r="H79" s="4" t="s">
        <v>0</v>
      </c>
      <c r="I79" s="16" t="str">
        <f t="shared" si="53"/>
        <v>05-25</v>
      </c>
      <c r="J79" s="14">
        <f t="shared" si="54"/>
        <v>88</v>
      </c>
      <c r="K79" s="15">
        <f t="shared" si="55"/>
        <v>229</v>
      </c>
      <c r="L79" s="17">
        <f t="shared" si="56"/>
        <v>102</v>
      </c>
      <c r="M79" s="18">
        <f t="shared" si="57"/>
        <v>229</v>
      </c>
      <c r="N79" s="14">
        <f t="shared" si="58"/>
        <v>102</v>
      </c>
      <c r="O79" s="15">
        <f t="shared" si="59"/>
        <v>244</v>
      </c>
      <c r="P79" s="17">
        <f t="shared" si="60"/>
        <v>88</v>
      </c>
      <c r="Q79" s="18">
        <f t="shared" si="61"/>
        <v>244</v>
      </c>
      <c r="R79" s="4" t="s">
        <v>0</v>
      </c>
      <c r="S79" s="16" t="str">
        <f t="shared" si="62"/>
        <v>05-25</v>
      </c>
      <c r="T79" s="14">
        <f t="shared" si="63"/>
        <v>88</v>
      </c>
      <c r="U79" s="18">
        <f t="shared" si="64"/>
        <v>521</v>
      </c>
      <c r="V79" s="14">
        <f t="shared" si="65"/>
        <v>102</v>
      </c>
      <c r="W79" s="18">
        <f t="shared" si="66"/>
        <v>521</v>
      </c>
      <c r="X79" s="14">
        <f t="shared" si="67"/>
        <v>102</v>
      </c>
      <c r="Y79" s="18">
        <f t="shared" si="68"/>
        <v>506</v>
      </c>
      <c r="Z79" s="14">
        <f t="shared" si="69"/>
        <v>88</v>
      </c>
      <c r="AA79" s="18">
        <f t="shared" si="70"/>
        <v>506</v>
      </c>
      <c r="AB79" s="4" t="s">
        <v>0</v>
      </c>
    </row>
    <row r="80" spans="1:28">
      <c r="A80" s="9" t="s">
        <v>432</v>
      </c>
      <c r="B80" s="24"/>
      <c r="C80" s="26">
        <v>4</v>
      </c>
      <c r="D80" s="28">
        <f t="shared" si="73"/>
        <v>103</v>
      </c>
      <c r="E80" s="29">
        <f t="shared" si="74"/>
        <v>229</v>
      </c>
      <c r="F80" s="28">
        <f t="shared" si="75"/>
        <v>117</v>
      </c>
      <c r="G80" s="29">
        <f t="shared" si="76"/>
        <v>244</v>
      </c>
      <c r="H80" s="4" t="s">
        <v>0</v>
      </c>
      <c r="I80" s="16" t="str">
        <f t="shared" si="53"/>
        <v>05-23</v>
      </c>
      <c r="J80" s="14">
        <f t="shared" si="54"/>
        <v>103</v>
      </c>
      <c r="K80" s="15">
        <f t="shared" si="55"/>
        <v>229</v>
      </c>
      <c r="L80" s="17">
        <f t="shared" si="56"/>
        <v>117</v>
      </c>
      <c r="M80" s="18">
        <f t="shared" si="57"/>
        <v>229</v>
      </c>
      <c r="N80" s="14">
        <f t="shared" si="58"/>
        <v>117</v>
      </c>
      <c r="O80" s="15">
        <f t="shared" si="59"/>
        <v>244</v>
      </c>
      <c r="P80" s="17">
        <f t="shared" si="60"/>
        <v>103</v>
      </c>
      <c r="Q80" s="18">
        <f t="shared" si="61"/>
        <v>244</v>
      </c>
      <c r="R80" s="4" t="s">
        <v>0</v>
      </c>
      <c r="S80" s="16" t="str">
        <f t="shared" si="62"/>
        <v>05-23</v>
      </c>
      <c r="T80" s="14">
        <f t="shared" si="63"/>
        <v>103</v>
      </c>
      <c r="U80" s="18">
        <f t="shared" si="64"/>
        <v>521</v>
      </c>
      <c r="V80" s="14">
        <f t="shared" si="65"/>
        <v>117</v>
      </c>
      <c r="W80" s="18">
        <f t="shared" si="66"/>
        <v>521</v>
      </c>
      <c r="X80" s="14">
        <f t="shared" si="67"/>
        <v>117</v>
      </c>
      <c r="Y80" s="18">
        <f t="shared" si="68"/>
        <v>506</v>
      </c>
      <c r="Z80" s="14">
        <f t="shared" si="69"/>
        <v>103</v>
      </c>
      <c r="AA80" s="18">
        <f t="shared" si="70"/>
        <v>506</v>
      </c>
      <c r="AB80" s="4" t="s">
        <v>0</v>
      </c>
    </row>
    <row r="81" spans="1:28">
      <c r="A81" s="9" t="s">
        <v>431</v>
      </c>
      <c r="B81" s="24"/>
      <c r="C81" s="26">
        <v>5</v>
      </c>
      <c r="D81" s="28">
        <f t="shared" si="73"/>
        <v>117</v>
      </c>
      <c r="E81" s="29">
        <f t="shared" si="74"/>
        <v>229</v>
      </c>
      <c r="F81" s="28">
        <f t="shared" si="75"/>
        <v>131</v>
      </c>
      <c r="G81" s="29">
        <f t="shared" si="76"/>
        <v>244</v>
      </c>
      <c r="H81" s="4" t="s">
        <v>0</v>
      </c>
      <c r="I81" s="16" t="str">
        <f t="shared" si="53"/>
        <v>05-22</v>
      </c>
      <c r="J81" s="14">
        <f t="shared" si="54"/>
        <v>117</v>
      </c>
      <c r="K81" s="15">
        <f t="shared" si="55"/>
        <v>229</v>
      </c>
      <c r="L81" s="17">
        <f t="shared" si="56"/>
        <v>131</v>
      </c>
      <c r="M81" s="18">
        <f t="shared" si="57"/>
        <v>229</v>
      </c>
      <c r="N81" s="14">
        <f t="shared" si="58"/>
        <v>131</v>
      </c>
      <c r="O81" s="15">
        <f t="shared" si="59"/>
        <v>244</v>
      </c>
      <c r="P81" s="17">
        <f t="shared" si="60"/>
        <v>117</v>
      </c>
      <c r="Q81" s="18">
        <f t="shared" si="61"/>
        <v>244</v>
      </c>
      <c r="R81" s="4" t="s">
        <v>0</v>
      </c>
      <c r="S81" s="16" t="str">
        <f t="shared" si="62"/>
        <v>05-22</v>
      </c>
      <c r="T81" s="14">
        <f t="shared" si="63"/>
        <v>117</v>
      </c>
      <c r="U81" s="18">
        <f t="shared" si="64"/>
        <v>521</v>
      </c>
      <c r="V81" s="14">
        <f t="shared" si="65"/>
        <v>131</v>
      </c>
      <c r="W81" s="18">
        <f t="shared" si="66"/>
        <v>521</v>
      </c>
      <c r="X81" s="14">
        <f t="shared" si="67"/>
        <v>131</v>
      </c>
      <c r="Y81" s="18">
        <f t="shared" si="68"/>
        <v>506</v>
      </c>
      <c r="Z81" s="14">
        <f t="shared" si="69"/>
        <v>117</v>
      </c>
      <c r="AA81" s="18">
        <f t="shared" si="70"/>
        <v>506</v>
      </c>
      <c r="AB81" s="4" t="s">
        <v>0</v>
      </c>
    </row>
    <row r="82" spans="1:28">
      <c r="A82" s="9" t="s">
        <v>166</v>
      </c>
      <c r="B82" s="24"/>
      <c r="C82" s="26">
        <v>6</v>
      </c>
      <c r="D82" s="28">
        <f t="shared" si="73"/>
        <v>131</v>
      </c>
      <c r="E82" s="29">
        <f t="shared" si="74"/>
        <v>229</v>
      </c>
      <c r="F82" s="28">
        <f t="shared" si="75"/>
        <v>145</v>
      </c>
      <c r="G82" s="29">
        <f t="shared" si="76"/>
        <v>244</v>
      </c>
      <c r="H82" s="4" t="s">
        <v>0</v>
      </c>
      <c r="I82" s="16" t="str">
        <f t="shared" si="53"/>
        <v>05-21</v>
      </c>
      <c r="J82" s="14">
        <f t="shared" si="54"/>
        <v>131</v>
      </c>
      <c r="K82" s="15">
        <f t="shared" si="55"/>
        <v>229</v>
      </c>
      <c r="L82" s="17">
        <f t="shared" si="56"/>
        <v>145</v>
      </c>
      <c r="M82" s="18">
        <f t="shared" si="57"/>
        <v>229</v>
      </c>
      <c r="N82" s="14">
        <f t="shared" si="58"/>
        <v>145</v>
      </c>
      <c r="O82" s="15">
        <f t="shared" si="59"/>
        <v>244</v>
      </c>
      <c r="P82" s="17">
        <f t="shared" si="60"/>
        <v>131</v>
      </c>
      <c r="Q82" s="18">
        <f t="shared" si="61"/>
        <v>244</v>
      </c>
      <c r="R82" s="4" t="s">
        <v>0</v>
      </c>
      <c r="S82" s="16" t="str">
        <f t="shared" si="62"/>
        <v>05-21</v>
      </c>
      <c r="T82" s="14">
        <f t="shared" si="63"/>
        <v>131</v>
      </c>
      <c r="U82" s="18">
        <f t="shared" si="64"/>
        <v>521</v>
      </c>
      <c r="V82" s="14">
        <f t="shared" si="65"/>
        <v>145</v>
      </c>
      <c r="W82" s="18">
        <f t="shared" si="66"/>
        <v>521</v>
      </c>
      <c r="X82" s="14">
        <f t="shared" si="67"/>
        <v>145</v>
      </c>
      <c r="Y82" s="18">
        <f t="shared" si="68"/>
        <v>506</v>
      </c>
      <c r="Z82" s="14">
        <f t="shared" si="69"/>
        <v>131</v>
      </c>
      <c r="AA82" s="18">
        <f t="shared" si="70"/>
        <v>506</v>
      </c>
      <c r="AB82" s="4" t="s">
        <v>0</v>
      </c>
    </row>
    <row r="83" spans="1:28">
      <c r="A83" s="9" t="s">
        <v>165</v>
      </c>
      <c r="B83" s="24"/>
      <c r="C83" s="26">
        <v>7</v>
      </c>
      <c r="D83" s="28">
        <f t="shared" si="73"/>
        <v>146</v>
      </c>
      <c r="E83" s="29">
        <f t="shared" si="74"/>
        <v>229</v>
      </c>
      <c r="F83" s="28">
        <f t="shared" si="75"/>
        <v>160</v>
      </c>
      <c r="G83" s="29">
        <f t="shared" si="76"/>
        <v>244</v>
      </c>
      <c r="H83" s="4" t="s">
        <v>0</v>
      </c>
      <c r="I83" s="16" t="str">
        <f t="shared" si="53"/>
        <v>05-20</v>
      </c>
      <c r="J83" s="14">
        <f t="shared" si="54"/>
        <v>146</v>
      </c>
      <c r="K83" s="15">
        <f t="shared" si="55"/>
        <v>229</v>
      </c>
      <c r="L83" s="17">
        <f t="shared" si="56"/>
        <v>160</v>
      </c>
      <c r="M83" s="18">
        <f t="shared" si="57"/>
        <v>229</v>
      </c>
      <c r="N83" s="14">
        <f t="shared" si="58"/>
        <v>160</v>
      </c>
      <c r="O83" s="15">
        <f t="shared" si="59"/>
        <v>244</v>
      </c>
      <c r="P83" s="17">
        <f t="shared" si="60"/>
        <v>146</v>
      </c>
      <c r="Q83" s="18">
        <f t="shared" si="61"/>
        <v>244</v>
      </c>
      <c r="R83" s="4" t="s">
        <v>0</v>
      </c>
      <c r="S83" s="16" t="str">
        <f t="shared" si="62"/>
        <v>05-20</v>
      </c>
      <c r="T83" s="14">
        <f t="shared" si="63"/>
        <v>146</v>
      </c>
      <c r="U83" s="18">
        <f t="shared" si="64"/>
        <v>521</v>
      </c>
      <c r="V83" s="14">
        <f t="shared" si="65"/>
        <v>160</v>
      </c>
      <c r="W83" s="18">
        <f t="shared" si="66"/>
        <v>521</v>
      </c>
      <c r="X83" s="14">
        <f t="shared" si="67"/>
        <v>160</v>
      </c>
      <c r="Y83" s="18">
        <f t="shared" si="68"/>
        <v>506</v>
      </c>
      <c r="Z83" s="14">
        <f t="shared" si="69"/>
        <v>146</v>
      </c>
      <c r="AA83" s="18">
        <f t="shared" si="70"/>
        <v>506</v>
      </c>
      <c r="AB83" s="4" t="s">
        <v>0</v>
      </c>
    </row>
    <row r="84" spans="1:28">
      <c r="A84" s="9" t="s">
        <v>164</v>
      </c>
      <c r="B84" s="24"/>
      <c r="C84" s="26">
        <v>8</v>
      </c>
      <c r="D84" s="28">
        <f t="shared" si="73"/>
        <v>160</v>
      </c>
      <c r="E84" s="29">
        <f t="shared" si="74"/>
        <v>229</v>
      </c>
      <c r="F84" s="28">
        <f t="shared" si="75"/>
        <v>174</v>
      </c>
      <c r="G84" s="29">
        <f t="shared" si="76"/>
        <v>244</v>
      </c>
      <c r="H84" s="4" t="s">
        <v>0</v>
      </c>
      <c r="I84" s="16" t="str">
        <f t="shared" si="53"/>
        <v>05-18</v>
      </c>
      <c r="J84" s="14">
        <f t="shared" si="54"/>
        <v>160</v>
      </c>
      <c r="K84" s="15">
        <f t="shared" si="55"/>
        <v>229</v>
      </c>
      <c r="L84" s="17">
        <f t="shared" si="56"/>
        <v>174</v>
      </c>
      <c r="M84" s="18">
        <f t="shared" si="57"/>
        <v>229</v>
      </c>
      <c r="N84" s="14">
        <f t="shared" si="58"/>
        <v>174</v>
      </c>
      <c r="O84" s="15">
        <f t="shared" si="59"/>
        <v>244</v>
      </c>
      <c r="P84" s="17">
        <f t="shared" si="60"/>
        <v>160</v>
      </c>
      <c r="Q84" s="18">
        <f t="shared" si="61"/>
        <v>244</v>
      </c>
      <c r="R84" s="4" t="s">
        <v>0</v>
      </c>
      <c r="S84" s="16" t="str">
        <f t="shared" si="62"/>
        <v>05-18</v>
      </c>
      <c r="T84" s="14">
        <f t="shared" si="63"/>
        <v>160</v>
      </c>
      <c r="U84" s="18">
        <f t="shared" si="64"/>
        <v>521</v>
      </c>
      <c r="V84" s="14">
        <f t="shared" si="65"/>
        <v>174</v>
      </c>
      <c r="W84" s="18">
        <f t="shared" si="66"/>
        <v>521</v>
      </c>
      <c r="X84" s="14">
        <f t="shared" si="67"/>
        <v>174</v>
      </c>
      <c r="Y84" s="18">
        <f t="shared" si="68"/>
        <v>506</v>
      </c>
      <c r="Z84" s="14">
        <f t="shared" si="69"/>
        <v>160</v>
      </c>
      <c r="AA84" s="18">
        <f t="shared" si="70"/>
        <v>506</v>
      </c>
      <c r="AB84" s="4" t="s">
        <v>0</v>
      </c>
    </row>
    <row r="85" spans="1:28">
      <c r="A85" s="9" t="s">
        <v>135</v>
      </c>
      <c r="B85" s="24"/>
      <c r="C85" s="26">
        <v>9</v>
      </c>
      <c r="D85" s="28">
        <f t="shared" si="73"/>
        <v>175</v>
      </c>
      <c r="E85" s="29">
        <f t="shared" si="74"/>
        <v>229</v>
      </c>
      <c r="F85" s="28">
        <f t="shared" si="75"/>
        <v>189</v>
      </c>
      <c r="G85" s="29">
        <f t="shared" si="76"/>
        <v>244</v>
      </c>
      <c r="H85" s="4" t="s">
        <v>0</v>
      </c>
      <c r="I85" s="16" t="str">
        <f t="shared" si="53"/>
        <v>05-17</v>
      </c>
      <c r="J85" s="14">
        <f t="shared" si="54"/>
        <v>175</v>
      </c>
      <c r="K85" s="15">
        <f t="shared" si="55"/>
        <v>229</v>
      </c>
      <c r="L85" s="17">
        <f t="shared" si="56"/>
        <v>189</v>
      </c>
      <c r="M85" s="18">
        <f t="shared" si="57"/>
        <v>229</v>
      </c>
      <c r="N85" s="14">
        <f t="shared" si="58"/>
        <v>189</v>
      </c>
      <c r="O85" s="15">
        <f t="shared" si="59"/>
        <v>244</v>
      </c>
      <c r="P85" s="17">
        <f t="shared" si="60"/>
        <v>175</v>
      </c>
      <c r="Q85" s="18">
        <f t="shared" si="61"/>
        <v>244</v>
      </c>
      <c r="R85" s="4" t="s">
        <v>0</v>
      </c>
      <c r="S85" s="16" t="str">
        <f t="shared" si="62"/>
        <v>05-17</v>
      </c>
      <c r="T85" s="14">
        <f t="shared" si="63"/>
        <v>175</v>
      </c>
      <c r="U85" s="18">
        <f t="shared" si="64"/>
        <v>521</v>
      </c>
      <c r="V85" s="14">
        <f t="shared" si="65"/>
        <v>189</v>
      </c>
      <c r="W85" s="18">
        <f t="shared" si="66"/>
        <v>521</v>
      </c>
      <c r="X85" s="14">
        <f t="shared" si="67"/>
        <v>189</v>
      </c>
      <c r="Y85" s="18">
        <f t="shared" si="68"/>
        <v>506</v>
      </c>
      <c r="Z85" s="14">
        <f t="shared" si="69"/>
        <v>175</v>
      </c>
      <c r="AA85" s="18">
        <f t="shared" si="70"/>
        <v>506</v>
      </c>
      <c r="AB85" s="4" t="s">
        <v>0</v>
      </c>
    </row>
    <row r="86" spans="1:28">
      <c r="A86" s="9" t="s">
        <v>163</v>
      </c>
      <c r="B86" s="24"/>
      <c r="C86" s="26">
        <v>10</v>
      </c>
      <c r="D86" s="28">
        <f t="shared" si="73"/>
        <v>189</v>
      </c>
      <c r="E86" s="29">
        <f t="shared" si="74"/>
        <v>229</v>
      </c>
      <c r="F86" s="28">
        <f t="shared" si="75"/>
        <v>203</v>
      </c>
      <c r="G86" s="29">
        <f t="shared" si="76"/>
        <v>244</v>
      </c>
      <c r="H86" s="4" t="s">
        <v>0</v>
      </c>
      <c r="I86" s="16" t="str">
        <f t="shared" si="53"/>
        <v>05-16</v>
      </c>
      <c r="J86" s="14">
        <f t="shared" si="54"/>
        <v>189</v>
      </c>
      <c r="K86" s="15">
        <f t="shared" si="55"/>
        <v>229</v>
      </c>
      <c r="L86" s="17">
        <f t="shared" si="56"/>
        <v>203</v>
      </c>
      <c r="M86" s="18">
        <f t="shared" si="57"/>
        <v>229</v>
      </c>
      <c r="N86" s="14">
        <f t="shared" si="58"/>
        <v>203</v>
      </c>
      <c r="O86" s="15">
        <f t="shared" si="59"/>
        <v>244</v>
      </c>
      <c r="P86" s="17">
        <f t="shared" si="60"/>
        <v>189</v>
      </c>
      <c r="Q86" s="18">
        <f t="shared" si="61"/>
        <v>244</v>
      </c>
      <c r="R86" s="4" t="s">
        <v>0</v>
      </c>
      <c r="S86" s="16" t="str">
        <f t="shared" si="62"/>
        <v>05-16</v>
      </c>
      <c r="T86" s="14">
        <f t="shared" si="63"/>
        <v>189</v>
      </c>
      <c r="U86" s="18">
        <f t="shared" si="64"/>
        <v>521</v>
      </c>
      <c r="V86" s="14">
        <f t="shared" si="65"/>
        <v>203</v>
      </c>
      <c r="W86" s="18">
        <f t="shared" si="66"/>
        <v>521</v>
      </c>
      <c r="X86" s="14">
        <f t="shared" si="67"/>
        <v>203</v>
      </c>
      <c r="Y86" s="18">
        <f t="shared" si="68"/>
        <v>506</v>
      </c>
      <c r="Z86" s="14">
        <f t="shared" si="69"/>
        <v>189</v>
      </c>
      <c r="AA86" s="18">
        <f t="shared" si="70"/>
        <v>506</v>
      </c>
      <c r="AB86" s="4" t="s">
        <v>0</v>
      </c>
    </row>
    <row r="87" spans="1:28">
      <c r="A87" s="9" t="s">
        <v>162</v>
      </c>
      <c r="B87" s="24"/>
      <c r="C87" s="26">
        <v>11</v>
      </c>
      <c r="D87" s="28">
        <f t="shared" si="73"/>
        <v>203</v>
      </c>
      <c r="E87" s="29">
        <f t="shared" si="74"/>
        <v>229</v>
      </c>
      <c r="F87" s="28">
        <f t="shared" si="75"/>
        <v>217</v>
      </c>
      <c r="G87" s="29">
        <f t="shared" si="76"/>
        <v>244</v>
      </c>
      <c r="H87" s="4" t="s">
        <v>0</v>
      </c>
      <c r="I87" s="16" t="str">
        <f t="shared" si="53"/>
        <v>05-15</v>
      </c>
      <c r="J87" s="14">
        <f t="shared" si="54"/>
        <v>203</v>
      </c>
      <c r="K87" s="15">
        <f t="shared" si="55"/>
        <v>229</v>
      </c>
      <c r="L87" s="17">
        <f t="shared" si="56"/>
        <v>217</v>
      </c>
      <c r="M87" s="18">
        <f t="shared" si="57"/>
        <v>229</v>
      </c>
      <c r="N87" s="14">
        <f t="shared" si="58"/>
        <v>217</v>
      </c>
      <c r="O87" s="15">
        <f t="shared" si="59"/>
        <v>244</v>
      </c>
      <c r="P87" s="17">
        <f t="shared" si="60"/>
        <v>203</v>
      </c>
      <c r="Q87" s="18">
        <f t="shared" si="61"/>
        <v>244</v>
      </c>
      <c r="R87" s="4" t="s">
        <v>0</v>
      </c>
      <c r="S87" s="16" t="str">
        <f t="shared" si="62"/>
        <v>05-15</v>
      </c>
      <c r="T87" s="14">
        <f t="shared" si="63"/>
        <v>203</v>
      </c>
      <c r="U87" s="18">
        <f t="shared" si="64"/>
        <v>521</v>
      </c>
      <c r="V87" s="14">
        <f t="shared" si="65"/>
        <v>217</v>
      </c>
      <c r="W87" s="18">
        <f t="shared" si="66"/>
        <v>521</v>
      </c>
      <c r="X87" s="14">
        <f t="shared" si="67"/>
        <v>217</v>
      </c>
      <c r="Y87" s="18">
        <f t="shared" si="68"/>
        <v>506</v>
      </c>
      <c r="Z87" s="14">
        <f t="shared" si="69"/>
        <v>203</v>
      </c>
      <c r="AA87" s="18">
        <f t="shared" si="70"/>
        <v>506</v>
      </c>
      <c r="AB87" s="4" t="s">
        <v>0</v>
      </c>
    </row>
    <row r="88" spans="1:28">
      <c r="A88" s="9" t="s">
        <v>161</v>
      </c>
      <c r="B88" s="24"/>
      <c r="C88" s="26">
        <v>12</v>
      </c>
      <c r="D88" s="28">
        <f t="shared" si="73"/>
        <v>218</v>
      </c>
      <c r="E88" s="29">
        <f t="shared" si="74"/>
        <v>229</v>
      </c>
      <c r="F88" s="28">
        <f t="shared" si="75"/>
        <v>232</v>
      </c>
      <c r="G88" s="29">
        <f t="shared" si="76"/>
        <v>244</v>
      </c>
      <c r="H88" s="4" t="s">
        <v>0</v>
      </c>
      <c r="I88" s="16" t="str">
        <f t="shared" si="53"/>
        <v>05-13</v>
      </c>
      <c r="J88" s="14">
        <f t="shared" si="54"/>
        <v>218</v>
      </c>
      <c r="K88" s="15">
        <f t="shared" si="55"/>
        <v>229</v>
      </c>
      <c r="L88" s="17">
        <f t="shared" si="56"/>
        <v>232</v>
      </c>
      <c r="M88" s="18">
        <f t="shared" si="57"/>
        <v>229</v>
      </c>
      <c r="N88" s="14">
        <f t="shared" si="58"/>
        <v>232</v>
      </c>
      <c r="O88" s="15">
        <f t="shared" si="59"/>
        <v>244</v>
      </c>
      <c r="P88" s="17">
        <f t="shared" si="60"/>
        <v>218</v>
      </c>
      <c r="Q88" s="18">
        <f t="shared" si="61"/>
        <v>244</v>
      </c>
      <c r="R88" s="4" t="s">
        <v>0</v>
      </c>
      <c r="S88" s="16" t="str">
        <f t="shared" si="62"/>
        <v>05-13</v>
      </c>
      <c r="T88" s="14">
        <f t="shared" si="63"/>
        <v>218</v>
      </c>
      <c r="U88" s="18">
        <f t="shared" si="64"/>
        <v>521</v>
      </c>
      <c r="V88" s="14">
        <f t="shared" si="65"/>
        <v>232</v>
      </c>
      <c r="W88" s="18">
        <f t="shared" si="66"/>
        <v>521</v>
      </c>
      <c r="X88" s="14">
        <f t="shared" si="67"/>
        <v>232</v>
      </c>
      <c r="Y88" s="18">
        <f t="shared" si="68"/>
        <v>506</v>
      </c>
      <c r="Z88" s="14">
        <f t="shared" si="69"/>
        <v>218</v>
      </c>
      <c r="AA88" s="18">
        <f t="shared" si="70"/>
        <v>506</v>
      </c>
      <c r="AB88" s="4" t="s">
        <v>0</v>
      </c>
    </row>
    <row r="89" spans="1:28">
      <c r="A89" s="9" t="s">
        <v>49</v>
      </c>
      <c r="B89" s="24"/>
      <c r="C89" s="4"/>
      <c r="D89" s="27">
        <v>256</v>
      </c>
      <c r="E89" s="31">
        <v>229</v>
      </c>
      <c r="F89" s="31">
        <v>270</v>
      </c>
      <c r="G89" s="31">
        <v>244</v>
      </c>
      <c r="H89" s="4" t="s">
        <v>0</v>
      </c>
      <c r="I89" s="16" t="str">
        <f t="shared" si="53"/>
        <v>05-12</v>
      </c>
      <c r="J89" s="14">
        <f t="shared" si="54"/>
        <v>256</v>
      </c>
      <c r="K89" s="15">
        <f t="shared" si="55"/>
        <v>229</v>
      </c>
      <c r="L89" s="17">
        <f t="shared" si="56"/>
        <v>270</v>
      </c>
      <c r="M89" s="18">
        <f t="shared" si="57"/>
        <v>229</v>
      </c>
      <c r="N89" s="14">
        <f t="shared" si="58"/>
        <v>270</v>
      </c>
      <c r="O89" s="15">
        <f t="shared" si="59"/>
        <v>244</v>
      </c>
      <c r="P89" s="17">
        <f t="shared" si="60"/>
        <v>256</v>
      </c>
      <c r="Q89" s="18">
        <f t="shared" si="61"/>
        <v>244</v>
      </c>
      <c r="R89" s="4" t="s">
        <v>0</v>
      </c>
      <c r="S89" s="16" t="str">
        <f t="shared" si="62"/>
        <v>05-12</v>
      </c>
      <c r="T89" s="14">
        <f t="shared" si="63"/>
        <v>256</v>
      </c>
      <c r="U89" s="18">
        <f t="shared" si="64"/>
        <v>521</v>
      </c>
      <c r="V89" s="14">
        <f t="shared" si="65"/>
        <v>270</v>
      </c>
      <c r="W89" s="18">
        <f t="shared" si="66"/>
        <v>521</v>
      </c>
      <c r="X89" s="14">
        <f t="shared" si="67"/>
        <v>270</v>
      </c>
      <c r="Y89" s="18">
        <f t="shared" si="68"/>
        <v>506</v>
      </c>
      <c r="Z89" s="14">
        <f t="shared" si="69"/>
        <v>256</v>
      </c>
      <c r="AA89" s="18">
        <f t="shared" si="70"/>
        <v>506</v>
      </c>
      <c r="AB89" s="4" t="s">
        <v>0</v>
      </c>
    </row>
    <row r="90" spans="1:28">
      <c r="A90" s="9" t="s">
        <v>48</v>
      </c>
      <c r="B90" s="24"/>
      <c r="C90" s="26">
        <v>1</v>
      </c>
      <c r="D90" s="28">
        <f>ROUND(D$89+14.4*$C90, 0)</f>
        <v>270</v>
      </c>
      <c r="E90" s="29">
        <f t="shared" ref="E90" si="77">E89</f>
        <v>229</v>
      </c>
      <c r="F90" s="28">
        <f>ROUND(F$89+14.4*$C90, 0)</f>
        <v>284</v>
      </c>
      <c r="G90" s="29">
        <f t="shared" ref="G90" si="78">G89</f>
        <v>244</v>
      </c>
      <c r="H90" s="4" t="s">
        <v>0</v>
      </c>
      <c r="I90" s="16" t="str">
        <f t="shared" si="53"/>
        <v>05-11</v>
      </c>
      <c r="J90" s="14">
        <f t="shared" si="54"/>
        <v>270</v>
      </c>
      <c r="K90" s="15">
        <f t="shared" si="55"/>
        <v>229</v>
      </c>
      <c r="L90" s="17">
        <f t="shared" si="56"/>
        <v>284</v>
      </c>
      <c r="M90" s="18">
        <f t="shared" si="57"/>
        <v>229</v>
      </c>
      <c r="N90" s="14">
        <f t="shared" si="58"/>
        <v>284</v>
      </c>
      <c r="O90" s="15">
        <f t="shared" si="59"/>
        <v>244</v>
      </c>
      <c r="P90" s="17">
        <f t="shared" si="60"/>
        <v>270</v>
      </c>
      <c r="Q90" s="18">
        <f t="shared" si="61"/>
        <v>244</v>
      </c>
      <c r="R90" s="4" t="s">
        <v>0</v>
      </c>
      <c r="S90" s="16" t="str">
        <f t="shared" si="62"/>
        <v>05-11</v>
      </c>
      <c r="T90" s="14">
        <f t="shared" si="63"/>
        <v>270</v>
      </c>
      <c r="U90" s="18">
        <f t="shared" si="64"/>
        <v>521</v>
      </c>
      <c r="V90" s="14">
        <f t="shared" si="65"/>
        <v>284</v>
      </c>
      <c r="W90" s="18">
        <f t="shared" si="66"/>
        <v>521</v>
      </c>
      <c r="X90" s="14">
        <f t="shared" si="67"/>
        <v>284</v>
      </c>
      <c r="Y90" s="18">
        <f t="shared" si="68"/>
        <v>506</v>
      </c>
      <c r="Z90" s="14">
        <f t="shared" si="69"/>
        <v>270</v>
      </c>
      <c r="AA90" s="18">
        <f t="shared" si="70"/>
        <v>506</v>
      </c>
      <c r="AB90" s="4" t="s">
        <v>0</v>
      </c>
    </row>
    <row r="91" spans="1:28">
      <c r="A91" s="9" t="s">
        <v>47</v>
      </c>
      <c r="B91" s="24"/>
      <c r="C91" s="26">
        <v>2</v>
      </c>
      <c r="D91" s="28">
        <f t="shared" ref="D91:D98" si="79">ROUND(D$89+14.4*$C91, 0)</f>
        <v>285</v>
      </c>
      <c r="E91" s="29">
        <f t="shared" ref="E91:E98" si="80">E90</f>
        <v>229</v>
      </c>
      <c r="F91" s="28">
        <f t="shared" ref="F91:F98" si="81">ROUND(F$89+14.4*$C91, 0)</f>
        <v>299</v>
      </c>
      <c r="G91" s="29">
        <f t="shared" ref="G91:G98" si="82">G90</f>
        <v>244</v>
      </c>
      <c r="H91" s="4" t="s">
        <v>0</v>
      </c>
      <c r="I91" s="16" t="str">
        <f t="shared" si="53"/>
        <v>05-10</v>
      </c>
      <c r="J91" s="14">
        <f t="shared" si="54"/>
        <v>285</v>
      </c>
      <c r="K91" s="15">
        <f t="shared" si="55"/>
        <v>229</v>
      </c>
      <c r="L91" s="17">
        <f t="shared" si="56"/>
        <v>299</v>
      </c>
      <c r="M91" s="18">
        <f t="shared" si="57"/>
        <v>229</v>
      </c>
      <c r="N91" s="14">
        <f t="shared" si="58"/>
        <v>299</v>
      </c>
      <c r="O91" s="15">
        <f t="shared" si="59"/>
        <v>244</v>
      </c>
      <c r="P91" s="17">
        <f t="shared" si="60"/>
        <v>285</v>
      </c>
      <c r="Q91" s="18">
        <f t="shared" si="61"/>
        <v>244</v>
      </c>
      <c r="R91" s="4" t="s">
        <v>0</v>
      </c>
      <c r="S91" s="16" t="str">
        <f t="shared" si="62"/>
        <v>05-10</v>
      </c>
      <c r="T91" s="14">
        <f t="shared" si="63"/>
        <v>285</v>
      </c>
      <c r="U91" s="18">
        <f t="shared" si="64"/>
        <v>521</v>
      </c>
      <c r="V91" s="14">
        <f t="shared" si="65"/>
        <v>299</v>
      </c>
      <c r="W91" s="18">
        <f t="shared" si="66"/>
        <v>521</v>
      </c>
      <c r="X91" s="14">
        <f t="shared" si="67"/>
        <v>299</v>
      </c>
      <c r="Y91" s="18">
        <f t="shared" si="68"/>
        <v>506</v>
      </c>
      <c r="Z91" s="14">
        <f t="shared" si="69"/>
        <v>285</v>
      </c>
      <c r="AA91" s="18">
        <f t="shared" si="70"/>
        <v>506</v>
      </c>
      <c r="AB91" s="4" t="s">
        <v>0</v>
      </c>
    </row>
    <row r="92" spans="1:28">
      <c r="A92" s="9" t="s">
        <v>46</v>
      </c>
      <c r="B92" s="24"/>
      <c r="C92" s="26">
        <v>3</v>
      </c>
      <c r="D92" s="28">
        <f t="shared" si="79"/>
        <v>299</v>
      </c>
      <c r="E92" s="29">
        <f t="shared" si="80"/>
        <v>229</v>
      </c>
      <c r="F92" s="28">
        <f t="shared" si="81"/>
        <v>313</v>
      </c>
      <c r="G92" s="29">
        <f t="shared" si="82"/>
        <v>244</v>
      </c>
      <c r="H92" s="4" t="s">
        <v>0</v>
      </c>
      <c r="I92" s="16" t="str">
        <f t="shared" si="53"/>
        <v>05-08</v>
      </c>
      <c r="J92" s="14">
        <f t="shared" si="54"/>
        <v>299</v>
      </c>
      <c r="K92" s="15">
        <f t="shared" si="55"/>
        <v>229</v>
      </c>
      <c r="L92" s="17">
        <f t="shared" si="56"/>
        <v>313</v>
      </c>
      <c r="M92" s="18">
        <f t="shared" si="57"/>
        <v>229</v>
      </c>
      <c r="N92" s="14">
        <f t="shared" si="58"/>
        <v>313</v>
      </c>
      <c r="O92" s="15">
        <f t="shared" si="59"/>
        <v>244</v>
      </c>
      <c r="P92" s="17">
        <f t="shared" si="60"/>
        <v>299</v>
      </c>
      <c r="Q92" s="18">
        <f t="shared" si="61"/>
        <v>244</v>
      </c>
      <c r="R92" s="4" t="s">
        <v>0</v>
      </c>
      <c r="S92" s="16" t="str">
        <f t="shared" si="62"/>
        <v>05-08</v>
      </c>
      <c r="T92" s="14">
        <f t="shared" si="63"/>
        <v>299</v>
      </c>
      <c r="U92" s="18">
        <f t="shared" si="64"/>
        <v>521</v>
      </c>
      <c r="V92" s="14">
        <f t="shared" si="65"/>
        <v>313</v>
      </c>
      <c r="W92" s="18">
        <f t="shared" si="66"/>
        <v>521</v>
      </c>
      <c r="X92" s="14">
        <f t="shared" si="67"/>
        <v>313</v>
      </c>
      <c r="Y92" s="18">
        <f t="shared" si="68"/>
        <v>506</v>
      </c>
      <c r="Z92" s="14">
        <f t="shared" si="69"/>
        <v>299</v>
      </c>
      <c r="AA92" s="18">
        <f t="shared" si="70"/>
        <v>506</v>
      </c>
      <c r="AB92" s="4" t="s">
        <v>0</v>
      </c>
    </row>
    <row r="93" spans="1:28">
      <c r="A93" s="9" t="s">
        <v>45</v>
      </c>
      <c r="B93" s="24"/>
      <c r="C93" s="26">
        <v>4</v>
      </c>
      <c r="D93" s="28">
        <f t="shared" si="79"/>
        <v>314</v>
      </c>
      <c r="E93" s="29">
        <f t="shared" si="80"/>
        <v>229</v>
      </c>
      <c r="F93" s="28">
        <f t="shared" si="81"/>
        <v>328</v>
      </c>
      <c r="G93" s="29">
        <f t="shared" si="82"/>
        <v>244</v>
      </c>
      <c r="H93" s="4" t="s">
        <v>0</v>
      </c>
      <c r="I93" s="16" t="str">
        <f t="shared" si="53"/>
        <v>05-07</v>
      </c>
      <c r="J93" s="14">
        <f t="shared" si="54"/>
        <v>314</v>
      </c>
      <c r="K93" s="15">
        <f t="shared" si="55"/>
        <v>229</v>
      </c>
      <c r="L93" s="17">
        <f t="shared" si="56"/>
        <v>328</v>
      </c>
      <c r="M93" s="18">
        <f t="shared" si="57"/>
        <v>229</v>
      </c>
      <c r="N93" s="14">
        <f t="shared" si="58"/>
        <v>328</v>
      </c>
      <c r="O93" s="15">
        <f t="shared" si="59"/>
        <v>244</v>
      </c>
      <c r="P93" s="17">
        <f t="shared" si="60"/>
        <v>314</v>
      </c>
      <c r="Q93" s="18">
        <f t="shared" si="61"/>
        <v>244</v>
      </c>
      <c r="R93" s="4" t="s">
        <v>0</v>
      </c>
      <c r="S93" s="16" t="str">
        <f t="shared" si="62"/>
        <v>05-07</v>
      </c>
      <c r="T93" s="14">
        <f t="shared" si="63"/>
        <v>314</v>
      </c>
      <c r="U93" s="18">
        <f t="shared" si="64"/>
        <v>521</v>
      </c>
      <c r="V93" s="14">
        <f t="shared" si="65"/>
        <v>328</v>
      </c>
      <c r="W93" s="18">
        <f t="shared" si="66"/>
        <v>521</v>
      </c>
      <c r="X93" s="14">
        <f t="shared" si="67"/>
        <v>328</v>
      </c>
      <c r="Y93" s="18">
        <f t="shared" si="68"/>
        <v>506</v>
      </c>
      <c r="Z93" s="14">
        <f t="shared" si="69"/>
        <v>314</v>
      </c>
      <c r="AA93" s="18">
        <f t="shared" si="70"/>
        <v>506</v>
      </c>
      <c r="AB93" s="4" t="s">
        <v>0</v>
      </c>
    </row>
    <row r="94" spans="1:28">
      <c r="A94" s="9" t="s">
        <v>44</v>
      </c>
      <c r="B94" s="24"/>
      <c r="C94" s="26">
        <v>5</v>
      </c>
      <c r="D94" s="28">
        <f t="shared" si="79"/>
        <v>328</v>
      </c>
      <c r="E94" s="29">
        <f t="shared" si="80"/>
        <v>229</v>
      </c>
      <c r="F94" s="28">
        <f t="shared" si="81"/>
        <v>342</v>
      </c>
      <c r="G94" s="29">
        <f t="shared" si="82"/>
        <v>244</v>
      </c>
      <c r="H94" s="4" t="s">
        <v>0</v>
      </c>
      <c r="I94" s="16" t="str">
        <f t="shared" si="53"/>
        <v>05-06</v>
      </c>
      <c r="J94" s="14">
        <f t="shared" si="54"/>
        <v>328</v>
      </c>
      <c r="K94" s="15">
        <f t="shared" si="55"/>
        <v>229</v>
      </c>
      <c r="L94" s="17">
        <f t="shared" si="56"/>
        <v>342</v>
      </c>
      <c r="M94" s="18">
        <f t="shared" si="57"/>
        <v>229</v>
      </c>
      <c r="N94" s="14">
        <f t="shared" si="58"/>
        <v>342</v>
      </c>
      <c r="O94" s="15">
        <f t="shared" si="59"/>
        <v>244</v>
      </c>
      <c r="P94" s="17">
        <f t="shared" si="60"/>
        <v>328</v>
      </c>
      <c r="Q94" s="18">
        <f t="shared" si="61"/>
        <v>244</v>
      </c>
      <c r="R94" s="4" t="s">
        <v>0</v>
      </c>
      <c r="S94" s="16" t="str">
        <f t="shared" si="62"/>
        <v>05-06</v>
      </c>
      <c r="T94" s="14">
        <f t="shared" si="63"/>
        <v>328</v>
      </c>
      <c r="U94" s="18">
        <f t="shared" si="64"/>
        <v>521</v>
      </c>
      <c r="V94" s="14">
        <f t="shared" si="65"/>
        <v>342</v>
      </c>
      <c r="W94" s="18">
        <f t="shared" si="66"/>
        <v>521</v>
      </c>
      <c r="X94" s="14">
        <f t="shared" si="67"/>
        <v>342</v>
      </c>
      <c r="Y94" s="18">
        <f t="shared" si="68"/>
        <v>506</v>
      </c>
      <c r="Z94" s="14">
        <f t="shared" si="69"/>
        <v>328</v>
      </c>
      <c r="AA94" s="18">
        <f t="shared" si="70"/>
        <v>506</v>
      </c>
      <c r="AB94" s="4" t="s">
        <v>0</v>
      </c>
    </row>
    <row r="95" spans="1:28">
      <c r="A95" s="9" t="s">
        <v>43</v>
      </c>
      <c r="B95" s="24"/>
      <c r="C95" s="26">
        <v>6</v>
      </c>
      <c r="D95" s="28">
        <f t="shared" si="79"/>
        <v>342</v>
      </c>
      <c r="E95" s="29">
        <f t="shared" si="80"/>
        <v>229</v>
      </c>
      <c r="F95" s="28">
        <f t="shared" si="81"/>
        <v>356</v>
      </c>
      <c r="G95" s="29">
        <f t="shared" si="82"/>
        <v>244</v>
      </c>
      <c r="H95" s="4" t="s">
        <v>0</v>
      </c>
      <c r="I95" s="16" t="str">
        <f t="shared" si="53"/>
        <v>05-05</v>
      </c>
      <c r="J95" s="14">
        <f t="shared" si="54"/>
        <v>342</v>
      </c>
      <c r="K95" s="15">
        <f t="shared" si="55"/>
        <v>229</v>
      </c>
      <c r="L95" s="17">
        <f t="shared" si="56"/>
        <v>356</v>
      </c>
      <c r="M95" s="18">
        <f t="shared" si="57"/>
        <v>229</v>
      </c>
      <c r="N95" s="14">
        <f t="shared" si="58"/>
        <v>356</v>
      </c>
      <c r="O95" s="15">
        <f t="shared" si="59"/>
        <v>244</v>
      </c>
      <c r="P95" s="17">
        <f t="shared" si="60"/>
        <v>342</v>
      </c>
      <c r="Q95" s="18">
        <f t="shared" si="61"/>
        <v>244</v>
      </c>
      <c r="R95" s="4" t="s">
        <v>0</v>
      </c>
      <c r="S95" s="16" t="str">
        <f t="shared" si="62"/>
        <v>05-05</v>
      </c>
      <c r="T95" s="14">
        <f t="shared" si="63"/>
        <v>342</v>
      </c>
      <c r="U95" s="18">
        <f t="shared" si="64"/>
        <v>521</v>
      </c>
      <c r="V95" s="14">
        <f t="shared" si="65"/>
        <v>356</v>
      </c>
      <c r="W95" s="18">
        <f t="shared" si="66"/>
        <v>521</v>
      </c>
      <c r="X95" s="14">
        <f t="shared" si="67"/>
        <v>356</v>
      </c>
      <c r="Y95" s="18">
        <f t="shared" si="68"/>
        <v>506</v>
      </c>
      <c r="Z95" s="14">
        <f t="shared" si="69"/>
        <v>342</v>
      </c>
      <c r="AA95" s="18">
        <f t="shared" si="70"/>
        <v>506</v>
      </c>
      <c r="AB95" s="4" t="s">
        <v>0</v>
      </c>
    </row>
    <row r="96" spans="1:28">
      <c r="A96" s="9" t="s">
        <v>42</v>
      </c>
      <c r="B96" s="24"/>
      <c r="C96" s="26">
        <v>7</v>
      </c>
      <c r="D96" s="28">
        <f t="shared" si="79"/>
        <v>357</v>
      </c>
      <c r="E96" s="29">
        <f t="shared" si="80"/>
        <v>229</v>
      </c>
      <c r="F96" s="28">
        <f t="shared" si="81"/>
        <v>371</v>
      </c>
      <c r="G96" s="29">
        <f t="shared" si="82"/>
        <v>244</v>
      </c>
      <c r="H96" s="4" t="s">
        <v>0</v>
      </c>
      <c r="I96" s="16" t="str">
        <f t="shared" si="53"/>
        <v>05-03</v>
      </c>
      <c r="J96" s="14">
        <f t="shared" si="54"/>
        <v>357</v>
      </c>
      <c r="K96" s="15">
        <f t="shared" si="55"/>
        <v>229</v>
      </c>
      <c r="L96" s="17">
        <f t="shared" si="56"/>
        <v>371</v>
      </c>
      <c r="M96" s="18">
        <f t="shared" si="57"/>
        <v>229</v>
      </c>
      <c r="N96" s="14">
        <f t="shared" si="58"/>
        <v>371</v>
      </c>
      <c r="O96" s="15">
        <f t="shared" si="59"/>
        <v>244</v>
      </c>
      <c r="P96" s="17">
        <f t="shared" si="60"/>
        <v>357</v>
      </c>
      <c r="Q96" s="18">
        <f t="shared" si="61"/>
        <v>244</v>
      </c>
      <c r="R96" s="4" t="s">
        <v>0</v>
      </c>
      <c r="S96" s="16" t="str">
        <f t="shared" si="62"/>
        <v>05-03</v>
      </c>
      <c r="T96" s="14">
        <f t="shared" si="63"/>
        <v>357</v>
      </c>
      <c r="U96" s="18">
        <f t="shared" si="64"/>
        <v>521</v>
      </c>
      <c r="V96" s="14">
        <f t="shared" si="65"/>
        <v>371</v>
      </c>
      <c r="W96" s="18">
        <f t="shared" si="66"/>
        <v>521</v>
      </c>
      <c r="X96" s="14">
        <f t="shared" si="67"/>
        <v>371</v>
      </c>
      <c r="Y96" s="18">
        <f t="shared" si="68"/>
        <v>506</v>
      </c>
      <c r="Z96" s="14">
        <f t="shared" si="69"/>
        <v>357</v>
      </c>
      <c r="AA96" s="18">
        <f t="shared" si="70"/>
        <v>506</v>
      </c>
      <c r="AB96" s="4" t="s">
        <v>0</v>
      </c>
    </row>
    <row r="97" spans="1:28">
      <c r="A97" s="9" t="s">
        <v>41</v>
      </c>
      <c r="B97" s="24"/>
      <c r="C97" s="26">
        <v>8</v>
      </c>
      <c r="D97" s="28">
        <f t="shared" si="79"/>
        <v>371</v>
      </c>
      <c r="E97" s="29">
        <f t="shared" si="80"/>
        <v>229</v>
      </c>
      <c r="F97" s="28">
        <f t="shared" si="81"/>
        <v>385</v>
      </c>
      <c r="G97" s="29">
        <f t="shared" si="82"/>
        <v>244</v>
      </c>
      <c r="H97" s="4" t="s">
        <v>0</v>
      </c>
      <c r="I97" s="16" t="str">
        <f t="shared" si="53"/>
        <v>05-02</v>
      </c>
      <c r="J97" s="14">
        <f t="shared" si="54"/>
        <v>371</v>
      </c>
      <c r="K97" s="15">
        <f t="shared" si="55"/>
        <v>229</v>
      </c>
      <c r="L97" s="17">
        <f t="shared" si="56"/>
        <v>385</v>
      </c>
      <c r="M97" s="18">
        <f t="shared" si="57"/>
        <v>229</v>
      </c>
      <c r="N97" s="14">
        <f t="shared" si="58"/>
        <v>385</v>
      </c>
      <c r="O97" s="15">
        <f t="shared" si="59"/>
        <v>244</v>
      </c>
      <c r="P97" s="17">
        <f t="shared" si="60"/>
        <v>371</v>
      </c>
      <c r="Q97" s="18">
        <f t="shared" si="61"/>
        <v>244</v>
      </c>
      <c r="R97" s="4" t="s">
        <v>0</v>
      </c>
      <c r="S97" s="16" t="str">
        <f t="shared" si="62"/>
        <v>05-02</v>
      </c>
      <c r="T97" s="14">
        <f t="shared" si="63"/>
        <v>371</v>
      </c>
      <c r="U97" s="18">
        <f t="shared" si="64"/>
        <v>521</v>
      </c>
      <c r="V97" s="14">
        <f t="shared" si="65"/>
        <v>385</v>
      </c>
      <c r="W97" s="18">
        <f t="shared" si="66"/>
        <v>521</v>
      </c>
      <c r="X97" s="14">
        <f t="shared" si="67"/>
        <v>385</v>
      </c>
      <c r="Y97" s="18">
        <f t="shared" si="68"/>
        <v>506</v>
      </c>
      <c r="Z97" s="14">
        <f t="shared" si="69"/>
        <v>371</v>
      </c>
      <c r="AA97" s="18">
        <f t="shared" si="70"/>
        <v>506</v>
      </c>
      <c r="AB97" s="4" t="s">
        <v>0</v>
      </c>
    </row>
    <row r="98" spans="1:28">
      <c r="A98" s="9" t="s">
        <v>40</v>
      </c>
      <c r="B98" s="24"/>
      <c r="C98" s="26">
        <v>9</v>
      </c>
      <c r="D98" s="28">
        <f t="shared" si="79"/>
        <v>386</v>
      </c>
      <c r="E98" s="29">
        <f t="shared" si="80"/>
        <v>229</v>
      </c>
      <c r="F98" s="28">
        <f t="shared" si="81"/>
        <v>400</v>
      </c>
      <c r="G98" s="29">
        <f t="shared" si="82"/>
        <v>244</v>
      </c>
      <c r="H98" s="4" t="s">
        <v>0</v>
      </c>
      <c r="I98" s="16" t="str">
        <f t="shared" si="53"/>
        <v>05-01</v>
      </c>
      <c r="J98" s="14">
        <f t="shared" si="54"/>
        <v>386</v>
      </c>
      <c r="K98" s="15">
        <f t="shared" si="55"/>
        <v>229</v>
      </c>
      <c r="L98" s="17">
        <f t="shared" si="56"/>
        <v>400</v>
      </c>
      <c r="M98" s="18">
        <f t="shared" si="57"/>
        <v>229</v>
      </c>
      <c r="N98" s="14">
        <f t="shared" si="58"/>
        <v>400</v>
      </c>
      <c r="O98" s="15">
        <f t="shared" si="59"/>
        <v>244</v>
      </c>
      <c r="P98" s="17">
        <f t="shared" si="60"/>
        <v>386</v>
      </c>
      <c r="Q98" s="18">
        <f t="shared" si="61"/>
        <v>244</v>
      </c>
      <c r="R98" s="4" t="s">
        <v>0</v>
      </c>
      <c r="S98" s="16" t="str">
        <f t="shared" si="62"/>
        <v>05-01</v>
      </c>
      <c r="T98" s="14">
        <f t="shared" si="63"/>
        <v>386</v>
      </c>
      <c r="U98" s="18">
        <f t="shared" si="64"/>
        <v>521</v>
      </c>
      <c r="V98" s="14">
        <f t="shared" si="65"/>
        <v>400</v>
      </c>
      <c r="W98" s="18">
        <f t="shared" si="66"/>
        <v>521</v>
      </c>
      <c r="X98" s="14">
        <f t="shared" si="67"/>
        <v>400</v>
      </c>
      <c r="Y98" s="18">
        <f t="shared" si="68"/>
        <v>506</v>
      </c>
      <c r="Z98" s="14">
        <f t="shared" si="69"/>
        <v>386</v>
      </c>
      <c r="AA98" s="18">
        <f t="shared" si="70"/>
        <v>506</v>
      </c>
      <c r="AB98" s="4" t="s">
        <v>0</v>
      </c>
    </row>
    <row r="99" spans="1:28">
      <c r="A99" s="9" t="s">
        <v>430</v>
      </c>
      <c r="B99" s="24"/>
      <c r="C99" s="26">
        <v>1</v>
      </c>
      <c r="D99" s="25">
        <f>D76</f>
        <v>45</v>
      </c>
      <c r="E99" s="28">
        <f>ROUND(E$76+26*$C99, 0)</f>
        <v>255</v>
      </c>
      <c r="F99" s="25">
        <f>F76</f>
        <v>59</v>
      </c>
      <c r="G99" s="28">
        <f>ROUND(G$76+26*$C99, 0)</f>
        <v>270</v>
      </c>
      <c r="H99" s="4" t="s">
        <v>0</v>
      </c>
      <c r="I99" s="16" t="str">
        <f t="shared" si="53"/>
        <v>03-30</v>
      </c>
      <c r="J99" s="14">
        <f t="shared" si="54"/>
        <v>45</v>
      </c>
      <c r="K99" s="15">
        <f t="shared" si="55"/>
        <v>255</v>
      </c>
      <c r="L99" s="17">
        <f t="shared" si="56"/>
        <v>59</v>
      </c>
      <c r="M99" s="18">
        <f t="shared" si="57"/>
        <v>255</v>
      </c>
      <c r="N99" s="14">
        <f t="shared" si="58"/>
        <v>59</v>
      </c>
      <c r="O99" s="15">
        <f t="shared" si="59"/>
        <v>270</v>
      </c>
      <c r="P99" s="17">
        <f t="shared" si="60"/>
        <v>45</v>
      </c>
      <c r="Q99" s="18">
        <f t="shared" si="61"/>
        <v>270</v>
      </c>
      <c r="R99" s="4" t="s">
        <v>0</v>
      </c>
      <c r="S99" s="16" t="str">
        <f t="shared" si="62"/>
        <v>03-30</v>
      </c>
      <c r="T99" s="14">
        <f t="shared" si="63"/>
        <v>45</v>
      </c>
      <c r="U99" s="18">
        <f t="shared" si="64"/>
        <v>495</v>
      </c>
      <c r="V99" s="14">
        <f t="shared" si="65"/>
        <v>59</v>
      </c>
      <c r="W99" s="18">
        <f t="shared" si="66"/>
        <v>495</v>
      </c>
      <c r="X99" s="14">
        <f t="shared" si="67"/>
        <v>59</v>
      </c>
      <c r="Y99" s="18">
        <f t="shared" si="68"/>
        <v>480</v>
      </c>
      <c r="Z99" s="14">
        <f t="shared" si="69"/>
        <v>45</v>
      </c>
      <c r="AA99" s="18">
        <f t="shared" si="70"/>
        <v>480</v>
      </c>
      <c r="AB99" s="4" t="s">
        <v>0</v>
      </c>
    </row>
    <row r="100" spans="1:28">
      <c r="A100" s="9" t="s">
        <v>429</v>
      </c>
      <c r="B100" s="24"/>
      <c r="C100" s="4"/>
      <c r="D100" s="25">
        <f>D77</f>
        <v>59</v>
      </c>
      <c r="E100" s="29">
        <f t="shared" ref="E100" si="83">E99</f>
        <v>255</v>
      </c>
      <c r="F100" s="25">
        <f>F77</f>
        <v>73</v>
      </c>
      <c r="G100" s="29">
        <f t="shared" ref="G100" si="84">G99</f>
        <v>270</v>
      </c>
      <c r="H100" s="4" t="s">
        <v>0</v>
      </c>
      <c r="I100" s="16" t="str">
        <f t="shared" si="53"/>
        <v>03-28</v>
      </c>
      <c r="J100" s="14">
        <f t="shared" si="54"/>
        <v>59</v>
      </c>
      <c r="K100" s="15">
        <f t="shared" si="55"/>
        <v>255</v>
      </c>
      <c r="L100" s="17">
        <f t="shared" si="56"/>
        <v>73</v>
      </c>
      <c r="M100" s="18">
        <f t="shared" si="57"/>
        <v>255</v>
      </c>
      <c r="N100" s="14">
        <f t="shared" si="58"/>
        <v>73</v>
      </c>
      <c r="O100" s="15">
        <f t="shared" si="59"/>
        <v>270</v>
      </c>
      <c r="P100" s="17">
        <f t="shared" si="60"/>
        <v>59</v>
      </c>
      <c r="Q100" s="18">
        <f t="shared" si="61"/>
        <v>270</v>
      </c>
      <c r="R100" s="4" t="s">
        <v>0</v>
      </c>
      <c r="S100" s="16" t="str">
        <f t="shared" si="62"/>
        <v>03-28</v>
      </c>
      <c r="T100" s="14">
        <f t="shared" si="63"/>
        <v>59</v>
      </c>
      <c r="U100" s="18">
        <f t="shared" si="64"/>
        <v>495</v>
      </c>
      <c r="V100" s="14">
        <f t="shared" si="65"/>
        <v>73</v>
      </c>
      <c r="W100" s="18">
        <f t="shared" si="66"/>
        <v>495</v>
      </c>
      <c r="X100" s="14">
        <f t="shared" si="67"/>
        <v>73</v>
      </c>
      <c r="Y100" s="18">
        <f t="shared" si="68"/>
        <v>480</v>
      </c>
      <c r="Z100" s="14">
        <f t="shared" si="69"/>
        <v>59</v>
      </c>
      <c r="AA100" s="18">
        <f t="shared" si="70"/>
        <v>480</v>
      </c>
      <c r="AB100" s="4" t="s">
        <v>0</v>
      </c>
    </row>
    <row r="101" spans="1:28">
      <c r="A101" s="9" t="s">
        <v>428</v>
      </c>
      <c r="B101" s="24"/>
      <c r="C101" s="4"/>
      <c r="D101" s="25">
        <f t="shared" ref="D101:D121" si="85">D78</f>
        <v>74</v>
      </c>
      <c r="E101" s="29">
        <f t="shared" ref="E101:E122" si="86">E100</f>
        <v>255</v>
      </c>
      <c r="F101" s="25">
        <f t="shared" ref="F101:F121" si="87">F78</f>
        <v>88</v>
      </c>
      <c r="G101" s="29">
        <f t="shared" ref="G101:G122" si="88">G100</f>
        <v>270</v>
      </c>
      <c r="H101" s="4" t="s">
        <v>0</v>
      </c>
      <c r="I101" s="16" t="str">
        <f t="shared" si="53"/>
        <v>03-27</v>
      </c>
      <c r="J101" s="14">
        <f t="shared" si="54"/>
        <v>74</v>
      </c>
      <c r="K101" s="15">
        <f t="shared" si="55"/>
        <v>255</v>
      </c>
      <c r="L101" s="17">
        <f t="shared" si="56"/>
        <v>88</v>
      </c>
      <c r="M101" s="18">
        <f t="shared" si="57"/>
        <v>255</v>
      </c>
      <c r="N101" s="14">
        <f t="shared" si="58"/>
        <v>88</v>
      </c>
      <c r="O101" s="15">
        <f t="shared" si="59"/>
        <v>270</v>
      </c>
      <c r="P101" s="17">
        <f t="shared" si="60"/>
        <v>74</v>
      </c>
      <c r="Q101" s="18">
        <f t="shared" si="61"/>
        <v>270</v>
      </c>
      <c r="R101" s="4" t="s">
        <v>0</v>
      </c>
      <c r="S101" s="16" t="str">
        <f t="shared" si="62"/>
        <v>03-27</v>
      </c>
      <c r="T101" s="14">
        <f t="shared" si="63"/>
        <v>74</v>
      </c>
      <c r="U101" s="18">
        <f t="shared" si="64"/>
        <v>495</v>
      </c>
      <c r="V101" s="14">
        <f t="shared" si="65"/>
        <v>88</v>
      </c>
      <c r="W101" s="18">
        <f t="shared" si="66"/>
        <v>495</v>
      </c>
      <c r="X101" s="14">
        <f t="shared" si="67"/>
        <v>88</v>
      </c>
      <c r="Y101" s="18">
        <f t="shared" si="68"/>
        <v>480</v>
      </c>
      <c r="Z101" s="14">
        <f t="shared" si="69"/>
        <v>74</v>
      </c>
      <c r="AA101" s="18">
        <f t="shared" si="70"/>
        <v>480</v>
      </c>
      <c r="AB101" s="4" t="s">
        <v>0</v>
      </c>
    </row>
    <row r="102" spans="1:28">
      <c r="A102" s="9" t="s">
        <v>427</v>
      </c>
      <c r="B102" s="24"/>
      <c r="C102" s="4"/>
      <c r="D102" s="25">
        <f t="shared" si="85"/>
        <v>88</v>
      </c>
      <c r="E102" s="29">
        <f t="shared" si="86"/>
        <v>255</v>
      </c>
      <c r="F102" s="25">
        <f t="shared" si="87"/>
        <v>102</v>
      </c>
      <c r="G102" s="29">
        <f t="shared" si="88"/>
        <v>270</v>
      </c>
      <c r="H102" s="4" t="s">
        <v>0</v>
      </c>
      <c r="I102" s="16" t="str">
        <f t="shared" si="53"/>
        <v>03-26</v>
      </c>
      <c r="J102" s="14">
        <f t="shared" si="54"/>
        <v>88</v>
      </c>
      <c r="K102" s="15">
        <f t="shared" si="55"/>
        <v>255</v>
      </c>
      <c r="L102" s="17">
        <f t="shared" si="56"/>
        <v>102</v>
      </c>
      <c r="M102" s="18">
        <f t="shared" si="57"/>
        <v>255</v>
      </c>
      <c r="N102" s="14">
        <f t="shared" si="58"/>
        <v>102</v>
      </c>
      <c r="O102" s="15">
        <f t="shared" si="59"/>
        <v>270</v>
      </c>
      <c r="P102" s="17">
        <f t="shared" si="60"/>
        <v>88</v>
      </c>
      <c r="Q102" s="18">
        <f t="shared" si="61"/>
        <v>270</v>
      </c>
      <c r="R102" s="4" t="s">
        <v>0</v>
      </c>
      <c r="S102" s="16" t="str">
        <f t="shared" si="62"/>
        <v>03-26</v>
      </c>
      <c r="T102" s="14">
        <f t="shared" si="63"/>
        <v>88</v>
      </c>
      <c r="U102" s="18">
        <f t="shared" si="64"/>
        <v>495</v>
      </c>
      <c r="V102" s="14">
        <f t="shared" si="65"/>
        <v>102</v>
      </c>
      <c r="W102" s="18">
        <f t="shared" si="66"/>
        <v>495</v>
      </c>
      <c r="X102" s="14">
        <f t="shared" si="67"/>
        <v>102</v>
      </c>
      <c r="Y102" s="18">
        <f t="shared" si="68"/>
        <v>480</v>
      </c>
      <c r="Z102" s="14">
        <f t="shared" si="69"/>
        <v>88</v>
      </c>
      <c r="AA102" s="18">
        <f t="shared" si="70"/>
        <v>480</v>
      </c>
      <c r="AB102" s="4" t="s">
        <v>0</v>
      </c>
    </row>
    <row r="103" spans="1:28">
      <c r="A103" s="9" t="s">
        <v>426</v>
      </c>
      <c r="B103" s="24"/>
      <c r="C103" s="4"/>
      <c r="D103" s="25">
        <f t="shared" si="85"/>
        <v>103</v>
      </c>
      <c r="E103" s="29">
        <f t="shared" si="86"/>
        <v>255</v>
      </c>
      <c r="F103" s="25">
        <f t="shared" si="87"/>
        <v>117</v>
      </c>
      <c r="G103" s="29">
        <f t="shared" si="88"/>
        <v>270</v>
      </c>
      <c r="H103" s="4" t="s">
        <v>0</v>
      </c>
      <c r="I103" s="16" t="str">
        <f t="shared" si="53"/>
        <v>03-25</v>
      </c>
      <c r="J103" s="14">
        <f t="shared" si="54"/>
        <v>103</v>
      </c>
      <c r="K103" s="15">
        <f t="shared" si="55"/>
        <v>255</v>
      </c>
      <c r="L103" s="17">
        <f t="shared" si="56"/>
        <v>117</v>
      </c>
      <c r="M103" s="18">
        <f t="shared" si="57"/>
        <v>255</v>
      </c>
      <c r="N103" s="14">
        <f t="shared" si="58"/>
        <v>117</v>
      </c>
      <c r="O103" s="15">
        <f t="shared" si="59"/>
        <v>270</v>
      </c>
      <c r="P103" s="17">
        <f t="shared" si="60"/>
        <v>103</v>
      </c>
      <c r="Q103" s="18">
        <f t="shared" si="61"/>
        <v>270</v>
      </c>
      <c r="R103" s="4" t="s">
        <v>0</v>
      </c>
      <c r="S103" s="16" t="str">
        <f t="shared" si="62"/>
        <v>03-25</v>
      </c>
      <c r="T103" s="14">
        <f t="shared" si="63"/>
        <v>103</v>
      </c>
      <c r="U103" s="18">
        <f t="shared" si="64"/>
        <v>495</v>
      </c>
      <c r="V103" s="14">
        <f t="shared" si="65"/>
        <v>117</v>
      </c>
      <c r="W103" s="18">
        <f t="shared" si="66"/>
        <v>495</v>
      </c>
      <c r="X103" s="14">
        <f t="shared" si="67"/>
        <v>117</v>
      </c>
      <c r="Y103" s="18">
        <f t="shared" si="68"/>
        <v>480</v>
      </c>
      <c r="Z103" s="14">
        <f t="shared" si="69"/>
        <v>103</v>
      </c>
      <c r="AA103" s="18">
        <f t="shared" si="70"/>
        <v>480</v>
      </c>
      <c r="AB103" s="4" t="s">
        <v>0</v>
      </c>
    </row>
    <row r="104" spans="1:28">
      <c r="A104" s="9" t="s">
        <v>425</v>
      </c>
      <c r="B104" s="24"/>
      <c r="C104" s="4"/>
      <c r="D104" s="25">
        <f t="shared" si="85"/>
        <v>117</v>
      </c>
      <c r="E104" s="29">
        <f t="shared" si="86"/>
        <v>255</v>
      </c>
      <c r="F104" s="25">
        <f t="shared" si="87"/>
        <v>131</v>
      </c>
      <c r="G104" s="29">
        <f t="shared" si="88"/>
        <v>270</v>
      </c>
      <c r="H104" s="4" t="s">
        <v>0</v>
      </c>
      <c r="I104" s="16" t="str">
        <f t="shared" si="53"/>
        <v>03-23</v>
      </c>
      <c r="J104" s="14">
        <f t="shared" si="54"/>
        <v>117</v>
      </c>
      <c r="K104" s="15">
        <f t="shared" si="55"/>
        <v>255</v>
      </c>
      <c r="L104" s="17">
        <f t="shared" si="56"/>
        <v>131</v>
      </c>
      <c r="M104" s="18">
        <f t="shared" si="57"/>
        <v>255</v>
      </c>
      <c r="N104" s="14">
        <f t="shared" si="58"/>
        <v>131</v>
      </c>
      <c r="O104" s="15">
        <f t="shared" si="59"/>
        <v>270</v>
      </c>
      <c r="P104" s="17">
        <f t="shared" si="60"/>
        <v>117</v>
      </c>
      <c r="Q104" s="18">
        <f t="shared" si="61"/>
        <v>270</v>
      </c>
      <c r="R104" s="4" t="s">
        <v>0</v>
      </c>
      <c r="S104" s="16" t="str">
        <f t="shared" si="62"/>
        <v>03-23</v>
      </c>
      <c r="T104" s="14">
        <f t="shared" si="63"/>
        <v>117</v>
      </c>
      <c r="U104" s="18">
        <f t="shared" si="64"/>
        <v>495</v>
      </c>
      <c r="V104" s="14">
        <f t="shared" si="65"/>
        <v>131</v>
      </c>
      <c r="W104" s="18">
        <f t="shared" si="66"/>
        <v>495</v>
      </c>
      <c r="X104" s="14">
        <f t="shared" si="67"/>
        <v>131</v>
      </c>
      <c r="Y104" s="18">
        <f t="shared" si="68"/>
        <v>480</v>
      </c>
      <c r="Z104" s="14">
        <f t="shared" si="69"/>
        <v>117</v>
      </c>
      <c r="AA104" s="18">
        <f t="shared" si="70"/>
        <v>480</v>
      </c>
      <c r="AB104" s="4" t="s">
        <v>0</v>
      </c>
    </row>
    <row r="105" spans="1:28">
      <c r="A105" s="9" t="s">
        <v>424</v>
      </c>
      <c r="B105" s="24"/>
      <c r="C105" s="4"/>
      <c r="D105" s="25">
        <f t="shared" si="85"/>
        <v>131</v>
      </c>
      <c r="E105" s="29">
        <f t="shared" si="86"/>
        <v>255</v>
      </c>
      <c r="F105" s="25">
        <f t="shared" si="87"/>
        <v>145</v>
      </c>
      <c r="G105" s="29">
        <f t="shared" si="88"/>
        <v>270</v>
      </c>
      <c r="H105" s="4" t="s">
        <v>0</v>
      </c>
      <c r="I105" s="16" t="str">
        <f t="shared" si="53"/>
        <v>03-22</v>
      </c>
      <c r="J105" s="14">
        <f t="shared" si="54"/>
        <v>131</v>
      </c>
      <c r="K105" s="15">
        <f t="shared" si="55"/>
        <v>255</v>
      </c>
      <c r="L105" s="17">
        <f t="shared" si="56"/>
        <v>145</v>
      </c>
      <c r="M105" s="18">
        <f t="shared" si="57"/>
        <v>255</v>
      </c>
      <c r="N105" s="14">
        <f t="shared" si="58"/>
        <v>145</v>
      </c>
      <c r="O105" s="15">
        <f t="shared" si="59"/>
        <v>270</v>
      </c>
      <c r="P105" s="17">
        <f t="shared" si="60"/>
        <v>131</v>
      </c>
      <c r="Q105" s="18">
        <f t="shared" si="61"/>
        <v>270</v>
      </c>
      <c r="R105" s="4" t="s">
        <v>0</v>
      </c>
      <c r="S105" s="16" t="str">
        <f t="shared" si="62"/>
        <v>03-22</v>
      </c>
      <c r="T105" s="14">
        <f t="shared" si="63"/>
        <v>131</v>
      </c>
      <c r="U105" s="18">
        <f t="shared" si="64"/>
        <v>495</v>
      </c>
      <c r="V105" s="14">
        <f t="shared" si="65"/>
        <v>145</v>
      </c>
      <c r="W105" s="18">
        <f t="shared" si="66"/>
        <v>495</v>
      </c>
      <c r="X105" s="14">
        <f t="shared" si="67"/>
        <v>145</v>
      </c>
      <c r="Y105" s="18">
        <f t="shared" si="68"/>
        <v>480</v>
      </c>
      <c r="Z105" s="14">
        <f t="shared" si="69"/>
        <v>131</v>
      </c>
      <c r="AA105" s="18">
        <f t="shared" si="70"/>
        <v>480</v>
      </c>
      <c r="AB105" s="4" t="s">
        <v>0</v>
      </c>
    </row>
    <row r="106" spans="1:28">
      <c r="A106" s="9" t="s">
        <v>160</v>
      </c>
      <c r="B106" s="24"/>
      <c r="C106" s="4"/>
      <c r="D106" s="25">
        <f t="shared" si="85"/>
        <v>146</v>
      </c>
      <c r="E106" s="29">
        <f t="shared" si="86"/>
        <v>255</v>
      </c>
      <c r="F106" s="25">
        <f t="shared" si="87"/>
        <v>160</v>
      </c>
      <c r="G106" s="29">
        <f t="shared" si="88"/>
        <v>270</v>
      </c>
      <c r="H106" s="4" t="s">
        <v>0</v>
      </c>
      <c r="I106" s="16" t="str">
        <f t="shared" si="53"/>
        <v>03-21</v>
      </c>
      <c r="J106" s="14">
        <f t="shared" si="54"/>
        <v>146</v>
      </c>
      <c r="K106" s="15">
        <f t="shared" si="55"/>
        <v>255</v>
      </c>
      <c r="L106" s="17">
        <f t="shared" si="56"/>
        <v>160</v>
      </c>
      <c r="M106" s="18">
        <f t="shared" si="57"/>
        <v>255</v>
      </c>
      <c r="N106" s="14">
        <f t="shared" si="58"/>
        <v>160</v>
      </c>
      <c r="O106" s="15">
        <f t="shared" si="59"/>
        <v>270</v>
      </c>
      <c r="P106" s="17">
        <f t="shared" si="60"/>
        <v>146</v>
      </c>
      <c r="Q106" s="18">
        <f t="shared" si="61"/>
        <v>270</v>
      </c>
      <c r="R106" s="4" t="s">
        <v>0</v>
      </c>
      <c r="S106" s="16" t="str">
        <f t="shared" si="62"/>
        <v>03-21</v>
      </c>
      <c r="T106" s="14">
        <f t="shared" si="63"/>
        <v>146</v>
      </c>
      <c r="U106" s="18">
        <f t="shared" si="64"/>
        <v>495</v>
      </c>
      <c r="V106" s="14">
        <f t="shared" si="65"/>
        <v>160</v>
      </c>
      <c r="W106" s="18">
        <f t="shared" si="66"/>
        <v>495</v>
      </c>
      <c r="X106" s="14">
        <f t="shared" si="67"/>
        <v>160</v>
      </c>
      <c r="Y106" s="18">
        <f t="shared" si="68"/>
        <v>480</v>
      </c>
      <c r="Z106" s="14">
        <f t="shared" si="69"/>
        <v>146</v>
      </c>
      <c r="AA106" s="18">
        <f t="shared" si="70"/>
        <v>480</v>
      </c>
      <c r="AB106" s="4" t="s">
        <v>0</v>
      </c>
    </row>
    <row r="107" spans="1:28">
      <c r="A107" s="9" t="s">
        <v>159</v>
      </c>
      <c r="B107" s="24"/>
      <c r="C107" s="4"/>
      <c r="D107" s="25">
        <f t="shared" si="85"/>
        <v>160</v>
      </c>
      <c r="E107" s="29">
        <f t="shared" si="86"/>
        <v>255</v>
      </c>
      <c r="F107" s="25">
        <f t="shared" si="87"/>
        <v>174</v>
      </c>
      <c r="G107" s="29">
        <f t="shared" si="88"/>
        <v>270</v>
      </c>
      <c r="H107" s="4" t="s">
        <v>0</v>
      </c>
      <c r="I107" s="16" t="str">
        <f t="shared" si="53"/>
        <v>03-20</v>
      </c>
      <c r="J107" s="14">
        <f t="shared" si="54"/>
        <v>160</v>
      </c>
      <c r="K107" s="15">
        <f t="shared" si="55"/>
        <v>255</v>
      </c>
      <c r="L107" s="17">
        <f t="shared" si="56"/>
        <v>174</v>
      </c>
      <c r="M107" s="18">
        <f t="shared" si="57"/>
        <v>255</v>
      </c>
      <c r="N107" s="14">
        <f t="shared" si="58"/>
        <v>174</v>
      </c>
      <c r="O107" s="15">
        <f t="shared" si="59"/>
        <v>270</v>
      </c>
      <c r="P107" s="17">
        <f t="shared" si="60"/>
        <v>160</v>
      </c>
      <c r="Q107" s="18">
        <f t="shared" si="61"/>
        <v>270</v>
      </c>
      <c r="R107" s="4" t="s">
        <v>0</v>
      </c>
      <c r="S107" s="16" t="str">
        <f t="shared" si="62"/>
        <v>03-20</v>
      </c>
      <c r="T107" s="14">
        <f t="shared" si="63"/>
        <v>160</v>
      </c>
      <c r="U107" s="18">
        <f t="shared" si="64"/>
        <v>495</v>
      </c>
      <c r="V107" s="14">
        <f t="shared" si="65"/>
        <v>174</v>
      </c>
      <c r="W107" s="18">
        <f t="shared" si="66"/>
        <v>495</v>
      </c>
      <c r="X107" s="14">
        <f t="shared" si="67"/>
        <v>174</v>
      </c>
      <c r="Y107" s="18">
        <f t="shared" si="68"/>
        <v>480</v>
      </c>
      <c r="Z107" s="14">
        <f t="shared" si="69"/>
        <v>160</v>
      </c>
      <c r="AA107" s="18">
        <f t="shared" si="70"/>
        <v>480</v>
      </c>
      <c r="AB107" s="4" t="s">
        <v>0</v>
      </c>
    </row>
    <row r="108" spans="1:28">
      <c r="A108" s="9" t="s">
        <v>158</v>
      </c>
      <c r="B108" s="24"/>
      <c r="C108" s="4"/>
      <c r="D108" s="25">
        <f t="shared" si="85"/>
        <v>175</v>
      </c>
      <c r="E108" s="29">
        <f t="shared" si="86"/>
        <v>255</v>
      </c>
      <c r="F108" s="25">
        <f t="shared" si="87"/>
        <v>189</v>
      </c>
      <c r="G108" s="29">
        <f t="shared" si="88"/>
        <v>270</v>
      </c>
      <c r="H108" s="4" t="s">
        <v>0</v>
      </c>
      <c r="I108" s="16" t="str">
        <f t="shared" si="53"/>
        <v>03-18</v>
      </c>
      <c r="J108" s="14">
        <f t="shared" si="54"/>
        <v>175</v>
      </c>
      <c r="K108" s="15">
        <f t="shared" si="55"/>
        <v>255</v>
      </c>
      <c r="L108" s="17">
        <f t="shared" si="56"/>
        <v>189</v>
      </c>
      <c r="M108" s="18">
        <f t="shared" si="57"/>
        <v>255</v>
      </c>
      <c r="N108" s="14">
        <f t="shared" si="58"/>
        <v>189</v>
      </c>
      <c r="O108" s="15">
        <f t="shared" si="59"/>
        <v>270</v>
      </c>
      <c r="P108" s="17">
        <f t="shared" si="60"/>
        <v>175</v>
      </c>
      <c r="Q108" s="18">
        <f t="shared" si="61"/>
        <v>270</v>
      </c>
      <c r="R108" s="4" t="s">
        <v>0</v>
      </c>
      <c r="S108" s="16" t="str">
        <f t="shared" si="62"/>
        <v>03-18</v>
      </c>
      <c r="T108" s="14">
        <f t="shared" si="63"/>
        <v>175</v>
      </c>
      <c r="U108" s="18">
        <f t="shared" si="64"/>
        <v>495</v>
      </c>
      <c r="V108" s="14">
        <f t="shared" si="65"/>
        <v>189</v>
      </c>
      <c r="W108" s="18">
        <f t="shared" si="66"/>
        <v>495</v>
      </c>
      <c r="X108" s="14">
        <f t="shared" si="67"/>
        <v>189</v>
      </c>
      <c r="Y108" s="18">
        <f t="shared" si="68"/>
        <v>480</v>
      </c>
      <c r="Z108" s="14">
        <f t="shared" si="69"/>
        <v>175</v>
      </c>
      <c r="AA108" s="18">
        <f t="shared" si="70"/>
        <v>480</v>
      </c>
      <c r="AB108" s="4" t="s">
        <v>0</v>
      </c>
    </row>
    <row r="109" spans="1:28">
      <c r="A109" s="9" t="s">
        <v>157</v>
      </c>
      <c r="B109" s="24"/>
      <c r="C109" s="4"/>
      <c r="D109" s="25">
        <f t="shared" si="85"/>
        <v>189</v>
      </c>
      <c r="E109" s="29">
        <f t="shared" si="86"/>
        <v>255</v>
      </c>
      <c r="F109" s="25">
        <f t="shared" si="87"/>
        <v>203</v>
      </c>
      <c r="G109" s="29">
        <f t="shared" si="88"/>
        <v>270</v>
      </c>
      <c r="H109" s="4" t="s">
        <v>0</v>
      </c>
      <c r="I109" s="16" t="str">
        <f t="shared" si="53"/>
        <v>03-17</v>
      </c>
      <c r="J109" s="14">
        <f t="shared" si="54"/>
        <v>189</v>
      </c>
      <c r="K109" s="15">
        <f t="shared" si="55"/>
        <v>255</v>
      </c>
      <c r="L109" s="17">
        <f t="shared" si="56"/>
        <v>203</v>
      </c>
      <c r="M109" s="18">
        <f t="shared" si="57"/>
        <v>255</v>
      </c>
      <c r="N109" s="14">
        <f t="shared" si="58"/>
        <v>203</v>
      </c>
      <c r="O109" s="15">
        <f t="shared" si="59"/>
        <v>270</v>
      </c>
      <c r="P109" s="17">
        <f t="shared" si="60"/>
        <v>189</v>
      </c>
      <c r="Q109" s="18">
        <f t="shared" si="61"/>
        <v>270</v>
      </c>
      <c r="R109" s="4" t="s">
        <v>0</v>
      </c>
      <c r="S109" s="16" t="str">
        <f t="shared" si="62"/>
        <v>03-17</v>
      </c>
      <c r="T109" s="14">
        <f t="shared" si="63"/>
        <v>189</v>
      </c>
      <c r="U109" s="18">
        <f t="shared" si="64"/>
        <v>495</v>
      </c>
      <c r="V109" s="14">
        <f t="shared" si="65"/>
        <v>203</v>
      </c>
      <c r="W109" s="18">
        <f t="shared" si="66"/>
        <v>495</v>
      </c>
      <c r="X109" s="14">
        <f t="shared" si="67"/>
        <v>203</v>
      </c>
      <c r="Y109" s="18">
        <f t="shared" si="68"/>
        <v>480</v>
      </c>
      <c r="Z109" s="14">
        <f t="shared" si="69"/>
        <v>189</v>
      </c>
      <c r="AA109" s="18">
        <f t="shared" si="70"/>
        <v>480</v>
      </c>
      <c r="AB109" s="4" t="s">
        <v>0</v>
      </c>
    </row>
    <row r="110" spans="1:28">
      <c r="A110" s="9" t="s">
        <v>156</v>
      </c>
      <c r="B110" s="24"/>
      <c r="C110" s="4"/>
      <c r="D110" s="25">
        <f t="shared" si="85"/>
        <v>203</v>
      </c>
      <c r="E110" s="29">
        <f t="shared" si="86"/>
        <v>255</v>
      </c>
      <c r="F110" s="25">
        <f t="shared" si="87"/>
        <v>217</v>
      </c>
      <c r="G110" s="29">
        <f t="shared" si="88"/>
        <v>270</v>
      </c>
      <c r="H110" s="4" t="s">
        <v>0</v>
      </c>
      <c r="I110" s="16" t="str">
        <f t="shared" si="53"/>
        <v>03-16</v>
      </c>
      <c r="J110" s="14">
        <f t="shared" si="54"/>
        <v>203</v>
      </c>
      <c r="K110" s="15">
        <f t="shared" si="55"/>
        <v>255</v>
      </c>
      <c r="L110" s="17">
        <f t="shared" si="56"/>
        <v>217</v>
      </c>
      <c r="M110" s="18">
        <f t="shared" si="57"/>
        <v>255</v>
      </c>
      <c r="N110" s="14">
        <f t="shared" si="58"/>
        <v>217</v>
      </c>
      <c r="O110" s="15">
        <f t="shared" si="59"/>
        <v>270</v>
      </c>
      <c r="P110" s="17">
        <f t="shared" si="60"/>
        <v>203</v>
      </c>
      <c r="Q110" s="18">
        <f t="shared" si="61"/>
        <v>270</v>
      </c>
      <c r="R110" s="4" t="s">
        <v>0</v>
      </c>
      <c r="S110" s="16" t="str">
        <f t="shared" si="62"/>
        <v>03-16</v>
      </c>
      <c r="T110" s="14">
        <f t="shared" si="63"/>
        <v>203</v>
      </c>
      <c r="U110" s="18">
        <f t="shared" si="64"/>
        <v>495</v>
      </c>
      <c r="V110" s="14">
        <f t="shared" si="65"/>
        <v>217</v>
      </c>
      <c r="W110" s="18">
        <f t="shared" si="66"/>
        <v>495</v>
      </c>
      <c r="X110" s="14">
        <f t="shared" si="67"/>
        <v>217</v>
      </c>
      <c r="Y110" s="18">
        <f t="shared" si="68"/>
        <v>480</v>
      </c>
      <c r="Z110" s="14">
        <f t="shared" si="69"/>
        <v>203</v>
      </c>
      <c r="AA110" s="18">
        <f t="shared" si="70"/>
        <v>480</v>
      </c>
      <c r="AB110" s="4" t="s">
        <v>0</v>
      </c>
    </row>
    <row r="111" spans="1:28">
      <c r="A111" s="9" t="s">
        <v>155</v>
      </c>
      <c r="B111" s="24"/>
      <c r="C111" s="4"/>
      <c r="D111" s="25">
        <f t="shared" si="85"/>
        <v>218</v>
      </c>
      <c r="E111" s="29">
        <f t="shared" si="86"/>
        <v>255</v>
      </c>
      <c r="F111" s="25">
        <f t="shared" si="87"/>
        <v>232</v>
      </c>
      <c r="G111" s="29">
        <f t="shared" si="88"/>
        <v>270</v>
      </c>
      <c r="H111" s="4" t="s">
        <v>0</v>
      </c>
      <c r="I111" s="16" t="str">
        <f t="shared" si="53"/>
        <v>03-15</v>
      </c>
      <c r="J111" s="14">
        <f t="shared" si="54"/>
        <v>218</v>
      </c>
      <c r="K111" s="15">
        <f t="shared" si="55"/>
        <v>255</v>
      </c>
      <c r="L111" s="17">
        <f t="shared" si="56"/>
        <v>232</v>
      </c>
      <c r="M111" s="18">
        <f t="shared" si="57"/>
        <v>255</v>
      </c>
      <c r="N111" s="14">
        <f t="shared" si="58"/>
        <v>232</v>
      </c>
      <c r="O111" s="15">
        <f t="shared" si="59"/>
        <v>270</v>
      </c>
      <c r="P111" s="17">
        <f t="shared" si="60"/>
        <v>218</v>
      </c>
      <c r="Q111" s="18">
        <f t="shared" si="61"/>
        <v>270</v>
      </c>
      <c r="R111" s="4" t="s">
        <v>0</v>
      </c>
      <c r="S111" s="16" t="str">
        <f t="shared" si="62"/>
        <v>03-15</v>
      </c>
      <c r="T111" s="14">
        <f t="shared" si="63"/>
        <v>218</v>
      </c>
      <c r="U111" s="18">
        <f t="shared" si="64"/>
        <v>495</v>
      </c>
      <c r="V111" s="14">
        <f t="shared" si="65"/>
        <v>232</v>
      </c>
      <c r="W111" s="18">
        <f t="shared" si="66"/>
        <v>495</v>
      </c>
      <c r="X111" s="14">
        <f t="shared" si="67"/>
        <v>232</v>
      </c>
      <c r="Y111" s="18">
        <f t="shared" si="68"/>
        <v>480</v>
      </c>
      <c r="Z111" s="14">
        <f t="shared" si="69"/>
        <v>218</v>
      </c>
      <c r="AA111" s="18">
        <f t="shared" si="70"/>
        <v>480</v>
      </c>
      <c r="AB111" s="4" t="s">
        <v>0</v>
      </c>
    </row>
    <row r="112" spans="1:28">
      <c r="A112" s="9" t="s">
        <v>154</v>
      </c>
      <c r="B112" s="24"/>
      <c r="C112" s="4"/>
      <c r="D112" s="25">
        <f t="shared" si="85"/>
        <v>256</v>
      </c>
      <c r="E112" s="29">
        <f t="shared" si="86"/>
        <v>255</v>
      </c>
      <c r="F112" s="25">
        <f t="shared" si="87"/>
        <v>270</v>
      </c>
      <c r="G112" s="29">
        <f t="shared" si="88"/>
        <v>270</v>
      </c>
      <c r="H112" s="4" t="s">
        <v>0</v>
      </c>
      <c r="I112" s="16" t="str">
        <f t="shared" si="53"/>
        <v>03-13</v>
      </c>
      <c r="J112" s="14">
        <f t="shared" si="54"/>
        <v>256</v>
      </c>
      <c r="K112" s="15">
        <f t="shared" si="55"/>
        <v>255</v>
      </c>
      <c r="L112" s="17">
        <f t="shared" si="56"/>
        <v>270</v>
      </c>
      <c r="M112" s="18">
        <f t="shared" si="57"/>
        <v>255</v>
      </c>
      <c r="N112" s="14">
        <f t="shared" si="58"/>
        <v>270</v>
      </c>
      <c r="O112" s="15">
        <f t="shared" si="59"/>
        <v>270</v>
      </c>
      <c r="P112" s="17">
        <f t="shared" si="60"/>
        <v>256</v>
      </c>
      <c r="Q112" s="18">
        <f t="shared" si="61"/>
        <v>270</v>
      </c>
      <c r="R112" s="4" t="s">
        <v>0</v>
      </c>
      <c r="S112" s="16" t="str">
        <f t="shared" si="62"/>
        <v>03-13</v>
      </c>
      <c r="T112" s="14">
        <f t="shared" si="63"/>
        <v>256</v>
      </c>
      <c r="U112" s="18">
        <f t="shared" si="64"/>
        <v>495</v>
      </c>
      <c r="V112" s="14">
        <f t="shared" si="65"/>
        <v>270</v>
      </c>
      <c r="W112" s="18">
        <f t="shared" si="66"/>
        <v>495</v>
      </c>
      <c r="X112" s="14">
        <f t="shared" si="67"/>
        <v>270</v>
      </c>
      <c r="Y112" s="18">
        <f t="shared" si="68"/>
        <v>480</v>
      </c>
      <c r="Z112" s="14">
        <f t="shared" si="69"/>
        <v>256</v>
      </c>
      <c r="AA112" s="18">
        <f t="shared" si="70"/>
        <v>480</v>
      </c>
      <c r="AB112" s="4" t="s">
        <v>0</v>
      </c>
    </row>
    <row r="113" spans="1:28">
      <c r="A113" s="9" t="s">
        <v>39</v>
      </c>
      <c r="B113" s="24"/>
      <c r="C113" s="4"/>
      <c r="D113" s="25">
        <f t="shared" si="85"/>
        <v>270</v>
      </c>
      <c r="E113" s="29">
        <f t="shared" si="86"/>
        <v>255</v>
      </c>
      <c r="F113" s="25">
        <f t="shared" si="87"/>
        <v>284</v>
      </c>
      <c r="G113" s="29">
        <f t="shared" si="88"/>
        <v>270</v>
      </c>
      <c r="H113" s="4" t="s">
        <v>0</v>
      </c>
      <c r="I113" s="16" t="str">
        <f t="shared" si="53"/>
        <v>03-12</v>
      </c>
      <c r="J113" s="14">
        <f t="shared" si="54"/>
        <v>270</v>
      </c>
      <c r="K113" s="15">
        <f t="shared" si="55"/>
        <v>255</v>
      </c>
      <c r="L113" s="17">
        <f t="shared" si="56"/>
        <v>284</v>
      </c>
      <c r="M113" s="18">
        <f t="shared" si="57"/>
        <v>255</v>
      </c>
      <c r="N113" s="14">
        <f t="shared" si="58"/>
        <v>284</v>
      </c>
      <c r="O113" s="15">
        <f t="shared" si="59"/>
        <v>270</v>
      </c>
      <c r="P113" s="17">
        <f t="shared" si="60"/>
        <v>270</v>
      </c>
      <c r="Q113" s="18">
        <f t="shared" si="61"/>
        <v>270</v>
      </c>
      <c r="R113" s="4" t="s">
        <v>0</v>
      </c>
      <c r="S113" s="16" t="str">
        <f t="shared" si="62"/>
        <v>03-12</v>
      </c>
      <c r="T113" s="14">
        <f t="shared" si="63"/>
        <v>270</v>
      </c>
      <c r="U113" s="18">
        <f t="shared" si="64"/>
        <v>495</v>
      </c>
      <c r="V113" s="14">
        <f t="shared" si="65"/>
        <v>284</v>
      </c>
      <c r="W113" s="18">
        <f t="shared" si="66"/>
        <v>495</v>
      </c>
      <c r="X113" s="14">
        <f t="shared" si="67"/>
        <v>284</v>
      </c>
      <c r="Y113" s="18">
        <f t="shared" si="68"/>
        <v>480</v>
      </c>
      <c r="Z113" s="14">
        <f t="shared" si="69"/>
        <v>270</v>
      </c>
      <c r="AA113" s="18">
        <f t="shared" si="70"/>
        <v>480</v>
      </c>
      <c r="AB113" s="4" t="s">
        <v>0</v>
      </c>
    </row>
    <row r="114" spans="1:28">
      <c r="A114" s="9" t="s">
        <v>38</v>
      </c>
      <c r="B114" s="24"/>
      <c r="C114" s="4"/>
      <c r="D114" s="25">
        <f t="shared" si="85"/>
        <v>285</v>
      </c>
      <c r="E114" s="29">
        <f t="shared" si="86"/>
        <v>255</v>
      </c>
      <c r="F114" s="25">
        <f t="shared" si="87"/>
        <v>299</v>
      </c>
      <c r="G114" s="29">
        <f t="shared" si="88"/>
        <v>270</v>
      </c>
      <c r="H114" s="4" t="s">
        <v>0</v>
      </c>
      <c r="I114" s="16" t="str">
        <f t="shared" si="53"/>
        <v>03-11</v>
      </c>
      <c r="J114" s="14">
        <f t="shared" si="54"/>
        <v>285</v>
      </c>
      <c r="K114" s="15">
        <f t="shared" si="55"/>
        <v>255</v>
      </c>
      <c r="L114" s="17">
        <f t="shared" si="56"/>
        <v>299</v>
      </c>
      <c r="M114" s="18">
        <f t="shared" si="57"/>
        <v>255</v>
      </c>
      <c r="N114" s="14">
        <f t="shared" si="58"/>
        <v>299</v>
      </c>
      <c r="O114" s="15">
        <f t="shared" si="59"/>
        <v>270</v>
      </c>
      <c r="P114" s="17">
        <f t="shared" si="60"/>
        <v>285</v>
      </c>
      <c r="Q114" s="18">
        <f t="shared" si="61"/>
        <v>270</v>
      </c>
      <c r="R114" s="4" t="s">
        <v>0</v>
      </c>
      <c r="S114" s="16" t="str">
        <f t="shared" si="62"/>
        <v>03-11</v>
      </c>
      <c r="T114" s="14">
        <f t="shared" si="63"/>
        <v>285</v>
      </c>
      <c r="U114" s="18">
        <f t="shared" si="64"/>
        <v>495</v>
      </c>
      <c r="V114" s="14">
        <f t="shared" si="65"/>
        <v>299</v>
      </c>
      <c r="W114" s="18">
        <f t="shared" si="66"/>
        <v>495</v>
      </c>
      <c r="X114" s="14">
        <f t="shared" si="67"/>
        <v>299</v>
      </c>
      <c r="Y114" s="18">
        <f t="shared" si="68"/>
        <v>480</v>
      </c>
      <c r="Z114" s="14">
        <f t="shared" si="69"/>
        <v>285</v>
      </c>
      <c r="AA114" s="18">
        <f t="shared" si="70"/>
        <v>480</v>
      </c>
      <c r="AB114" s="4" t="s">
        <v>0</v>
      </c>
    </row>
    <row r="115" spans="1:28">
      <c r="A115" s="9" t="s">
        <v>37</v>
      </c>
      <c r="B115" s="24"/>
      <c r="C115" s="4"/>
      <c r="D115" s="25">
        <f t="shared" si="85"/>
        <v>299</v>
      </c>
      <c r="E115" s="29">
        <f t="shared" si="86"/>
        <v>255</v>
      </c>
      <c r="F115" s="25">
        <f t="shared" si="87"/>
        <v>313</v>
      </c>
      <c r="G115" s="29">
        <f t="shared" si="88"/>
        <v>270</v>
      </c>
      <c r="H115" s="4" t="s">
        <v>0</v>
      </c>
      <c r="I115" s="16" t="str">
        <f t="shared" si="53"/>
        <v>03-10</v>
      </c>
      <c r="J115" s="14">
        <f t="shared" si="54"/>
        <v>299</v>
      </c>
      <c r="K115" s="15">
        <f t="shared" si="55"/>
        <v>255</v>
      </c>
      <c r="L115" s="17">
        <f t="shared" si="56"/>
        <v>313</v>
      </c>
      <c r="M115" s="18">
        <f t="shared" si="57"/>
        <v>255</v>
      </c>
      <c r="N115" s="14">
        <f t="shared" si="58"/>
        <v>313</v>
      </c>
      <c r="O115" s="15">
        <f t="shared" si="59"/>
        <v>270</v>
      </c>
      <c r="P115" s="17">
        <f t="shared" si="60"/>
        <v>299</v>
      </c>
      <c r="Q115" s="18">
        <f t="shared" si="61"/>
        <v>270</v>
      </c>
      <c r="R115" s="4" t="s">
        <v>0</v>
      </c>
      <c r="S115" s="16" t="str">
        <f t="shared" si="62"/>
        <v>03-10</v>
      </c>
      <c r="T115" s="14">
        <f t="shared" si="63"/>
        <v>299</v>
      </c>
      <c r="U115" s="18">
        <f t="shared" si="64"/>
        <v>495</v>
      </c>
      <c r="V115" s="14">
        <f t="shared" si="65"/>
        <v>313</v>
      </c>
      <c r="W115" s="18">
        <f t="shared" si="66"/>
        <v>495</v>
      </c>
      <c r="X115" s="14">
        <f t="shared" si="67"/>
        <v>313</v>
      </c>
      <c r="Y115" s="18">
        <f t="shared" si="68"/>
        <v>480</v>
      </c>
      <c r="Z115" s="14">
        <f t="shared" si="69"/>
        <v>299</v>
      </c>
      <c r="AA115" s="18">
        <f t="shared" si="70"/>
        <v>480</v>
      </c>
      <c r="AB115" s="4" t="s">
        <v>0</v>
      </c>
    </row>
    <row r="116" spans="1:28">
      <c r="A116" s="9" t="s">
        <v>36</v>
      </c>
      <c r="B116" s="24"/>
      <c r="C116" s="4"/>
      <c r="D116" s="25">
        <f t="shared" si="85"/>
        <v>314</v>
      </c>
      <c r="E116" s="29">
        <f t="shared" si="86"/>
        <v>255</v>
      </c>
      <c r="F116" s="25">
        <f t="shared" si="87"/>
        <v>328</v>
      </c>
      <c r="G116" s="29">
        <f t="shared" si="88"/>
        <v>270</v>
      </c>
      <c r="H116" s="4" t="s">
        <v>0</v>
      </c>
      <c r="I116" s="16" t="str">
        <f t="shared" si="53"/>
        <v>03-08</v>
      </c>
      <c r="J116" s="14">
        <f t="shared" si="54"/>
        <v>314</v>
      </c>
      <c r="K116" s="15">
        <f t="shared" si="55"/>
        <v>255</v>
      </c>
      <c r="L116" s="17">
        <f t="shared" si="56"/>
        <v>328</v>
      </c>
      <c r="M116" s="18">
        <f t="shared" si="57"/>
        <v>255</v>
      </c>
      <c r="N116" s="14">
        <f t="shared" si="58"/>
        <v>328</v>
      </c>
      <c r="O116" s="15">
        <f t="shared" si="59"/>
        <v>270</v>
      </c>
      <c r="P116" s="17">
        <f t="shared" si="60"/>
        <v>314</v>
      </c>
      <c r="Q116" s="18">
        <f t="shared" si="61"/>
        <v>270</v>
      </c>
      <c r="R116" s="4" t="s">
        <v>0</v>
      </c>
      <c r="S116" s="16" t="str">
        <f t="shared" si="62"/>
        <v>03-08</v>
      </c>
      <c r="T116" s="14">
        <f t="shared" si="63"/>
        <v>314</v>
      </c>
      <c r="U116" s="18">
        <f t="shared" si="64"/>
        <v>495</v>
      </c>
      <c r="V116" s="14">
        <f t="shared" si="65"/>
        <v>328</v>
      </c>
      <c r="W116" s="18">
        <f t="shared" si="66"/>
        <v>495</v>
      </c>
      <c r="X116" s="14">
        <f t="shared" si="67"/>
        <v>328</v>
      </c>
      <c r="Y116" s="18">
        <f t="shared" si="68"/>
        <v>480</v>
      </c>
      <c r="Z116" s="14">
        <f t="shared" si="69"/>
        <v>314</v>
      </c>
      <c r="AA116" s="18">
        <f t="shared" si="70"/>
        <v>480</v>
      </c>
      <c r="AB116" s="4" t="s">
        <v>0</v>
      </c>
    </row>
    <row r="117" spans="1:28">
      <c r="A117" s="9" t="s">
        <v>35</v>
      </c>
      <c r="B117" s="24"/>
      <c r="C117" s="4"/>
      <c r="D117" s="25">
        <f t="shared" si="85"/>
        <v>328</v>
      </c>
      <c r="E117" s="29">
        <f t="shared" si="86"/>
        <v>255</v>
      </c>
      <c r="F117" s="25">
        <f t="shared" si="87"/>
        <v>342</v>
      </c>
      <c r="G117" s="29">
        <f t="shared" si="88"/>
        <v>270</v>
      </c>
      <c r="H117" s="4" t="s">
        <v>0</v>
      </c>
      <c r="I117" s="16" t="str">
        <f t="shared" si="53"/>
        <v>03-07</v>
      </c>
      <c r="J117" s="14">
        <f t="shared" si="54"/>
        <v>328</v>
      </c>
      <c r="K117" s="15">
        <f t="shared" si="55"/>
        <v>255</v>
      </c>
      <c r="L117" s="17">
        <f t="shared" si="56"/>
        <v>342</v>
      </c>
      <c r="M117" s="18">
        <f t="shared" si="57"/>
        <v>255</v>
      </c>
      <c r="N117" s="14">
        <f t="shared" si="58"/>
        <v>342</v>
      </c>
      <c r="O117" s="15">
        <f t="shared" si="59"/>
        <v>270</v>
      </c>
      <c r="P117" s="17">
        <f t="shared" si="60"/>
        <v>328</v>
      </c>
      <c r="Q117" s="18">
        <f t="shared" si="61"/>
        <v>270</v>
      </c>
      <c r="R117" s="4" t="s">
        <v>0</v>
      </c>
      <c r="S117" s="16" t="str">
        <f t="shared" si="62"/>
        <v>03-07</v>
      </c>
      <c r="T117" s="14">
        <f t="shared" si="63"/>
        <v>328</v>
      </c>
      <c r="U117" s="18">
        <f t="shared" si="64"/>
        <v>495</v>
      </c>
      <c r="V117" s="14">
        <f t="shared" si="65"/>
        <v>342</v>
      </c>
      <c r="W117" s="18">
        <f t="shared" si="66"/>
        <v>495</v>
      </c>
      <c r="X117" s="14">
        <f t="shared" si="67"/>
        <v>342</v>
      </c>
      <c r="Y117" s="18">
        <f t="shared" si="68"/>
        <v>480</v>
      </c>
      <c r="Z117" s="14">
        <f t="shared" si="69"/>
        <v>328</v>
      </c>
      <c r="AA117" s="18">
        <f t="shared" si="70"/>
        <v>480</v>
      </c>
      <c r="AB117" s="4" t="s">
        <v>0</v>
      </c>
    </row>
    <row r="118" spans="1:28">
      <c r="A118" s="9" t="s">
        <v>34</v>
      </c>
      <c r="B118" s="24"/>
      <c r="C118" s="4"/>
      <c r="D118" s="25">
        <f t="shared" si="85"/>
        <v>342</v>
      </c>
      <c r="E118" s="29">
        <f t="shared" si="86"/>
        <v>255</v>
      </c>
      <c r="F118" s="25">
        <f t="shared" si="87"/>
        <v>356</v>
      </c>
      <c r="G118" s="29">
        <f t="shared" si="88"/>
        <v>270</v>
      </c>
      <c r="H118" s="4" t="s">
        <v>0</v>
      </c>
      <c r="I118" s="16" t="str">
        <f t="shared" si="53"/>
        <v>03-06</v>
      </c>
      <c r="J118" s="14">
        <f t="shared" si="54"/>
        <v>342</v>
      </c>
      <c r="K118" s="15">
        <f t="shared" si="55"/>
        <v>255</v>
      </c>
      <c r="L118" s="17">
        <f t="shared" si="56"/>
        <v>356</v>
      </c>
      <c r="M118" s="18">
        <f t="shared" si="57"/>
        <v>255</v>
      </c>
      <c r="N118" s="14">
        <f t="shared" si="58"/>
        <v>356</v>
      </c>
      <c r="O118" s="15">
        <f t="shared" si="59"/>
        <v>270</v>
      </c>
      <c r="P118" s="17">
        <f t="shared" si="60"/>
        <v>342</v>
      </c>
      <c r="Q118" s="18">
        <f t="shared" si="61"/>
        <v>270</v>
      </c>
      <c r="R118" s="4" t="s">
        <v>0</v>
      </c>
      <c r="S118" s="16" t="str">
        <f t="shared" si="62"/>
        <v>03-06</v>
      </c>
      <c r="T118" s="14">
        <f t="shared" si="63"/>
        <v>342</v>
      </c>
      <c r="U118" s="18">
        <f t="shared" si="64"/>
        <v>495</v>
      </c>
      <c r="V118" s="14">
        <f t="shared" si="65"/>
        <v>356</v>
      </c>
      <c r="W118" s="18">
        <f t="shared" si="66"/>
        <v>495</v>
      </c>
      <c r="X118" s="14">
        <f t="shared" si="67"/>
        <v>356</v>
      </c>
      <c r="Y118" s="18">
        <f t="shared" si="68"/>
        <v>480</v>
      </c>
      <c r="Z118" s="14">
        <f t="shared" si="69"/>
        <v>342</v>
      </c>
      <c r="AA118" s="18">
        <f t="shared" si="70"/>
        <v>480</v>
      </c>
      <c r="AB118" s="4" t="s">
        <v>0</v>
      </c>
    </row>
    <row r="119" spans="1:28">
      <c r="A119" s="9" t="s">
        <v>33</v>
      </c>
      <c r="B119" s="24"/>
      <c r="C119" s="4"/>
      <c r="D119" s="25">
        <f t="shared" si="85"/>
        <v>357</v>
      </c>
      <c r="E119" s="29">
        <f t="shared" si="86"/>
        <v>255</v>
      </c>
      <c r="F119" s="25">
        <f t="shared" si="87"/>
        <v>371</v>
      </c>
      <c r="G119" s="29">
        <f t="shared" si="88"/>
        <v>270</v>
      </c>
      <c r="H119" s="4" t="s">
        <v>0</v>
      </c>
      <c r="I119" s="16" t="str">
        <f t="shared" si="53"/>
        <v>03-05</v>
      </c>
      <c r="J119" s="14">
        <f t="shared" si="54"/>
        <v>357</v>
      </c>
      <c r="K119" s="15">
        <f t="shared" si="55"/>
        <v>255</v>
      </c>
      <c r="L119" s="17">
        <f t="shared" si="56"/>
        <v>371</v>
      </c>
      <c r="M119" s="18">
        <f t="shared" si="57"/>
        <v>255</v>
      </c>
      <c r="N119" s="14">
        <f t="shared" si="58"/>
        <v>371</v>
      </c>
      <c r="O119" s="15">
        <f t="shared" si="59"/>
        <v>270</v>
      </c>
      <c r="P119" s="17">
        <f t="shared" si="60"/>
        <v>357</v>
      </c>
      <c r="Q119" s="18">
        <f t="shared" si="61"/>
        <v>270</v>
      </c>
      <c r="R119" s="4" t="s">
        <v>0</v>
      </c>
      <c r="S119" s="16" t="str">
        <f t="shared" si="62"/>
        <v>03-05</v>
      </c>
      <c r="T119" s="14">
        <f t="shared" si="63"/>
        <v>357</v>
      </c>
      <c r="U119" s="18">
        <f t="shared" si="64"/>
        <v>495</v>
      </c>
      <c r="V119" s="14">
        <f t="shared" si="65"/>
        <v>371</v>
      </c>
      <c r="W119" s="18">
        <f t="shared" si="66"/>
        <v>495</v>
      </c>
      <c r="X119" s="14">
        <f t="shared" si="67"/>
        <v>371</v>
      </c>
      <c r="Y119" s="18">
        <f t="shared" si="68"/>
        <v>480</v>
      </c>
      <c r="Z119" s="14">
        <f t="shared" si="69"/>
        <v>357</v>
      </c>
      <c r="AA119" s="18">
        <f t="shared" si="70"/>
        <v>480</v>
      </c>
      <c r="AB119" s="4" t="s">
        <v>0</v>
      </c>
    </row>
    <row r="120" spans="1:28">
      <c r="A120" s="9" t="s">
        <v>32</v>
      </c>
      <c r="B120" s="24"/>
      <c r="C120" s="4"/>
      <c r="D120" s="25">
        <f t="shared" si="85"/>
        <v>371</v>
      </c>
      <c r="E120" s="29">
        <f t="shared" si="86"/>
        <v>255</v>
      </c>
      <c r="F120" s="25">
        <f t="shared" si="87"/>
        <v>385</v>
      </c>
      <c r="G120" s="29">
        <f t="shared" si="88"/>
        <v>270</v>
      </c>
      <c r="H120" s="4" t="s">
        <v>0</v>
      </c>
      <c r="I120" s="16" t="str">
        <f t="shared" si="53"/>
        <v>03-03</v>
      </c>
      <c r="J120" s="14">
        <f t="shared" si="54"/>
        <v>371</v>
      </c>
      <c r="K120" s="15">
        <f t="shared" si="55"/>
        <v>255</v>
      </c>
      <c r="L120" s="17">
        <f t="shared" si="56"/>
        <v>385</v>
      </c>
      <c r="M120" s="18">
        <f t="shared" si="57"/>
        <v>255</v>
      </c>
      <c r="N120" s="14">
        <f t="shared" si="58"/>
        <v>385</v>
      </c>
      <c r="O120" s="15">
        <f t="shared" si="59"/>
        <v>270</v>
      </c>
      <c r="P120" s="17">
        <f t="shared" si="60"/>
        <v>371</v>
      </c>
      <c r="Q120" s="18">
        <f t="shared" si="61"/>
        <v>270</v>
      </c>
      <c r="R120" s="4" t="s">
        <v>0</v>
      </c>
      <c r="S120" s="16" t="str">
        <f t="shared" si="62"/>
        <v>03-03</v>
      </c>
      <c r="T120" s="14">
        <f t="shared" si="63"/>
        <v>371</v>
      </c>
      <c r="U120" s="18">
        <f t="shared" si="64"/>
        <v>495</v>
      </c>
      <c r="V120" s="14">
        <f t="shared" si="65"/>
        <v>385</v>
      </c>
      <c r="W120" s="18">
        <f t="shared" si="66"/>
        <v>495</v>
      </c>
      <c r="X120" s="14">
        <f t="shared" si="67"/>
        <v>385</v>
      </c>
      <c r="Y120" s="18">
        <f t="shared" si="68"/>
        <v>480</v>
      </c>
      <c r="Z120" s="14">
        <f t="shared" si="69"/>
        <v>371</v>
      </c>
      <c r="AA120" s="18">
        <f t="shared" si="70"/>
        <v>480</v>
      </c>
      <c r="AB120" s="4" t="s">
        <v>0</v>
      </c>
    </row>
    <row r="121" spans="1:28">
      <c r="A121" s="9" t="s">
        <v>31</v>
      </c>
      <c r="B121" s="24"/>
      <c r="C121" s="4"/>
      <c r="D121" s="25">
        <f t="shared" si="85"/>
        <v>386</v>
      </c>
      <c r="E121" s="29">
        <f t="shared" si="86"/>
        <v>255</v>
      </c>
      <c r="F121" s="25">
        <f t="shared" si="87"/>
        <v>400</v>
      </c>
      <c r="G121" s="29">
        <f t="shared" si="88"/>
        <v>270</v>
      </c>
      <c r="H121" s="4" t="s">
        <v>0</v>
      </c>
      <c r="I121" s="16" t="str">
        <f t="shared" si="53"/>
        <v>03-02</v>
      </c>
      <c r="J121" s="14">
        <f t="shared" si="54"/>
        <v>386</v>
      </c>
      <c r="K121" s="15">
        <f t="shared" si="55"/>
        <v>255</v>
      </c>
      <c r="L121" s="17">
        <f t="shared" si="56"/>
        <v>400</v>
      </c>
      <c r="M121" s="18">
        <f t="shared" si="57"/>
        <v>255</v>
      </c>
      <c r="N121" s="14">
        <f t="shared" si="58"/>
        <v>400</v>
      </c>
      <c r="O121" s="15">
        <f t="shared" si="59"/>
        <v>270</v>
      </c>
      <c r="P121" s="17">
        <f t="shared" si="60"/>
        <v>386</v>
      </c>
      <c r="Q121" s="18">
        <f t="shared" si="61"/>
        <v>270</v>
      </c>
      <c r="R121" s="4" t="s">
        <v>0</v>
      </c>
      <c r="S121" s="16" t="str">
        <f t="shared" si="62"/>
        <v>03-02</v>
      </c>
      <c r="T121" s="14">
        <f t="shared" si="63"/>
        <v>386</v>
      </c>
      <c r="U121" s="18">
        <f t="shared" si="64"/>
        <v>495</v>
      </c>
      <c r="V121" s="14">
        <f t="shared" si="65"/>
        <v>400</v>
      </c>
      <c r="W121" s="18">
        <f t="shared" si="66"/>
        <v>495</v>
      </c>
      <c r="X121" s="14">
        <f t="shared" si="67"/>
        <v>400</v>
      </c>
      <c r="Y121" s="18">
        <f t="shared" si="68"/>
        <v>480</v>
      </c>
      <c r="Z121" s="14">
        <f t="shared" si="69"/>
        <v>386</v>
      </c>
      <c r="AA121" s="18">
        <f t="shared" si="70"/>
        <v>480</v>
      </c>
      <c r="AB121" s="4" t="s">
        <v>0</v>
      </c>
    </row>
    <row r="122" spans="1:28">
      <c r="A122" s="9" t="s">
        <v>30</v>
      </c>
      <c r="B122" s="24"/>
      <c r="C122" s="4"/>
      <c r="D122" s="33">
        <v>400</v>
      </c>
      <c r="E122" s="29">
        <f t="shared" si="86"/>
        <v>255</v>
      </c>
      <c r="F122" s="33">
        <v>414</v>
      </c>
      <c r="G122" s="29">
        <f t="shared" si="88"/>
        <v>270</v>
      </c>
      <c r="H122" s="4" t="s">
        <v>0</v>
      </c>
      <c r="I122" s="16" t="str">
        <f t="shared" si="53"/>
        <v>03-01</v>
      </c>
      <c r="J122" s="14">
        <f t="shared" si="54"/>
        <v>400</v>
      </c>
      <c r="K122" s="15">
        <f t="shared" si="55"/>
        <v>255</v>
      </c>
      <c r="L122" s="17">
        <f t="shared" si="56"/>
        <v>414</v>
      </c>
      <c r="M122" s="18">
        <f t="shared" si="57"/>
        <v>255</v>
      </c>
      <c r="N122" s="14">
        <f t="shared" si="58"/>
        <v>414</v>
      </c>
      <c r="O122" s="15">
        <f t="shared" si="59"/>
        <v>270</v>
      </c>
      <c r="P122" s="17">
        <f t="shared" si="60"/>
        <v>400</v>
      </c>
      <c r="Q122" s="18">
        <f t="shared" si="61"/>
        <v>270</v>
      </c>
      <c r="R122" s="4" t="s">
        <v>0</v>
      </c>
      <c r="S122" s="16" t="str">
        <f t="shared" si="62"/>
        <v>03-01</v>
      </c>
      <c r="T122" s="14">
        <f t="shared" si="63"/>
        <v>400</v>
      </c>
      <c r="U122" s="18">
        <f t="shared" si="64"/>
        <v>495</v>
      </c>
      <c r="V122" s="14">
        <f t="shared" si="65"/>
        <v>414</v>
      </c>
      <c r="W122" s="18">
        <f t="shared" si="66"/>
        <v>495</v>
      </c>
      <c r="X122" s="14">
        <f t="shared" si="67"/>
        <v>414</v>
      </c>
      <c r="Y122" s="18">
        <f t="shared" si="68"/>
        <v>480</v>
      </c>
      <c r="Z122" s="14">
        <f t="shared" si="69"/>
        <v>400</v>
      </c>
      <c r="AA122" s="18">
        <f t="shared" si="70"/>
        <v>480</v>
      </c>
      <c r="AB122" s="4" t="s">
        <v>0</v>
      </c>
    </row>
    <row r="123" spans="1:28">
      <c r="A123" s="9" t="s">
        <v>423</v>
      </c>
      <c r="B123" s="24"/>
      <c r="C123" s="26">
        <v>2</v>
      </c>
      <c r="D123" s="25">
        <f>D99</f>
        <v>45</v>
      </c>
      <c r="E123" s="28">
        <f>ROUND(E$76+25.5*$C123, 0)</f>
        <v>280</v>
      </c>
      <c r="F123" s="25">
        <f>F99</f>
        <v>59</v>
      </c>
      <c r="G123" s="28">
        <f>ROUND(G$76+25.5*$C123, 0)</f>
        <v>295</v>
      </c>
      <c r="H123" s="4" t="s">
        <v>0</v>
      </c>
      <c r="I123" s="16" t="str">
        <f t="shared" si="53"/>
        <v>02-30</v>
      </c>
      <c r="J123" s="14">
        <f t="shared" si="54"/>
        <v>45</v>
      </c>
      <c r="K123" s="15">
        <f t="shared" si="55"/>
        <v>280</v>
      </c>
      <c r="L123" s="17">
        <f t="shared" si="56"/>
        <v>59</v>
      </c>
      <c r="M123" s="18">
        <f t="shared" si="57"/>
        <v>280</v>
      </c>
      <c r="N123" s="14">
        <f t="shared" si="58"/>
        <v>59</v>
      </c>
      <c r="O123" s="15">
        <f t="shared" si="59"/>
        <v>295</v>
      </c>
      <c r="P123" s="17">
        <f t="shared" si="60"/>
        <v>45</v>
      </c>
      <c r="Q123" s="18">
        <f t="shared" si="61"/>
        <v>295</v>
      </c>
      <c r="R123" s="4" t="s">
        <v>0</v>
      </c>
      <c r="S123" s="16" t="str">
        <f t="shared" si="62"/>
        <v>02-30</v>
      </c>
      <c r="T123" s="14">
        <f t="shared" si="63"/>
        <v>45</v>
      </c>
      <c r="U123" s="18">
        <f t="shared" si="64"/>
        <v>470</v>
      </c>
      <c r="V123" s="14">
        <f t="shared" si="65"/>
        <v>59</v>
      </c>
      <c r="W123" s="18">
        <f t="shared" si="66"/>
        <v>470</v>
      </c>
      <c r="X123" s="14">
        <f t="shared" si="67"/>
        <v>59</v>
      </c>
      <c r="Y123" s="18">
        <f t="shared" si="68"/>
        <v>455</v>
      </c>
      <c r="Z123" s="14">
        <f t="shared" si="69"/>
        <v>45</v>
      </c>
      <c r="AA123" s="18">
        <f t="shared" si="70"/>
        <v>455</v>
      </c>
      <c r="AB123" s="4" t="s">
        <v>0</v>
      </c>
    </row>
    <row r="124" spans="1:28">
      <c r="A124" s="9" t="s">
        <v>422</v>
      </c>
      <c r="B124" s="24"/>
      <c r="C124" s="4"/>
      <c r="D124" s="25">
        <f>D100</f>
        <v>59</v>
      </c>
      <c r="E124" s="29">
        <f t="shared" ref="E124" si="89">E123</f>
        <v>280</v>
      </c>
      <c r="F124" s="25">
        <f>F100</f>
        <v>73</v>
      </c>
      <c r="G124" s="29">
        <f t="shared" ref="G124" si="90">G123</f>
        <v>295</v>
      </c>
      <c r="H124" s="4" t="s">
        <v>0</v>
      </c>
      <c r="I124" s="16" t="str">
        <f t="shared" si="53"/>
        <v>02-28</v>
      </c>
      <c r="J124" s="14">
        <f t="shared" si="54"/>
        <v>59</v>
      </c>
      <c r="K124" s="15">
        <f t="shared" si="55"/>
        <v>280</v>
      </c>
      <c r="L124" s="17">
        <f t="shared" si="56"/>
        <v>73</v>
      </c>
      <c r="M124" s="18">
        <f t="shared" si="57"/>
        <v>280</v>
      </c>
      <c r="N124" s="14">
        <f t="shared" si="58"/>
        <v>73</v>
      </c>
      <c r="O124" s="15">
        <f t="shared" si="59"/>
        <v>295</v>
      </c>
      <c r="P124" s="17">
        <f t="shared" si="60"/>
        <v>59</v>
      </c>
      <c r="Q124" s="18">
        <f t="shared" si="61"/>
        <v>295</v>
      </c>
      <c r="R124" s="4" t="s">
        <v>0</v>
      </c>
      <c r="S124" s="16" t="str">
        <f t="shared" si="62"/>
        <v>02-28</v>
      </c>
      <c r="T124" s="14">
        <f t="shared" si="63"/>
        <v>59</v>
      </c>
      <c r="U124" s="18">
        <f t="shared" si="64"/>
        <v>470</v>
      </c>
      <c r="V124" s="14">
        <f t="shared" si="65"/>
        <v>73</v>
      </c>
      <c r="W124" s="18">
        <f t="shared" si="66"/>
        <v>470</v>
      </c>
      <c r="X124" s="14">
        <f t="shared" si="67"/>
        <v>73</v>
      </c>
      <c r="Y124" s="18">
        <f t="shared" si="68"/>
        <v>455</v>
      </c>
      <c r="Z124" s="14">
        <f t="shared" si="69"/>
        <v>59</v>
      </c>
      <c r="AA124" s="18">
        <f t="shared" si="70"/>
        <v>455</v>
      </c>
      <c r="AB124" s="4" t="s">
        <v>0</v>
      </c>
    </row>
    <row r="125" spans="1:28">
      <c r="A125" s="9" t="s">
        <v>421</v>
      </c>
      <c r="B125" s="24"/>
      <c r="C125" s="4"/>
      <c r="D125" s="25">
        <f t="shared" ref="D125:D146" si="91">D101</f>
        <v>74</v>
      </c>
      <c r="E125" s="29">
        <f t="shared" ref="E125:E146" si="92">E124</f>
        <v>280</v>
      </c>
      <c r="F125" s="25">
        <f t="shared" ref="F125:F146" si="93">F101</f>
        <v>88</v>
      </c>
      <c r="G125" s="29">
        <f t="shared" ref="G125:G146" si="94">G124</f>
        <v>295</v>
      </c>
      <c r="H125" s="4" t="s">
        <v>0</v>
      </c>
      <c r="I125" s="16" t="str">
        <f t="shared" si="53"/>
        <v>02-27</v>
      </c>
      <c r="J125" s="14">
        <f t="shared" si="54"/>
        <v>74</v>
      </c>
      <c r="K125" s="15">
        <f t="shared" si="55"/>
        <v>280</v>
      </c>
      <c r="L125" s="17">
        <f t="shared" si="56"/>
        <v>88</v>
      </c>
      <c r="M125" s="18">
        <f t="shared" si="57"/>
        <v>280</v>
      </c>
      <c r="N125" s="14">
        <f t="shared" si="58"/>
        <v>88</v>
      </c>
      <c r="O125" s="15">
        <f t="shared" si="59"/>
        <v>295</v>
      </c>
      <c r="P125" s="17">
        <f t="shared" si="60"/>
        <v>74</v>
      </c>
      <c r="Q125" s="18">
        <f t="shared" si="61"/>
        <v>295</v>
      </c>
      <c r="R125" s="4" t="s">
        <v>0</v>
      </c>
      <c r="S125" s="16" t="str">
        <f t="shared" si="62"/>
        <v>02-27</v>
      </c>
      <c r="T125" s="14">
        <f t="shared" si="63"/>
        <v>74</v>
      </c>
      <c r="U125" s="18">
        <f t="shared" si="64"/>
        <v>470</v>
      </c>
      <c r="V125" s="14">
        <f t="shared" si="65"/>
        <v>88</v>
      </c>
      <c r="W125" s="18">
        <f t="shared" si="66"/>
        <v>470</v>
      </c>
      <c r="X125" s="14">
        <f t="shared" si="67"/>
        <v>88</v>
      </c>
      <c r="Y125" s="18">
        <f t="shared" si="68"/>
        <v>455</v>
      </c>
      <c r="Z125" s="14">
        <f t="shared" si="69"/>
        <v>74</v>
      </c>
      <c r="AA125" s="18">
        <f t="shared" si="70"/>
        <v>455</v>
      </c>
      <c r="AB125" s="4" t="s">
        <v>0</v>
      </c>
    </row>
    <row r="126" spans="1:28">
      <c r="A126" s="9" t="s">
        <v>420</v>
      </c>
      <c r="B126" s="24"/>
      <c r="C126" s="4"/>
      <c r="D126" s="25">
        <f t="shared" si="91"/>
        <v>88</v>
      </c>
      <c r="E126" s="29">
        <f t="shared" si="92"/>
        <v>280</v>
      </c>
      <c r="F126" s="25">
        <f t="shared" si="93"/>
        <v>102</v>
      </c>
      <c r="G126" s="29">
        <f t="shared" si="94"/>
        <v>295</v>
      </c>
      <c r="H126" s="4" t="s">
        <v>0</v>
      </c>
      <c r="I126" s="16" t="str">
        <f t="shared" si="53"/>
        <v>02-26</v>
      </c>
      <c r="J126" s="14">
        <f t="shared" si="54"/>
        <v>88</v>
      </c>
      <c r="K126" s="15">
        <f t="shared" si="55"/>
        <v>280</v>
      </c>
      <c r="L126" s="17">
        <f t="shared" si="56"/>
        <v>102</v>
      </c>
      <c r="M126" s="18">
        <f t="shared" si="57"/>
        <v>280</v>
      </c>
      <c r="N126" s="14">
        <f t="shared" si="58"/>
        <v>102</v>
      </c>
      <c r="O126" s="15">
        <f t="shared" si="59"/>
        <v>295</v>
      </c>
      <c r="P126" s="17">
        <f t="shared" si="60"/>
        <v>88</v>
      </c>
      <c r="Q126" s="18">
        <f t="shared" si="61"/>
        <v>295</v>
      </c>
      <c r="R126" s="4" t="s">
        <v>0</v>
      </c>
      <c r="S126" s="16" t="str">
        <f t="shared" si="62"/>
        <v>02-26</v>
      </c>
      <c r="T126" s="14">
        <f t="shared" si="63"/>
        <v>88</v>
      </c>
      <c r="U126" s="18">
        <f t="shared" si="64"/>
        <v>470</v>
      </c>
      <c r="V126" s="14">
        <f t="shared" si="65"/>
        <v>102</v>
      </c>
      <c r="W126" s="18">
        <f t="shared" si="66"/>
        <v>470</v>
      </c>
      <c r="X126" s="14">
        <f t="shared" si="67"/>
        <v>102</v>
      </c>
      <c r="Y126" s="18">
        <f t="shared" si="68"/>
        <v>455</v>
      </c>
      <c r="Z126" s="14">
        <f t="shared" si="69"/>
        <v>88</v>
      </c>
      <c r="AA126" s="18">
        <f t="shared" si="70"/>
        <v>455</v>
      </c>
      <c r="AB126" s="4" t="s">
        <v>0</v>
      </c>
    </row>
    <row r="127" spans="1:28">
      <c r="A127" s="9" t="s">
        <v>419</v>
      </c>
      <c r="B127" s="24"/>
      <c r="C127" s="4"/>
      <c r="D127" s="25">
        <f t="shared" si="91"/>
        <v>103</v>
      </c>
      <c r="E127" s="29">
        <f t="shared" si="92"/>
        <v>280</v>
      </c>
      <c r="F127" s="25">
        <f t="shared" si="93"/>
        <v>117</v>
      </c>
      <c r="G127" s="29">
        <f t="shared" si="94"/>
        <v>295</v>
      </c>
      <c r="H127" s="4" t="s">
        <v>0</v>
      </c>
      <c r="I127" s="16" t="str">
        <f t="shared" si="53"/>
        <v>02-25</v>
      </c>
      <c r="J127" s="14">
        <f t="shared" si="54"/>
        <v>103</v>
      </c>
      <c r="K127" s="15">
        <f t="shared" si="55"/>
        <v>280</v>
      </c>
      <c r="L127" s="17">
        <f t="shared" si="56"/>
        <v>117</v>
      </c>
      <c r="M127" s="18">
        <f t="shared" si="57"/>
        <v>280</v>
      </c>
      <c r="N127" s="14">
        <f t="shared" si="58"/>
        <v>117</v>
      </c>
      <c r="O127" s="15">
        <f t="shared" si="59"/>
        <v>295</v>
      </c>
      <c r="P127" s="17">
        <f t="shared" si="60"/>
        <v>103</v>
      </c>
      <c r="Q127" s="18">
        <f t="shared" si="61"/>
        <v>295</v>
      </c>
      <c r="R127" s="4" t="s">
        <v>0</v>
      </c>
      <c r="S127" s="16" t="str">
        <f t="shared" si="62"/>
        <v>02-25</v>
      </c>
      <c r="T127" s="14">
        <f t="shared" si="63"/>
        <v>103</v>
      </c>
      <c r="U127" s="18">
        <f t="shared" si="64"/>
        <v>470</v>
      </c>
      <c r="V127" s="14">
        <f t="shared" si="65"/>
        <v>117</v>
      </c>
      <c r="W127" s="18">
        <f t="shared" si="66"/>
        <v>470</v>
      </c>
      <c r="X127" s="14">
        <f t="shared" si="67"/>
        <v>117</v>
      </c>
      <c r="Y127" s="18">
        <f t="shared" si="68"/>
        <v>455</v>
      </c>
      <c r="Z127" s="14">
        <f t="shared" si="69"/>
        <v>103</v>
      </c>
      <c r="AA127" s="18">
        <f t="shared" si="70"/>
        <v>455</v>
      </c>
      <c r="AB127" s="4" t="s">
        <v>0</v>
      </c>
    </row>
    <row r="128" spans="1:28">
      <c r="A128" s="9" t="s">
        <v>418</v>
      </c>
      <c r="B128" s="24"/>
      <c r="C128" s="4"/>
      <c r="D128" s="25">
        <f t="shared" si="91"/>
        <v>117</v>
      </c>
      <c r="E128" s="29">
        <f t="shared" si="92"/>
        <v>280</v>
      </c>
      <c r="F128" s="25">
        <f t="shared" si="93"/>
        <v>131</v>
      </c>
      <c r="G128" s="29">
        <f t="shared" si="94"/>
        <v>295</v>
      </c>
      <c r="H128" s="4" t="s">
        <v>0</v>
      </c>
      <c r="I128" s="16" t="str">
        <f t="shared" si="53"/>
        <v>02-23</v>
      </c>
      <c r="J128" s="14">
        <f t="shared" si="54"/>
        <v>117</v>
      </c>
      <c r="K128" s="15">
        <f t="shared" si="55"/>
        <v>280</v>
      </c>
      <c r="L128" s="17">
        <f t="shared" si="56"/>
        <v>131</v>
      </c>
      <c r="M128" s="18">
        <f t="shared" si="57"/>
        <v>280</v>
      </c>
      <c r="N128" s="14">
        <f t="shared" si="58"/>
        <v>131</v>
      </c>
      <c r="O128" s="15">
        <f t="shared" si="59"/>
        <v>295</v>
      </c>
      <c r="P128" s="17">
        <f t="shared" si="60"/>
        <v>117</v>
      </c>
      <c r="Q128" s="18">
        <f t="shared" si="61"/>
        <v>295</v>
      </c>
      <c r="R128" s="4" t="s">
        <v>0</v>
      </c>
      <c r="S128" s="16" t="str">
        <f t="shared" si="62"/>
        <v>02-23</v>
      </c>
      <c r="T128" s="14">
        <f t="shared" si="63"/>
        <v>117</v>
      </c>
      <c r="U128" s="18">
        <f t="shared" si="64"/>
        <v>470</v>
      </c>
      <c r="V128" s="14">
        <f t="shared" si="65"/>
        <v>131</v>
      </c>
      <c r="W128" s="18">
        <f t="shared" si="66"/>
        <v>470</v>
      </c>
      <c r="X128" s="14">
        <f t="shared" si="67"/>
        <v>131</v>
      </c>
      <c r="Y128" s="18">
        <f t="shared" si="68"/>
        <v>455</v>
      </c>
      <c r="Z128" s="14">
        <f t="shared" si="69"/>
        <v>117</v>
      </c>
      <c r="AA128" s="18">
        <f t="shared" si="70"/>
        <v>455</v>
      </c>
      <c r="AB128" s="4" t="s">
        <v>0</v>
      </c>
    </row>
    <row r="129" spans="1:28">
      <c r="A129" s="9" t="s">
        <v>417</v>
      </c>
      <c r="B129" s="24"/>
      <c r="C129" s="4"/>
      <c r="D129" s="25">
        <f t="shared" si="91"/>
        <v>131</v>
      </c>
      <c r="E129" s="29">
        <f t="shared" si="92"/>
        <v>280</v>
      </c>
      <c r="F129" s="25">
        <f t="shared" si="93"/>
        <v>145</v>
      </c>
      <c r="G129" s="29">
        <f t="shared" si="94"/>
        <v>295</v>
      </c>
      <c r="H129" s="4" t="s">
        <v>0</v>
      </c>
      <c r="I129" s="16" t="str">
        <f t="shared" si="53"/>
        <v>02-22</v>
      </c>
      <c r="J129" s="14">
        <f t="shared" si="54"/>
        <v>131</v>
      </c>
      <c r="K129" s="15">
        <f t="shared" si="55"/>
        <v>280</v>
      </c>
      <c r="L129" s="17">
        <f t="shared" si="56"/>
        <v>145</v>
      </c>
      <c r="M129" s="18">
        <f t="shared" si="57"/>
        <v>280</v>
      </c>
      <c r="N129" s="14">
        <f t="shared" si="58"/>
        <v>145</v>
      </c>
      <c r="O129" s="15">
        <f t="shared" si="59"/>
        <v>295</v>
      </c>
      <c r="P129" s="17">
        <f t="shared" si="60"/>
        <v>131</v>
      </c>
      <c r="Q129" s="18">
        <f t="shared" si="61"/>
        <v>295</v>
      </c>
      <c r="R129" s="4" t="s">
        <v>0</v>
      </c>
      <c r="S129" s="16" t="str">
        <f t="shared" si="62"/>
        <v>02-22</v>
      </c>
      <c r="T129" s="14">
        <f t="shared" si="63"/>
        <v>131</v>
      </c>
      <c r="U129" s="18">
        <f t="shared" si="64"/>
        <v>470</v>
      </c>
      <c r="V129" s="14">
        <f t="shared" si="65"/>
        <v>145</v>
      </c>
      <c r="W129" s="18">
        <f t="shared" si="66"/>
        <v>470</v>
      </c>
      <c r="X129" s="14">
        <f t="shared" si="67"/>
        <v>145</v>
      </c>
      <c r="Y129" s="18">
        <f t="shared" si="68"/>
        <v>455</v>
      </c>
      <c r="Z129" s="14">
        <f t="shared" si="69"/>
        <v>131</v>
      </c>
      <c r="AA129" s="18">
        <f t="shared" si="70"/>
        <v>455</v>
      </c>
      <c r="AB129" s="4" t="s">
        <v>0</v>
      </c>
    </row>
    <row r="130" spans="1:28">
      <c r="A130" s="9" t="s">
        <v>241</v>
      </c>
      <c r="B130" s="24"/>
      <c r="C130" s="4"/>
      <c r="D130" s="25">
        <f t="shared" si="91"/>
        <v>146</v>
      </c>
      <c r="E130" s="29">
        <f t="shared" si="92"/>
        <v>280</v>
      </c>
      <c r="F130" s="25">
        <f t="shared" si="93"/>
        <v>160</v>
      </c>
      <c r="G130" s="29">
        <f t="shared" si="94"/>
        <v>295</v>
      </c>
      <c r="H130" s="4" t="s">
        <v>0</v>
      </c>
      <c r="I130" s="16" t="str">
        <f t="shared" si="53"/>
        <v>02-21</v>
      </c>
      <c r="J130" s="14">
        <f t="shared" si="54"/>
        <v>146</v>
      </c>
      <c r="K130" s="15">
        <f t="shared" si="55"/>
        <v>280</v>
      </c>
      <c r="L130" s="17">
        <f t="shared" si="56"/>
        <v>160</v>
      </c>
      <c r="M130" s="18">
        <f t="shared" si="57"/>
        <v>280</v>
      </c>
      <c r="N130" s="14">
        <f t="shared" si="58"/>
        <v>160</v>
      </c>
      <c r="O130" s="15">
        <f t="shared" si="59"/>
        <v>295</v>
      </c>
      <c r="P130" s="17">
        <f t="shared" si="60"/>
        <v>146</v>
      </c>
      <c r="Q130" s="18">
        <f t="shared" si="61"/>
        <v>295</v>
      </c>
      <c r="R130" s="4" t="s">
        <v>0</v>
      </c>
      <c r="S130" s="16" t="str">
        <f t="shared" si="62"/>
        <v>02-21</v>
      </c>
      <c r="T130" s="14">
        <f t="shared" si="63"/>
        <v>146</v>
      </c>
      <c r="U130" s="18">
        <f t="shared" si="64"/>
        <v>470</v>
      </c>
      <c r="V130" s="14">
        <f t="shared" si="65"/>
        <v>160</v>
      </c>
      <c r="W130" s="18">
        <f t="shared" si="66"/>
        <v>470</v>
      </c>
      <c r="X130" s="14">
        <f t="shared" si="67"/>
        <v>160</v>
      </c>
      <c r="Y130" s="18">
        <f t="shared" si="68"/>
        <v>455</v>
      </c>
      <c r="Z130" s="14">
        <f t="shared" si="69"/>
        <v>146</v>
      </c>
      <c r="AA130" s="18">
        <f t="shared" si="70"/>
        <v>455</v>
      </c>
      <c r="AB130" s="4" t="s">
        <v>0</v>
      </c>
    </row>
    <row r="131" spans="1:28">
      <c r="A131" s="9" t="s">
        <v>153</v>
      </c>
      <c r="B131" s="24"/>
      <c r="C131" s="4"/>
      <c r="D131" s="25">
        <f t="shared" si="91"/>
        <v>160</v>
      </c>
      <c r="E131" s="29">
        <f t="shared" si="92"/>
        <v>280</v>
      </c>
      <c r="F131" s="25">
        <f t="shared" si="93"/>
        <v>174</v>
      </c>
      <c r="G131" s="29">
        <f t="shared" si="94"/>
        <v>295</v>
      </c>
      <c r="H131" s="4" t="s">
        <v>0</v>
      </c>
      <c r="I131" s="16" t="str">
        <f t="shared" si="53"/>
        <v>02-20</v>
      </c>
      <c r="J131" s="14">
        <f t="shared" si="54"/>
        <v>160</v>
      </c>
      <c r="K131" s="15">
        <f t="shared" si="55"/>
        <v>280</v>
      </c>
      <c r="L131" s="17">
        <f t="shared" si="56"/>
        <v>174</v>
      </c>
      <c r="M131" s="18">
        <f t="shared" si="57"/>
        <v>280</v>
      </c>
      <c r="N131" s="14">
        <f t="shared" si="58"/>
        <v>174</v>
      </c>
      <c r="O131" s="15">
        <f t="shared" si="59"/>
        <v>295</v>
      </c>
      <c r="P131" s="17">
        <f t="shared" si="60"/>
        <v>160</v>
      </c>
      <c r="Q131" s="18">
        <f t="shared" si="61"/>
        <v>295</v>
      </c>
      <c r="R131" s="4" t="s">
        <v>0</v>
      </c>
      <c r="S131" s="16" t="str">
        <f t="shared" si="62"/>
        <v>02-20</v>
      </c>
      <c r="T131" s="14">
        <f t="shared" si="63"/>
        <v>160</v>
      </c>
      <c r="U131" s="18">
        <f t="shared" si="64"/>
        <v>470</v>
      </c>
      <c r="V131" s="14">
        <f t="shared" si="65"/>
        <v>174</v>
      </c>
      <c r="W131" s="18">
        <f t="shared" si="66"/>
        <v>470</v>
      </c>
      <c r="X131" s="14">
        <f t="shared" si="67"/>
        <v>174</v>
      </c>
      <c r="Y131" s="18">
        <f t="shared" si="68"/>
        <v>455</v>
      </c>
      <c r="Z131" s="14">
        <f t="shared" si="69"/>
        <v>160</v>
      </c>
      <c r="AA131" s="18">
        <f t="shared" si="70"/>
        <v>455</v>
      </c>
      <c r="AB131" s="4" t="s">
        <v>0</v>
      </c>
    </row>
    <row r="132" spans="1:28">
      <c r="A132" s="9" t="s">
        <v>152</v>
      </c>
      <c r="B132" s="24"/>
      <c r="C132" s="4"/>
      <c r="D132" s="25">
        <f t="shared" si="91"/>
        <v>175</v>
      </c>
      <c r="E132" s="29">
        <f t="shared" si="92"/>
        <v>280</v>
      </c>
      <c r="F132" s="25">
        <f t="shared" si="93"/>
        <v>189</v>
      </c>
      <c r="G132" s="29">
        <f t="shared" si="94"/>
        <v>295</v>
      </c>
      <c r="H132" s="4" t="s">
        <v>0</v>
      </c>
      <c r="I132" s="16" t="str">
        <f t="shared" si="53"/>
        <v>02-18</v>
      </c>
      <c r="J132" s="14">
        <f t="shared" si="54"/>
        <v>175</v>
      </c>
      <c r="K132" s="15">
        <f t="shared" si="55"/>
        <v>280</v>
      </c>
      <c r="L132" s="17">
        <f t="shared" si="56"/>
        <v>189</v>
      </c>
      <c r="M132" s="18">
        <f t="shared" si="57"/>
        <v>280</v>
      </c>
      <c r="N132" s="14">
        <f t="shared" si="58"/>
        <v>189</v>
      </c>
      <c r="O132" s="15">
        <f t="shared" si="59"/>
        <v>295</v>
      </c>
      <c r="P132" s="17">
        <f t="shared" si="60"/>
        <v>175</v>
      </c>
      <c r="Q132" s="18">
        <f t="shared" si="61"/>
        <v>295</v>
      </c>
      <c r="R132" s="4" t="s">
        <v>0</v>
      </c>
      <c r="S132" s="16" t="str">
        <f t="shared" si="62"/>
        <v>02-18</v>
      </c>
      <c r="T132" s="14">
        <f t="shared" si="63"/>
        <v>175</v>
      </c>
      <c r="U132" s="18">
        <f t="shared" si="64"/>
        <v>470</v>
      </c>
      <c r="V132" s="14">
        <f t="shared" si="65"/>
        <v>189</v>
      </c>
      <c r="W132" s="18">
        <f t="shared" si="66"/>
        <v>470</v>
      </c>
      <c r="X132" s="14">
        <f t="shared" si="67"/>
        <v>189</v>
      </c>
      <c r="Y132" s="18">
        <f t="shared" si="68"/>
        <v>455</v>
      </c>
      <c r="Z132" s="14">
        <f t="shared" si="69"/>
        <v>175</v>
      </c>
      <c r="AA132" s="18">
        <f t="shared" si="70"/>
        <v>455</v>
      </c>
      <c r="AB132" s="4" t="s">
        <v>0</v>
      </c>
    </row>
    <row r="133" spans="1:28">
      <c r="A133" s="9" t="s">
        <v>151</v>
      </c>
      <c r="B133" s="24"/>
      <c r="C133" s="4"/>
      <c r="D133" s="25">
        <f t="shared" si="91"/>
        <v>189</v>
      </c>
      <c r="E133" s="29">
        <f t="shared" si="92"/>
        <v>280</v>
      </c>
      <c r="F133" s="25">
        <f t="shared" si="93"/>
        <v>203</v>
      </c>
      <c r="G133" s="29">
        <f t="shared" si="94"/>
        <v>295</v>
      </c>
      <c r="H133" s="4" t="s">
        <v>0</v>
      </c>
      <c r="I133" s="16" t="str">
        <f t="shared" si="53"/>
        <v>02-17</v>
      </c>
      <c r="J133" s="14">
        <f t="shared" si="54"/>
        <v>189</v>
      </c>
      <c r="K133" s="15">
        <f t="shared" si="55"/>
        <v>280</v>
      </c>
      <c r="L133" s="17">
        <f t="shared" si="56"/>
        <v>203</v>
      </c>
      <c r="M133" s="18">
        <f t="shared" si="57"/>
        <v>280</v>
      </c>
      <c r="N133" s="14">
        <f t="shared" si="58"/>
        <v>203</v>
      </c>
      <c r="O133" s="15">
        <f t="shared" si="59"/>
        <v>295</v>
      </c>
      <c r="P133" s="17">
        <f t="shared" si="60"/>
        <v>189</v>
      </c>
      <c r="Q133" s="18">
        <f t="shared" si="61"/>
        <v>295</v>
      </c>
      <c r="R133" s="4" t="s">
        <v>0</v>
      </c>
      <c r="S133" s="16" t="str">
        <f t="shared" si="62"/>
        <v>02-17</v>
      </c>
      <c r="T133" s="14">
        <f t="shared" si="63"/>
        <v>189</v>
      </c>
      <c r="U133" s="18">
        <f t="shared" si="64"/>
        <v>470</v>
      </c>
      <c r="V133" s="14">
        <f t="shared" si="65"/>
        <v>203</v>
      </c>
      <c r="W133" s="18">
        <f t="shared" si="66"/>
        <v>470</v>
      </c>
      <c r="X133" s="14">
        <f t="shared" si="67"/>
        <v>203</v>
      </c>
      <c r="Y133" s="18">
        <f t="shared" si="68"/>
        <v>455</v>
      </c>
      <c r="Z133" s="14">
        <f t="shared" si="69"/>
        <v>189</v>
      </c>
      <c r="AA133" s="18">
        <f t="shared" si="70"/>
        <v>455</v>
      </c>
      <c r="AB133" s="4" t="s">
        <v>0</v>
      </c>
    </row>
    <row r="134" spans="1:28">
      <c r="A134" s="9" t="s">
        <v>150</v>
      </c>
      <c r="B134" s="24"/>
      <c r="C134" s="4"/>
      <c r="D134" s="25">
        <f t="shared" si="91"/>
        <v>203</v>
      </c>
      <c r="E134" s="29">
        <f t="shared" si="92"/>
        <v>280</v>
      </c>
      <c r="F134" s="25">
        <f t="shared" si="93"/>
        <v>217</v>
      </c>
      <c r="G134" s="29">
        <f t="shared" si="94"/>
        <v>295</v>
      </c>
      <c r="H134" s="4" t="s">
        <v>0</v>
      </c>
      <c r="I134" s="16" t="str">
        <f t="shared" si="53"/>
        <v>02-16</v>
      </c>
      <c r="J134" s="14">
        <f t="shared" si="54"/>
        <v>203</v>
      </c>
      <c r="K134" s="15">
        <f t="shared" si="55"/>
        <v>280</v>
      </c>
      <c r="L134" s="17">
        <f t="shared" si="56"/>
        <v>217</v>
      </c>
      <c r="M134" s="18">
        <f t="shared" si="57"/>
        <v>280</v>
      </c>
      <c r="N134" s="14">
        <f t="shared" si="58"/>
        <v>217</v>
      </c>
      <c r="O134" s="15">
        <f t="shared" si="59"/>
        <v>295</v>
      </c>
      <c r="P134" s="17">
        <f t="shared" si="60"/>
        <v>203</v>
      </c>
      <c r="Q134" s="18">
        <f t="shared" si="61"/>
        <v>295</v>
      </c>
      <c r="R134" s="4" t="s">
        <v>0</v>
      </c>
      <c r="S134" s="16" t="str">
        <f t="shared" si="62"/>
        <v>02-16</v>
      </c>
      <c r="T134" s="14">
        <f t="shared" si="63"/>
        <v>203</v>
      </c>
      <c r="U134" s="18">
        <f t="shared" si="64"/>
        <v>470</v>
      </c>
      <c r="V134" s="14">
        <f t="shared" si="65"/>
        <v>217</v>
      </c>
      <c r="W134" s="18">
        <f t="shared" si="66"/>
        <v>470</v>
      </c>
      <c r="X134" s="14">
        <f t="shared" si="67"/>
        <v>217</v>
      </c>
      <c r="Y134" s="18">
        <f t="shared" si="68"/>
        <v>455</v>
      </c>
      <c r="Z134" s="14">
        <f t="shared" si="69"/>
        <v>203</v>
      </c>
      <c r="AA134" s="18">
        <f t="shared" si="70"/>
        <v>455</v>
      </c>
      <c r="AB134" s="4" t="s">
        <v>0</v>
      </c>
    </row>
    <row r="135" spans="1:28">
      <c r="A135" s="9" t="s">
        <v>149</v>
      </c>
      <c r="B135" s="24"/>
      <c r="C135" s="4"/>
      <c r="D135" s="25">
        <f t="shared" si="91"/>
        <v>218</v>
      </c>
      <c r="E135" s="29">
        <f t="shared" si="92"/>
        <v>280</v>
      </c>
      <c r="F135" s="25">
        <f t="shared" si="93"/>
        <v>232</v>
      </c>
      <c r="G135" s="29">
        <f t="shared" si="94"/>
        <v>295</v>
      </c>
      <c r="H135" s="4" t="s">
        <v>0</v>
      </c>
      <c r="I135" s="16" t="str">
        <f t="shared" si="53"/>
        <v>02-15</v>
      </c>
      <c r="J135" s="14">
        <f t="shared" si="54"/>
        <v>218</v>
      </c>
      <c r="K135" s="15">
        <f t="shared" si="55"/>
        <v>280</v>
      </c>
      <c r="L135" s="17">
        <f t="shared" si="56"/>
        <v>232</v>
      </c>
      <c r="M135" s="18">
        <f t="shared" si="57"/>
        <v>280</v>
      </c>
      <c r="N135" s="14">
        <f t="shared" si="58"/>
        <v>232</v>
      </c>
      <c r="O135" s="15">
        <f t="shared" si="59"/>
        <v>295</v>
      </c>
      <c r="P135" s="17">
        <f t="shared" si="60"/>
        <v>218</v>
      </c>
      <c r="Q135" s="18">
        <f t="shared" si="61"/>
        <v>295</v>
      </c>
      <c r="R135" s="4" t="s">
        <v>0</v>
      </c>
      <c r="S135" s="16" t="str">
        <f t="shared" si="62"/>
        <v>02-15</v>
      </c>
      <c r="T135" s="14">
        <f t="shared" si="63"/>
        <v>218</v>
      </c>
      <c r="U135" s="18">
        <f t="shared" si="64"/>
        <v>470</v>
      </c>
      <c r="V135" s="14">
        <f t="shared" si="65"/>
        <v>232</v>
      </c>
      <c r="W135" s="18">
        <f t="shared" si="66"/>
        <v>470</v>
      </c>
      <c r="X135" s="14">
        <f t="shared" si="67"/>
        <v>232</v>
      </c>
      <c r="Y135" s="18">
        <f t="shared" si="68"/>
        <v>455</v>
      </c>
      <c r="Z135" s="14">
        <f t="shared" si="69"/>
        <v>218</v>
      </c>
      <c r="AA135" s="18">
        <f t="shared" si="70"/>
        <v>455</v>
      </c>
      <c r="AB135" s="4" t="s">
        <v>0</v>
      </c>
    </row>
    <row r="136" spans="1:28">
      <c r="A136" s="9" t="s">
        <v>148</v>
      </c>
      <c r="B136" s="24"/>
      <c r="C136" s="4"/>
      <c r="D136" s="25">
        <f t="shared" si="91"/>
        <v>256</v>
      </c>
      <c r="E136" s="29">
        <f t="shared" si="92"/>
        <v>280</v>
      </c>
      <c r="F136" s="25">
        <f t="shared" si="93"/>
        <v>270</v>
      </c>
      <c r="G136" s="29">
        <f t="shared" si="94"/>
        <v>295</v>
      </c>
      <c r="H136" s="4" t="s">
        <v>0</v>
      </c>
      <c r="I136" s="16" t="str">
        <f t="shared" si="53"/>
        <v>02-13</v>
      </c>
      <c r="J136" s="14">
        <f t="shared" si="54"/>
        <v>256</v>
      </c>
      <c r="K136" s="15">
        <f t="shared" si="55"/>
        <v>280</v>
      </c>
      <c r="L136" s="17">
        <f t="shared" si="56"/>
        <v>270</v>
      </c>
      <c r="M136" s="18">
        <f t="shared" si="57"/>
        <v>280</v>
      </c>
      <c r="N136" s="14">
        <f t="shared" si="58"/>
        <v>270</v>
      </c>
      <c r="O136" s="15">
        <f t="shared" si="59"/>
        <v>295</v>
      </c>
      <c r="P136" s="17">
        <f t="shared" si="60"/>
        <v>256</v>
      </c>
      <c r="Q136" s="18">
        <f t="shared" si="61"/>
        <v>295</v>
      </c>
      <c r="R136" s="4" t="s">
        <v>0</v>
      </c>
      <c r="S136" s="16" t="str">
        <f t="shared" si="62"/>
        <v>02-13</v>
      </c>
      <c r="T136" s="14">
        <f t="shared" si="63"/>
        <v>256</v>
      </c>
      <c r="U136" s="18">
        <f t="shared" si="64"/>
        <v>470</v>
      </c>
      <c r="V136" s="14">
        <f t="shared" si="65"/>
        <v>270</v>
      </c>
      <c r="W136" s="18">
        <f t="shared" si="66"/>
        <v>470</v>
      </c>
      <c r="X136" s="14">
        <f t="shared" si="67"/>
        <v>270</v>
      </c>
      <c r="Y136" s="18">
        <f t="shared" si="68"/>
        <v>455</v>
      </c>
      <c r="Z136" s="14">
        <f t="shared" si="69"/>
        <v>256</v>
      </c>
      <c r="AA136" s="18">
        <f t="shared" si="70"/>
        <v>455</v>
      </c>
      <c r="AB136" s="4" t="s">
        <v>0</v>
      </c>
    </row>
    <row r="137" spans="1:28">
      <c r="A137" s="9" t="s">
        <v>29</v>
      </c>
      <c r="B137" s="24"/>
      <c r="C137" s="4"/>
      <c r="D137" s="25">
        <f t="shared" si="91"/>
        <v>270</v>
      </c>
      <c r="E137" s="29">
        <f t="shared" si="92"/>
        <v>280</v>
      </c>
      <c r="F137" s="25">
        <f t="shared" si="93"/>
        <v>284</v>
      </c>
      <c r="G137" s="29">
        <f t="shared" si="94"/>
        <v>295</v>
      </c>
      <c r="H137" s="4" t="s">
        <v>0</v>
      </c>
      <c r="I137" s="16" t="str">
        <f t="shared" si="53"/>
        <v>02-12</v>
      </c>
      <c r="J137" s="14">
        <f t="shared" si="54"/>
        <v>270</v>
      </c>
      <c r="K137" s="15">
        <f t="shared" si="55"/>
        <v>280</v>
      </c>
      <c r="L137" s="17">
        <f t="shared" si="56"/>
        <v>284</v>
      </c>
      <c r="M137" s="18">
        <f t="shared" si="57"/>
        <v>280</v>
      </c>
      <c r="N137" s="14">
        <f t="shared" si="58"/>
        <v>284</v>
      </c>
      <c r="O137" s="15">
        <f t="shared" si="59"/>
        <v>295</v>
      </c>
      <c r="P137" s="17">
        <f t="shared" si="60"/>
        <v>270</v>
      </c>
      <c r="Q137" s="18">
        <f t="shared" si="61"/>
        <v>295</v>
      </c>
      <c r="R137" s="4" t="s">
        <v>0</v>
      </c>
      <c r="S137" s="16" t="str">
        <f t="shared" si="62"/>
        <v>02-12</v>
      </c>
      <c r="T137" s="14">
        <f t="shared" si="63"/>
        <v>270</v>
      </c>
      <c r="U137" s="18">
        <f t="shared" si="64"/>
        <v>470</v>
      </c>
      <c r="V137" s="14">
        <f t="shared" si="65"/>
        <v>284</v>
      </c>
      <c r="W137" s="18">
        <f t="shared" si="66"/>
        <v>470</v>
      </c>
      <c r="X137" s="14">
        <f t="shared" si="67"/>
        <v>284</v>
      </c>
      <c r="Y137" s="18">
        <f t="shared" si="68"/>
        <v>455</v>
      </c>
      <c r="Z137" s="14">
        <f t="shared" si="69"/>
        <v>270</v>
      </c>
      <c r="AA137" s="18">
        <f t="shared" si="70"/>
        <v>455</v>
      </c>
      <c r="AB137" s="4" t="s">
        <v>0</v>
      </c>
    </row>
    <row r="138" spans="1:28">
      <c r="A138" s="9" t="s">
        <v>28</v>
      </c>
      <c r="B138" s="24"/>
      <c r="C138" s="4"/>
      <c r="D138" s="25">
        <f t="shared" si="91"/>
        <v>285</v>
      </c>
      <c r="E138" s="29">
        <f t="shared" si="92"/>
        <v>280</v>
      </c>
      <c r="F138" s="25">
        <f t="shared" si="93"/>
        <v>299</v>
      </c>
      <c r="G138" s="29">
        <f t="shared" si="94"/>
        <v>295</v>
      </c>
      <c r="H138" s="4" t="s">
        <v>0</v>
      </c>
      <c r="I138" s="16" t="str">
        <f t="shared" si="53"/>
        <v>02-11</v>
      </c>
      <c r="J138" s="14">
        <f t="shared" si="54"/>
        <v>285</v>
      </c>
      <c r="K138" s="15">
        <f t="shared" si="55"/>
        <v>280</v>
      </c>
      <c r="L138" s="17">
        <f t="shared" si="56"/>
        <v>299</v>
      </c>
      <c r="M138" s="18">
        <f t="shared" si="57"/>
        <v>280</v>
      </c>
      <c r="N138" s="14">
        <f t="shared" si="58"/>
        <v>299</v>
      </c>
      <c r="O138" s="15">
        <f t="shared" si="59"/>
        <v>295</v>
      </c>
      <c r="P138" s="17">
        <f t="shared" si="60"/>
        <v>285</v>
      </c>
      <c r="Q138" s="18">
        <f t="shared" si="61"/>
        <v>295</v>
      </c>
      <c r="R138" s="4" t="s">
        <v>0</v>
      </c>
      <c r="S138" s="16" t="str">
        <f t="shared" si="62"/>
        <v>02-11</v>
      </c>
      <c r="T138" s="14">
        <f t="shared" si="63"/>
        <v>285</v>
      </c>
      <c r="U138" s="18">
        <f t="shared" si="64"/>
        <v>470</v>
      </c>
      <c r="V138" s="14">
        <f t="shared" si="65"/>
        <v>299</v>
      </c>
      <c r="W138" s="18">
        <f t="shared" si="66"/>
        <v>470</v>
      </c>
      <c r="X138" s="14">
        <f t="shared" si="67"/>
        <v>299</v>
      </c>
      <c r="Y138" s="18">
        <f t="shared" si="68"/>
        <v>455</v>
      </c>
      <c r="Z138" s="14">
        <f t="shared" si="69"/>
        <v>285</v>
      </c>
      <c r="AA138" s="18">
        <f t="shared" si="70"/>
        <v>455</v>
      </c>
      <c r="AB138" s="4" t="s">
        <v>0</v>
      </c>
    </row>
    <row r="139" spans="1:28">
      <c r="A139" s="9" t="s">
        <v>27</v>
      </c>
      <c r="B139" s="24"/>
      <c r="C139" s="4"/>
      <c r="D139" s="25">
        <f t="shared" si="91"/>
        <v>299</v>
      </c>
      <c r="E139" s="29">
        <f t="shared" si="92"/>
        <v>280</v>
      </c>
      <c r="F139" s="25">
        <f t="shared" si="93"/>
        <v>313</v>
      </c>
      <c r="G139" s="29">
        <f t="shared" si="94"/>
        <v>295</v>
      </c>
      <c r="H139" s="4" t="s">
        <v>0</v>
      </c>
      <c r="I139" s="16" t="str">
        <f t="shared" si="53"/>
        <v>02-10</v>
      </c>
      <c r="J139" s="14">
        <f t="shared" si="54"/>
        <v>299</v>
      </c>
      <c r="K139" s="15">
        <f t="shared" si="55"/>
        <v>280</v>
      </c>
      <c r="L139" s="17">
        <f t="shared" si="56"/>
        <v>313</v>
      </c>
      <c r="M139" s="18">
        <f t="shared" si="57"/>
        <v>280</v>
      </c>
      <c r="N139" s="14">
        <f t="shared" si="58"/>
        <v>313</v>
      </c>
      <c r="O139" s="15">
        <f t="shared" si="59"/>
        <v>295</v>
      </c>
      <c r="P139" s="17">
        <f t="shared" si="60"/>
        <v>299</v>
      </c>
      <c r="Q139" s="18">
        <f t="shared" si="61"/>
        <v>295</v>
      </c>
      <c r="R139" s="4" t="s">
        <v>0</v>
      </c>
      <c r="S139" s="16" t="str">
        <f t="shared" si="62"/>
        <v>02-10</v>
      </c>
      <c r="T139" s="14">
        <f t="shared" si="63"/>
        <v>299</v>
      </c>
      <c r="U139" s="18">
        <f t="shared" si="64"/>
        <v>470</v>
      </c>
      <c r="V139" s="14">
        <f t="shared" si="65"/>
        <v>313</v>
      </c>
      <c r="W139" s="18">
        <f t="shared" si="66"/>
        <v>470</v>
      </c>
      <c r="X139" s="14">
        <f t="shared" si="67"/>
        <v>313</v>
      </c>
      <c r="Y139" s="18">
        <f t="shared" si="68"/>
        <v>455</v>
      </c>
      <c r="Z139" s="14">
        <f t="shared" si="69"/>
        <v>299</v>
      </c>
      <c r="AA139" s="18">
        <f t="shared" si="70"/>
        <v>455</v>
      </c>
      <c r="AB139" s="4" t="s">
        <v>0</v>
      </c>
    </row>
    <row r="140" spans="1:28">
      <c r="A140" s="9" t="s">
        <v>26</v>
      </c>
      <c r="B140" s="24"/>
      <c r="C140" s="4"/>
      <c r="D140" s="25">
        <f t="shared" si="91"/>
        <v>314</v>
      </c>
      <c r="E140" s="29">
        <f t="shared" si="92"/>
        <v>280</v>
      </c>
      <c r="F140" s="25">
        <f t="shared" si="93"/>
        <v>328</v>
      </c>
      <c r="G140" s="29">
        <f t="shared" si="94"/>
        <v>295</v>
      </c>
      <c r="H140" s="4" t="s">
        <v>0</v>
      </c>
      <c r="I140" s="16" t="str">
        <f t="shared" ref="I140:I171" si="95">A140</f>
        <v>02-08</v>
      </c>
      <c r="J140" s="14">
        <f t="shared" ref="J140:J171" si="96">IF(D140&lt;&gt;"",D140,0)</f>
        <v>314</v>
      </c>
      <c r="K140" s="15">
        <f t="shared" ref="K140:K171" si="97">IF(E140&lt;&gt;"",E140,0)</f>
        <v>280</v>
      </c>
      <c r="L140" s="17">
        <f t="shared" ref="L140:L171" si="98">N140</f>
        <v>328</v>
      </c>
      <c r="M140" s="18">
        <f t="shared" ref="M140:M171" si="99">K140</f>
        <v>280</v>
      </c>
      <c r="N140" s="14">
        <f t="shared" ref="N140:N171" si="100">IF(F140&lt;&gt;"",F140,0)</f>
        <v>328</v>
      </c>
      <c r="O140" s="15">
        <f t="shared" ref="O140:O171" si="101">IF(G140&lt;&gt;"",G140,0)</f>
        <v>295</v>
      </c>
      <c r="P140" s="17">
        <f t="shared" ref="P140:P171" si="102">J140</f>
        <v>314</v>
      </c>
      <c r="Q140" s="18">
        <f t="shared" ref="Q140:Q171" si="103">O140</f>
        <v>295</v>
      </c>
      <c r="R140" s="4" t="s">
        <v>0</v>
      </c>
      <c r="S140" s="16" t="str">
        <f t="shared" ref="S140:S171" si="104">I140</f>
        <v>02-08</v>
      </c>
      <c r="T140" s="14">
        <f t="shared" ref="T140:T171" si="105">IF(J140&lt;&gt;"",J140,"")</f>
        <v>314</v>
      </c>
      <c r="U140" s="18">
        <f t="shared" ref="U140:U171" si="106">IF(K140&lt;&gt;"",U$6-K140,"")</f>
        <v>470</v>
      </c>
      <c r="V140" s="14">
        <f t="shared" ref="V140:V171" si="107">IF(L140&lt;&gt;"",L140,"")</f>
        <v>328</v>
      </c>
      <c r="W140" s="18">
        <f t="shared" ref="W140:W171" si="108">IF(M140&lt;&gt;"",W$6-M140,"")</f>
        <v>470</v>
      </c>
      <c r="X140" s="14">
        <f t="shared" ref="X140:X171" si="109">IF(N140&lt;&gt;"",N140,"")</f>
        <v>328</v>
      </c>
      <c r="Y140" s="18">
        <f t="shared" ref="Y140:Y171" si="110">IF(O140&lt;&gt;"",Y$6-O140,"")</f>
        <v>455</v>
      </c>
      <c r="Z140" s="14">
        <f t="shared" ref="Z140:Z171" si="111">IF(P140&lt;&gt;"",P140,"")</f>
        <v>314</v>
      </c>
      <c r="AA140" s="18">
        <f t="shared" ref="AA140:AA171" si="112">IF(Q140&lt;&gt;"",AA$6-Q140,"")</f>
        <v>455</v>
      </c>
      <c r="AB140" s="4" t="s">
        <v>0</v>
      </c>
    </row>
    <row r="141" spans="1:28">
      <c r="A141" s="9" t="s">
        <v>25</v>
      </c>
      <c r="B141" s="24"/>
      <c r="C141" s="4"/>
      <c r="D141" s="25">
        <f t="shared" si="91"/>
        <v>328</v>
      </c>
      <c r="E141" s="29">
        <f t="shared" si="92"/>
        <v>280</v>
      </c>
      <c r="F141" s="25">
        <f t="shared" si="93"/>
        <v>342</v>
      </c>
      <c r="G141" s="29">
        <f t="shared" si="94"/>
        <v>295</v>
      </c>
      <c r="H141" s="4" t="s">
        <v>0</v>
      </c>
      <c r="I141" s="16" t="str">
        <f t="shared" si="95"/>
        <v>02-07</v>
      </c>
      <c r="J141" s="14">
        <f t="shared" si="96"/>
        <v>328</v>
      </c>
      <c r="K141" s="15">
        <f t="shared" si="97"/>
        <v>280</v>
      </c>
      <c r="L141" s="17">
        <f t="shared" si="98"/>
        <v>342</v>
      </c>
      <c r="M141" s="18">
        <f t="shared" si="99"/>
        <v>280</v>
      </c>
      <c r="N141" s="14">
        <f t="shared" si="100"/>
        <v>342</v>
      </c>
      <c r="O141" s="15">
        <f t="shared" si="101"/>
        <v>295</v>
      </c>
      <c r="P141" s="17">
        <f t="shared" si="102"/>
        <v>328</v>
      </c>
      <c r="Q141" s="18">
        <f t="shared" si="103"/>
        <v>295</v>
      </c>
      <c r="R141" s="4" t="s">
        <v>0</v>
      </c>
      <c r="S141" s="16" t="str">
        <f t="shared" si="104"/>
        <v>02-07</v>
      </c>
      <c r="T141" s="14">
        <f t="shared" si="105"/>
        <v>328</v>
      </c>
      <c r="U141" s="18">
        <f t="shared" si="106"/>
        <v>470</v>
      </c>
      <c r="V141" s="14">
        <f t="shared" si="107"/>
        <v>342</v>
      </c>
      <c r="W141" s="18">
        <f t="shared" si="108"/>
        <v>470</v>
      </c>
      <c r="X141" s="14">
        <f t="shared" si="109"/>
        <v>342</v>
      </c>
      <c r="Y141" s="18">
        <f t="shared" si="110"/>
        <v>455</v>
      </c>
      <c r="Z141" s="14">
        <f t="shared" si="111"/>
        <v>328</v>
      </c>
      <c r="AA141" s="18">
        <f t="shared" si="112"/>
        <v>455</v>
      </c>
      <c r="AB141" s="4" t="s">
        <v>0</v>
      </c>
    </row>
    <row r="142" spans="1:28">
      <c r="A142" s="9" t="s">
        <v>24</v>
      </c>
      <c r="B142" s="24"/>
      <c r="C142" s="4"/>
      <c r="D142" s="25">
        <f t="shared" si="91"/>
        <v>342</v>
      </c>
      <c r="E142" s="29">
        <f t="shared" si="92"/>
        <v>280</v>
      </c>
      <c r="F142" s="25">
        <f t="shared" si="93"/>
        <v>356</v>
      </c>
      <c r="G142" s="29">
        <f t="shared" si="94"/>
        <v>295</v>
      </c>
      <c r="H142" s="4" t="s">
        <v>0</v>
      </c>
      <c r="I142" s="16" t="str">
        <f t="shared" si="95"/>
        <v>02-06</v>
      </c>
      <c r="J142" s="14">
        <f t="shared" si="96"/>
        <v>342</v>
      </c>
      <c r="K142" s="15">
        <f t="shared" si="97"/>
        <v>280</v>
      </c>
      <c r="L142" s="17">
        <f t="shared" si="98"/>
        <v>356</v>
      </c>
      <c r="M142" s="18">
        <f t="shared" si="99"/>
        <v>280</v>
      </c>
      <c r="N142" s="14">
        <f t="shared" si="100"/>
        <v>356</v>
      </c>
      <c r="O142" s="15">
        <f t="shared" si="101"/>
        <v>295</v>
      </c>
      <c r="P142" s="17">
        <f t="shared" si="102"/>
        <v>342</v>
      </c>
      <c r="Q142" s="18">
        <f t="shared" si="103"/>
        <v>295</v>
      </c>
      <c r="R142" s="4" t="s">
        <v>0</v>
      </c>
      <c r="S142" s="16" t="str">
        <f t="shared" si="104"/>
        <v>02-06</v>
      </c>
      <c r="T142" s="14">
        <f t="shared" si="105"/>
        <v>342</v>
      </c>
      <c r="U142" s="18">
        <f t="shared" si="106"/>
        <v>470</v>
      </c>
      <c r="V142" s="14">
        <f t="shared" si="107"/>
        <v>356</v>
      </c>
      <c r="W142" s="18">
        <f t="shared" si="108"/>
        <v>470</v>
      </c>
      <c r="X142" s="14">
        <f t="shared" si="109"/>
        <v>356</v>
      </c>
      <c r="Y142" s="18">
        <f t="shared" si="110"/>
        <v>455</v>
      </c>
      <c r="Z142" s="14">
        <f t="shared" si="111"/>
        <v>342</v>
      </c>
      <c r="AA142" s="18">
        <f t="shared" si="112"/>
        <v>455</v>
      </c>
      <c r="AB142" s="4" t="s">
        <v>0</v>
      </c>
    </row>
    <row r="143" spans="1:28">
      <c r="A143" s="9" t="s">
        <v>23</v>
      </c>
      <c r="B143" s="24"/>
      <c r="C143" s="4"/>
      <c r="D143" s="25">
        <f t="shared" si="91"/>
        <v>357</v>
      </c>
      <c r="E143" s="29">
        <f t="shared" si="92"/>
        <v>280</v>
      </c>
      <c r="F143" s="25">
        <f t="shared" si="93"/>
        <v>371</v>
      </c>
      <c r="G143" s="29">
        <f t="shared" si="94"/>
        <v>295</v>
      </c>
      <c r="H143" s="4" t="s">
        <v>0</v>
      </c>
      <c r="I143" s="16" t="str">
        <f t="shared" si="95"/>
        <v>02-05</v>
      </c>
      <c r="J143" s="14">
        <f t="shared" si="96"/>
        <v>357</v>
      </c>
      <c r="K143" s="15">
        <f t="shared" si="97"/>
        <v>280</v>
      </c>
      <c r="L143" s="17">
        <f t="shared" si="98"/>
        <v>371</v>
      </c>
      <c r="M143" s="18">
        <f t="shared" si="99"/>
        <v>280</v>
      </c>
      <c r="N143" s="14">
        <f t="shared" si="100"/>
        <v>371</v>
      </c>
      <c r="O143" s="15">
        <f t="shared" si="101"/>
        <v>295</v>
      </c>
      <c r="P143" s="17">
        <f t="shared" si="102"/>
        <v>357</v>
      </c>
      <c r="Q143" s="18">
        <f t="shared" si="103"/>
        <v>295</v>
      </c>
      <c r="R143" s="4" t="s">
        <v>0</v>
      </c>
      <c r="S143" s="16" t="str">
        <f t="shared" si="104"/>
        <v>02-05</v>
      </c>
      <c r="T143" s="14">
        <f t="shared" si="105"/>
        <v>357</v>
      </c>
      <c r="U143" s="18">
        <f t="shared" si="106"/>
        <v>470</v>
      </c>
      <c r="V143" s="14">
        <f t="shared" si="107"/>
        <v>371</v>
      </c>
      <c r="W143" s="18">
        <f t="shared" si="108"/>
        <v>470</v>
      </c>
      <c r="X143" s="14">
        <f t="shared" si="109"/>
        <v>371</v>
      </c>
      <c r="Y143" s="18">
        <f t="shared" si="110"/>
        <v>455</v>
      </c>
      <c r="Z143" s="14">
        <f t="shared" si="111"/>
        <v>357</v>
      </c>
      <c r="AA143" s="18">
        <f t="shared" si="112"/>
        <v>455</v>
      </c>
      <c r="AB143" s="4" t="s">
        <v>0</v>
      </c>
    </row>
    <row r="144" spans="1:28">
      <c r="A144" s="9" t="s">
        <v>22</v>
      </c>
      <c r="B144" s="24"/>
      <c r="C144" s="4"/>
      <c r="D144" s="25">
        <f t="shared" si="91"/>
        <v>371</v>
      </c>
      <c r="E144" s="29">
        <f t="shared" si="92"/>
        <v>280</v>
      </c>
      <c r="F144" s="25">
        <f t="shared" si="93"/>
        <v>385</v>
      </c>
      <c r="G144" s="29">
        <f t="shared" si="94"/>
        <v>295</v>
      </c>
      <c r="H144" s="4" t="s">
        <v>0</v>
      </c>
      <c r="I144" s="16" t="str">
        <f t="shared" si="95"/>
        <v>02-03</v>
      </c>
      <c r="J144" s="14">
        <f t="shared" si="96"/>
        <v>371</v>
      </c>
      <c r="K144" s="15">
        <f t="shared" si="97"/>
        <v>280</v>
      </c>
      <c r="L144" s="17">
        <f t="shared" si="98"/>
        <v>385</v>
      </c>
      <c r="M144" s="18">
        <f t="shared" si="99"/>
        <v>280</v>
      </c>
      <c r="N144" s="14">
        <f t="shared" si="100"/>
        <v>385</v>
      </c>
      <c r="O144" s="15">
        <f t="shared" si="101"/>
        <v>295</v>
      </c>
      <c r="P144" s="17">
        <f t="shared" si="102"/>
        <v>371</v>
      </c>
      <c r="Q144" s="18">
        <f t="shared" si="103"/>
        <v>295</v>
      </c>
      <c r="R144" s="4" t="s">
        <v>0</v>
      </c>
      <c r="S144" s="16" t="str">
        <f t="shared" si="104"/>
        <v>02-03</v>
      </c>
      <c r="T144" s="14">
        <f t="shared" si="105"/>
        <v>371</v>
      </c>
      <c r="U144" s="18">
        <f t="shared" si="106"/>
        <v>470</v>
      </c>
      <c r="V144" s="14">
        <f t="shared" si="107"/>
        <v>385</v>
      </c>
      <c r="W144" s="18">
        <f t="shared" si="108"/>
        <v>470</v>
      </c>
      <c r="X144" s="14">
        <f t="shared" si="109"/>
        <v>385</v>
      </c>
      <c r="Y144" s="18">
        <f t="shared" si="110"/>
        <v>455</v>
      </c>
      <c r="Z144" s="14">
        <f t="shared" si="111"/>
        <v>371</v>
      </c>
      <c r="AA144" s="18">
        <f t="shared" si="112"/>
        <v>455</v>
      </c>
      <c r="AB144" s="4" t="s">
        <v>0</v>
      </c>
    </row>
    <row r="145" spans="1:28">
      <c r="A145" s="9" t="s">
        <v>21</v>
      </c>
      <c r="B145" s="24"/>
      <c r="C145" s="4"/>
      <c r="D145" s="25">
        <f t="shared" si="91"/>
        <v>386</v>
      </c>
      <c r="E145" s="29">
        <f t="shared" si="92"/>
        <v>280</v>
      </c>
      <c r="F145" s="25">
        <f t="shared" si="93"/>
        <v>400</v>
      </c>
      <c r="G145" s="29">
        <f t="shared" si="94"/>
        <v>295</v>
      </c>
      <c r="H145" s="4" t="s">
        <v>0</v>
      </c>
      <c r="I145" s="16" t="str">
        <f t="shared" si="95"/>
        <v>02-02</v>
      </c>
      <c r="J145" s="14">
        <f t="shared" si="96"/>
        <v>386</v>
      </c>
      <c r="K145" s="15">
        <f t="shared" si="97"/>
        <v>280</v>
      </c>
      <c r="L145" s="17">
        <f t="shared" si="98"/>
        <v>400</v>
      </c>
      <c r="M145" s="18">
        <f t="shared" si="99"/>
        <v>280</v>
      </c>
      <c r="N145" s="14">
        <f t="shared" si="100"/>
        <v>400</v>
      </c>
      <c r="O145" s="15">
        <f t="shared" si="101"/>
        <v>295</v>
      </c>
      <c r="P145" s="17">
        <f t="shared" si="102"/>
        <v>386</v>
      </c>
      <c r="Q145" s="18">
        <f t="shared" si="103"/>
        <v>295</v>
      </c>
      <c r="R145" s="4" t="s">
        <v>0</v>
      </c>
      <c r="S145" s="16" t="str">
        <f t="shared" si="104"/>
        <v>02-02</v>
      </c>
      <c r="T145" s="14">
        <f t="shared" si="105"/>
        <v>386</v>
      </c>
      <c r="U145" s="18">
        <f t="shared" si="106"/>
        <v>470</v>
      </c>
      <c r="V145" s="14">
        <f t="shared" si="107"/>
        <v>400</v>
      </c>
      <c r="W145" s="18">
        <f t="shared" si="108"/>
        <v>470</v>
      </c>
      <c r="X145" s="14">
        <f t="shared" si="109"/>
        <v>400</v>
      </c>
      <c r="Y145" s="18">
        <f t="shared" si="110"/>
        <v>455</v>
      </c>
      <c r="Z145" s="14">
        <f t="shared" si="111"/>
        <v>386</v>
      </c>
      <c r="AA145" s="18">
        <f t="shared" si="112"/>
        <v>455</v>
      </c>
      <c r="AB145" s="4" t="s">
        <v>0</v>
      </c>
    </row>
    <row r="146" spans="1:28">
      <c r="A146" s="9" t="s">
        <v>20</v>
      </c>
      <c r="B146" s="24"/>
      <c r="C146" s="4"/>
      <c r="D146" s="25">
        <f t="shared" si="91"/>
        <v>400</v>
      </c>
      <c r="E146" s="29">
        <f t="shared" si="92"/>
        <v>280</v>
      </c>
      <c r="F146" s="25">
        <f t="shared" si="93"/>
        <v>414</v>
      </c>
      <c r="G146" s="29">
        <f t="shared" si="94"/>
        <v>295</v>
      </c>
      <c r="H146" s="4" t="s">
        <v>0</v>
      </c>
      <c r="I146" s="16" t="str">
        <f t="shared" si="95"/>
        <v>02-01</v>
      </c>
      <c r="J146" s="14">
        <f t="shared" si="96"/>
        <v>400</v>
      </c>
      <c r="K146" s="15">
        <f t="shared" si="97"/>
        <v>280</v>
      </c>
      <c r="L146" s="17">
        <f t="shared" si="98"/>
        <v>414</v>
      </c>
      <c r="M146" s="18">
        <f t="shared" si="99"/>
        <v>280</v>
      </c>
      <c r="N146" s="14">
        <f t="shared" si="100"/>
        <v>414</v>
      </c>
      <c r="O146" s="15">
        <f t="shared" si="101"/>
        <v>295</v>
      </c>
      <c r="P146" s="17">
        <f t="shared" si="102"/>
        <v>400</v>
      </c>
      <c r="Q146" s="18">
        <f t="shared" si="103"/>
        <v>295</v>
      </c>
      <c r="R146" s="4" t="s">
        <v>0</v>
      </c>
      <c r="S146" s="16" t="str">
        <f t="shared" si="104"/>
        <v>02-01</v>
      </c>
      <c r="T146" s="14">
        <f t="shared" si="105"/>
        <v>400</v>
      </c>
      <c r="U146" s="18">
        <f t="shared" si="106"/>
        <v>470</v>
      </c>
      <c r="V146" s="14">
        <f t="shared" si="107"/>
        <v>414</v>
      </c>
      <c r="W146" s="18">
        <f t="shared" si="108"/>
        <v>470</v>
      </c>
      <c r="X146" s="14">
        <f t="shared" si="109"/>
        <v>414</v>
      </c>
      <c r="Y146" s="18">
        <f t="shared" si="110"/>
        <v>455</v>
      </c>
      <c r="Z146" s="14">
        <f t="shared" si="111"/>
        <v>400</v>
      </c>
      <c r="AA146" s="18">
        <f t="shared" si="112"/>
        <v>455</v>
      </c>
      <c r="AB146" s="4" t="s">
        <v>0</v>
      </c>
    </row>
    <row r="147" spans="1:28">
      <c r="A147" s="9" t="s">
        <v>416</v>
      </c>
      <c r="B147" s="24"/>
      <c r="C147" s="26">
        <v>3</v>
      </c>
      <c r="D147" s="25">
        <f>D123</f>
        <v>45</v>
      </c>
      <c r="E147" s="28">
        <f>ROUND(E$76+25.5*$C147, 0)</f>
        <v>306</v>
      </c>
      <c r="F147" s="25">
        <f>F123</f>
        <v>59</v>
      </c>
      <c r="G147" s="28">
        <f>ROUND(G$76+25.5*$C147, 0)</f>
        <v>321</v>
      </c>
      <c r="H147" s="4" t="s">
        <v>0</v>
      </c>
      <c r="I147" s="16" t="str">
        <f t="shared" si="95"/>
        <v>01-31</v>
      </c>
      <c r="J147" s="14">
        <f t="shared" si="96"/>
        <v>45</v>
      </c>
      <c r="K147" s="15">
        <f t="shared" si="97"/>
        <v>306</v>
      </c>
      <c r="L147" s="17">
        <f t="shared" si="98"/>
        <v>59</v>
      </c>
      <c r="M147" s="18">
        <f t="shared" si="99"/>
        <v>306</v>
      </c>
      <c r="N147" s="14">
        <f t="shared" si="100"/>
        <v>59</v>
      </c>
      <c r="O147" s="15">
        <f t="shared" si="101"/>
        <v>321</v>
      </c>
      <c r="P147" s="17">
        <f t="shared" si="102"/>
        <v>45</v>
      </c>
      <c r="Q147" s="18">
        <f t="shared" si="103"/>
        <v>321</v>
      </c>
      <c r="R147" s="4" t="s">
        <v>0</v>
      </c>
      <c r="S147" s="16" t="str">
        <f t="shared" si="104"/>
        <v>01-31</v>
      </c>
      <c r="T147" s="14">
        <f t="shared" si="105"/>
        <v>45</v>
      </c>
      <c r="U147" s="18">
        <f t="shared" si="106"/>
        <v>444</v>
      </c>
      <c r="V147" s="14">
        <f t="shared" si="107"/>
        <v>59</v>
      </c>
      <c r="W147" s="18">
        <f t="shared" si="108"/>
        <v>444</v>
      </c>
      <c r="X147" s="14">
        <f t="shared" si="109"/>
        <v>59</v>
      </c>
      <c r="Y147" s="18">
        <f t="shared" si="110"/>
        <v>429</v>
      </c>
      <c r="Z147" s="14">
        <f t="shared" si="111"/>
        <v>45</v>
      </c>
      <c r="AA147" s="18">
        <f t="shared" si="112"/>
        <v>429</v>
      </c>
      <c r="AB147" s="4" t="s">
        <v>0</v>
      </c>
    </row>
    <row r="148" spans="1:28">
      <c r="A148" s="9" t="s">
        <v>415</v>
      </c>
      <c r="B148" s="24"/>
      <c r="C148" s="4"/>
      <c r="D148" s="25">
        <f>D124</f>
        <v>59</v>
      </c>
      <c r="E148" s="29">
        <f t="shared" ref="E148:E154" si="113">E147</f>
        <v>306</v>
      </c>
      <c r="F148" s="25">
        <f>F124</f>
        <v>73</v>
      </c>
      <c r="G148" s="29">
        <f t="shared" ref="G148:G154" si="114">G147</f>
        <v>321</v>
      </c>
      <c r="H148" s="4" t="s">
        <v>0</v>
      </c>
      <c r="I148" s="16" t="str">
        <f t="shared" si="95"/>
        <v>01-30</v>
      </c>
      <c r="J148" s="14">
        <f t="shared" si="96"/>
        <v>59</v>
      </c>
      <c r="K148" s="15">
        <f t="shared" si="97"/>
        <v>306</v>
      </c>
      <c r="L148" s="17">
        <f t="shared" si="98"/>
        <v>73</v>
      </c>
      <c r="M148" s="18">
        <f t="shared" si="99"/>
        <v>306</v>
      </c>
      <c r="N148" s="14">
        <f t="shared" si="100"/>
        <v>73</v>
      </c>
      <c r="O148" s="15">
        <f t="shared" si="101"/>
        <v>321</v>
      </c>
      <c r="P148" s="17">
        <f t="shared" si="102"/>
        <v>59</v>
      </c>
      <c r="Q148" s="18">
        <f t="shared" si="103"/>
        <v>321</v>
      </c>
      <c r="R148" s="4" t="s">
        <v>0</v>
      </c>
      <c r="S148" s="16" t="str">
        <f t="shared" si="104"/>
        <v>01-30</v>
      </c>
      <c r="T148" s="14">
        <f t="shared" si="105"/>
        <v>59</v>
      </c>
      <c r="U148" s="18">
        <f t="shared" si="106"/>
        <v>444</v>
      </c>
      <c r="V148" s="14">
        <f t="shared" si="107"/>
        <v>73</v>
      </c>
      <c r="W148" s="18">
        <f t="shared" si="108"/>
        <v>444</v>
      </c>
      <c r="X148" s="14">
        <f t="shared" si="109"/>
        <v>73</v>
      </c>
      <c r="Y148" s="18">
        <f t="shared" si="110"/>
        <v>429</v>
      </c>
      <c r="Z148" s="14">
        <f t="shared" si="111"/>
        <v>59</v>
      </c>
      <c r="AA148" s="18">
        <f t="shared" si="112"/>
        <v>429</v>
      </c>
      <c r="AB148" s="4" t="s">
        <v>0</v>
      </c>
    </row>
    <row r="149" spans="1:28">
      <c r="A149" s="9" t="s">
        <v>414</v>
      </c>
      <c r="B149" s="24"/>
      <c r="C149" s="4"/>
      <c r="D149" s="25">
        <f t="shared" ref="D149:D170" si="115">D125</f>
        <v>74</v>
      </c>
      <c r="E149" s="29">
        <f t="shared" si="113"/>
        <v>306</v>
      </c>
      <c r="F149" s="25">
        <f t="shared" ref="F149:F170" si="116">F125</f>
        <v>88</v>
      </c>
      <c r="G149" s="29">
        <f t="shared" si="114"/>
        <v>321</v>
      </c>
      <c r="H149" s="4" t="s">
        <v>0</v>
      </c>
      <c r="I149" s="16" t="str">
        <f t="shared" si="95"/>
        <v>01-28</v>
      </c>
      <c r="J149" s="14">
        <f t="shared" si="96"/>
        <v>74</v>
      </c>
      <c r="K149" s="15">
        <f t="shared" si="97"/>
        <v>306</v>
      </c>
      <c r="L149" s="17">
        <f t="shared" si="98"/>
        <v>88</v>
      </c>
      <c r="M149" s="18">
        <f t="shared" si="99"/>
        <v>306</v>
      </c>
      <c r="N149" s="14">
        <f t="shared" si="100"/>
        <v>88</v>
      </c>
      <c r="O149" s="15">
        <f t="shared" si="101"/>
        <v>321</v>
      </c>
      <c r="P149" s="17">
        <f t="shared" si="102"/>
        <v>74</v>
      </c>
      <c r="Q149" s="18">
        <f t="shared" si="103"/>
        <v>321</v>
      </c>
      <c r="R149" s="4" t="s">
        <v>0</v>
      </c>
      <c r="S149" s="16" t="str">
        <f t="shared" si="104"/>
        <v>01-28</v>
      </c>
      <c r="T149" s="14">
        <f t="shared" si="105"/>
        <v>74</v>
      </c>
      <c r="U149" s="18">
        <f t="shared" si="106"/>
        <v>444</v>
      </c>
      <c r="V149" s="14">
        <f t="shared" si="107"/>
        <v>88</v>
      </c>
      <c r="W149" s="18">
        <f t="shared" si="108"/>
        <v>444</v>
      </c>
      <c r="X149" s="14">
        <f t="shared" si="109"/>
        <v>88</v>
      </c>
      <c r="Y149" s="18">
        <f t="shared" si="110"/>
        <v>429</v>
      </c>
      <c r="Z149" s="14">
        <f t="shared" si="111"/>
        <v>74</v>
      </c>
      <c r="AA149" s="18">
        <f t="shared" si="112"/>
        <v>429</v>
      </c>
      <c r="AB149" s="4" t="s">
        <v>0</v>
      </c>
    </row>
    <row r="150" spans="1:28">
      <c r="A150" s="9" t="s">
        <v>413</v>
      </c>
      <c r="B150" s="24"/>
      <c r="C150" s="4"/>
      <c r="D150" s="25">
        <f t="shared" si="115"/>
        <v>88</v>
      </c>
      <c r="E150" s="29">
        <f t="shared" si="113"/>
        <v>306</v>
      </c>
      <c r="F150" s="25">
        <f t="shared" si="116"/>
        <v>102</v>
      </c>
      <c r="G150" s="29">
        <f t="shared" si="114"/>
        <v>321</v>
      </c>
      <c r="H150" s="4" t="s">
        <v>0</v>
      </c>
      <c r="I150" s="16" t="str">
        <f t="shared" si="95"/>
        <v>01-27</v>
      </c>
      <c r="J150" s="14">
        <f t="shared" si="96"/>
        <v>88</v>
      </c>
      <c r="K150" s="15">
        <f t="shared" si="97"/>
        <v>306</v>
      </c>
      <c r="L150" s="17">
        <f t="shared" si="98"/>
        <v>102</v>
      </c>
      <c r="M150" s="18">
        <f t="shared" si="99"/>
        <v>306</v>
      </c>
      <c r="N150" s="14">
        <f t="shared" si="100"/>
        <v>102</v>
      </c>
      <c r="O150" s="15">
        <f t="shared" si="101"/>
        <v>321</v>
      </c>
      <c r="P150" s="17">
        <f t="shared" si="102"/>
        <v>88</v>
      </c>
      <c r="Q150" s="18">
        <f t="shared" si="103"/>
        <v>321</v>
      </c>
      <c r="R150" s="4" t="s">
        <v>0</v>
      </c>
      <c r="S150" s="16" t="str">
        <f t="shared" si="104"/>
        <v>01-27</v>
      </c>
      <c r="T150" s="14">
        <f t="shared" si="105"/>
        <v>88</v>
      </c>
      <c r="U150" s="18">
        <f t="shared" si="106"/>
        <v>444</v>
      </c>
      <c r="V150" s="14">
        <f t="shared" si="107"/>
        <v>102</v>
      </c>
      <c r="W150" s="18">
        <f t="shared" si="108"/>
        <v>444</v>
      </c>
      <c r="X150" s="14">
        <f t="shared" si="109"/>
        <v>102</v>
      </c>
      <c r="Y150" s="18">
        <f t="shared" si="110"/>
        <v>429</v>
      </c>
      <c r="Z150" s="14">
        <f t="shared" si="111"/>
        <v>88</v>
      </c>
      <c r="AA150" s="18">
        <f t="shared" si="112"/>
        <v>429</v>
      </c>
      <c r="AB150" s="4" t="s">
        <v>0</v>
      </c>
    </row>
    <row r="151" spans="1:28">
      <c r="A151" s="9" t="s">
        <v>412</v>
      </c>
      <c r="B151" s="24"/>
      <c r="C151" s="4"/>
      <c r="D151" s="25">
        <f t="shared" si="115"/>
        <v>103</v>
      </c>
      <c r="E151" s="29">
        <f t="shared" si="113"/>
        <v>306</v>
      </c>
      <c r="F151" s="25">
        <f t="shared" si="116"/>
        <v>117</v>
      </c>
      <c r="G151" s="29">
        <f t="shared" si="114"/>
        <v>321</v>
      </c>
      <c r="H151" s="4" t="s">
        <v>0</v>
      </c>
      <c r="I151" s="16" t="str">
        <f t="shared" si="95"/>
        <v>01-26</v>
      </c>
      <c r="J151" s="14">
        <f t="shared" si="96"/>
        <v>103</v>
      </c>
      <c r="K151" s="15">
        <f t="shared" si="97"/>
        <v>306</v>
      </c>
      <c r="L151" s="17">
        <f t="shared" si="98"/>
        <v>117</v>
      </c>
      <c r="M151" s="18">
        <f t="shared" si="99"/>
        <v>306</v>
      </c>
      <c r="N151" s="14">
        <f t="shared" si="100"/>
        <v>117</v>
      </c>
      <c r="O151" s="15">
        <f t="shared" si="101"/>
        <v>321</v>
      </c>
      <c r="P151" s="17">
        <f t="shared" si="102"/>
        <v>103</v>
      </c>
      <c r="Q151" s="18">
        <f t="shared" si="103"/>
        <v>321</v>
      </c>
      <c r="R151" s="4" t="s">
        <v>0</v>
      </c>
      <c r="S151" s="16" t="str">
        <f t="shared" si="104"/>
        <v>01-26</v>
      </c>
      <c r="T151" s="14">
        <f t="shared" si="105"/>
        <v>103</v>
      </c>
      <c r="U151" s="18">
        <f t="shared" si="106"/>
        <v>444</v>
      </c>
      <c r="V151" s="14">
        <f t="shared" si="107"/>
        <v>117</v>
      </c>
      <c r="W151" s="18">
        <f t="shared" si="108"/>
        <v>444</v>
      </c>
      <c r="X151" s="14">
        <f t="shared" si="109"/>
        <v>117</v>
      </c>
      <c r="Y151" s="18">
        <f t="shared" si="110"/>
        <v>429</v>
      </c>
      <c r="Z151" s="14">
        <f t="shared" si="111"/>
        <v>103</v>
      </c>
      <c r="AA151" s="18">
        <f t="shared" si="112"/>
        <v>429</v>
      </c>
      <c r="AB151" s="4" t="s">
        <v>0</v>
      </c>
    </row>
    <row r="152" spans="1:28">
      <c r="A152" s="9" t="s">
        <v>411</v>
      </c>
      <c r="B152" s="24"/>
      <c r="C152" s="4"/>
      <c r="D152" s="25">
        <f t="shared" si="115"/>
        <v>117</v>
      </c>
      <c r="E152" s="29">
        <f t="shared" si="113"/>
        <v>306</v>
      </c>
      <c r="F152" s="25">
        <f t="shared" si="116"/>
        <v>131</v>
      </c>
      <c r="G152" s="29">
        <f t="shared" si="114"/>
        <v>321</v>
      </c>
      <c r="H152" s="4" t="s">
        <v>0</v>
      </c>
      <c r="I152" s="16" t="str">
        <f t="shared" si="95"/>
        <v>01-25</v>
      </c>
      <c r="J152" s="14">
        <f t="shared" si="96"/>
        <v>117</v>
      </c>
      <c r="K152" s="15">
        <f t="shared" si="97"/>
        <v>306</v>
      </c>
      <c r="L152" s="17">
        <f t="shared" si="98"/>
        <v>131</v>
      </c>
      <c r="M152" s="18">
        <f t="shared" si="99"/>
        <v>306</v>
      </c>
      <c r="N152" s="14">
        <f t="shared" si="100"/>
        <v>131</v>
      </c>
      <c r="O152" s="15">
        <f t="shared" si="101"/>
        <v>321</v>
      </c>
      <c r="P152" s="17">
        <f t="shared" si="102"/>
        <v>117</v>
      </c>
      <c r="Q152" s="18">
        <f t="shared" si="103"/>
        <v>321</v>
      </c>
      <c r="R152" s="4" t="s">
        <v>0</v>
      </c>
      <c r="S152" s="16" t="str">
        <f t="shared" si="104"/>
        <v>01-25</v>
      </c>
      <c r="T152" s="14">
        <f t="shared" si="105"/>
        <v>117</v>
      </c>
      <c r="U152" s="18">
        <f t="shared" si="106"/>
        <v>444</v>
      </c>
      <c r="V152" s="14">
        <f t="shared" si="107"/>
        <v>131</v>
      </c>
      <c r="W152" s="18">
        <f t="shared" si="108"/>
        <v>444</v>
      </c>
      <c r="X152" s="14">
        <f t="shared" si="109"/>
        <v>131</v>
      </c>
      <c r="Y152" s="18">
        <f t="shared" si="110"/>
        <v>429</v>
      </c>
      <c r="Z152" s="14">
        <f t="shared" si="111"/>
        <v>117</v>
      </c>
      <c r="AA152" s="18">
        <f t="shared" si="112"/>
        <v>429</v>
      </c>
      <c r="AB152" s="4" t="s">
        <v>0</v>
      </c>
    </row>
    <row r="153" spans="1:28">
      <c r="A153" s="9" t="s">
        <v>410</v>
      </c>
      <c r="B153" s="24"/>
      <c r="C153" s="4"/>
      <c r="D153" s="25">
        <f t="shared" si="115"/>
        <v>131</v>
      </c>
      <c r="E153" s="29">
        <f t="shared" si="113"/>
        <v>306</v>
      </c>
      <c r="F153" s="25">
        <f t="shared" si="116"/>
        <v>145</v>
      </c>
      <c r="G153" s="29">
        <f t="shared" si="114"/>
        <v>321</v>
      </c>
      <c r="H153" s="4" t="s">
        <v>0</v>
      </c>
      <c r="I153" s="16" t="str">
        <f t="shared" si="95"/>
        <v>01-23</v>
      </c>
      <c r="J153" s="14">
        <f t="shared" si="96"/>
        <v>131</v>
      </c>
      <c r="K153" s="15">
        <f t="shared" si="97"/>
        <v>306</v>
      </c>
      <c r="L153" s="17">
        <f t="shared" si="98"/>
        <v>145</v>
      </c>
      <c r="M153" s="18">
        <f t="shared" si="99"/>
        <v>306</v>
      </c>
      <c r="N153" s="14">
        <f t="shared" si="100"/>
        <v>145</v>
      </c>
      <c r="O153" s="15">
        <f t="shared" si="101"/>
        <v>321</v>
      </c>
      <c r="P153" s="17">
        <f t="shared" si="102"/>
        <v>131</v>
      </c>
      <c r="Q153" s="18">
        <f t="shared" si="103"/>
        <v>321</v>
      </c>
      <c r="R153" s="4" t="s">
        <v>0</v>
      </c>
      <c r="S153" s="16" t="str">
        <f t="shared" si="104"/>
        <v>01-23</v>
      </c>
      <c r="T153" s="14">
        <f t="shared" si="105"/>
        <v>131</v>
      </c>
      <c r="U153" s="18">
        <f t="shared" si="106"/>
        <v>444</v>
      </c>
      <c r="V153" s="14">
        <f t="shared" si="107"/>
        <v>145</v>
      </c>
      <c r="W153" s="18">
        <f t="shared" si="108"/>
        <v>444</v>
      </c>
      <c r="X153" s="14">
        <f t="shared" si="109"/>
        <v>145</v>
      </c>
      <c r="Y153" s="18">
        <f t="shared" si="110"/>
        <v>429</v>
      </c>
      <c r="Z153" s="14">
        <f t="shared" si="111"/>
        <v>131</v>
      </c>
      <c r="AA153" s="18">
        <f t="shared" si="112"/>
        <v>429</v>
      </c>
      <c r="AB153" s="4" t="s">
        <v>0</v>
      </c>
    </row>
    <row r="154" spans="1:28">
      <c r="A154" s="9" t="s">
        <v>409</v>
      </c>
      <c r="B154" s="24"/>
      <c r="C154" s="4"/>
      <c r="D154" s="25">
        <f t="shared" si="115"/>
        <v>146</v>
      </c>
      <c r="E154" s="29">
        <f t="shared" si="113"/>
        <v>306</v>
      </c>
      <c r="F154" s="25">
        <f t="shared" si="116"/>
        <v>160</v>
      </c>
      <c r="G154" s="29">
        <f t="shared" si="114"/>
        <v>321</v>
      </c>
      <c r="H154" s="4" t="s">
        <v>0</v>
      </c>
      <c r="I154" s="16" t="str">
        <f t="shared" si="95"/>
        <v>01-22</v>
      </c>
      <c r="J154" s="14">
        <f t="shared" si="96"/>
        <v>146</v>
      </c>
      <c r="K154" s="15">
        <f t="shared" si="97"/>
        <v>306</v>
      </c>
      <c r="L154" s="17">
        <f t="shared" si="98"/>
        <v>160</v>
      </c>
      <c r="M154" s="18">
        <f t="shared" si="99"/>
        <v>306</v>
      </c>
      <c r="N154" s="14">
        <f t="shared" si="100"/>
        <v>160</v>
      </c>
      <c r="O154" s="15">
        <f t="shared" si="101"/>
        <v>321</v>
      </c>
      <c r="P154" s="17">
        <f t="shared" si="102"/>
        <v>146</v>
      </c>
      <c r="Q154" s="18">
        <f t="shared" si="103"/>
        <v>321</v>
      </c>
      <c r="R154" s="4" t="s">
        <v>0</v>
      </c>
      <c r="S154" s="16" t="str">
        <f t="shared" si="104"/>
        <v>01-22</v>
      </c>
      <c r="T154" s="14">
        <f t="shared" si="105"/>
        <v>146</v>
      </c>
      <c r="U154" s="18">
        <f t="shared" si="106"/>
        <v>444</v>
      </c>
      <c r="V154" s="14">
        <f t="shared" si="107"/>
        <v>160</v>
      </c>
      <c r="W154" s="18">
        <f t="shared" si="108"/>
        <v>444</v>
      </c>
      <c r="X154" s="14">
        <f t="shared" si="109"/>
        <v>160</v>
      </c>
      <c r="Y154" s="18">
        <f t="shared" si="110"/>
        <v>429</v>
      </c>
      <c r="Z154" s="14">
        <f t="shared" si="111"/>
        <v>146</v>
      </c>
      <c r="AA154" s="18">
        <f t="shared" si="112"/>
        <v>429</v>
      </c>
      <c r="AB154" s="4" t="s">
        <v>0</v>
      </c>
    </row>
    <row r="155" spans="1:28">
      <c r="A155" s="9" t="s">
        <v>408</v>
      </c>
      <c r="B155" s="24"/>
      <c r="C155" s="4"/>
      <c r="D155" s="25">
        <f t="shared" si="115"/>
        <v>160</v>
      </c>
      <c r="E155" s="29">
        <f t="shared" ref="E155:E171" si="117">E154</f>
        <v>306</v>
      </c>
      <c r="F155" s="25">
        <f t="shared" si="116"/>
        <v>174</v>
      </c>
      <c r="G155" s="29">
        <f t="shared" ref="G155:G171" si="118">G154</f>
        <v>321</v>
      </c>
      <c r="H155" s="4" t="s">
        <v>0</v>
      </c>
      <c r="I155" s="16" t="str">
        <f t="shared" si="95"/>
        <v>01-21</v>
      </c>
      <c r="J155" s="14">
        <f t="shared" si="96"/>
        <v>160</v>
      </c>
      <c r="K155" s="15">
        <f t="shared" si="97"/>
        <v>306</v>
      </c>
      <c r="L155" s="17">
        <f t="shared" si="98"/>
        <v>174</v>
      </c>
      <c r="M155" s="18">
        <f t="shared" si="99"/>
        <v>306</v>
      </c>
      <c r="N155" s="14">
        <f t="shared" si="100"/>
        <v>174</v>
      </c>
      <c r="O155" s="15">
        <f t="shared" si="101"/>
        <v>321</v>
      </c>
      <c r="P155" s="17">
        <f t="shared" si="102"/>
        <v>160</v>
      </c>
      <c r="Q155" s="18">
        <f t="shared" si="103"/>
        <v>321</v>
      </c>
      <c r="R155" s="4" t="s">
        <v>0</v>
      </c>
      <c r="S155" s="16" t="str">
        <f t="shared" si="104"/>
        <v>01-21</v>
      </c>
      <c r="T155" s="14">
        <f t="shared" si="105"/>
        <v>160</v>
      </c>
      <c r="U155" s="18">
        <f t="shared" si="106"/>
        <v>444</v>
      </c>
      <c r="V155" s="14">
        <f t="shared" si="107"/>
        <v>174</v>
      </c>
      <c r="W155" s="18">
        <f t="shared" si="108"/>
        <v>444</v>
      </c>
      <c r="X155" s="14">
        <f t="shared" si="109"/>
        <v>174</v>
      </c>
      <c r="Y155" s="18">
        <f t="shared" si="110"/>
        <v>429</v>
      </c>
      <c r="Z155" s="14">
        <f t="shared" si="111"/>
        <v>160</v>
      </c>
      <c r="AA155" s="18">
        <f t="shared" si="112"/>
        <v>429</v>
      </c>
      <c r="AB155" s="4" t="s">
        <v>0</v>
      </c>
    </row>
    <row r="156" spans="1:28">
      <c r="A156" s="9" t="s">
        <v>407</v>
      </c>
      <c r="B156" s="24"/>
      <c r="C156" s="4"/>
      <c r="D156" s="25">
        <f t="shared" si="115"/>
        <v>175</v>
      </c>
      <c r="E156" s="29">
        <f t="shared" si="117"/>
        <v>306</v>
      </c>
      <c r="F156" s="25">
        <f t="shared" si="116"/>
        <v>189</v>
      </c>
      <c r="G156" s="29">
        <f t="shared" si="118"/>
        <v>321</v>
      </c>
      <c r="H156" s="4" t="s">
        <v>0</v>
      </c>
      <c r="I156" s="16" t="str">
        <f t="shared" si="95"/>
        <v>01-20</v>
      </c>
      <c r="J156" s="14">
        <f t="shared" si="96"/>
        <v>175</v>
      </c>
      <c r="K156" s="15">
        <f t="shared" si="97"/>
        <v>306</v>
      </c>
      <c r="L156" s="17">
        <f t="shared" si="98"/>
        <v>189</v>
      </c>
      <c r="M156" s="18">
        <f t="shared" si="99"/>
        <v>306</v>
      </c>
      <c r="N156" s="14">
        <f t="shared" si="100"/>
        <v>189</v>
      </c>
      <c r="O156" s="15">
        <f t="shared" si="101"/>
        <v>321</v>
      </c>
      <c r="P156" s="17">
        <f t="shared" si="102"/>
        <v>175</v>
      </c>
      <c r="Q156" s="18">
        <f t="shared" si="103"/>
        <v>321</v>
      </c>
      <c r="R156" s="4" t="s">
        <v>0</v>
      </c>
      <c r="S156" s="16" t="str">
        <f t="shared" si="104"/>
        <v>01-20</v>
      </c>
      <c r="T156" s="14">
        <f t="shared" si="105"/>
        <v>175</v>
      </c>
      <c r="U156" s="18">
        <f t="shared" si="106"/>
        <v>444</v>
      </c>
      <c r="V156" s="14">
        <f t="shared" si="107"/>
        <v>189</v>
      </c>
      <c r="W156" s="18">
        <f t="shared" si="108"/>
        <v>444</v>
      </c>
      <c r="X156" s="14">
        <f t="shared" si="109"/>
        <v>189</v>
      </c>
      <c r="Y156" s="18">
        <f t="shared" si="110"/>
        <v>429</v>
      </c>
      <c r="Z156" s="14">
        <f t="shared" si="111"/>
        <v>175</v>
      </c>
      <c r="AA156" s="18">
        <f t="shared" si="112"/>
        <v>429</v>
      </c>
      <c r="AB156" s="4" t="s">
        <v>0</v>
      </c>
    </row>
    <row r="157" spans="1:28">
      <c r="A157" s="9" t="s">
        <v>147</v>
      </c>
      <c r="B157" s="24"/>
      <c r="C157" s="4"/>
      <c r="D157" s="25">
        <f t="shared" si="115"/>
        <v>189</v>
      </c>
      <c r="E157" s="29">
        <f t="shared" si="117"/>
        <v>306</v>
      </c>
      <c r="F157" s="25">
        <f t="shared" si="116"/>
        <v>203</v>
      </c>
      <c r="G157" s="29">
        <f t="shared" si="118"/>
        <v>321</v>
      </c>
      <c r="H157" s="4" t="s">
        <v>0</v>
      </c>
      <c r="I157" s="16" t="str">
        <f t="shared" si="95"/>
        <v>01-18</v>
      </c>
      <c r="J157" s="14">
        <f t="shared" si="96"/>
        <v>189</v>
      </c>
      <c r="K157" s="15">
        <f t="shared" si="97"/>
        <v>306</v>
      </c>
      <c r="L157" s="17">
        <f t="shared" si="98"/>
        <v>203</v>
      </c>
      <c r="M157" s="18">
        <f t="shared" si="99"/>
        <v>306</v>
      </c>
      <c r="N157" s="14">
        <f t="shared" si="100"/>
        <v>203</v>
      </c>
      <c r="O157" s="15">
        <f t="shared" si="101"/>
        <v>321</v>
      </c>
      <c r="P157" s="17">
        <f t="shared" si="102"/>
        <v>189</v>
      </c>
      <c r="Q157" s="18">
        <f t="shared" si="103"/>
        <v>321</v>
      </c>
      <c r="R157" s="4" t="s">
        <v>0</v>
      </c>
      <c r="S157" s="16" t="str">
        <f t="shared" si="104"/>
        <v>01-18</v>
      </c>
      <c r="T157" s="14">
        <f t="shared" si="105"/>
        <v>189</v>
      </c>
      <c r="U157" s="18">
        <f t="shared" si="106"/>
        <v>444</v>
      </c>
      <c r="V157" s="14">
        <f t="shared" si="107"/>
        <v>203</v>
      </c>
      <c r="W157" s="18">
        <f t="shared" si="108"/>
        <v>444</v>
      </c>
      <c r="X157" s="14">
        <f t="shared" si="109"/>
        <v>203</v>
      </c>
      <c r="Y157" s="18">
        <f t="shared" si="110"/>
        <v>429</v>
      </c>
      <c r="Z157" s="14">
        <f t="shared" si="111"/>
        <v>189</v>
      </c>
      <c r="AA157" s="18">
        <f t="shared" si="112"/>
        <v>429</v>
      </c>
      <c r="AB157" s="4" t="s">
        <v>0</v>
      </c>
    </row>
    <row r="158" spans="1:28">
      <c r="A158" s="9" t="s">
        <v>146</v>
      </c>
      <c r="B158" s="24"/>
      <c r="C158" s="4"/>
      <c r="D158" s="25">
        <f t="shared" si="115"/>
        <v>203</v>
      </c>
      <c r="E158" s="29">
        <f t="shared" si="117"/>
        <v>306</v>
      </c>
      <c r="F158" s="25">
        <f t="shared" si="116"/>
        <v>217</v>
      </c>
      <c r="G158" s="29">
        <f t="shared" si="118"/>
        <v>321</v>
      </c>
      <c r="H158" s="4" t="s">
        <v>0</v>
      </c>
      <c r="I158" s="16" t="str">
        <f t="shared" si="95"/>
        <v>01-17</v>
      </c>
      <c r="J158" s="14">
        <f t="shared" si="96"/>
        <v>203</v>
      </c>
      <c r="K158" s="15">
        <f t="shared" si="97"/>
        <v>306</v>
      </c>
      <c r="L158" s="17">
        <f t="shared" si="98"/>
        <v>217</v>
      </c>
      <c r="M158" s="18">
        <f t="shared" si="99"/>
        <v>306</v>
      </c>
      <c r="N158" s="14">
        <f t="shared" si="100"/>
        <v>217</v>
      </c>
      <c r="O158" s="15">
        <f t="shared" si="101"/>
        <v>321</v>
      </c>
      <c r="P158" s="17">
        <f t="shared" si="102"/>
        <v>203</v>
      </c>
      <c r="Q158" s="18">
        <f t="shared" si="103"/>
        <v>321</v>
      </c>
      <c r="R158" s="4" t="s">
        <v>0</v>
      </c>
      <c r="S158" s="16" t="str">
        <f t="shared" si="104"/>
        <v>01-17</v>
      </c>
      <c r="T158" s="14">
        <f t="shared" si="105"/>
        <v>203</v>
      </c>
      <c r="U158" s="18">
        <f t="shared" si="106"/>
        <v>444</v>
      </c>
      <c r="V158" s="14">
        <f t="shared" si="107"/>
        <v>217</v>
      </c>
      <c r="W158" s="18">
        <f t="shared" si="108"/>
        <v>444</v>
      </c>
      <c r="X158" s="14">
        <f t="shared" si="109"/>
        <v>217</v>
      </c>
      <c r="Y158" s="18">
        <f t="shared" si="110"/>
        <v>429</v>
      </c>
      <c r="Z158" s="14">
        <f t="shared" si="111"/>
        <v>203</v>
      </c>
      <c r="AA158" s="18">
        <f t="shared" si="112"/>
        <v>429</v>
      </c>
      <c r="AB158" s="4" t="s">
        <v>0</v>
      </c>
    </row>
    <row r="159" spans="1:28">
      <c r="A159" s="9" t="s">
        <v>145</v>
      </c>
      <c r="B159" s="24"/>
      <c r="C159" s="4"/>
      <c r="D159" s="25">
        <f t="shared" si="115"/>
        <v>218</v>
      </c>
      <c r="E159" s="29">
        <f t="shared" si="117"/>
        <v>306</v>
      </c>
      <c r="F159" s="25">
        <f t="shared" si="116"/>
        <v>232</v>
      </c>
      <c r="G159" s="29">
        <f t="shared" si="118"/>
        <v>321</v>
      </c>
      <c r="H159" s="4" t="s">
        <v>0</v>
      </c>
      <c r="I159" s="16" t="str">
        <f t="shared" si="95"/>
        <v>01-16</v>
      </c>
      <c r="J159" s="14">
        <f t="shared" si="96"/>
        <v>218</v>
      </c>
      <c r="K159" s="15">
        <f t="shared" si="97"/>
        <v>306</v>
      </c>
      <c r="L159" s="17">
        <f t="shared" si="98"/>
        <v>232</v>
      </c>
      <c r="M159" s="18">
        <f t="shared" si="99"/>
        <v>306</v>
      </c>
      <c r="N159" s="14">
        <f t="shared" si="100"/>
        <v>232</v>
      </c>
      <c r="O159" s="15">
        <f t="shared" si="101"/>
        <v>321</v>
      </c>
      <c r="P159" s="17">
        <f t="shared" si="102"/>
        <v>218</v>
      </c>
      <c r="Q159" s="18">
        <f t="shared" si="103"/>
        <v>321</v>
      </c>
      <c r="R159" s="4" t="s">
        <v>0</v>
      </c>
      <c r="S159" s="16" t="str">
        <f t="shared" si="104"/>
        <v>01-16</v>
      </c>
      <c r="T159" s="14">
        <f t="shared" si="105"/>
        <v>218</v>
      </c>
      <c r="U159" s="18">
        <f t="shared" si="106"/>
        <v>444</v>
      </c>
      <c r="V159" s="14">
        <f t="shared" si="107"/>
        <v>232</v>
      </c>
      <c r="W159" s="18">
        <f t="shared" si="108"/>
        <v>444</v>
      </c>
      <c r="X159" s="14">
        <f t="shared" si="109"/>
        <v>232</v>
      </c>
      <c r="Y159" s="18">
        <f t="shared" si="110"/>
        <v>429</v>
      </c>
      <c r="Z159" s="14">
        <f t="shared" si="111"/>
        <v>218</v>
      </c>
      <c r="AA159" s="18">
        <f t="shared" si="112"/>
        <v>429</v>
      </c>
      <c r="AB159" s="4" t="s">
        <v>0</v>
      </c>
    </row>
    <row r="160" spans="1:28">
      <c r="A160" s="9" t="s">
        <v>144</v>
      </c>
      <c r="B160" s="24"/>
      <c r="C160" s="4"/>
      <c r="D160" s="25">
        <f t="shared" si="115"/>
        <v>256</v>
      </c>
      <c r="E160" s="29">
        <f t="shared" si="117"/>
        <v>306</v>
      </c>
      <c r="F160" s="25">
        <f t="shared" si="116"/>
        <v>270</v>
      </c>
      <c r="G160" s="29">
        <f t="shared" si="118"/>
        <v>321</v>
      </c>
      <c r="H160" s="4" t="s">
        <v>0</v>
      </c>
      <c r="I160" s="16" t="str">
        <f t="shared" si="95"/>
        <v>01-15</v>
      </c>
      <c r="J160" s="14">
        <f t="shared" si="96"/>
        <v>256</v>
      </c>
      <c r="K160" s="15">
        <f t="shared" si="97"/>
        <v>306</v>
      </c>
      <c r="L160" s="17">
        <f t="shared" si="98"/>
        <v>270</v>
      </c>
      <c r="M160" s="18">
        <f t="shared" si="99"/>
        <v>306</v>
      </c>
      <c r="N160" s="14">
        <f t="shared" si="100"/>
        <v>270</v>
      </c>
      <c r="O160" s="15">
        <f t="shared" si="101"/>
        <v>321</v>
      </c>
      <c r="P160" s="17">
        <f t="shared" si="102"/>
        <v>256</v>
      </c>
      <c r="Q160" s="18">
        <f t="shared" si="103"/>
        <v>321</v>
      </c>
      <c r="R160" s="4" t="s">
        <v>0</v>
      </c>
      <c r="S160" s="16" t="str">
        <f t="shared" si="104"/>
        <v>01-15</v>
      </c>
      <c r="T160" s="14">
        <f t="shared" si="105"/>
        <v>256</v>
      </c>
      <c r="U160" s="18">
        <f t="shared" si="106"/>
        <v>444</v>
      </c>
      <c r="V160" s="14">
        <f t="shared" si="107"/>
        <v>270</v>
      </c>
      <c r="W160" s="18">
        <f t="shared" si="108"/>
        <v>444</v>
      </c>
      <c r="X160" s="14">
        <f t="shared" si="109"/>
        <v>270</v>
      </c>
      <c r="Y160" s="18">
        <f t="shared" si="110"/>
        <v>429</v>
      </c>
      <c r="Z160" s="14">
        <f t="shared" si="111"/>
        <v>256</v>
      </c>
      <c r="AA160" s="18">
        <f t="shared" si="112"/>
        <v>429</v>
      </c>
      <c r="AB160" s="4" t="s">
        <v>0</v>
      </c>
    </row>
    <row r="161" spans="1:28">
      <c r="A161" s="9" t="s">
        <v>143</v>
      </c>
      <c r="B161" s="24"/>
      <c r="C161" s="4"/>
      <c r="D161" s="25">
        <f t="shared" si="115"/>
        <v>270</v>
      </c>
      <c r="E161" s="29">
        <f t="shared" si="117"/>
        <v>306</v>
      </c>
      <c r="F161" s="25">
        <f t="shared" si="116"/>
        <v>284</v>
      </c>
      <c r="G161" s="29">
        <f t="shared" si="118"/>
        <v>321</v>
      </c>
      <c r="H161" s="4" t="s">
        <v>0</v>
      </c>
      <c r="I161" s="16" t="str">
        <f t="shared" si="95"/>
        <v>01-13</v>
      </c>
      <c r="J161" s="14">
        <f t="shared" si="96"/>
        <v>270</v>
      </c>
      <c r="K161" s="15">
        <f t="shared" si="97"/>
        <v>306</v>
      </c>
      <c r="L161" s="17">
        <f t="shared" si="98"/>
        <v>284</v>
      </c>
      <c r="M161" s="18">
        <f t="shared" si="99"/>
        <v>306</v>
      </c>
      <c r="N161" s="14">
        <f t="shared" si="100"/>
        <v>284</v>
      </c>
      <c r="O161" s="15">
        <f t="shared" si="101"/>
        <v>321</v>
      </c>
      <c r="P161" s="17">
        <f t="shared" si="102"/>
        <v>270</v>
      </c>
      <c r="Q161" s="18">
        <f t="shared" si="103"/>
        <v>321</v>
      </c>
      <c r="R161" s="4" t="s">
        <v>0</v>
      </c>
      <c r="S161" s="16" t="str">
        <f t="shared" si="104"/>
        <v>01-13</v>
      </c>
      <c r="T161" s="14">
        <f t="shared" si="105"/>
        <v>270</v>
      </c>
      <c r="U161" s="18">
        <f t="shared" si="106"/>
        <v>444</v>
      </c>
      <c r="V161" s="14">
        <f t="shared" si="107"/>
        <v>284</v>
      </c>
      <c r="W161" s="18">
        <f t="shared" si="108"/>
        <v>444</v>
      </c>
      <c r="X161" s="14">
        <f t="shared" si="109"/>
        <v>284</v>
      </c>
      <c r="Y161" s="18">
        <f t="shared" si="110"/>
        <v>429</v>
      </c>
      <c r="Z161" s="14">
        <f t="shared" si="111"/>
        <v>270</v>
      </c>
      <c r="AA161" s="18">
        <f t="shared" si="112"/>
        <v>429</v>
      </c>
      <c r="AB161" s="4" t="s">
        <v>0</v>
      </c>
    </row>
    <row r="162" spans="1:28">
      <c r="A162" s="9" t="s">
        <v>11</v>
      </c>
      <c r="B162" s="24"/>
      <c r="C162" s="4"/>
      <c r="D162" s="25">
        <f t="shared" si="115"/>
        <v>285</v>
      </c>
      <c r="E162" s="29">
        <f t="shared" si="117"/>
        <v>306</v>
      </c>
      <c r="F162" s="25">
        <f t="shared" si="116"/>
        <v>299</v>
      </c>
      <c r="G162" s="29">
        <f t="shared" si="118"/>
        <v>321</v>
      </c>
      <c r="H162" s="4" t="s">
        <v>0</v>
      </c>
      <c r="I162" s="16" t="str">
        <f t="shared" si="95"/>
        <v>01-12</v>
      </c>
      <c r="J162" s="14">
        <f t="shared" si="96"/>
        <v>285</v>
      </c>
      <c r="K162" s="15">
        <f t="shared" si="97"/>
        <v>306</v>
      </c>
      <c r="L162" s="17">
        <f t="shared" si="98"/>
        <v>299</v>
      </c>
      <c r="M162" s="18">
        <f t="shared" si="99"/>
        <v>306</v>
      </c>
      <c r="N162" s="14">
        <f t="shared" si="100"/>
        <v>299</v>
      </c>
      <c r="O162" s="15">
        <f t="shared" si="101"/>
        <v>321</v>
      </c>
      <c r="P162" s="17">
        <f t="shared" si="102"/>
        <v>285</v>
      </c>
      <c r="Q162" s="18">
        <f t="shared" si="103"/>
        <v>321</v>
      </c>
      <c r="R162" s="4" t="s">
        <v>0</v>
      </c>
      <c r="S162" s="16" t="str">
        <f t="shared" si="104"/>
        <v>01-12</v>
      </c>
      <c r="T162" s="14">
        <f t="shared" si="105"/>
        <v>285</v>
      </c>
      <c r="U162" s="18">
        <f t="shared" si="106"/>
        <v>444</v>
      </c>
      <c r="V162" s="14">
        <f t="shared" si="107"/>
        <v>299</v>
      </c>
      <c r="W162" s="18">
        <f t="shared" si="108"/>
        <v>444</v>
      </c>
      <c r="X162" s="14">
        <f t="shared" si="109"/>
        <v>299</v>
      </c>
      <c r="Y162" s="18">
        <f t="shared" si="110"/>
        <v>429</v>
      </c>
      <c r="Z162" s="14">
        <f t="shared" si="111"/>
        <v>285</v>
      </c>
      <c r="AA162" s="18">
        <f t="shared" si="112"/>
        <v>429</v>
      </c>
      <c r="AB162" s="4" t="s">
        <v>0</v>
      </c>
    </row>
    <row r="163" spans="1:28">
      <c r="A163" s="9" t="s">
        <v>10</v>
      </c>
      <c r="B163" s="24"/>
      <c r="C163" s="4"/>
      <c r="D163" s="25">
        <f t="shared" si="115"/>
        <v>299</v>
      </c>
      <c r="E163" s="29">
        <f t="shared" si="117"/>
        <v>306</v>
      </c>
      <c r="F163" s="25">
        <f t="shared" si="116"/>
        <v>313</v>
      </c>
      <c r="G163" s="29">
        <f t="shared" si="118"/>
        <v>321</v>
      </c>
      <c r="H163" s="4" t="s">
        <v>0</v>
      </c>
      <c r="I163" s="16" t="str">
        <f t="shared" si="95"/>
        <v>01-11</v>
      </c>
      <c r="J163" s="14">
        <f t="shared" si="96"/>
        <v>299</v>
      </c>
      <c r="K163" s="15">
        <f t="shared" si="97"/>
        <v>306</v>
      </c>
      <c r="L163" s="17">
        <f t="shared" si="98"/>
        <v>313</v>
      </c>
      <c r="M163" s="18">
        <f t="shared" si="99"/>
        <v>306</v>
      </c>
      <c r="N163" s="14">
        <f t="shared" si="100"/>
        <v>313</v>
      </c>
      <c r="O163" s="15">
        <f t="shared" si="101"/>
        <v>321</v>
      </c>
      <c r="P163" s="17">
        <f t="shared" si="102"/>
        <v>299</v>
      </c>
      <c r="Q163" s="18">
        <f t="shared" si="103"/>
        <v>321</v>
      </c>
      <c r="R163" s="4" t="s">
        <v>0</v>
      </c>
      <c r="S163" s="16" t="str">
        <f t="shared" si="104"/>
        <v>01-11</v>
      </c>
      <c r="T163" s="14">
        <f t="shared" si="105"/>
        <v>299</v>
      </c>
      <c r="U163" s="18">
        <f t="shared" si="106"/>
        <v>444</v>
      </c>
      <c r="V163" s="14">
        <f t="shared" si="107"/>
        <v>313</v>
      </c>
      <c r="W163" s="18">
        <f t="shared" si="108"/>
        <v>444</v>
      </c>
      <c r="X163" s="14">
        <f t="shared" si="109"/>
        <v>313</v>
      </c>
      <c r="Y163" s="18">
        <f t="shared" si="110"/>
        <v>429</v>
      </c>
      <c r="Z163" s="14">
        <f t="shared" si="111"/>
        <v>299</v>
      </c>
      <c r="AA163" s="18">
        <f t="shared" si="112"/>
        <v>429</v>
      </c>
      <c r="AB163" s="4" t="s">
        <v>0</v>
      </c>
    </row>
    <row r="164" spans="1:28">
      <c r="A164" s="9" t="s">
        <v>9</v>
      </c>
      <c r="B164" s="24"/>
      <c r="C164" s="4"/>
      <c r="D164" s="25">
        <f t="shared" si="115"/>
        <v>314</v>
      </c>
      <c r="E164" s="29">
        <f t="shared" si="117"/>
        <v>306</v>
      </c>
      <c r="F164" s="25">
        <f t="shared" si="116"/>
        <v>328</v>
      </c>
      <c r="G164" s="29">
        <f t="shared" si="118"/>
        <v>321</v>
      </c>
      <c r="H164" s="4" t="s">
        <v>0</v>
      </c>
      <c r="I164" s="16" t="str">
        <f t="shared" si="95"/>
        <v>01-10</v>
      </c>
      <c r="J164" s="14">
        <f t="shared" si="96"/>
        <v>314</v>
      </c>
      <c r="K164" s="15">
        <f t="shared" si="97"/>
        <v>306</v>
      </c>
      <c r="L164" s="17">
        <f t="shared" si="98"/>
        <v>328</v>
      </c>
      <c r="M164" s="18">
        <f t="shared" si="99"/>
        <v>306</v>
      </c>
      <c r="N164" s="14">
        <f t="shared" si="100"/>
        <v>328</v>
      </c>
      <c r="O164" s="15">
        <f t="shared" si="101"/>
        <v>321</v>
      </c>
      <c r="P164" s="17">
        <f t="shared" si="102"/>
        <v>314</v>
      </c>
      <c r="Q164" s="18">
        <f t="shared" si="103"/>
        <v>321</v>
      </c>
      <c r="R164" s="4" t="s">
        <v>0</v>
      </c>
      <c r="S164" s="16" t="str">
        <f t="shared" si="104"/>
        <v>01-10</v>
      </c>
      <c r="T164" s="14">
        <f t="shared" si="105"/>
        <v>314</v>
      </c>
      <c r="U164" s="18">
        <f t="shared" si="106"/>
        <v>444</v>
      </c>
      <c r="V164" s="14">
        <f t="shared" si="107"/>
        <v>328</v>
      </c>
      <c r="W164" s="18">
        <f t="shared" si="108"/>
        <v>444</v>
      </c>
      <c r="X164" s="14">
        <f t="shared" si="109"/>
        <v>328</v>
      </c>
      <c r="Y164" s="18">
        <f t="shared" si="110"/>
        <v>429</v>
      </c>
      <c r="Z164" s="14">
        <f t="shared" si="111"/>
        <v>314</v>
      </c>
      <c r="AA164" s="18">
        <f t="shared" si="112"/>
        <v>429</v>
      </c>
      <c r="AB164" s="4" t="s">
        <v>0</v>
      </c>
    </row>
    <row r="165" spans="1:28">
      <c r="A165" s="9" t="s">
        <v>8</v>
      </c>
      <c r="B165" s="24"/>
      <c r="C165" s="4"/>
      <c r="D165" s="25">
        <f t="shared" si="115"/>
        <v>328</v>
      </c>
      <c r="E165" s="29">
        <f t="shared" si="117"/>
        <v>306</v>
      </c>
      <c r="F165" s="25">
        <f t="shared" si="116"/>
        <v>342</v>
      </c>
      <c r="G165" s="29">
        <f t="shared" si="118"/>
        <v>321</v>
      </c>
      <c r="H165" s="4" t="s">
        <v>0</v>
      </c>
      <c r="I165" s="16" t="str">
        <f t="shared" si="95"/>
        <v>01-08</v>
      </c>
      <c r="J165" s="14">
        <f t="shared" si="96"/>
        <v>328</v>
      </c>
      <c r="K165" s="15">
        <f t="shared" si="97"/>
        <v>306</v>
      </c>
      <c r="L165" s="17">
        <f t="shared" si="98"/>
        <v>342</v>
      </c>
      <c r="M165" s="18">
        <f t="shared" si="99"/>
        <v>306</v>
      </c>
      <c r="N165" s="14">
        <f t="shared" si="100"/>
        <v>342</v>
      </c>
      <c r="O165" s="15">
        <f t="shared" si="101"/>
        <v>321</v>
      </c>
      <c r="P165" s="17">
        <f t="shared" si="102"/>
        <v>328</v>
      </c>
      <c r="Q165" s="18">
        <f t="shared" si="103"/>
        <v>321</v>
      </c>
      <c r="R165" s="4" t="s">
        <v>0</v>
      </c>
      <c r="S165" s="16" t="str">
        <f t="shared" si="104"/>
        <v>01-08</v>
      </c>
      <c r="T165" s="14">
        <f t="shared" si="105"/>
        <v>328</v>
      </c>
      <c r="U165" s="18">
        <f t="shared" si="106"/>
        <v>444</v>
      </c>
      <c r="V165" s="14">
        <f t="shared" si="107"/>
        <v>342</v>
      </c>
      <c r="W165" s="18">
        <f t="shared" si="108"/>
        <v>444</v>
      </c>
      <c r="X165" s="14">
        <f t="shared" si="109"/>
        <v>342</v>
      </c>
      <c r="Y165" s="18">
        <f t="shared" si="110"/>
        <v>429</v>
      </c>
      <c r="Z165" s="14">
        <f t="shared" si="111"/>
        <v>328</v>
      </c>
      <c r="AA165" s="18">
        <f t="shared" si="112"/>
        <v>429</v>
      </c>
      <c r="AB165" s="4" t="s">
        <v>0</v>
      </c>
    </row>
    <row r="166" spans="1:28">
      <c r="A166" s="9" t="s">
        <v>7</v>
      </c>
      <c r="B166" s="24"/>
      <c r="C166" s="4"/>
      <c r="D166" s="25">
        <f t="shared" si="115"/>
        <v>342</v>
      </c>
      <c r="E166" s="29">
        <f t="shared" si="117"/>
        <v>306</v>
      </c>
      <c r="F166" s="25">
        <f t="shared" si="116"/>
        <v>356</v>
      </c>
      <c r="G166" s="29">
        <f t="shared" si="118"/>
        <v>321</v>
      </c>
      <c r="H166" s="4" t="s">
        <v>0</v>
      </c>
      <c r="I166" s="16" t="str">
        <f t="shared" si="95"/>
        <v>01-07</v>
      </c>
      <c r="J166" s="14">
        <f t="shared" si="96"/>
        <v>342</v>
      </c>
      <c r="K166" s="15">
        <f t="shared" si="97"/>
        <v>306</v>
      </c>
      <c r="L166" s="17">
        <f t="shared" si="98"/>
        <v>356</v>
      </c>
      <c r="M166" s="18">
        <f t="shared" si="99"/>
        <v>306</v>
      </c>
      <c r="N166" s="14">
        <f t="shared" si="100"/>
        <v>356</v>
      </c>
      <c r="O166" s="15">
        <f t="shared" si="101"/>
        <v>321</v>
      </c>
      <c r="P166" s="17">
        <f t="shared" si="102"/>
        <v>342</v>
      </c>
      <c r="Q166" s="18">
        <f t="shared" si="103"/>
        <v>321</v>
      </c>
      <c r="R166" s="4" t="s">
        <v>0</v>
      </c>
      <c r="S166" s="16" t="str">
        <f t="shared" si="104"/>
        <v>01-07</v>
      </c>
      <c r="T166" s="14">
        <f t="shared" si="105"/>
        <v>342</v>
      </c>
      <c r="U166" s="18">
        <f t="shared" si="106"/>
        <v>444</v>
      </c>
      <c r="V166" s="14">
        <f t="shared" si="107"/>
        <v>356</v>
      </c>
      <c r="W166" s="18">
        <f t="shared" si="108"/>
        <v>444</v>
      </c>
      <c r="X166" s="14">
        <f t="shared" si="109"/>
        <v>356</v>
      </c>
      <c r="Y166" s="18">
        <f t="shared" si="110"/>
        <v>429</v>
      </c>
      <c r="Z166" s="14">
        <f t="shared" si="111"/>
        <v>342</v>
      </c>
      <c r="AA166" s="18">
        <f t="shared" si="112"/>
        <v>429</v>
      </c>
      <c r="AB166" s="4" t="s">
        <v>0</v>
      </c>
    </row>
    <row r="167" spans="1:28">
      <c r="A167" s="9" t="s">
        <v>6</v>
      </c>
      <c r="B167" s="24"/>
      <c r="C167" s="4"/>
      <c r="D167" s="25">
        <f t="shared" si="115"/>
        <v>357</v>
      </c>
      <c r="E167" s="29">
        <f t="shared" si="117"/>
        <v>306</v>
      </c>
      <c r="F167" s="25">
        <f t="shared" si="116"/>
        <v>371</v>
      </c>
      <c r="G167" s="29">
        <f t="shared" si="118"/>
        <v>321</v>
      </c>
      <c r="H167" s="4" t="s">
        <v>0</v>
      </c>
      <c r="I167" s="16" t="str">
        <f t="shared" si="95"/>
        <v>01-06</v>
      </c>
      <c r="J167" s="14">
        <f t="shared" si="96"/>
        <v>357</v>
      </c>
      <c r="K167" s="15">
        <f t="shared" si="97"/>
        <v>306</v>
      </c>
      <c r="L167" s="17">
        <f t="shared" si="98"/>
        <v>371</v>
      </c>
      <c r="M167" s="18">
        <f t="shared" si="99"/>
        <v>306</v>
      </c>
      <c r="N167" s="14">
        <f t="shared" si="100"/>
        <v>371</v>
      </c>
      <c r="O167" s="15">
        <f t="shared" si="101"/>
        <v>321</v>
      </c>
      <c r="P167" s="17">
        <f t="shared" si="102"/>
        <v>357</v>
      </c>
      <c r="Q167" s="18">
        <f t="shared" si="103"/>
        <v>321</v>
      </c>
      <c r="R167" s="4" t="s">
        <v>0</v>
      </c>
      <c r="S167" s="16" t="str">
        <f t="shared" si="104"/>
        <v>01-06</v>
      </c>
      <c r="T167" s="14">
        <f t="shared" si="105"/>
        <v>357</v>
      </c>
      <c r="U167" s="18">
        <f t="shared" si="106"/>
        <v>444</v>
      </c>
      <c r="V167" s="14">
        <f t="shared" si="107"/>
        <v>371</v>
      </c>
      <c r="W167" s="18">
        <f t="shared" si="108"/>
        <v>444</v>
      </c>
      <c r="X167" s="14">
        <f t="shared" si="109"/>
        <v>371</v>
      </c>
      <c r="Y167" s="18">
        <f t="shared" si="110"/>
        <v>429</v>
      </c>
      <c r="Z167" s="14">
        <f t="shared" si="111"/>
        <v>357</v>
      </c>
      <c r="AA167" s="18">
        <f t="shared" si="112"/>
        <v>429</v>
      </c>
      <c r="AB167" s="4" t="s">
        <v>0</v>
      </c>
    </row>
    <row r="168" spans="1:28">
      <c r="A168" s="9" t="s">
        <v>5</v>
      </c>
      <c r="B168" s="24"/>
      <c r="C168" s="4"/>
      <c r="D168" s="25">
        <f t="shared" si="115"/>
        <v>371</v>
      </c>
      <c r="E168" s="29">
        <f t="shared" si="117"/>
        <v>306</v>
      </c>
      <c r="F168" s="25">
        <f t="shared" si="116"/>
        <v>385</v>
      </c>
      <c r="G168" s="29">
        <f t="shared" si="118"/>
        <v>321</v>
      </c>
      <c r="H168" s="4" t="s">
        <v>0</v>
      </c>
      <c r="I168" s="16" t="str">
        <f t="shared" si="95"/>
        <v>01-05</v>
      </c>
      <c r="J168" s="14">
        <f t="shared" si="96"/>
        <v>371</v>
      </c>
      <c r="K168" s="15">
        <f t="shared" si="97"/>
        <v>306</v>
      </c>
      <c r="L168" s="17">
        <f t="shared" si="98"/>
        <v>385</v>
      </c>
      <c r="M168" s="18">
        <f t="shared" si="99"/>
        <v>306</v>
      </c>
      <c r="N168" s="14">
        <f t="shared" si="100"/>
        <v>385</v>
      </c>
      <c r="O168" s="15">
        <f t="shared" si="101"/>
        <v>321</v>
      </c>
      <c r="P168" s="17">
        <f t="shared" si="102"/>
        <v>371</v>
      </c>
      <c r="Q168" s="18">
        <f t="shared" si="103"/>
        <v>321</v>
      </c>
      <c r="R168" s="4" t="s">
        <v>0</v>
      </c>
      <c r="S168" s="16" t="str">
        <f t="shared" si="104"/>
        <v>01-05</v>
      </c>
      <c r="T168" s="14">
        <f t="shared" si="105"/>
        <v>371</v>
      </c>
      <c r="U168" s="18">
        <f t="shared" si="106"/>
        <v>444</v>
      </c>
      <c r="V168" s="14">
        <f t="shared" si="107"/>
        <v>385</v>
      </c>
      <c r="W168" s="18">
        <f t="shared" si="108"/>
        <v>444</v>
      </c>
      <c r="X168" s="14">
        <f t="shared" si="109"/>
        <v>385</v>
      </c>
      <c r="Y168" s="18">
        <f t="shared" si="110"/>
        <v>429</v>
      </c>
      <c r="Z168" s="14">
        <f t="shared" si="111"/>
        <v>371</v>
      </c>
      <c r="AA168" s="18">
        <f t="shared" si="112"/>
        <v>429</v>
      </c>
      <c r="AB168" s="4" t="s">
        <v>0</v>
      </c>
    </row>
    <row r="169" spans="1:28">
      <c r="A169" s="9" t="s">
        <v>4</v>
      </c>
      <c r="B169" s="24"/>
      <c r="C169" s="4"/>
      <c r="D169" s="25">
        <f t="shared" si="115"/>
        <v>386</v>
      </c>
      <c r="E169" s="29">
        <f t="shared" si="117"/>
        <v>306</v>
      </c>
      <c r="F169" s="25">
        <f t="shared" si="116"/>
        <v>400</v>
      </c>
      <c r="G169" s="29">
        <f t="shared" si="118"/>
        <v>321</v>
      </c>
      <c r="H169" s="4" t="s">
        <v>0</v>
      </c>
      <c r="I169" s="16" t="str">
        <f t="shared" si="95"/>
        <v>01-03</v>
      </c>
      <c r="J169" s="14">
        <f t="shared" si="96"/>
        <v>386</v>
      </c>
      <c r="K169" s="15">
        <f t="shared" si="97"/>
        <v>306</v>
      </c>
      <c r="L169" s="17">
        <f t="shared" si="98"/>
        <v>400</v>
      </c>
      <c r="M169" s="18">
        <f t="shared" si="99"/>
        <v>306</v>
      </c>
      <c r="N169" s="14">
        <f t="shared" si="100"/>
        <v>400</v>
      </c>
      <c r="O169" s="15">
        <f t="shared" si="101"/>
        <v>321</v>
      </c>
      <c r="P169" s="17">
        <f t="shared" si="102"/>
        <v>386</v>
      </c>
      <c r="Q169" s="18">
        <f t="shared" si="103"/>
        <v>321</v>
      </c>
      <c r="R169" s="4" t="s">
        <v>0</v>
      </c>
      <c r="S169" s="16" t="str">
        <f t="shared" si="104"/>
        <v>01-03</v>
      </c>
      <c r="T169" s="14">
        <f t="shared" si="105"/>
        <v>386</v>
      </c>
      <c r="U169" s="18">
        <f t="shared" si="106"/>
        <v>444</v>
      </c>
      <c r="V169" s="14">
        <f t="shared" si="107"/>
        <v>400</v>
      </c>
      <c r="W169" s="18">
        <f t="shared" si="108"/>
        <v>444</v>
      </c>
      <c r="X169" s="14">
        <f t="shared" si="109"/>
        <v>400</v>
      </c>
      <c r="Y169" s="18">
        <f t="shared" si="110"/>
        <v>429</v>
      </c>
      <c r="Z169" s="14">
        <f t="shared" si="111"/>
        <v>386</v>
      </c>
      <c r="AA169" s="18">
        <f t="shared" si="112"/>
        <v>429</v>
      </c>
      <c r="AB169" s="4" t="s">
        <v>0</v>
      </c>
    </row>
    <row r="170" spans="1:28">
      <c r="A170" s="9" t="s">
        <v>142</v>
      </c>
      <c r="B170" s="24"/>
      <c r="C170" s="4"/>
      <c r="D170" s="25">
        <f t="shared" si="115"/>
        <v>400</v>
      </c>
      <c r="E170" s="29">
        <f t="shared" si="117"/>
        <v>306</v>
      </c>
      <c r="F170" s="25">
        <f t="shared" si="116"/>
        <v>414</v>
      </c>
      <c r="G170" s="29">
        <f t="shared" si="118"/>
        <v>321</v>
      </c>
      <c r="H170" s="4" t="s">
        <v>0</v>
      </c>
      <c r="I170" s="16" t="str">
        <f t="shared" si="95"/>
        <v>01-02</v>
      </c>
      <c r="J170" s="14">
        <f t="shared" si="96"/>
        <v>400</v>
      </c>
      <c r="K170" s="15">
        <f t="shared" si="97"/>
        <v>306</v>
      </c>
      <c r="L170" s="17">
        <f t="shared" si="98"/>
        <v>414</v>
      </c>
      <c r="M170" s="18">
        <f t="shared" si="99"/>
        <v>306</v>
      </c>
      <c r="N170" s="14">
        <f t="shared" si="100"/>
        <v>414</v>
      </c>
      <c r="O170" s="15">
        <f t="shared" si="101"/>
        <v>321</v>
      </c>
      <c r="P170" s="17">
        <f t="shared" si="102"/>
        <v>400</v>
      </c>
      <c r="Q170" s="18">
        <f t="shared" si="103"/>
        <v>321</v>
      </c>
      <c r="R170" s="4" t="s">
        <v>0</v>
      </c>
      <c r="S170" s="16" t="str">
        <f t="shared" si="104"/>
        <v>01-02</v>
      </c>
      <c r="T170" s="14">
        <f t="shared" si="105"/>
        <v>400</v>
      </c>
      <c r="U170" s="18">
        <f t="shared" si="106"/>
        <v>444</v>
      </c>
      <c r="V170" s="14">
        <f t="shared" si="107"/>
        <v>414</v>
      </c>
      <c r="W170" s="18">
        <f t="shared" si="108"/>
        <v>444</v>
      </c>
      <c r="X170" s="14">
        <f t="shared" si="109"/>
        <v>414</v>
      </c>
      <c r="Y170" s="18">
        <f t="shared" si="110"/>
        <v>429</v>
      </c>
      <c r="Z170" s="14">
        <f t="shared" si="111"/>
        <v>400</v>
      </c>
      <c r="AA170" s="18">
        <f t="shared" si="112"/>
        <v>429</v>
      </c>
      <c r="AB170" s="4" t="s">
        <v>0</v>
      </c>
    </row>
    <row r="171" spans="1:28">
      <c r="A171" s="9" t="s">
        <v>141</v>
      </c>
      <c r="B171" s="24"/>
      <c r="C171" s="4"/>
      <c r="D171" s="33">
        <v>414</v>
      </c>
      <c r="E171" s="29">
        <f t="shared" si="117"/>
        <v>306</v>
      </c>
      <c r="F171" s="33">
        <v>428</v>
      </c>
      <c r="G171" s="29">
        <f t="shared" si="118"/>
        <v>321</v>
      </c>
      <c r="H171" s="4" t="s">
        <v>0</v>
      </c>
      <c r="I171" s="16" t="str">
        <f t="shared" si="95"/>
        <v>01-01</v>
      </c>
      <c r="J171" s="14">
        <f t="shared" si="96"/>
        <v>414</v>
      </c>
      <c r="K171" s="15">
        <f t="shared" si="97"/>
        <v>306</v>
      </c>
      <c r="L171" s="17">
        <f t="shared" si="98"/>
        <v>428</v>
      </c>
      <c r="M171" s="18">
        <f t="shared" si="99"/>
        <v>306</v>
      </c>
      <c r="N171" s="14">
        <f t="shared" si="100"/>
        <v>428</v>
      </c>
      <c r="O171" s="15">
        <f t="shared" si="101"/>
        <v>321</v>
      </c>
      <c r="P171" s="17">
        <f t="shared" si="102"/>
        <v>414</v>
      </c>
      <c r="Q171" s="18">
        <f t="shared" si="103"/>
        <v>321</v>
      </c>
      <c r="R171" s="4" t="s">
        <v>0</v>
      </c>
      <c r="S171" s="16" t="str">
        <f t="shared" si="104"/>
        <v>01-01</v>
      </c>
      <c r="T171" s="14">
        <f t="shared" si="105"/>
        <v>414</v>
      </c>
      <c r="U171" s="18">
        <f t="shared" si="106"/>
        <v>444</v>
      </c>
      <c r="V171" s="14">
        <f t="shared" si="107"/>
        <v>428</v>
      </c>
      <c r="W171" s="18">
        <f t="shared" si="108"/>
        <v>444</v>
      </c>
      <c r="X171" s="14">
        <f t="shared" si="109"/>
        <v>428</v>
      </c>
      <c r="Y171" s="18">
        <f t="shared" si="110"/>
        <v>429</v>
      </c>
      <c r="Z171" s="14">
        <f t="shared" si="111"/>
        <v>414</v>
      </c>
      <c r="AA171" s="18">
        <f t="shared" si="112"/>
        <v>429</v>
      </c>
      <c r="AB171" s="4" t="s">
        <v>0</v>
      </c>
    </row>
  </sheetData>
  <autoFilter ref="A10:AB171" xr:uid="{00000000-0001-0000-0000-000000000000}"/>
  <mergeCells count="2">
    <mergeCell ref="D3:G3"/>
    <mergeCell ref="D4:G4"/>
  </mergeCells>
  <phoneticPr fontId="1"/>
  <hyperlinks>
    <hyperlink ref="N4" r:id="rId1" xr:uid="{0A1F8B10-0B9E-42E4-8FDF-FF1EF7D88EC3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D8F80-7FA4-42BE-AE6B-AAE022315F0A}">
  <sheetPr codeName="Sheet5">
    <pageSetUpPr fitToPage="1"/>
  </sheetPr>
  <dimension ref="A1:AB32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SEC_11_3_日D.json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SEC_11_3_日D.png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51</v>
      </c>
      <c r="B11" s="30" t="s">
        <v>698</v>
      </c>
      <c r="C11" s="4" t="s">
        <v>0</v>
      </c>
      <c r="D11" s="27">
        <v>64</v>
      </c>
      <c r="E11" s="31">
        <v>186</v>
      </c>
      <c r="F11" s="31">
        <v>94</v>
      </c>
      <c r="G11" s="31">
        <v>208</v>
      </c>
      <c r="H11" s="4" t="s">
        <v>0</v>
      </c>
      <c r="I11" s="16" t="str">
        <f t="shared" ref="I11:I12" si="0">A11</f>
        <v>06-02</v>
      </c>
      <c r="J11" s="14">
        <f>IF(D11&lt;&gt;"",D11,0)</f>
        <v>64</v>
      </c>
      <c r="K11" s="15">
        <f>IF(E11&lt;&gt;"",E11,0)</f>
        <v>186</v>
      </c>
      <c r="L11" s="17">
        <f>N11</f>
        <v>94</v>
      </c>
      <c r="M11" s="18">
        <f>K11</f>
        <v>186</v>
      </c>
      <c r="N11" s="14">
        <f>IF(F11&lt;&gt;"",F11,0)</f>
        <v>94</v>
      </c>
      <c r="O11" s="15">
        <f>IF(G11&lt;&gt;"",G11,0)</f>
        <v>208</v>
      </c>
      <c r="P11" s="17">
        <f>J11</f>
        <v>64</v>
      </c>
      <c r="Q11" s="18">
        <f>O11</f>
        <v>208</v>
      </c>
      <c r="R11" s="4" t="s">
        <v>0</v>
      </c>
      <c r="S11" s="16" t="str">
        <f>I11</f>
        <v>06-02</v>
      </c>
      <c r="T11" s="14">
        <f>IF(J11&lt;&gt;"",J11,"")</f>
        <v>64</v>
      </c>
      <c r="U11" s="18">
        <f>IF(K11&lt;&gt;"",U$6-K11,"")</f>
        <v>564</v>
      </c>
      <c r="V11" s="14">
        <f t="shared" ref="V11:Z12" si="1">IF(L11&lt;&gt;"",L11,"")</f>
        <v>94</v>
      </c>
      <c r="W11" s="18">
        <f>IF(M11&lt;&gt;"",W$6-M11,"")</f>
        <v>564</v>
      </c>
      <c r="X11" s="14">
        <f t="shared" si="1"/>
        <v>94</v>
      </c>
      <c r="Y11" s="18">
        <f>IF(O11&lt;&gt;"",Y$6-O11,"")</f>
        <v>542</v>
      </c>
      <c r="Z11" s="14">
        <f t="shared" si="1"/>
        <v>64</v>
      </c>
      <c r="AA11" s="18">
        <f>IF(Q11&lt;&gt;"",AA$6-Q11,"")</f>
        <v>542</v>
      </c>
      <c r="AB11" s="4" t="s">
        <v>0</v>
      </c>
    </row>
    <row r="12" spans="1:28">
      <c r="A12" s="9" t="s">
        <v>50</v>
      </c>
      <c r="B12" s="24"/>
      <c r="C12" s="26">
        <v>1</v>
      </c>
      <c r="D12" s="28">
        <f>ROUND(D$11+30*$C12, 0)</f>
        <v>94</v>
      </c>
      <c r="E12" s="29">
        <f>E11</f>
        <v>186</v>
      </c>
      <c r="F12" s="28">
        <f>ROUND(F$11+30*$C12, 0)</f>
        <v>124</v>
      </c>
      <c r="G12" s="29">
        <f>G11</f>
        <v>208</v>
      </c>
      <c r="H12" s="4" t="s">
        <v>0</v>
      </c>
      <c r="I12" s="16" t="str">
        <f t="shared" si="0"/>
        <v>06-01</v>
      </c>
      <c r="J12" s="14">
        <f t="shared" ref="J12:K12" si="2">IF(D12&lt;&gt;"",D12,0)</f>
        <v>94</v>
      </c>
      <c r="K12" s="15">
        <f t="shared" si="2"/>
        <v>186</v>
      </c>
      <c r="L12" s="17">
        <f t="shared" ref="L12" si="3">N12</f>
        <v>124</v>
      </c>
      <c r="M12" s="18">
        <f t="shared" ref="M12" si="4">K12</f>
        <v>186</v>
      </c>
      <c r="N12" s="14">
        <f t="shared" ref="N12:O12" si="5">IF(F12&lt;&gt;"",F12,0)</f>
        <v>124</v>
      </c>
      <c r="O12" s="15">
        <f t="shared" si="5"/>
        <v>208</v>
      </c>
      <c r="P12" s="17">
        <f t="shared" ref="P12" si="6">J12</f>
        <v>94</v>
      </c>
      <c r="Q12" s="18">
        <f t="shared" ref="Q12" si="7">O12</f>
        <v>208</v>
      </c>
      <c r="R12" s="4" t="s">
        <v>0</v>
      </c>
      <c r="S12" s="16" t="str">
        <f t="shared" ref="S12" si="8">I12</f>
        <v>06-01</v>
      </c>
      <c r="T12" s="14">
        <f t="shared" ref="T12" si="9">IF(J12&lt;&gt;"",J12,"")</f>
        <v>94</v>
      </c>
      <c r="U12" s="18">
        <f t="shared" ref="U12" si="10">IF(K12&lt;&gt;"",U$6-K12,"")</f>
        <v>564</v>
      </c>
      <c r="V12" s="14">
        <f t="shared" si="1"/>
        <v>124</v>
      </c>
      <c r="W12" s="18">
        <f t="shared" ref="W12" si="11">IF(M12&lt;&gt;"",W$6-M12,"")</f>
        <v>564</v>
      </c>
      <c r="X12" s="14">
        <f t="shared" si="1"/>
        <v>124</v>
      </c>
      <c r="Y12" s="18">
        <f t="shared" ref="Y12" si="12">IF(O12&lt;&gt;"",Y$6-O12,"")</f>
        <v>542</v>
      </c>
      <c r="Z12" s="14">
        <f t="shared" si="1"/>
        <v>94</v>
      </c>
      <c r="AA12" s="18">
        <f t="shared" ref="AA12" si="13">IF(Q12&lt;&gt;"",AA$6-Q12,"")</f>
        <v>542</v>
      </c>
      <c r="AB12" s="4" t="s">
        <v>0</v>
      </c>
    </row>
    <row r="13" spans="1:28">
      <c r="A13" s="9" t="s">
        <v>42</v>
      </c>
      <c r="B13" s="24"/>
      <c r="C13" s="26"/>
      <c r="D13" s="27">
        <f>D11</f>
        <v>64</v>
      </c>
      <c r="E13" s="31">
        <f>ROUND(E11+40,0)</f>
        <v>226</v>
      </c>
      <c r="F13" s="27">
        <f>F11</f>
        <v>94</v>
      </c>
      <c r="G13" s="31">
        <f>ROUND(G11+40,0)</f>
        <v>248</v>
      </c>
      <c r="H13" s="4" t="s">
        <v>0</v>
      </c>
      <c r="I13" s="16" t="str">
        <f t="shared" ref="I13:I32" si="14">A13</f>
        <v>05-03</v>
      </c>
      <c r="J13" s="14">
        <f t="shared" ref="J13:J32" si="15">IF(D13&lt;&gt;"",D13,0)</f>
        <v>64</v>
      </c>
      <c r="K13" s="15">
        <f t="shared" ref="K13:K32" si="16">IF(E13&lt;&gt;"",E13,0)</f>
        <v>226</v>
      </c>
      <c r="L13" s="17">
        <f t="shared" ref="L13:L32" si="17">N13</f>
        <v>94</v>
      </c>
      <c r="M13" s="18">
        <f t="shared" ref="M13:M32" si="18">K13</f>
        <v>226</v>
      </c>
      <c r="N13" s="14">
        <f t="shared" ref="N13:N32" si="19">IF(F13&lt;&gt;"",F13,0)</f>
        <v>94</v>
      </c>
      <c r="O13" s="15">
        <f t="shared" ref="O13:O32" si="20">IF(G13&lt;&gt;"",G13,0)</f>
        <v>248</v>
      </c>
      <c r="P13" s="17">
        <f t="shared" ref="P13:P32" si="21">J13</f>
        <v>64</v>
      </c>
      <c r="Q13" s="18">
        <f t="shared" ref="Q13:Q32" si="22">O13</f>
        <v>248</v>
      </c>
      <c r="R13" s="4" t="s">
        <v>0</v>
      </c>
      <c r="S13" s="16" t="str">
        <f t="shared" ref="S13:S32" si="23">I13</f>
        <v>05-03</v>
      </c>
      <c r="T13" s="14">
        <f t="shared" ref="T13:T32" si="24">IF(J13&lt;&gt;"",J13,"")</f>
        <v>64</v>
      </c>
      <c r="U13" s="18">
        <f t="shared" ref="U13:U32" si="25">IF(K13&lt;&gt;"",U$6-K13,"")</f>
        <v>524</v>
      </c>
      <c r="V13" s="14">
        <f t="shared" ref="V13:V32" si="26">IF(L13&lt;&gt;"",L13,"")</f>
        <v>94</v>
      </c>
      <c r="W13" s="18">
        <f t="shared" ref="W13:W32" si="27">IF(M13&lt;&gt;"",W$6-M13,"")</f>
        <v>524</v>
      </c>
      <c r="X13" s="14">
        <f t="shared" ref="X13:X32" si="28">IF(N13&lt;&gt;"",N13,"")</f>
        <v>94</v>
      </c>
      <c r="Y13" s="18">
        <f t="shared" ref="Y13:Y32" si="29">IF(O13&lt;&gt;"",Y$6-O13,"")</f>
        <v>502</v>
      </c>
      <c r="Z13" s="14">
        <f t="shared" ref="Z13:Z32" si="30">IF(P13&lt;&gt;"",P13,"")</f>
        <v>64</v>
      </c>
      <c r="AA13" s="18">
        <f t="shared" ref="AA13:AA32" si="31">IF(Q13&lt;&gt;"",AA$6-Q13,"")</f>
        <v>502</v>
      </c>
      <c r="AB13" s="4" t="s">
        <v>0</v>
      </c>
    </row>
    <row r="14" spans="1:28">
      <c r="A14" s="9" t="s">
        <v>41</v>
      </c>
      <c r="B14" s="24"/>
      <c r="C14" s="26">
        <v>1</v>
      </c>
      <c r="D14" s="28">
        <f>ROUND(D$13+30*$C14, 0)</f>
        <v>94</v>
      </c>
      <c r="E14" s="29">
        <f>E13</f>
        <v>226</v>
      </c>
      <c r="F14" s="28">
        <f>ROUND(F$13+30*$C14, 0)</f>
        <v>124</v>
      </c>
      <c r="G14" s="29">
        <f>G13</f>
        <v>248</v>
      </c>
      <c r="H14" s="4" t="s">
        <v>0</v>
      </c>
      <c r="I14" s="16" t="str">
        <f t="shared" si="14"/>
        <v>05-02</v>
      </c>
      <c r="J14" s="14">
        <f t="shared" si="15"/>
        <v>94</v>
      </c>
      <c r="K14" s="15">
        <f t="shared" si="16"/>
        <v>226</v>
      </c>
      <c r="L14" s="17">
        <f t="shared" si="17"/>
        <v>124</v>
      </c>
      <c r="M14" s="18">
        <f t="shared" si="18"/>
        <v>226</v>
      </c>
      <c r="N14" s="14">
        <f t="shared" si="19"/>
        <v>124</v>
      </c>
      <c r="O14" s="15">
        <f t="shared" si="20"/>
        <v>248</v>
      </c>
      <c r="P14" s="17">
        <f t="shared" si="21"/>
        <v>94</v>
      </c>
      <c r="Q14" s="18">
        <f t="shared" si="22"/>
        <v>248</v>
      </c>
      <c r="R14" s="4" t="s">
        <v>0</v>
      </c>
      <c r="S14" s="16" t="str">
        <f t="shared" si="23"/>
        <v>05-02</v>
      </c>
      <c r="T14" s="14">
        <f t="shared" si="24"/>
        <v>94</v>
      </c>
      <c r="U14" s="18">
        <f t="shared" si="25"/>
        <v>524</v>
      </c>
      <c r="V14" s="14">
        <f t="shared" si="26"/>
        <v>124</v>
      </c>
      <c r="W14" s="18">
        <f t="shared" si="27"/>
        <v>524</v>
      </c>
      <c r="X14" s="14">
        <f t="shared" si="28"/>
        <v>124</v>
      </c>
      <c r="Y14" s="18">
        <f t="shared" si="29"/>
        <v>502</v>
      </c>
      <c r="Z14" s="14">
        <f t="shared" si="30"/>
        <v>94</v>
      </c>
      <c r="AA14" s="18">
        <f t="shared" si="31"/>
        <v>502</v>
      </c>
      <c r="AB14" s="4" t="s">
        <v>0</v>
      </c>
    </row>
    <row r="15" spans="1:28">
      <c r="A15" s="9" t="s">
        <v>40</v>
      </c>
      <c r="B15" s="24"/>
      <c r="C15" s="26">
        <v>2</v>
      </c>
      <c r="D15" s="28">
        <f>ROUND(D$13+30*$C15, 0)</f>
        <v>124</v>
      </c>
      <c r="E15" s="29">
        <f>E14</f>
        <v>226</v>
      </c>
      <c r="F15" s="28">
        <f>ROUND(F$13+30*$C15, 0)</f>
        <v>154</v>
      </c>
      <c r="G15" s="29">
        <f>G14</f>
        <v>248</v>
      </c>
      <c r="H15" s="4" t="s">
        <v>0</v>
      </c>
      <c r="I15" s="16" t="str">
        <f t="shared" si="14"/>
        <v>05-01</v>
      </c>
      <c r="J15" s="14">
        <f t="shared" si="15"/>
        <v>124</v>
      </c>
      <c r="K15" s="15">
        <f t="shared" si="16"/>
        <v>226</v>
      </c>
      <c r="L15" s="17">
        <f t="shared" si="17"/>
        <v>154</v>
      </c>
      <c r="M15" s="18">
        <f t="shared" si="18"/>
        <v>226</v>
      </c>
      <c r="N15" s="14">
        <f t="shared" si="19"/>
        <v>154</v>
      </c>
      <c r="O15" s="15">
        <f t="shared" si="20"/>
        <v>248</v>
      </c>
      <c r="P15" s="17">
        <f t="shared" si="21"/>
        <v>124</v>
      </c>
      <c r="Q15" s="18">
        <f t="shared" si="22"/>
        <v>248</v>
      </c>
      <c r="R15" s="4" t="s">
        <v>0</v>
      </c>
      <c r="S15" s="16" t="str">
        <f t="shared" si="23"/>
        <v>05-01</v>
      </c>
      <c r="T15" s="14">
        <f t="shared" si="24"/>
        <v>124</v>
      </c>
      <c r="U15" s="18">
        <f t="shared" si="25"/>
        <v>524</v>
      </c>
      <c r="V15" s="14">
        <f t="shared" si="26"/>
        <v>154</v>
      </c>
      <c r="W15" s="18">
        <f t="shared" si="27"/>
        <v>524</v>
      </c>
      <c r="X15" s="14">
        <f t="shared" si="28"/>
        <v>154</v>
      </c>
      <c r="Y15" s="18">
        <f t="shared" si="29"/>
        <v>502</v>
      </c>
      <c r="Z15" s="14">
        <f t="shared" si="30"/>
        <v>124</v>
      </c>
      <c r="AA15" s="18">
        <f t="shared" si="31"/>
        <v>502</v>
      </c>
      <c r="AB15" s="4" t="s">
        <v>0</v>
      </c>
    </row>
    <row r="16" spans="1:28">
      <c r="A16" s="9" t="s">
        <v>33</v>
      </c>
      <c r="B16" s="24"/>
      <c r="C16" s="26"/>
      <c r="D16" s="27">
        <f>D13</f>
        <v>64</v>
      </c>
      <c r="E16" s="31">
        <f>ROUND(E13+41,0)</f>
        <v>267</v>
      </c>
      <c r="F16" s="27">
        <f>F13</f>
        <v>94</v>
      </c>
      <c r="G16" s="31">
        <f>ROUND(G13+41,0)</f>
        <v>289</v>
      </c>
      <c r="H16" s="4" t="s">
        <v>0</v>
      </c>
      <c r="I16" s="16" t="str">
        <f t="shared" si="14"/>
        <v>03-05</v>
      </c>
      <c r="J16" s="14">
        <f t="shared" si="15"/>
        <v>64</v>
      </c>
      <c r="K16" s="15">
        <f t="shared" si="16"/>
        <v>267</v>
      </c>
      <c r="L16" s="17">
        <f t="shared" si="17"/>
        <v>94</v>
      </c>
      <c r="M16" s="18">
        <f t="shared" si="18"/>
        <v>267</v>
      </c>
      <c r="N16" s="14">
        <f t="shared" si="19"/>
        <v>94</v>
      </c>
      <c r="O16" s="15">
        <f t="shared" si="20"/>
        <v>289</v>
      </c>
      <c r="P16" s="17">
        <f t="shared" si="21"/>
        <v>64</v>
      </c>
      <c r="Q16" s="18">
        <f t="shared" si="22"/>
        <v>289</v>
      </c>
      <c r="R16" s="4" t="s">
        <v>0</v>
      </c>
      <c r="S16" s="16" t="str">
        <f t="shared" si="23"/>
        <v>03-05</v>
      </c>
      <c r="T16" s="14">
        <f t="shared" si="24"/>
        <v>64</v>
      </c>
      <c r="U16" s="18">
        <f t="shared" si="25"/>
        <v>483</v>
      </c>
      <c r="V16" s="14">
        <f t="shared" si="26"/>
        <v>94</v>
      </c>
      <c r="W16" s="18">
        <f t="shared" si="27"/>
        <v>483</v>
      </c>
      <c r="X16" s="14">
        <f t="shared" si="28"/>
        <v>94</v>
      </c>
      <c r="Y16" s="18">
        <f t="shared" si="29"/>
        <v>461</v>
      </c>
      <c r="Z16" s="14">
        <f t="shared" si="30"/>
        <v>64</v>
      </c>
      <c r="AA16" s="18">
        <f t="shared" si="31"/>
        <v>461</v>
      </c>
      <c r="AB16" s="4" t="s">
        <v>0</v>
      </c>
    </row>
    <row r="17" spans="1:28">
      <c r="A17" s="9" t="s">
        <v>32</v>
      </c>
      <c r="B17" s="24"/>
      <c r="C17" s="26">
        <v>1</v>
      </c>
      <c r="D17" s="28">
        <f>ROUND(D$13+30*$C17, 0)</f>
        <v>94</v>
      </c>
      <c r="E17" s="29">
        <f>E16</f>
        <v>267</v>
      </c>
      <c r="F17" s="28">
        <f>ROUND(F$13+30*$C17, 0)</f>
        <v>124</v>
      </c>
      <c r="G17" s="29">
        <f>G16</f>
        <v>289</v>
      </c>
      <c r="H17" s="4" t="s">
        <v>0</v>
      </c>
      <c r="I17" s="16" t="str">
        <f t="shared" si="14"/>
        <v>03-03</v>
      </c>
      <c r="J17" s="14">
        <f t="shared" si="15"/>
        <v>94</v>
      </c>
      <c r="K17" s="15">
        <f t="shared" si="16"/>
        <v>267</v>
      </c>
      <c r="L17" s="17">
        <f t="shared" si="17"/>
        <v>124</v>
      </c>
      <c r="M17" s="18">
        <f t="shared" si="18"/>
        <v>267</v>
      </c>
      <c r="N17" s="14">
        <f t="shared" si="19"/>
        <v>124</v>
      </c>
      <c r="O17" s="15">
        <f t="shared" si="20"/>
        <v>289</v>
      </c>
      <c r="P17" s="17">
        <f t="shared" si="21"/>
        <v>94</v>
      </c>
      <c r="Q17" s="18">
        <f t="shared" si="22"/>
        <v>289</v>
      </c>
      <c r="R17" s="4" t="s">
        <v>0</v>
      </c>
      <c r="S17" s="16" t="str">
        <f t="shared" si="23"/>
        <v>03-03</v>
      </c>
      <c r="T17" s="14">
        <f t="shared" si="24"/>
        <v>94</v>
      </c>
      <c r="U17" s="18">
        <f t="shared" si="25"/>
        <v>483</v>
      </c>
      <c r="V17" s="14">
        <f t="shared" si="26"/>
        <v>124</v>
      </c>
      <c r="W17" s="18">
        <f t="shared" si="27"/>
        <v>483</v>
      </c>
      <c r="X17" s="14">
        <f t="shared" si="28"/>
        <v>124</v>
      </c>
      <c r="Y17" s="18">
        <f t="shared" si="29"/>
        <v>461</v>
      </c>
      <c r="Z17" s="14">
        <f t="shared" si="30"/>
        <v>94</v>
      </c>
      <c r="AA17" s="18">
        <f t="shared" si="31"/>
        <v>461</v>
      </c>
      <c r="AB17" s="4" t="s">
        <v>0</v>
      </c>
    </row>
    <row r="18" spans="1:28">
      <c r="A18" s="9" t="s">
        <v>31</v>
      </c>
      <c r="B18" s="24"/>
      <c r="C18" s="26">
        <v>2</v>
      </c>
      <c r="D18" s="28">
        <f>ROUND(D$13+30*$C18, 0)</f>
        <v>124</v>
      </c>
      <c r="E18" s="29">
        <f>E17</f>
        <v>267</v>
      </c>
      <c r="F18" s="28">
        <f>ROUND(F$13+30*$C18, 0)</f>
        <v>154</v>
      </c>
      <c r="G18" s="29">
        <f>G17</f>
        <v>289</v>
      </c>
      <c r="H18" s="4" t="s">
        <v>0</v>
      </c>
      <c r="I18" s="16" t="str">
        <f t="shared" si="14"/>
        <v>03-02</v>
      </c>
      <c r="J18" s="14">
        <f t="shared" si="15"/>
        <v>124</v>
      </c>
      <c r="K18" s="15">
        <f t="shared" si="16"/>
        <v>267</v>
      </c>
      <c r="L18" s="17">
        <f t="shared" si="17"/>
        <v>154</v>
      </c>
      <c r="M18" s="18">
        <f t="shared" si="18"/>
        <v>267</v>
      </c>
      <c r="N18" s="14">
        <f t="shared" si="19"/>
        <v>154</v>
      </c>
      <c r="O18" s="15">
        <f t="shared" si="20"/>
        <v>289</v>
      </c>
      <c r="P18" s="17">
        <f t="shared" si="21"/>
        <v>124</v>
      </c>
      <c r="Q18" s="18">
        <f t="shared" si="22"/>
        <v>289</v>
      </c>
      <c r="R18" s="4" t="s">
        <v>0</v>
      </c>
      <c r="S18" s="16" t="str">
        <f t="shared" si="23"/>
        <v>03-02</v>
      </c>
      <c r="T18" s="14">
        <f t="shared" si="24"/>
        <v>124</v>
      </c>
      <c r="U18" s="18">
        <f t="shared" si="25"/>
        <v>483</v>
      </c>
      <c r="V18" s="14">
        <f t="shared" si="26"/>
        <v>154</v>
      </c>
      <c r="W18" s="18">
        <f t="shared" si="27"/>
        <v>483</v>
      </c>
      <c r="X18" s="14">
        <f t="shared" si="28"/>
        <v>154</v>
      </c>
      <c r="Y18" s="18">
        <f t="shared" si="29"/>
        <v>461</v>
      </c>
      <c r="Z18" s="14">
        <f t="shared" si="30"/>
        <v>124</v>
      </c>
      <c r="AA18" s="18">
        <f t="shared" si="31"/>
        <v>461</v>
      </c>
      <c r="AB18" s="4" t="s">
        <v>0</v>
      </c>
    </row>
    <row r="19" spans="1:28">
      <c r="A19" s="9" t="s">
        <v>30</v>
      </c>
      <c r="B19" s="24"/>
      <c r="C19" s="26">
        <v>3</v>
      </c>
      <c r="D19" s="28">
        <f>ROUND(D$13+30*$C19, 0)</f>
        <v>154</v>
      </c>
      <c r="E19" s="29">
        <f>E18</f>
        <v>267</v>
      </c>
      <c r="F19" s="28">
        <f>ROUND(F$13+30*$C19, 0)</f>
        <v>184</v>
      </c>
      <c r="G19" s="29">
        <f>G18</f>
        <v>289</v>
      </c>
      <c r="H19" s="4" t="s">
        <v>0</v>
      </c>
      <c r="I19" s="16" t="str">
        <f t="shared" si="14"/>
        <v>03-01</v>
      </c>
      <c r="J19" s="14">
        <f t="shared" si="15"/>
        <v>154</v>
      </c>
      <c r="K19" s="15">
        <f t="shared" si="16"/>
        <v>267</v>
      </c>
      <c r="L19" s="17">
        <f t="shared" si="17"/>
        <v>184</v>
      </c>
      <c r="M19" s="18">
        <f t="shared" si="18"/>
        <v>267</v>
      </c>
      <c r="N19" s="14">
        <f t="shared" si="19"/>
        <v>184</v>
      </c>
      <c r="O19" s="15">
        <f t="shared" si="20"/>
        <v>289</v>
      </c>
      <c r="P19" s="17">
        <f t="shared" si="21"/>
        <v>154</v>
      </c>
      <c r="Q19" s="18">
        <f t="shared" si="22"/>
        <v>289</v>
      </c>
      <c r="R19" s="4" t="s">
        <v>0</v>
      </c>
      <c r="S19" s="16" t="str">
        <f t="shared" si="23"/>
        <v>03-01</v>
      </c>
      <c r="T19" s="14">
        <f t="shared" si="24"/>
        <v>154</v>
      </c>
      <c r="U19" s="18">
        <f t="shared" si="25"/>
        <v>483</v>
      </c>
      <c r="V19" s="14">
        <f t="shared" si="26"/>
        <v>184</v>
      </c>
      <c r="W19" s="18">
        <f t="shared" si="27"/>
        <v>483</v>
      </c>
      <c r="X19" s="14">
        <f t="shared" si="28"/>
        <v>184</v>
      </c>
      <c r="Y19" s="18">
        <f t="shared" si="29"/>
        <v>461</v>
      </c>
      <c r="Z19" s="14">
        <f t="shared" si="30"/>
        <v>154</v>
      </c>
      <c r="AA19" s="18">
        <f t="shared" si="31"/>
        <v>461</v>
      </c>
      <c r="AB19" s="4" t="s">
        <v>0</v>
      </c>
    </row>
    <row r="20" spans="1:28">
      <c r="A20" s="9" t="s">
        <v>25</v>
      </c>
      <c r="B20" s="24"/>
      <c r="C20" s="26"/>
      <c r="D20" s="27">
        <f>D16</f>
        <v>64</v>
      </c>
      <c r="E20" s="31">
        <f>ROUND(E16+41,0)</f>
        <v>308</v>
      </c>
      <c r="F20" s="27">
        <f>F16</f>
        <v>94</v>
      </c>
      <c r="G20" s="31">
        <f>ROUND(G16+41,0)</f>
        <v>330</v>
      </c>
      <c r="H20" s="4" t="s">
        <v>0</v>
      </c>
      <c r="I20" s="16" t="str">
        <f t="shared" si="14"/>
        <v>02-07</v>
      </c>
      <c r="J20" s="14">
        <f t="shared" si="15"/>
        <v>64</v>
      </c>
      <c r="K20" s="15">
        <f t="shared" si="16"/>
        <v>308</v>
      </c>
      <c r="L20" s="17">
        <f t="shared" si="17"/>
        <v>94</v>
      </c>
      <c r="M20" s="18">
        <f t="shared" si="18"/>
        <v>308</v>
      </c>
      <c r="N20" s="14">
        <f t="shared" si="19"/>
        <v>94</v>
      </c>
      <c r="O20" s="15">
        <f t="shared" si="20"/>
        <v>330</v>
      </c>
      <c r="P20" s="17">
        <f t="shared" si="21"/>
        <v>64</v>
      </c>
      <c r="Q20" s="18">
        <f t="shared" si="22"/>
        <v>330</v>
      </c>
      <c r="R20" s="4" t="s">
        <v>0</v>
      </c>
      <c r="S20" s="16" t="str">
        <f t="shared" si="23"/>
        <v>02-07</v>
      </c>
      <c r="T20" s="14">
        <f t="shared" si="24"/>
        <v>64</v>
      </c>
      <c r="U20" s="18">
        <f t="shared" si="25"/>
        <v>442</v>
      </c>
      <c r="V20" s="14">
        <f t="shared" si="26"/>
        <v>94</v>
      </c>
      <c r="W20" s="18">
        <f t="shared" si="27"/>
        <v>442</v>
      </c>
      <c r="X20" s="14">
        <f t="shared" si="28"/>
        <v>94</v>
      </c>
      <c r="Y20" s="18">
        <f t="shared" si="29"/>
        <v>420</v>
      </c>
      <c r="Z20" s="14">
        <f t="shared" si="30"/>
        <v>64</v>
      </c>
      <c r="AA20" s="18">
        <f t="shared" si="31"/>
        <v>420</v>
      </c>
      <c r="AB20" s="4" t="s">
        <v>0</v>
      </c>
    </row>
    <row r="21" spans="1:28">
      <c r="A21" s="9" t="s">
        <v>24</v>
      </c>
      <c r="B21" s="24"/>
      <c r="C21" s="26">
        <v>1</v>
      </c>
      <c r="D21" s="28">
        <f>ROUND(D$13+30*$C21, 0)</f>
        <v>94</v>
      </c>
      <c r="E21" s="29">
        <f>E20</f>
        <v>308</v>
      </c>
      <c r="F21" s="28">
        <f>ROUND(F$13+30*$C21, 0)</f>
        <v>124</v>
      </c>
      <c r="G21" s="29">
        <f>G20</f>
        <v>330</v>
      </c>
      <c r="H21" s="4" t="s">
        <v>0</v>
      </c>
      <c r="I21" s="16" t="str">
        <f t="shared" si="14"/>
        <v>02-06</v>
      </c>
      <c r="J21" s="14">
        <f t="shared" si="15"/>
        <v>94</v>
      </c>
      <c r="K21" s="15">
        <f t="shared" si="16"/>
        <v>308</v>
      </c>
      <c r="L21" s="17">
        <f t="shared" si="17"/>
        <v>124</v>
      </c>
      <c r="M21" s="18">
        <f t="shared" si="18"/>
        <v>308</v>
      </c>
      <c r="N21" s="14">
        <f t="shared" si="19"/>
        <v>124</v>
      </c>
      <c r="O21" s="15">
        <f t="shared" si="20"/>
        <v>330</v>
      </c>
      <c r="P21" s="17">
        <f t="shared" si="21"/>
        <v>94</v>
      </c>
      <c r="Q21" s="18">
        <f t="shared" si="22"/>
        <v>330</v>
      </c>
      <c r="R21" s="4" t="s">
        <v>0</v>
      </c>
      <c r="S21" s="16" t="str">
        <f t="shared" si="23"/>
        <v>02-06</v>
      </c>
      <c r="T21" s="14">
        <f t="shared" si="24"/>
        <v>94</v>
      </c>
      <c r="U21" s="18">
        <f t="shared" si="25"/>
        <v>442</v>
      </c>
      <c r="V21" s="14">
        <f t="shared" si="26"/>
        <v>124</v>
      </c>
      <c r="W21" s="18">
        <f t="shared" si="27"/>
        <v>442</v>
      </c>
      <c r="X21" s="14">
        <f t="shared" si="28"/>
        <v>124</v>
      </c>
      <c r="Y21" s="18">
        <f t="shared" si="29"/>
        <v>420</v>
      </c>
      <c r="Z21" s="14">
        <f t="shared" si="30"/>
        <v>94</v>
      </c>
      <c r="AA21" s="18">
        <f t="shared" si="31"/>
        <v>420</v>
      </c>
      <c r="AB21" s="4" t="s">
        <v>0</v>
      </c>
    </row>
    <row r="22" spans="1:28">
      <c r="A22" s="9" t="s">
        <v>23</v>
      </c>
      <c r="B22" s="24"/>
      <c r="C22" s="26">
        <v>2</v>
      </c>
      <c r="D22" s="28">
        <f>ROUND(D$13+30*$C22, 0)</f>
        <v>124</v>
      </c>
      <c r="E22" s="29">
        <f>E21</f>
        <v>308</v>
      </c>
      <c r="F22" s="28">
        <f>ROUND(F$13+30*$C22, 0)</f>
        <v>154</v>
      </c>
      <c r="G22" s="29">
        <f>G21</f>
        <v>330</v>
      </c>
      <c r="H22" s="4" t="s">
        <v>0</v>
      </c>
      <c r="I22" s="16" t="str">
        <f t="shared" si="14"/>
        <v>02-05</v>
      </c>
      <c r="J22" s="14">
        <f t="shared" si="15"/>
        <v>124</v>
      </c>
      <c r="K22" s="15">
        <f t="shared" si="16"/>
        <v>308</v>
      </c>
      <c r="L22" s="17">
        <f t="shared" si="17"/>
        <v>154</v>
      </c>
      <c r="M22" s="18">
        <f t="shared" si="18"/>
        <v>308</v>
      </c>
      <c r="N22" s="14">
        <f t="shared" si="19"/>
        <v>154</v>
      </c>
      <c r="O22" s="15">
        <f t="shared" si="20"/>
        <v>330</v>
      </c>
      <c r="P22" s="17">
        <f t="shared" si="21"/>
        <v>124</v>
      </c>
      <c r="Q22" s="18">
        <f t="shared" si="22"/>
        <v>330</v>
      </c>
      <c r="R22" s="4" t="s">
        <v>0</v>
      </c>
      <c r="S22" s="16" t="str">
        <f t="shared" si="23"/>
        <v>02-05</v>
      </c>
      <c r="T22" s="14">
        <f t="shared" si="24"/>
        <v>124</v>
      </c>
      <c r="U22" s="18">
        <f t="shared" si="25"/>
        <v>442</v>
      </c>
      <c r="V22" s="14">
        <f t="shared" si="26"/>
        <v>154</v>
      </c>
      <c r="W22" s="18">
        <f t="shared" si="27"/>
        <v>442</v>
      </c>
      <c r="X22" s="14">
        <f t="shared" si="28"/>
        <v>154</v>
      </c>
      <c r="Y22" s="18">
        <f t="shared" si="29"/>
        <v>420</v>
      </c>
      <c r="Z22" s="14">
        <f t="shared" si="30"/>
        <v>124</v>
      </c>
      <c r="AA22" s="18">
        <f t="shared" si="31"/>
        <v>420</v>
      </c>
      <c r="AB22" s="4" t="s">
        <v>0</v>
      </c>
    </row>
    <row r="23" spans="1:28">
      <c r="A23" s="9" t="s">
        <v>22</v>
      </c>
      <c r="B23" s="24"/>
      <c r="C23" s="26">
        <v>3</v>
      </c>
      <c r="D23" s="28">
        <f>ROUND(D$13+30*$C23, 0)</f>
        <v>154</v>
      </c>
      <c r="E23" s="29">
        <f>E22</f>
        <v>308</v>
      </c>
      <c r="F23" s="28">
        <f>ROUND(F$13+30*$C23, 0)</f>
        <v>184</v>
      </c>
      <c r="G23" s="29">
        <f>G22</f>
        <v>330</v>
      </c>
      <c r="H23" s="4" t="s">
        <v>0</v>
      </c>
      <c r="I23" s="16" t="str">
        <f t="shared" si="14"/>
        <v>02-03</v>
      </c>
      <c r="J23" s="14">
        <f t="shared" si="15"/>
        <v>154</v>
      </c>
      <c r="K23" s="15">
        <f t="shared" si="16"/>
        <v>308</v>
      </c>
      <c r="L23" s="17">
        <f t="shared" si="17"/>
        <v>184</v>
      </c>
      <c r="M23" s="18">
        <f t="shared" si="18"/>
        <v>308</v>
      </c>
      <c r="N23" s="14">
        <f t="shared" si="19"/>
        <v>184</v>
      </c>
      <c r="O23" s="15">
        <f t="shared" si="20"/>
        <v>330</v>
      </c>
      <c r="P23" s="17">
        <f t="shared" si="21"/>
        <v>154</v>
      </c>
      <c r="Q23" s="18">
        <f t="shared" si="22"/>
        <v>330</v>
      </c>
      <c r="R23" s="4" t="s">
        <v>0</v>
      </c>
      <c r="S23" s="16" t="str">
        <f t="shared" si="23"/>
        <v>02-03</v>
      </c>
      <c r="T23" s="14">
        <f t="shared" si="24"/>
        <v>154</v>
      </c>
      <c r="U23" s="18">
        <f t="shared" si="25"/>
        <v>442</v>
      </c>
      <c r="V23" s="14">
        <f t="shared" si="26"/>
        <v>184</v>
      </c>
      <c r="W23" s="18">
        <f t="shared" si="27"/>
        <v>442</v>
      </c>
      <c r="X23" s="14">
        <f t="shared" si="28"/>
        <v>184</v>
      </c>
      <c r="Y23" s="18">
        <f t="shared" si="29"/>
        <v>420</v>
      </c>
      <c r="Z23" s="14">
        <f t="shared" si="30"/>
        <v>154</v>
      </c>
      <c r="AA23" s="18">
        <f t="shared" si="31"/>
        <v>420</v>
      </c>
      <c r="AB23" s="4" t="s">
        <v>0</v>
      </c>
    </row>
    <row r="24" spans="1:28">
      <c r="A24" s="9" t="s">
        <v>21</v>
      </c>
      <c r="B24" s="24"/>
      <c r="C24" s="26">
        <v>4</v>
      </c>
      <c r="D24" s="28">
        <f t="shared" ref="D24:D25" si="32">ROUND(D$13+30*$C24, 0)</f>
        <v>184</v>
      </c>
      <c r="E24" s="29">
        <f t="shared" ref="E24:E25" si="33">E23</f>
        <v>308</v>
      </c>
      <c r="F24" s="28">
        <f t="shared" ref="F24:F25" si="34">ROUND(F$13+30*$C24, 0)</f>
        <v>214</v>
      </c>
      <c r="G24" s="29">
        <f t="shared" ref="G24:G25" si="35">G23</f>
        <v>330</v>
      </c>
      <c r="H24" s="4" t="s">
        <v>0</v>
      </c>
      <c r="I24" s="16" t="str">
        <f t="shared" si="14"/>
        <v>02-02</v>
      </c>
      <c r="J24" s="14">
        <f t="shared" si="15"/>
        <v>184</v>
      </c>
      <c r="K24" s="15">
        <f t="shared" si="16"/>
        <v>308</v>
      </c>
      <c r="L24" s="17">
        <f t="shared" si="17"/>
        <v>214</v>
      </c>
      <c r="M24" s="18">
        <f t="shared" si="18"/>
        <v>308</v>
      </c>
      <c r="N24" s="14">
        <f t="shared" si="19"/>
        <v>214</v>
      </c>
      <c r="O24" s="15">
        <f t="shared" si="20"/>
        <v>330</v>
      </c>
      <c r="P24" s="17">
        <f t="shared" si="21"/>
        <v>184</v>
      </c>
      <c r="Q24" s="18">
        <f t="shared" si="22"/>
        <v>330</v>
      </c>
      <c r="R24" s="4" t="s">
        <v>0</v>
      </c>
      <c r="S24" s="16" t="str">
        <f t="shared" si="23"/>
        <v>02-02</v>
      </c>
      <c r="T24" s="14">
        <f t="shared" si="24"/>
        <v>184</v>
      </c>
      <c r="U24" s="18">
        <f t="shared" si="25"/>
        <v>442</v>
      </c>
      <c r="V24" s="14">
        <f t="shared" si="26"/>
        <v>214</v>
      </c>
      <c r="W24" s="18">
        <f t="shared" si="27"/>
        <v>442</v>
      </c>
      <c r="X24" s="14">
        <f t="shared" si="28"/>
        <v>214</v>
      </c>
      <c r="Y24" s="18">
        <f t="shared" si="29"/>
        <v>420</v>
      </c>
      <c r="Z24" s="14">
        <f t="shared" si="30"/>
        <v>184</v>
      </c>
      <c r="AA24" s="18">
        <f t="shared" si="31"/>
        <v>420</v>
      </c>
      <c r="AB24" s="4" t="s">
        <v>0</v>
      </c>
    </row>
    <row r="25" spans="1:28">
      <c r="A25" s="9" t="s">
        <v>20</v>
      </c>
      <c r="B25" s="24"/>
      <c r="C25" s="26">
        <v>5</v>
      </c>
      <c r="D25" s="28">
        <f t="shared" si="32"/>
        <v>214</v>
      </c>
      <c r="E25" s="29">
        <f t="shared" si="33"/>
        <v>308</v>
      </c>
      <c r="F25" s="28">
        <f t="shared" si="34"/>
        <v>244</v>
      </c>
      <c r="G25" s="29">
        <f t="shared" si="35"/>
        <v>330</v>
      </c>
      <c r="H25" s="4" t="s">
        <v>0</v>
      </c>
      <c r="I25" s="16" t="str">
        <f t="shared" si="14"/>
        <v>02-01</v>
      </c>
      <c r="J25" s="14">
        <f t="shared" si="15"/>
        <v>214</v>
      </c>
      <c r="K25" s="15">
        <f t="shared" si="16"/>
        <v>308</v>
      </c>
      <c r="L25" s="17">
        <f t="shared" si="17"/>
        <v>244</v>
      </c>
      <c r="M25" s="18">
        <f t="shared" si="18"/>
        <v>308</v>
      </c>
      <c r="N25" s="14">
        <f t="shared" si="19"/>
        <v>244</v>
      </c>
      <c r="O25" s="15">
        <f t="shared" si="20"/>
        <v>330</v>
      </c>
      <c r="P25" s="17">
        <f t="shared" si="21"/>
        <v>214</v>
      </c>
      <c r="Q25" s="18">
        <f t="shared" si="22"/>
        <v>330</v>
      </c>
      <c r="R25" s="4" t="s">
        <v>0</v>
      </c>
      <c r="S25" s="16" t="str">
        <f t="shared" si="23"/>
        <v>02-01</v>
      </c>
      <c r="T25" s="14">
        <f t="shared" si="24"/>
        <v>214</v>
      </c>
      <c r="U25" s="18">
        <f t="shared" si="25"/>
        <v>442</v>
      </c>
      <c r="V25" s="14">
        <f t="shared" si="26"/>
        <v>244</v>
      </c>
      <c r="W25" s="18">
        <f t="shared" si="27"/>
        <v>442</v>
      </c>
      <c r="X25" s="14">
        <f t="shared" si="28"/>
        <v>244</v>
      </c>
      <c r="Y25" s="18">
        <f t="shared" si="29"/>
        <v>420</v>
      </c>
      <c r="Z25" s="14">
        <f t="shared" si="30"/>
        <v>214</v>
      </c>
      <c r="AA25" s="18">
        <f t="shared" si="31"/>
        <v>420</v>
      </c>
      <c r="AB25" s="4" t="s">
        <v>0</v>
      </c>
    </row>
    <row r="26" spans="1:28">
      <c r="A26" s="9" t="s">
        <v>8</v>
      </c>
      <c r="B26" s="24"/>
      <c r="C26" s="26"/>
      <c r="D26" s="27">
        <f>D20</f>
        <v>64</v>
      </c>
      <c r="E26" s="31">
        <f>ROUND(E20+41,0)</f>
        <v>349</v>
      </c>
      <c r="F26" s="27">
        <f>F20</f>
        <v>94</v>
      </c>
      <c r="G26" s="31">
        <f>ROUND(G20+41,0)</f>
        <v>371</v>
      </c>
      <c r="H26" s="4" t="s">
        <v>0</v>
      </c>
      <c r="I26" s="16" t="str">
        <f t="shared" si="14"/>
        <v>01-08</v>
      </c>
      <c r="J26" s="14">
        <f t="shared" si="15"/>
        <v>64</v>
      </c>
      <c r="K26" s="15">
        <f t="shared" si="16"/>
        <v>349</v>
      </c>
      <c r="L26" s="17">
        <f t="shared" si="17"/>
        <v>94</v>
      </c>
      <c r="M26" s="18">
        <f t="shared" si="18"/>
        <v>349</v>
      </c>
      <c r="N26" s="14">
        <f t="shared" si="19"/>
        <v>94</v>
      </c>
      <c r="O26" s="15">
        <f t="shared" si="20"/>
        <v>371</v>
      </c>
      <c r="P26" s="17">
        <f t="shared" si="21"/>
        <v>64</v>
      </c>
      <c r="Q26" s="18">
        <f t="shared" si="22"/>
        <v>371</v>
      </c>
      <c r="R26" s="4" t="s">
        <v>0</v>
      </c>
      <c r="S26" s="16" t="str">
        <f t="shared" si="23"/>
        <v>01-08</v>
      </c>
      <c r="T26" s="14">
        <f t="shared" si="24"/>
        <v>64</v>
      </c>
      <c r="U26" s="18">
        <f t="shared" si="25"/>
        <v>401</v>
      </c>
      <c r="V26" s="14">
        <f t="shared" si="26"/>
        <v>94</v>
      </c>
      <c r="W26" s="18">
        <f t="shared" si="27"/>
        <v>401</v>
      </c>
      <c r="X26" s="14">
        <f t="shared" si="28"/>
        <v>94</v>
      </c>
      <c r="Y26" s="18">
        <f t="shared" si="29"/>
        <v>379</v>
      </c>
      <c r="Z26" s="14">
        <f t="shared" si="30"/>
        <v>64</v>
      </c>
      <c r="AA26" s="18">
        <f t="shared" si="31"/>
        <v>379</v>
      </c>
      <c r="AB26" s="4" t="s">
        <v>0</v>
      </c>
    </row>
    <row r="27" spans="1:28">
      <c r="A27" s="9" t="s">
        <v>7</v>
      </c>
      <c r="B27" s="24"/>
      <c r="C27" s="26">
        <v>1</v>
      </c>
      <c r="D27" s="28">
        <f>ROUND(D$13+30*$C27, 0)</f>
        <v>94</v>
      </c>
      <c r="E27" s="29">
        <f>E26</f>
        <v>349</v>
      </c>
      <c r="F27" s="28">
        <f>ROUND(F$13+30*$C27, 0)</f>
        <v>124</v>
      </c>
      <c r="G27" s="29">
        <f>G26</f>
        <v>371</v>
      </c>
      <c r="H27" s="4" t="s">
        <v>0</v>
      </c>
      <c r="I27" s="16" t="str">
        <f t="shared" si="14"/>
        <v>01-07</v>
      </c>
      <c r="J27" s="14">
        <f t="shared" si="15"/>
        <v>94</v>
      </c>
      <c r="K27" s="15">
        <f t="shared" si="16"/>
        <v>349</v>
      </c>
      <c r="L27" s="17">
        <f t="shared" si="17"/>
        <v>124</v>
      </c>
      <c r="M27" s="18">
        <f t="shared" si="18"/>
        <v>349</v>
      </c>
      <c r="N27" s="14">
        <f t="shared" si="19"/>
        <v>124</v>
      </c>
      <c r="O27" s="15">
        <f t="shared" si="20"/>
        <v>371</v>
      </c>
      <c r="P27" s="17">
        <f t="shared" si="21"/>
        <v>94</v>
      </c>
      <c r="Q27" s="18">
        <f t="shared" si="22"/>
        <v>371</v>
      </c>
      <c r="R27" s="4" t="s">
        <v>0</v>
      </c>
      <c r="S27" s="16" t="str">
        <f t="shared" si="23"/>
        <v>01-07</v>
      </c>
      <c r="T27" s="14">
        <f t="shared" si="24"/>
        <v>94</v>
      </c>
      <c r="U27" s="18">
        <f t="shared" si="25"/>
        <v>401</v>
      </c>
      <c r="V27" s="14">
        <f t="shared" si="26"/>
        <v>124</v>
      </c>
      <c r="W27" s="18">
        <f t="shared" si="27"/>
        <v>401</v>
      </c>
      <c r="X27" s="14">
        <f t="shared" si="28"/>
        <v>124</v>
      </c>
      <c r="Y27" s="18">
        <f t="shared" si="29"/>
        <v>379</v>
      </c>
      <c r="Z27" s="14">
        <f t="shared" si="30"/>
        <v>94</v>
      </c>
      <c r="AA27" s="18">
        <f t="shared" si="31"/>
        <v>379</v>
      </c>
      <c r="AB27" s="4" t="s">
        <v>0</v>
      </c>
    </row>
    <row r="28" spans="1:28">
      <c r="A28" s="9" t="s">
        <v>6</v>
      </c>
      <c r="B28" s="24"/>
      <c r="C28" s="26">
        <v>2</v>
      </c>
      <c r="D28" s="28">
        <f>ROUND(D$13+30*$C28, 0)</f>
        <v>124</v>
      </c>
      <c r="E28" s="29">
        <f>E27</f>
        <v>349</v>
      </c>
      <c r="F28" s="28">
        <f>ROUND(F$13+30*$C28, 0)</f>
        <v>154</v>
      </c>
      <c r="G28" s="29">
        <f>G27</f>
        <v>371</v>
      </c>
      <c r="H28" s="4" t="s">
        <v>0</v>
      </c>
      <c r="I28" s="16" t="str">
        <f t="shared" si="14"/>
        <v>01-06</v>
      </c>
      <c r="J28" s="14">
        <f t="shared" si="15"/>
        <v>124</v>
      </c>
      <c r="K28" s="15">
        <f t="shared" si="16"/>
        <v>349</v>
      </c>
      <c r="L28" s="17">
        <f t="shared" si="17"/>
        <v>154</v>
      </c>
      <c r="M28" s="18">
        <f t="shared" si="18"/>
        <v>349</v>
      </c>
      <c r="N28" s="14">
        <f t="shared" si="19"/>
        <v>154</v>
      </c>
      <c r="O28" s="15">
        <f t="shared" si="20"/>
        <v>371</v>
      </c>
      <c r="P28" s="17">
        <f t="shared" si="21"/>
        <v>124</v>
      </c>
      <c r="Q28" s="18">
        <f t="shared" si="22"/>
        <v>371</v>
      </c>
      <c r="R28" s="4" t="s">
        <v>0</v>
      </c>
      <c r="S28" s="16" t="str">
        <f t="shared" si="23"/>
        <v>01-06</v>
      </c>
      <c r="T28" s="14">
        <f t="shared" si="24"/>
        <v>124</v>
      </c>
      <c r="U28" s="18">
        <f t="shared" si="25"/>
        <v>401</v>
      </c>
      <c r="V28" s="14">
        <f t="shared" si="26"/>
        <v>154</v>
      </c>
      <c r="W28" s="18">
        <f t="shared" si="27"/>
        <v>401</v>
      </c>
      <c r="X28" s="14">
        <f t="shared" si="28"/>
        <v>154</v>
      </c>
      <c r="Y28" s="18">
        <f t="shared" si="29"/>
        <v>379</v>
      </c>
      <c r="Z28" s="14">
        <f t="shared" si="30"/>
        <v>124</v>
      </c>
      <c r="AA28" s="18">
        <f t="shared" si="31"/>
        <v>379</v>
      </c>
      <c r="AB28" s="4" t="s">
        <v>0</v>
      </c>
    </row>
    <row r="29" spans="1:28">
      <c r="A29" s="9" t="s">
        <v>5</v>
      </c>
      <c r="B29" s="24"/>
      <c r="C29" s="26">
        <v>3</v>
      </c>
      <c r="D29" s="28">
        <f>ROUND(D$13+30*$C29, 0)</f>
        <v>154</v>
      </c>
      <c r="E29" s="29">
        <f>E28</f>
        <v>349</v>
      </c>
      <c r="F29" s="28">
        <f>ROUND(F$13+30*$C29, 0)</f>
        <v>184</v>
      </c>
      <c r="G29" s="29">
        <f>G28</f>
        <v>371</v>
      </c>
      <c r="H29" s="4" t="s">
        <v>0</v>
      </c>
      <c r="I29" s="16" t="str">
        <f t="shared" si="14"/>
        <v>01-05</v>
      </c>
      <c r="J29" s="14">
        <f t="shared" si="15"/>
        <v>154</v>
      </c>
      <c r="K29" s="15">
        <f t="shared" si="16"/>
        <v>349</v>
      </c>
      <c r="L29" s="17">
        <f t="shared" si="17"/>
        <v>184</v>
      </c>
      <c r="M29" s="18">
        <f t="shared" si="18"/>
        <v>349</v>
      </c>
      <c r="N29" s="14">
        <f t="shared" si="19"/>
        <v>184</v>
      </c>
      <c r="O29" s="15">
        <f t="shared" si="20"/>
        <v>371</v>
      </c>
      <c r="P29" s="17">
        <f t="shared" si="21"/>
        <v>154</v>
      </c>
      <c r="Q29" s="18">
        <f t="shared" si="22"/>
        <v>371</v>
      </c>
      <c r="R29" s="4" t="s">
        <v>0</v>
      </c>
      <c r="S29" s="16" t="str">
        <f t="shared" si="23"/>
        <v>01-05</v>
      </c>
      <c r="T29" s="14">
        <f t="shared" si="24"/>
        <v>154</v>
      </c>
      <c r="U29" s="18">
        <f t="shared" si="25"/>
        <v>401</v>
      </c>
      <c r="V29" s="14">
        <f t="shared" si="26"/>
        <v>184</v>
      </c>
      <c r="W29" s="18">
        <f t="shared" si="27"/>
        <v>401</v>
      </c>
      <c r="X29" s="14">
        <f t="shared" si="28"/>
        <v>184</v>
      </c>
      <c r="Y29" s="18">
        <f t="shared" si="29"/>
        <v>379</v>
      </c>
      <c r="Z29" s="14">
        <f t="shared" si="30"/>
        <v>154</v>
      </c>
      <c r="AA29" s="18">
        <f t="shared" si="31"/>
        <v>379</v>
      </c>
      <c r="AB29" s="4" t="s">
        <v>0</v>
      </c>
    </row>
    <row r="30" spans="1:28">
      <c r="A30" s="9" t="s">
        <v>4</v>
      </c>
      <c r="B30" s="24"/>
      <c r="C30" s="26">
        <v>4</v>
      </c>
      <c r="D30" s="28">
        <f t="shared" ref="D30:D32" si="36">ROUND(D$13+30*$C30, 0)</f>
        <v>184</v>
      </c>
      <c r="E30" s="29">
        <f t="shared" ref="E30:E32" si="37">E29</f>
        <v>349</v>
      </c>
      <c r="F30" s="28">
        <f t="shared" ref="F30:F32" si="38">ROUND(F$13+30*$C30, 0)</f>
        <v>214</v>
      </c>
      <c r="G30" s="29">
        <f t="shared" ref="G30:G32" si="39">G29</f>
        <v>371</v>
      </c>
      <c r="H30" s="4" t="s">
        <v>0</v>
      </c>
      <c r="I30" s="16" t="str">
        <f t="shared" si="14"/>
        <v>01-03</v>
      </c>
      <c r="J30" s="14">
        <f t="shared" si="15"/>
        <v>184</v>
      </c>
      <c r="K30" s="15">
        <f t="shared" si="16"/>
        <v>349</v>
      </c>
      <c r="L30" s="17">
        <f t="shared" si="17"/>
        <v>214</v>
      </c>
      <c r="M30" s="18">
        <f t="shared" si="18"/>
        <v>349</v>
      </c>
      <c r="N30" s="14">
        <f t="shared" si="19"/>
        <v>214</v>
      </c>
      <c r="O30" s="15">
        <f t="shared" si="20"/>
        <v>371</v>
      </c>
      <c r="P30" s="17">
        <f t="shared" si="21"/>
        <v>184</v>
      </c>
      <c r="Q30" s="18">
        <f t="shared" si="22"/>
        <v>371</v>
      </c>
      <c r="R30" s="4" t="s">
        <v>0</v>
      </c>
      <c r="S30" s="16" t="str">
        <f t="shared" si="23"/>
        <v>01-03</v>
      </c>
      <c r="T30" s="14">
        <f t="shared" si="24"/>
        <v>184</v>
      </c>
      <c r="U30" s="18">
        <f t="shared" si="25"/>
        <v>401</v>
      </c>
      <c r="V30" s="14">
        <f t="shared" si="26"/>
        <v>214</v>
      </c>
      <c r="W30" s="18">
        <f t="shared" si="27"/>
        <v>401</v>
      </c>
      <c r="X30" s="14">
        <f t="shared" si="28"/>
        <v>214</v>
      </c>
      <c r="Y30" s="18">
        <f t="shared" si="29"/>
        <v>379</v>
      </c>
      <c r="Z30" s="14">
        <f t="shared" si="30"/>
        <v>184</v>
      </c>
      <c r="AA30" s="18">
        <f t="shared" si="31"/>
        <v>379</v>
      </c>
      <c r="AB30" s="4" t="s">
        <v>0</v>
      </c>
    </row>
    <row r="31" spans="1:28">
      <c r="A31" s="9" t="s">
        <v>142</v>
      </c>
      <c r="B31" s="24"/>
      <c r="C31" s="26">
        <v>5</v>
      </c>
      <c r="D31" s="28">
        <f t="shared" si="36"/>
        <v>214</v>
      </c>
      <c r="E31" s="29">
        <f t="shared" si="37"/>
        <v>349</v>
      </c>
      <c r="F31" s="28">
        <f t="shared" si="38"/>
        <v>244</v>
      </c>
      <c r="G31" s="29">
        <f t="shared" si="39"/>
        <v>371</v>
      </c>
      <c r="H31" s="4" t="s">
        <v>0</v>
      </c>
      <c r="I31" s="16" t="str">
        <f t="shared" si="14"/>
        <v>01-02</v>
      </c>
      <c r="J31" s="14">
        <f t="shared" si="15"/>
        <v>214</v>
      </c>
      <c r="K31" s="15">
        <f t="shared" si="16"/>
        <v>349</v>
      </c>
      <c r="L31" s="17">
        <f t="shared" si="17"/>
        <v>244</v>
      </c>
      <c r="M31" s="18">
        <f t="shared" si="18"/>
        <v>349</v>
      </c>
      <c r="N31" s="14">
        <f t="shared" si="19"/>
        <v>244</v>
      </c>
      <c r="O31" s="15">
        <f t="shared" si="20"/>
        <v>371</v>
      </c>
      <c r="P31" s="17">
        <f t="shared" si="21"/>
        <v>214</v>
      </c>
      <c r="Q31" s="18">
        <f t="shared" si="22"/>
        <v>371</v>
      </c>
      <c r="R31" s="4" t="s">
        <v>0</v>
      </c>
      <c r="S31" s="16" t="str">
        <f t="shared" si="23"/>
        <v>01-02</v>
      </c>
      <c r="T31" s="14">
        <f t="shared" si="24"/>
        <v>214</v>
      </c>
      <c r="U31" s="18">
        <f t="shared" si="25"/>
        <v>401</v>
      </c>
      <c r="V31" s="14">
        <f t="shared" si="26"/>
        <v>244</v>
      </c>
      <c r="W31" s="18">
        <f t="shared" si="27"/>
        <v>401</v>
      </c>
      <c r="X31" s="14">
        <f t="shared" si="28"/>
        <v>244</v>
      </c>
      <c r="Y31" s="18">
        <f t="shared" si="29"/>
        <v>379</v>
      </c>
      <c r="Z31" s="14">
        <f t="shared" si="30"/>
        <v>214</v>
      </c>
      <c r="AA31" s="18">
        <f t="shared" si="31"/>
        <v>379</v>
      </c>
      <c r="AB31" s="4" t="s">
        <v>0</v>
      </c>
    </row>
    <row r="32" spans="1:28">
      <c r="A32" s="9" t="s">
        <v>141</v>
      </c>
      <c r="B32" s="24"/>
      <c r="C32" s="26">
        <v>6</v>
      </c>
      <c r="D32" s="28">
        <f t="shared" si="36"/>
        <v>244</v>
      </c>
      <c r="E32" s="29">
        <f t="shared" si="37"/>
        <v>349</v>
      </c>
      <c r="F32" s="28">
        <f t="shared" si="38"/>
        <v>274</v>
      </c>
      <c r="G32" s="29">
        <f t="shared" si="39"/>
        <v>371</v>
      </c>
      <c r="H32" s="4" t="s">
        <v>0</v>
      </c>
      <c r="I32" s="16" t="str">
        <f t="shared" si="14"/>
        <v>01-01</v>
      </c>
      <c r="J32" s="14">
        <f t="shared" si="15"/>
        <v>244</v>
      </c>
      <c r="K32" s="15">
        <f t="shared" si="16"/>
        <v>349</v>
      </c>
      <c r="L32" s="17">
        <f t="shared" si="17"/>
        <v>274</v>
      </c>
      <c r="M32" s="18">
        <f t="shared" si="18"/>
        <v>349</v>
      </c>
      <c r="N32" s="14">
        <f t="shared" si="19"/>
        <v>274</v>
      </c>
      <c r="O32" s="15">
        <f t="shared" si="20"/>
        <v>371</v>
      </c>
      <c r="P32" s="17">
        <f t="shared" si="21"/>
        <v>244</v>
      </c>
      <c r="Q32" s="18">
        <f t="shared" si="22"/>
        <v>371</v>
      </c>
      <c r="R32" s="4" t="s">
        <v>0</v>
      </c>
      <c r="S32" s="16" t="str">
        <f t="shared" si="23"/>
        <v>01-01</v>
      </c>
      <c r="T32" s="14">
        <f t="shared" si="24"/>
        <v>244</v>
      </c>
      <c r="U32" s="18">
        <f t="shared" si="25"/>
        <v>401</v>
      </c>
      <c r="V32" s="14">
        <f t="shared" si="26"/>
        <v>274</v>
      </c>
      <c r="W32" s="18">
        <f t="shared" si="27"/>
        <v>401</v>
      </c>
      <c r="X32" s="14">
        <f t="shared" si="28"/>
        <v>274</v>
      </c>
      <c r="Y32" s="18">
        <f t="shared" si="29"/>
        <v>379</v>
      </c>
      <c r="Z32" s="14">
        <f t="shared" si="30"/>
        <v>244</v>
      </c>
      <c r="AA32" s="18">
        <f t="shared" si="31"/>
        <v>379</v>
      </c>
      <c r="AB32" s="4" t="s">
        <v>0</v>
      </c>
    </row>
  </sheetData>
  <autoFilter ref="A10:AB32" xr:uid="{00000000-0001-0000-0000-000000000000}"/>
  <mergeCells count="2">
    <mergeCell ref="D3:G3"/>
    <mergeCell ref="D4:G4"/>
  </mergeCells>
  <phoneticPr fontId="1"/>
  <hyperlinks>
    <hyperlink ref="N4" r:id="rId1" xr:uid="{A006F09A-4735-4DBD-9986-EA6D57988510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A655-D69C-4A3F-BD96-2725D83299AC}">
  <sheetPr codeName="Sheet6">
    <pageSetUpPr fitToPage="1"/>
  </sheetPr>
  <dimension ref="A1:AB17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SEC_11_3_親A.json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SEC_11_3_親A.png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236</v>
      </c>
      <c r="B11" s="30" t="s">
        <v>698</v>
      </c>
      <c r="C11" s="26"/>
      <c r="D11" s="27">
        <v>143</v>
      </c>
      <c r="E11" s="31">
        <v>160</v>
      </c>
      <c r="F11" s="31">
        <v>169</v>
      </c>
      <c r="G11" s="31">
        <v>189</v>
      </c>
      <c r="H11" s="4" t="s">
        <v>0</v>
      </c>
      <c r="I11" s="16" t="str">
        <f t="shared" ref="I11:I176" si="0">A11</f>
        <v>15-16</v>
      </c>
      <c r="J11" s="14">
        <f>IF(D11&lt;&gt;"",D11,0)</f>
        <v>143</v>
      </c>
      <c r="K11" s="15">
        <f>IF(E11&lt;&gt;"",E11,0)</f>
        <v>160</v>
      </c>
      <c r="L11" s="17">
        <f>N11</f>
        <v>169</v>
      </c>
      <c r="M11" s="18">
        <f>K11</f>
        <v>160</v>
      </c>
      <c r="N11" s="14">
        <f>IF(F11&lt;&gt;"",F11,0)</f>
        <v>169</v>
      </c>
      <c r="O11" s="15">
        <f>IF(G11&lt;&gt;"",G11,0)</f>
        <v>189</v>
      </c>
      <c r="P11" s="17">
        <f>J11</f>
        <v>143</v>
      </c>
      <c r="Q11" s="18">
        <f>O11</f>
        <v>189</v>
      </c>
      <c r="R11" s="4" t="s">
        <v>0</v>
      </c>
      <c r="S11" s="16" t="str">
        <f>I11</f>
        <v>15-16</v>
      </c>
      <c r="T11" s="14">
        <f>IF(J11&lt;&gt;"",J11,"")</f>
        <v>143</v>
      </c>
      <c r="U11" s="18">
        <f>IF(K11&lt;&gt;"",U$6-K11,"")</f>
        <v>590</v>
      </c>
      <c r="V11" s="14">
        <f t="shared" ref="V11:Z176" si="1">IF(L11&lt;&gt;"",L11,"")</f>
        <v>169</v>
      </c>
      <c r="W11" s="18">
        <f>IF(M11&lt;&gt;"",W$6-M11,"")</f>
        <v>590</v>
      </c>
      <c r="X11" s="14">
        <f t="shared" si="1"/>
        <v>169</v>
      </c>
      <c r="Y11" s="18">
        <f>IF(O11&lt;&gt;"",Y$6-O11,"")</f>
        <v>561</v>
      </c>
      <c r="Z11" s="14">
        <f t="shared" si="1"/>
        <v>143</v>
      </c>
      <c r="AA11" s="18">
        <f>IF(Q11&lt;&gt;"",AA$6-Q11,"")</f>
        <v>561</v>
      </c>
      <c r="AB11" s="4" t="s">
        <v>0</v>
      </c>
    </row>
    <row r="12" spans="1:28">
      <c r="A12" s="9" t="s">
        <v>235</v>
      </c>
      <c r="B12" s="24"/>
      <c r="C12" s="26">
        <v>1</v>
      </c>
      <c r="D12" s="28">
        <f>ROUND(D$11+26*$C12, 0)</f>
        <v>169</v>
      </c>
      <c r="E12" s="29">
        <f t="shared" ref="E12:G12" si="2">E11</f>
        <v>160</v>
      </c>
      <c r="F12" s="28">
        <f>ROUND(F$11+26*$C12, 0)</f>
        <v>195</v>
      </c>
      <c r="G12" s="29">
        <f t="shared" si="2"/>
        <v>189</v>
      </c>
      <c r="H12" s="4" t="s">
        <v>0</v>
      </c>
      <c r="I12" s="16" t="str">
        <f t="shared" si="0"/>
        <v>15-15</v>
      </c>
      <c r="J12" s="14">
        <f t="shared" ref="J12:K176" si="3">IF(D12&lt;&gt;"",D12,0)</f>
        <v>169</v>
      </c>
      <c r="K12" s="15">
        <f t="shared" si="3"/>
        <v>160</v>
      </c>
      <c r="L12" s="17">
        <f t="shared" ref="L12:L176" si="4">N12</f>
        <v>195</v>
      </c>
      <c r="M12" s="18">
        <f t="shared" ref="M12:M176" si="5">K12</f>
        <v>160</v>
      </c>
      <c r="N12" s="14">
        <f t="shared" ref="N12:O176" si="6">IF(F12&lt;&gt;"",F12,0)</f>
        <v>195</v>
      </c>
      <c r="O12" s="15">
        <f t="shared" si="6"/>
        <v>189</v>
      </c>
      <c r="P12" s="17">
        <f t="shared" ref="P12:P176" si="7">J12</f>
        <v>169</v>
      </c>
      <c r="Q12" s="18">
        <f t="shared" ref="Q12:Q176" si="8">O12</f>
        <v>189</v>
      </c>
      <c r="R12" s="4" t="s">
        <v>0</v>
      </c>
      <c r="S12" s="16" t="str">
        <f t="shared" ref="S12:S176" si="9">I12</f>
        <v>15-15</v>
      </c>
      <c r="T12" s="14">
        <f t="shared" ref="T12:T176" si="10">IF(J12&lt;&gt;"",J12,"")</f>
        <v>169</v>
      </c>
      <c r="U12" s="18">
        <f t="shared" ref="U12:U176" si="11">IF(K12&lt;&gt;"",U$6-K12,"")</f>
        <v>590</v>
      </c>
      <c r="V12" s="14">
        <f t="shared" si="1"/>
        <v>195</v>
      </c>
      <c r="W12" s="18">
        <f t="shared" ref="W12:W176" si="12">IF(M12&lt;&gt;"",W$6-M12,"")</f>
        <v>590</v>
      </c>
      <c r="X12" s="14">
        <f t="shared" si="1"/>
        <v>195</v>
      </c>
      <c r="Y12" s="18">
        <f t="shared" ref="Y12:Y176" si="13">IF(O12&lt;&gt;"",Y$6-O12,"")</f>
        <v>561</v>
      </c>
      <c r="Z12" s="14">
        <f t="shared" si="1"/>
        <v>169</v>
      </c>
      <c r="AA12" s="18">
        <f t="shared" ref="AA12:AA176" si="14">IF(Q12&lt;&gt;"",AA$6-Q12,"")</f>
        <v>561</v>
      </c>
      <c r="AB12" s="4" t="s">
        <v>0</v>
      </c>
    </row>
    <row r="13" spans="1:28">
      <c r="A13" s="9" t="s">
        <v>234</v>
      </c>
      <c r="B13" s="24"/>
      <c r="C13" s="26">
        <v>2</v>
      </c>
      <c r="D13" s="28">
        <f t="shared" ref="D13:D23" si="15">ROUND(D$11+26*$C13, 0)</f>
        <v>195</v>
      </c>
      <c r="E13" s="29">
        <f t="shared" ref="E13" si="16">E12</f>
        <v>160</v>
      </c>
      <c r="F13" s="28">
        <f t="shared" ref="F13:F23" si="17">ROUND(F$11+26*$C13, 0)</f>
        <v>221</v>
      </c>
      <c r="G13" s="29">
        <f t="shared" ref="G13" si="18">G12</f>
        <v>189</v>
      </c>
      <c r="H13" s="4" t="s">
        <v>0</v>
      </c>
      <c r="I13" s="16" t="str">
        <f t="shared" ref="I13:I76" si="19">A13</f>
        <v>15-13</v>
      </c>
      <c r="J13" s="14">
        <f t="shared" ref="J13:J76" si="20">IF(D13&lt;&gt;"",D13,0)</f>
        <v>195</v>
      </c>
      <c r="K13" s="15">
        <f t="shared" ref="K13:K76" si="21">IF(E13&lt;&gt;"",E13,0)</f>
        <v>160</v>
      </c>
      <c r="L13" s="17">
        <f t="shared" ref="L13:L76" si="22">N13</f>
        <v>221</v>
      </c>
      <c r="M13" s="18">
        <f t="shared" ref="M13:M76" si="23">K13</f>
        <v>160</v>
      </c>
      <c r="N13" s="14">
        <f t="shared" ref="N13:N76" si="24">IF(F13&lt;&gt;"",F13,0)</f>
        <v>221</v>
      </c>
      <c r="O13" s="15">
        <f t="shared" ref="O13:O76" si="25">IF(G13&lt;&gt;"",G13,0)</f>
        <v>189</v>
      </c>
      <c r="P13" s="17">
        <f t="shared" ref="P13:P76" si="26">J13</f>
        <v>195</v>
      </c>
      <c r="Q13" s="18">
        <f t="shared" ref="Q13:Q76" si="27">O13</f>
        <v>189</v>
      </c>
      <c r="R13" s="4" t="s">
        <v>0</v>
      </c>
      <c r="S13" s="16" t="str">
        <f t="shared" ref="S13:S76" si="28">I13</f>
        <v>15-13</v>
      </c>
      <c r="T13" s="14">
        <f t="shared" ref="T13:T76" si="29">IF(J13&lt;&gt;"",J13,"")</f>
        <v>195</v>
      </c>
      <c r="U13" s="18">
        <f t="shared" ref="U13:U76" si="30">IF(K13&lt;&gt;"",U$6-K13,"")</f>
        <v>590</v>
      </c>
      <c r="V13" s="14">
        <f t="shared" ref="V13:V76" si="31">IF(L13&lt;&gt;"",L13,"")</f>
        <v>221</v>
      </c>
      <c r="W13" s="18">
        <f t="shared" ref="W13:W76" si="32">IF(M13&lt;&gt;"",W$6-M13,"")</f>
        <v>590</v>
      </c>
      <c r="X13" s="14">
        <f t="shared" ref="X13:X76" si="33">IF(N13&lt;&gt;"",N13,"")</f>
        <v>221</v>
      </c>
      <c r="Y13" s="18">
        <f t="shared" ref="Y13:Y76" si="34">IF(O13&lt;&gt;"",Y$6-O13,"")</f>
        <v>561</v>
      </c>
      <c r="Z13" s="14">
        <f t="shared" ref="Z13:Z76" si="35">IF(P13&lt;&gt;"",P13,"")</f>
        <v>195</v>
      </c>
      <c r="AA13" s="18">
        <f t="shared" ref="AA13:AA76" si="36">IF(Q13&lt;&gt;"",AA$6-Q13,"")</f>
        <v>561</v>
      </c>
      <c r="AB13" s="4" t="s">
        <v>0</v>
      </c>
    </row>
    <row r="14" spans="1:28">
      <c r="A14" s="9" t="s">
        <v>233</v>
      </c>
      <c r="B14" s="24"/>
      <c r="C14" s="26">
        <v>3</v>
      </c>
      <c r="D14" s="28">
        <f t="shared" si="15"/>
        <v>221</v>
      </c>
      <c r="E14" s="29">
        <f t="shared" ref="E14" si="37">E13</f>
        <v>160</v>
      </c>
      <c r="F14" s="28">
        <f t="shared" si="17"/>
        <v>247</v>
      </c>
      <c r="G14" s="29">
        <f t="shared" ref="G14" si="38">G13</f>
        <v>189</v>
      </c>
      <c r="H14" s="4" t="s">
        <v>0</v>
      </c>
      <c r="I14" s="16" t="str">
        <f t="shared" si="19"/>
        <v>15-12</v>
      </c>
      <c r="J14" s="14">
        <f t="shared" si="20"/>
        <v>221</v>
      </c>
      <c r="K14" s="15">
        <f t="shared" si="21"/>
        <v>160</v>
      </c>
      <c r="L14" s="17">
        <f t="shared" si="22"/>
        <v>247</v>
      </c>
      <c r="M14" s="18">
        <f t="shared" si="23"/>
        <v>160</v>
      </c>
      <c r="N14" s="14">
        <f t="shared" si="24"/>
        <v>247</v>
      </c>
      <c r="O14" s="15">
        <f t="shared" si="25"/>
        <v>189</v>
      </c>
      <c r="P14" s="17">
        <f t="shared" si="26"/>
        <v>221</v>
      </c>
      <c r="Q14" s="18">
        <f t="shared" si="27"/>
        <v>189</v>
      </c>
      <c r="R14" s="4" t="s">
        <v>0</v>
      </c>
      <c r="S14" s="16" t="str">
        <f t="shared" si="28"/>
        <v>15-12</v>
      </c>
      <c r="T14" s="14">
        <f t="shared" si="29"/>
        <v>221</v>
      </c>
      <c r="U14" s="18">
        <f t="shared" si="30"/>
        <v>590</v>
      </c>
      <c r="V14" s="14">
        <f t="shared" si="31"/>
        <v>247</v>
      </c>
      <c r="W14" s="18">
        <f t="shared" si="32"/>
        <v>590</v>
      </c>
      <c r="X14" s="14">
        <f t="shared" si="33"/>
        <v>247</v>
      </c>
      <c r="Y14" s="18">
        <f t="shared" si="34"/>
        <v>561</v>
      </c>
      <c r="Z14" s="14">
        <f t="shared" si="35"/>
        <v>221</v>
      </c>
      <c r="AA14" s="18">
        <f t="shared" si="36"/>
        <v>561</v>
      </c>
      <c r="AB14" s="4" t="s">
        <v>0</v>
      </c>
    </row>
    <row r="15" spans="1:28">
      <c r="A15" s="9" t="s">
        <v>232</v>
      </c>
      <c r="B15" s="24"/>
      <c r="C15" s="26">
        <v>4</v>
      </c>
      <c r="D15" s="28">
        <f t="shared" si="15"/>
        <v>247</v>
      </c>
      <c r="E15" s="29">
        <f t="shared" ref="E15" si="39">E14</f>
        <v>160</v>
      </c>
      <c r="F15" s="28">
        <f t="shared" si="17"/>
        <v>273</v>
      </c>
      <c r="G15" s="29">
        <f t="shared" ref="G15" si="40">G14</f>
        <v>189</v>
      </c>
      <c r="H15" s="4" t="s">
        <v>0</v>
      </c>
      <c r="I15" s="16" t="str">
        <f t="shared" si="19"/>
        <v>15-11</v>
      </c>
      <c r="J15" s="14">
        <f t="shared" si="20"/>
        <v>247</v>
      </c>
      <c r="K15" s="15">
        <f t="shared" si="21"/>
        <v>160</v>
      </c>
      <c r="L15" s="17">
        <f t="shared" si="22"/>
        <v>273</v>
      </c>
      <c r="M15" s="18">
        <f t="shared" si="23"/>
        <v>160</v>
      </c>
      <c r="N15" s="14">
        <f t="shared" si="24"/>
        <v>273</v>
      </c>
      <c r="O15" s="15">
        <f t="shared" si="25"/>
        <v>189</v>
      </c>
      <c r="P15" s="17">
        <f t="shared" si="26"/>
        <v>247</v>
      </c>
      <c r="Q15" s="18">
        <f t="shared" si="27"/>
        <v>189</v>
      </c>
      <c r="R15" s="4" t="s">
        <v>0</v>
      </c>
      <c r="S15" s="16" t="str">
        <f t="shared" si="28"/>
        <v>15-11</v>
      </c>
      <c r="T15" s="14">
        <f t="shared" si="29"/>
        <v>247</v>
      </c>
      <c r="U15" s="18">
        <f t="shared" si="30"/>
        <v>590</v>
      </c>
      <c r="V15" s="14">
        <f t="shared" si="31"/>
        <v>273</v>
      </c>
      <c r="W15" s="18">
        <f t="shared" si="32"/>
        <v>590</v>
      </c>
      <c r="X15" s="14">
        <f t="shared" si="33"/>
        <v>273</v>
      </c>
      <c r="Y15" s="18">
        <f t="shared" si="34"/>
        <v>561</v>
      </c>
      <c r="Z15" s="14">
        <f t="shared" si="35"/>
        <v>247</v>
      </c>
      <c r="AA15" s="18">
        <f t="shared" si="36"/>
        <v>561</v>
      </c>
      <c r="AB15" s="4" t="s">
        <v>0</v>
      </c>
    </row>
    <row r="16" spans="1:28">
      <c r="A16" s="9" t="s">
        <v>231</v>
      </c>
      <c r="B16" s="24"/>
      <c r="C16" s="26">
        <v>5</v>
      </c>
      <c r="D16" s="28">
        <f t="shared" si="15"/>
        <v>273</v>
      </c>
      <c r="E16" s="29">
        <f t="shared" ref="E16" si="41">E15</f>
        <v>160</v>
      </c>
      <c r="F16" s="28">
        <f t="shared" si="17"/>
        <v>299</v>
      </c>
      <c r="G16" s="29">
        <f t="shared" ref="G16" si="42">G15</f>
        <v>189</v>
      </c>
      <c r="H16" s="4" t="s">
        <v>0</v>
      </c>
      <c r="I16" s="16" t="str">
        <f t="shared" si="19"/>
        <v>15-10</v>
      </c>
      <c r="J16" s="14">
        <f t="shared" si="20"/>
        <v>273</v>
      </c>
      <c r="K16" s="15">
        <f t="shared" si="21"/>
        <v>160</v>
      </c>
      <c r="L16" s="17">
        <f t="shared" si="22"/>
        <v>299</v>
      </c>
      <c r="M16" s="18">
        <f t="shared" si="23"/>
        <v>160</v>
      </c>
      <c r="N16" s="14">
        <f t="shared" si="24"/>
        <v>299</v>
      </c>
      <c r="O16" s="15">
        <f t="shared" si="25"/>
        <v>189</v>
      </c>
      <c r="P16" s="17">
        <f t="shared" si="26"/>
        <v>273</v>
      </c>
      <c r="Q16" s="18">
        <f t="shared" si="27"/>
        <v>189</v>
      </c>
      <c r="R16" s="4" t="s">
        <v>0</v>
      </c>
      <c r="S16" s="16" t="str">
        <f t="shared" si="28"/>
        <v>15-10</v>
      </c>
      <c r="T16" s="14">
        <f t="shared" si="29"/>
        <v>273</v>
      </c>
      <c r="U16" s="18">
        <f t="shared" si="30"/>
        <v>590</v>
      </c>
      <c r="V16" s="14">
        <f t="shared" si="31"/>
        <v>299</v>
      </c>
      <c r="W16" s="18">
        <f t="shared" si="32"/>
        <v>590</v>
      </c>
      <c r="X16" s="14">
        <f t="shared" si="33"/>
        <v>299</v>
      </c>
      <c r="Y16" s="18">
        <f t="shared" si="34"/>
        <v>561</v>
      </c>
      <c r="Z16" s="14">
        <f t="shared" si="35"/>
        <v>273</v>
      </c>
      <c r="AA16" s="18">
        <f t="shared" si="36"/>
        <v>561</v>
      </c>
      <c r="AB16" s="4" t="s">
        <v>0</v>
      </c>
    </row>
    <row r="17" spans="1:28">
      <c r="A17" s="9" t="s">
        <v>230</v>
      </c>
      <c r="B17" s="24"/>
      <c r="C17" s="26">
        <v>6</v>
      </c>
      <c r="D17" s="28">
        <f t="shared" si="15"/>
        <v>299</v>
      </c>
      <c r="E17" s="29">
        <f t="shared" ref="E17" si="43">E16</f>
        <v>160</v>
      </c>
      <c r="F17" s="28">
        <f t="shared" si="17"/>
        <v>325</v>
      </c>
      <c r="G17" s="29">
        <f t="shared" ref="G17" si="44">G16</f>
        <v>189</v>
      </c>
      <c r="H17" s="4" t="s">
        <v>0</v>
      </c>
      <c r="I17" s="16" t="str">
        <f t="shared" si="19"/>
        <v>15-08</v>
      </c>
      <c r="J17" s="14">
        <f t="shared" si="20"/>
        <v>299</v>
      </c>
      <c r="K17" s="15">
        <f t="shared" si="21"/>
        <v>160</v>
      </c>
      <c r="L17" s="17">
        <f t="shared" si="22"/>
        <v>325</v>
      </c>
      <c r="M17" s="18">
        <f t="shared" si="23"/>
        <v>160</v>
      </c>
      <c r="N17" s="14">
        <f t="shared" si="24"/>
        <v>325</v>
      </c>
      <c r="O17" s="15">
        <f t="shared" si="25"/>
        <v>189</v>
      </c>
      <c r="P17" s="17">
        <f t="shared" si="26"/>
        <v>299</v>
      </c>
      <c r="Q17" s="18">
        <f t="shared" si="27"/>
        <v>189</v>
      </c>
      <c r="R17" s="4" t="s">
        <v>0</v>
      </c>
      <c r="S17" s="16" t="str">
        <f t="shared" si="28"/>
        <v>15-08</v>
      </c>
      <c r="T17" s="14">
        <f t="shared" si="29"/>
        <v>299</v>
      </c>
      <c r="U17" s="18">
        <f t="shared" si="30"/>
        <v>590</v>
      </c>
      <c r="V17" s="14">
        <f t="shared" si="31"/>
        <v>325</v>
      </c>
      <c r="W17" s="18">
        <f t="shared" si="32"/>
        <v>590</v>
      </c>
      <c r="X17" s="14">
        <f t="shared" si="33"/>
        <v>325</v>
      </c>
      <c r="Y17" s="18">
        <f t="shared" si="34"/>
        <v>561</v>
      </c>
      <c r="Z17" s="14">
        <f t="shared" si="35"/>
        <v>299</v>
      </c>
      <c r="AA17" s="18">
        <f t="shared" si="36"/>
        <v>561</v>
      </c>
      <c r="AB17" s="4" t="s">
        <v>0</v>
      </c>
    </row>
    <row r="18" spans="1:28">
      <c r="A18" s="9" t="s">
        <v>229</v>
      </c>
      <c r="B18" s="24"/>
      <c r="C18" s="26">
        <v>7</v>
      </c>
      <c r="D18" s="28">
        <f t="shared" si="15"/>
        <v>325</v>
      </c>
      <c r="E18" s="29">
        <f t="shared" ref="E18" si="45">E17</f>
        <v>160</v>
      </c>
      <c r="F18" s="28">
        <f t="shared" si="17"/>
        <v>351</v>
      </c>
      <c r="G18" s="29">
        <f t="shared" ref="G18" si="46">G17</f>
        <v>189</v>
      </c>
      <c r="H18" s="4" t="s">
        <v>0</v>
      </c>
      <c r="I18" s="16" t="str">
        <f t="shared" si="19"/>
        <v>15-07</v>
      </c>
      <c r="J18" s="14">
        <f t="shared" si="20"/>
        <v>325</v>
      </c>
      <c r="K18" s="15">
        <f t="shared" si="21"/>
        <v>160</v>
      </c>
      <c r="L18" s="17">
        <f t="shared" si="22"/>
        <v>351</v>
      </c>
      <c r="M18" s="18">
        <f t="shared" si="23"/>
        <v>160</v>
      </c>
      <c r="N18" s="14">
        <f t="shared" si="24"/>
        <v>351</v>
      </c>
      <c r="O18" s="15">
        <f t="shared" si="25"/>
        <v>189</v>
      </c>
      <c r="P18" s="17">
        <f t="shared" si="26"/>
        <v>325</v>
      </c>
      <c r="Q18" s="18">
        <f t="shared" si="27"/>
        <v>189</v>
      </c>
      <c r="R18" s="4" t="s">
        <v>0</v>
      </c>
      <c r="S18" s="16" t="str">
        <f t="shared" si="28"/>
        <v>15-07</v>
      </c>
      <c r="T18" s="14">
        <f t="shared" si="29"/>
        <v>325</v>
      </c>
      <c r="U18" s="18">
        <f t="shared" si="30"/>
        <v>590</v>
      </c>
      <c r="V18" s="14">
        <f t="shared" si="31"/>
        <v>351</v>
      </c>
      <c r="W18" s="18">
        <f t="shared" si="32"/>
        <v>590</v>
      </c>
      <c r="X18" s="14">
        <f t="shared" si="33"/>
        <v>351</v>
      </c>
      <c r="Y18" s="18">
        <f t="shared" si="34"/>
        <v>561</v>
      </c>
      <c r="Z18" s="14">
        <f t="shared" si="35"/>
        <v>325</v>
      </c>
      <c r="AA18" s="18">
        <f t="shared" si="36"/>
        <v>561</v>
      </c>
      <c r="AB18" s="4" t="s">
        <v>0</v>
      </c>
    </row>
    <row r="19" spans="1:28">
      <c r="A19" s="9" t="s">
        <v>228</v>
      </c>
      <c r="B19" s="24"/>
      <c r="C19" s="26">
        <v>8</v>
      </c>
      <c r="D19" s="28">
        <f t="shared" si="15"/>
        <v>351</v>
      </c>
      <c r="E19" s="29">
        <f t="shared" ref="E19" si="47">E18</f>
        <v>160</v>
      </c>
      <c r="F19" s="28">
        <f t="shared" si="17"/>
        <v>377</v>
      </c>
      <c r="G19" s="29">
        <f t="shared" ref="G19" si="48">G18</f>
        <v>189</v>
      </c>
      <c r="H19" s="4" t="s">
        <v>0</v>
      </c>
      <c r="I19" s="16" t="str">
        <f t="shared" si="19"/>
        <v>15-06</v>
      </c>
      <c r="J19" s="14">
        <f t="shared" si="20"/>
        <v>351</v>
      </c>
      <c r="K19" s="15">
        <f t="shared" si="21"/>
        <v>160</v>
      </c>
      <c r="L19" s="17">
        <f t="shared" si="22"/>
        <v>377</v>
      </c>
      <c r="M19" s="18">
        <f t="shared" si="23"/>
        <v>160</v>
      </c>
      <c r="N19" s="14">
        <f t="shared" si="24"/>
        <v>377</v>
      </c>
      <c r="O19" s="15">
        <f t="shared" si="25"/>
        <v>189</v>
      </c>
      <c r="P19" s="17">
        <f t="shared" si="26"/>
        <v>351</v>
      </c>
      <c r="Q19" s="18">
        <f t="shared" si="27"/>
        <v>189</v>
      </c>
      <c r="R19" s="4" t="s">
        <v>0</v>
      </c>
      <c r="S19" s="16" t="str">
        <f t="shared" si="28"/>
        <v>15-06</v>
      </c>
      <c r="T19" s="14">
        <f t="shared" si="29"/>
        <v>351</v>
      </c>
      <c r="U19" s="18">
        <f t="shared" si="30"/>
        <v>590</v>
      </c>
      <c r="V19" s="14">
        <f t="shared" si="31"/>
        <v>377</v>
      </c>
      <c r="W19" s="18">
        <f t="shared" si="32"/>
        <v>590</v>
      </c>
      <c r="X19" s="14">
        <f t="shared" si="33"/>
        <v>377</v>
      </c>
      <c r="Y19" s="18">
        <f t="shared" si="34"/>
        <v>561</v>
      </c>
      <c r="Z19" s="14">
        <f t="shared" si="35"/>
        <v>351</v>
      </c>
      <c r="AA19" s="18">
        <f t="shared" si="36"/>
        <v>561</v>
      </c>
      <c r="AB19" s="4" t="s">
        <v>0</v>
      </c>
    </row>
    <row r="20" spans="1:28">
      <c r="A20" s="9" t="s">
        <v>227</v>
      </c>
      <c r="B20" s="24"/>
      <c r="C20" s="26">
        <v>9</v>
      </c>
      <c r="D20" s="28">
        <f t="shared" si="15"/>
        <v>377</v>
      </c>
      <c r="E20" s="29">
        <f t="shared" ref="E20" si="49">E19</f>
        <v>160</v>
      </c>
      <c r="F20" s="28">
        <f t="shared" si="17"/>
        <v>403</v>
      </c>
      <c r="G20" s="29">
        <f t="shared" ref="G20" si="50">G19</f>
        <v>189</v>
      </c>
      <c r="H20" s="4" t="s">
        <v>0</v>
      </c>
      <c r="I20" s="16" t="str">
        <f t="shared" si="19"/>
        <v>15-05</v>
      </c>
      <c r="J20" s="14">
        <f t="shared" si="20"/>
        <v>377</v>
      </c>
      <c r="K20" s="15">
        <f t="shared" si="21"/>
        <v>160</v>
      </c>
      <c r="L20" s="17">
        <f t="shared" si="22"/>
        <v>403</v>
      </c>
      <c r="M20" s="18">
        <f t="shared" si="23"/>
        <v>160</v>
      </c>
      <c r="N20" s="14">
        <f t="shared" si="24"/>
        <v>403</v>
      </c>
      <c r="O20" s="15">
        <f t="shared" si="25"/>
        <v>189</v>
      </c>
      <c r="P20" s="17">
        <f t="shared" si="26"/>
        <v>377</v>
      </c>
      <c r="Q20" s="18">
        <f t="shared" si="27"/>
        <v>189</v>
      </c>
      <c r="R20" s="4" t="s">
        <v>0</v>
      </c>
      <c r="S20" s="16" t="str">
        <f t="shared" si="28"/>
        <v>15-05</v>
      </c>
      <c r="T20" s="14">
        <f t="shared" si="29"/>
        <v>377</v>
      </c>
      <c r="U20" s="18">
        <f t="shared" si="30"/>
        <v>590</v>
      </c>
      <c r="V20" s="14">
        <f t="shared" si="31"/>
        <v>403</v>
      </c>
      <c r="W20" s="18">
        <f t="shared" si="32"/>
        <v>590</v>
      </c>
      <c r="X20" s="14">
        <f t="shared" si="33"/>
        <v>403</v>
      </c>
      <c r="Y20" s="18">
        <f t="shared" si="34"/>
        <v>561</v>
      </c>
      <c r="Z20" s="14">
        <f t="shared" si="35"/>
        <v>377</v>
      </c>
      <c r="AA20" s="18">
        <f t="shared" si="36"/>
        <v>561</v>
      </c>
      <c r="AB20" s="4" t="s">
        <v>0</v>
      </c>
    </row>
    <row r="21" spans="1:28">
      <c r="A21" s="9" t="s">
        <v>226</v>
      </c>
      <c r="B21" s="24"/>
      <c r="C21" s="26">
        <v>10</v>
      </c>
      <c r="D21" s="28">
        <f t="shared" si="15"/>
        <v>403</v>
      </c>
      <c r="E21" s="29">
        <f t="shared" ref="E21" si="51">E20</f>
        <v>160</v>
      </c>
      <c r="F21" s="28">
        <f t="shared" si="17"/>
        <v>429</v>
      </c>
      <c r="G21" s="29">
        <f t="shared" ref="G21" si="52">G20</f>
        <v>189</v>
      </c>
      <c r="H21" s="4" t="s">
        <v>0</v>
      </c>
      <c r="I21" s="16" t="str">
        <f t="shared" si="19"/>
        <v>15-03</v>
      </c>
      <c r="J21" s="14">
        <f t="shared" si="20"/>
        <v>403</v>
      </c>
      <c r="K21" s="15">
        <f t="shared" si="21"/>
        <v>160</v>
      </c>
      <c r="L21" s="17">
        <f t="shared" si="22"/>
        <v>429</v>
      </c>
      <c r="M21" s="18">
        <f t="shared" si="23"/>
        <v>160</v>
      </c>
      <c r="N21" s="14">
        <f t="shared" si="24"/>
        <v>429</v>
      </c>
      <c r="O21" s="15">
        <f t="shared" si="25"/>
        <v>189</v>
      </c>
      <c r="P21" s="17">
        <f t="shared" si="26"/>
        <v>403</v>
      </c>
      <c r="Q21" s="18">
        <f t="shared" si="27"/>
        <v>189</v>
      </c>
      <c r="R21" s="4" t="s">
        <v>0</v>
      </c>
      <c r="S21" s="16" t="str">
        <f t="shared" si="28"/>
        <v>15-03</v>
      </c>
      <c r="T21" s="14">
        <f t="shared" si="29"/>
        <v>403</v>
      </c>
      <c r="U21" s="18">
        <f t="shared" si="30"/>
        <v>590</v>
      </c>
      <c r="V21" s="14">
        <f t="shared" si="31"/>
        <v>429</v>
      </c>
      <c r="W21" s="18">
        <f t="shared" si="32"/>
        <v>590</v>
      </c>
      <c r="X21" s="14">
        <f t="shared" si="33"/>
        <v>429</v>
      </c>
      <c r="Y21" s="18">
        <f t="shared" si="34"/>
        <v>561</v>
      </c>
      <c r="Z21" s="14">
        <f t="shared" si="35"/>
        <v>403</v>
      </c>
      <c r="AA21" s="18">
        <f t="shared" si="36"/>
        <v>561</v>
      </c>
      <c r="AB21" s="4" t="s">
        <v>0</v>
      </c>
    </row>
    <row r="22" spans="1:28">
      <c r="A22" s="9" t="s">
        <v>225</v>
      </c>
      <c r="B22" s="24"/>
      <c r="C22" s="26">
        <v>11</v>
      </c>
      <c r="D22" s="28">
        <f t="shared" si="15"/>
        <v>429</v>
      </c>
      <c r="E22" s="29">
        <f t="shared" ref="E22" si="53">E21</f>
        <v>160</v>
      </c>
      <c r="F22" s="28">
        <f t="shared" si="17"/>
        <v>455</v>
      </c>
      <c r="G22" s="29">
        <f t="shared" ref="G22" si="54">G21</f>
        <v>189</v>
      </c>
      <c r="H22" s="4" t="s">
        <v>0</v>
      </c>
      <c r="I22" s="16" t="str">
        <f t="shared" si="19"/>
        <v>15-02</v>
      </c>
      <c r="J22" s="14">
        <f t="shared" si="20"/>
        <v>429</v>
      </c>
      <c r="K22" s="15">
        <f t="shared" si="21"/>
        <v>160</v>
      </c>
      <c r="L22" s="17">
        <f t="shared" si="22"/>
        <v>455</v>
      </c>
      <c r="M22" s="18">
        <f t="shared" si="23"/>
        <v>160</v>
      </c>
      <c r="N22" s="14">
        <f t="shared" si="24"/>
        <v>455</v>
      </c>
      <c r="O22" s="15">
        <f t="shared" si="25"/>
        <v>189</v>
      </c>
      <c r="P22" s="17">
        <f t="shared" si="26"/>
        <v>429</v>
      </c>
      <c r="Q22" s="18">
        <f t="shared" si="27"/>
        <v>189</v>
      </c>
      <c r="R22" s="4" t="s">
        <v>0</v>
      </c>
      <c r="S22" s="16" t="str">
        <f t="shared" si="28"/>
        <v>15-02</v>
      </c>
      <c r="T22" s="14">
        <f t="shared" si="29"/>
        <v>429</v>
      </c>
      <c r="U22" s="18">
        <f t="shared" si="30"/>
        <v>590</v>
      </c>
      <c r="V22" s="14">
        <f t="shared" si="31"/>
        <v>455</v>
      </c>
      <c r="W22" s="18">
        <f t="shared" si="32"/>
        <v>590</v>
      </c>
      <c r="X22" s="14">
        <f t="shared" si="33"/>
        <v>455</v>
      </c>
      <c r="Y22" s="18">
        <f t="shared" si="34"/>
        <v>561</v>
      </c>
      <c r="Z22" s="14">
        <f t="shared" si="35"/>
        <v>429</v>
      </c>
      <c r="AA22" s="18">
        <f t="shared" si="36"/>
        <v>561</v>
      </c>
      <c r="AB22" s="4" t="s">
        <v>0</v>
      </c>
    </row>
    <row r="23" spans="1:28">
      <c r="A23" s="9" t="s">
        <v>224</v>
      </c>
      <c r="B23" s="24"/>
      <c r="C23" s="26">
        <v>12</v>
      </c>
      <c r="D23" s="28">
        <f t="shared" si="15"/>
        <v>455</v>
      </c>
      <c r="E23" s="29">
        <f t="shared" ref="E23" si="55">E22</f>
        <v>160</v>
      </c>
      <c r="F23" s="28">
        <f t="shared" si="17"/>
        <v>481</v>
      </c>
      <c r="G23" s="29">
        <f t="shared" ref="G23" si="56">G22</f>
        <v>189</v>
      </c>
      <c r="H23" s="4" t="s">
        <v>0</v>
      </c>
      <c r="I23" s="16" t="str">
        <f t="shared" si="19"/>
        <v>15-01</v>
      </c>
      <c r="J23" s="14">
        <f t="shared" si="20"/>
        <v>455</v>
      </c>
      <c r="K23" s="15">
        <f t="shared" si="21"/>
        <v>160</v>
      </c>
      <c r="L23" s="17">
        <f t="shared" si="22"/>
        <v>481</v>
      </c>
      <c r="M23" s="18">
        <f t="shared" si="23"/>
        <v>160</v>
      </c>
      <c r="N23" s="14">
        <f t="shared" si="24"/>
        <v>481</v>
      </c>
      <c r="O23" s="15">
        <f t="shared" si="25"/>
        <v>189</v>
      </c>
      <c r="P23" s="17">
        <f t="shared" si="26"/>
        <v>455</v>
      </c>
      <c r="Q23" s="18">
        <f t="shared" si="27"/>
        <v>189</v>
      </c>
      <c r="R23" s="4" t="s">
        <v>0</v>
      </c>
      <c r="S23" s="16" t="str">
        <f t="shared" si="28"/>
        <v>15-01</v>
      </c>
      <c r="T23" s="14">
        <f t="shared" si="29"/>
        <v>455</v>
      </c>
      <c r="U23" s="18">
        <f t="shared" si="30"/>
        <v>590</v>
      </c>
      <c r="V23" s="14">
        <f t="shared" si="31"/>
        <v>481</v>
      </c>
      <c r="W23" s="18">
        <f t="shared" si="32"/>
        <v>590</v>
      </c>
      <c r="X23" s="14">
        <f t="shared" si="33"/>
        <v>481</v>
      </c>
      <c r="Y23" s="18">
        <f t="shared" si="34"/>
        <v>561</v>
      </c>
      <c r="Z23" s="14">
        <f t="shared" si="35"/>
        <v>455</v>
      </c>
      <c r="AA23" s="18">
        <f t="shared" si="36"/>
        <v>561</v>
      </c>
      <c r="AB23" s="4" t="s">
        <v>0</v>
      </c>
    </row>
    <row r="24" spans="1:28">
      <c r="A24" s="9" t="s">
        <v>220</v>
      </c>
      <c r="B24" s="24"/>
      <c r="C24" s="26"/>
      <c r="D24" s="27">
        <v>117</v>
      </c>
      <c r="E24" s="31">
        <f>E11+38</f>
        <v>198</v>
      </c>
      <c r="F24" s="31">
        <v>143</v>
      </c>
      <c r="G24" s="31">
        <f>G11+38</f>
        <v>227</v>
      </c>
      <c r="H24" s="4" t="s">
        <v>0</v>
      </c>
      <c r="I24" s="16" t="str">
        <f t="shared" si="19"/>
        <v>13-17</v>
      </c>
      <c r="J24" s="14">
        <f t="shared" si="20"/>
        <v>117</v>
      </c>
      <c r="K24" s="15">
        <f t="shared" si="21"/>
        <v>198</v>
      </c>
      <c r="L24" s="17">
        <f t="shared" si="22"/>
        <v>143</v>
      </c>
      <c r="M24" s="18">
        <f t="shared" si="23"/>
        <v>198</v>
      </c>
      <c r="N24" s="14">
        <f t="shared" si="24"/>
        <v>143</v>
      </c>
      <c r="O24" s="15">
        <f t="shared" si="25"/>
        <v>227</v>
      </c>
      <c r="P24" s="17">
        <f t="shared" si="26"/>
        <v>117</v>
      </c>
      <c r="Q24" s="18">
        <f t="shared" si="27"/>
        <v>227</v>
      </c>
      <c r="R24" s="4" t="s">
        <v>0</v>
      </c>
      <c r="S24" s="16" t="str">
        <f t="shared" si="28"/>
        <v>13-17</v>
      </c>
      <c r="T24" s="14">
        <f t="shared" si="29"/>
        <v>117</v>
      </c>
      <c r="U24" s="18">
        <f t="shared" si="30"/>
        <v>552</v>
      </c>
      <c r="V24" s="14">
        <f t="shared" si="31"/>
        <v>143</v>
      </c>
      <c r="W24" s="18">
        <f t="shared" si="32"/>
        <v>552</v>
      </c>
      <c r="X24" s="14">
        <f t="shared" si="33"/>
        <v>143</v>
      </c>
      <c r="Y24" s="18">
        <f t="shared" si="34"/>
        <v>523</v>
      </c>
      <c r="Z24" s="14">
        <f t="shared" si="35"/>
        <v>117</v>
      </c>
      <c r="AA24" s="18">
        <f t="shared" si="36"/>
        <v>523</v>
      </c>
      <c r="AB24" s="4" t="s">
        <v>0</v>
      </c>
    </row>
    <row r="25" spans="1:28">
      <c r="A25" s="9" t="s">
        <v>219</v>
      </c>
      <c r="B25" s="24"/>
      <c r="C25" s="26"/>
      <c r="D25" s="29">
        <f>D11</f>
        <v>143</v>
      </c>
      <c r="E25" s="29">
        <f t="shared" ref="E25" si="57">E24</f>
        <v>198</v>
      </c>
      <c r="F25" s="29">
        <f>F11</f>
        <v>169</v>
      </c>
      <c r="G25" s="29">
        <f t="shared" ref="G25:G75" si="58">G24</f>
        <v>227</v>
      </c>
      <c r="H25" s="4" t="s">
        <v>0</v>
      </c>
      <c r="I25" s="16" t="str">
        <f t="shared" si="19"/>
        <v>13-16</v>
      </c>
      <c r="J25" s="14">
        <f t="shared" si="20"/>
        <v>143</v>
      </c>
      <c r="K25" s="15">
        <f t="shared" si="21"/>
        <v>198</v>
      </c>
      <c r="L25" s="17">
        <f t="shared" si="22"/>
        <v>169</v>
      </c>
      <c r="M25" s="18">
        <f t="shared" si="23"/>
        <v>198</v>
      </c>
      <c r="N25" s="14">
        <f t="shared" si="24"/>
        <v>169</v>
      </c>
      <c r="O25" s="15">
        <f t="shared" si="25"/>
        <v>227</v>
      </c>
      <c r="P25" s="17">
        <f t="shared" si="26"/>
        <v>143</v>
      </c>
      <c r="Q25" s="18">
        <f t="shared" si="27"/>
        <v>227</v>
      </c>
      <c r="R25" s="4" t="s">
        <v>0</v>
      </c>
      <c r="S25" s="16" t="str">
        <f t="shared" si="28"/>
        <v>13-16</v>
      </c>
      <c r="T25" s="14">
        <f t="shared" si="29"/>
        <v>143</v>
      </c>
      <c r="U25" s="18">
        <f t="shared" si="30"/>
        <v>552</v>
      </c>
      <c r="V25" s="14">
        <f t="shared" si="31"/>
        <v>169</v>
      </c>
      <c r="W25" s="18">
        <f t="shared" si="32"/>
        <v>552</v>
      </c>
      <c r="X25" s="14">
        <f t="shared" si="33"/>
        <v>169</v>
      </c>
      <c r="Y25" s="18">
        <f t="shared" si="34"/>
        <v>523</v>
      </c>
      <c r="Z25" s="14">
        <f t="shared" si="35"/>
        <v>143</v>
      </c>
      <c r="AA25" s="18">
        <f t="shared" si="36"/>
        <v>523</v>
      </c>
      <c r="AB25" s="4" t="s">
        <v>0</v>
      </c>
    </row>
    <row r="26" spans="1:28">
      <c r="A26" s="9" t="s">
        <v>218</v>
      </c>
      <c r="B26" s="24"/>
      <c r="C26" s="26"/>
      <c r="D26" s="29">
        <f t="shared" ref="D26:D37" si="59">D12</f>
        <v>169</v>
      </c>
      <c r="E26" s="29">
        <f t="shared" ref="E26" si="60">E25</f>
        <v>198</v>
      </c>
      <c r="F26" s="29">
        <f t="shared" ref="F26:F37" si="61">F12</f>
        <v>195</v>
      </c>
      <c r="G26" s="29">
        <f t="shared" si="58"/>
        <v>227</v>
      </c>
      <c r="H26" s="4" t="s">
        <v>0</v>
      </c>
      <c r="I26" s="16" t="str">
        <f t="shared" si="19"/>
        <v>13-15</v>
      </c>
      <c r="J26" s="14">
        <f t="shared" si="20"/>
        <v>169</v>
      </c>
      <c r="K26" s="15">
        <f t="shared" si="21"/>
        <v>198</v>
      </c>
      <c r="L26" s="17">
        <f t="shared" si="22"/>
        <v>195</v>
      </c>
      <c r="M26" s="18">
        <f t="shared" si="23"/>
        <v>198</v>
      </c>
      <c r="N26" s="14">
        <f t="shared" si="24"/>
        <v>195</v>
      </c>
      <c r="O26" s="15">
        <f t="shared" si="25"/>
        <v>227</v>
      </c>
      <c r="P26" s="17">
        <f t="shared" si="26"/>
        <v>169</v>
      </c>
      <c r="Q26" s="18">
        <f t="shared" si="27"/>
        <v>227</v>
      </c>
      <c r="R26" s="4" t="s">
        <v>0</v>
      </c>
      <c r="S26" s="16" t="str">
        <f t="shared" si="28"/>
        <v>13-15</v>
      </c>
      <c r="T26" s="14">
        <f t="shared" si="29"/>
        <v>169</v>
      </c>
      <c r="U26" s="18">
        <f t="shared" si="30"/>
        <v>552</v>
      </c>
      <c r="V26" s="14">
        <f t="shared" si="31"/>
        <v>195</v>
      </c>
      <c r="W26" s="18">
        <f t="shared" si="32"/>
        <v>552</v>
      </c>
      <c r="X26" s="14">
        <f t="shared" si="33"/>
        <v>195</v>
      </c>
      <c r="Y26" s="18">
        <f t="shared" si="34"/>
        <v>523</v>
      </c>
      <c r="Z26" s="14">
        <f t="shared" si="35"/>
        <v>169</v>
      </c>
      <c r="AA26" s="18">
        <f t="shared" si="36"/>
        <v>523</v>
      </c>
      <c r="AB26" s="4" t="s">
        <v>0</v>
      </c>
    </row>
    <row r="27" spans="1:28">
      <c r="A27" s="9" t="s">
        <v>217</v>
      </c>
      <c r="B27" s="24"/>
      <c r="C27" s="26"/>
      <c r="D27" s="29">
        <f t="shared" si="59"/>
        <v>195</v>
      </c>
      <c r="E27" s="29">
        <f t="shared" ref="E27" si="62">E26</f>
        <v>198</v>
      </c>
      <c r="F27" s="29">
        <f t="shared" si="61"/>
        <v>221</v>
      </c>
      <c r="G27" s="29">
        <f t="shared" si="58"/>
        <v>227</v>
      </c>
      <c r="H27" s="4" t="s">
        <v>0</v>
      </c>
      <c r="I27" s="16" t="str">
        <f t="shared" si="19"/>
        <v>13-13</v>
      </c>
      <c r="J27" s="14">
        <f t="shared" si="20"/>
        <v>195</v>
      </c>
      <c r="K27" s="15">
        <f t="shared" si="21"/>
        <v>198</v>
      </c>
      <c r="L27" s="17">
        <f t="shared" si="22"/>
        <v>221</v>
      </c>
      <c r="M27" s="18">
        <f t="shared" si="23"/>
        <v>198</v>
      </c>
      <c r="N27" s="14">
        <f t="shared" si="24"/>
        <v>221</v>
      </c>
      <c r="O27" s="15">
        <f t="shared" si="25"/>
        <v>227</v>
      </c>
      <c r="P27" s="17">
        <f t="shared" si="26"/>
        <v>195</v>
      </c>
      <c r="Q27" s="18">
        <f t="shared" si="27"/>
        <v>227</v>
      </c>
      <c r="R27" s="4" t="s">
        <v>0</v>
      </c>
      <c r="S27" s="16" t="str">
        <f t="shared" si="28"/>
        <v>13-13</v>
      </c>
      <c r="T27" s="14">
        <f t="shared" si="29"/>
        <v>195</v>
      </c>
      <c r="U27" s="18">
        <f t="shared" si="30"/>
        <v>552</v>
      </c>
      <c r="V27" s="14">
        <f t="shared" si="31"/>
        <v>221</v>
      </c>
      <c r="W27" s="18">
        <f t="shared" si="32"/>
        <v>552</v>
      </c>
      <c r="X27" s="14">
        <f t="shared" si="33"/>
        <v>221</v>
      </c>
      <c r="Y27" s="18">
        <f t="shared" si="34"/>
        <v>523</v>
      </c>
      <c r="Z27" s="14">
        <f t="shared" si="35"/>
        <v>195</v>
      </c>
      <c r="AA27" s="18">
        <f t="shared" si="36"/>
        <v>523</v>
      </c>
      <c r="AB27" s="4" t="s">
        <v>0</v>
      </c>
    </row>
    <row r="28" spans="1:28">
      <c r="A28" s="9" t="s">
        <v>216</v>
      </c>
      <c r="B28" s="24"/>
      <c r="C28" s="26"/>
      <c r="D28" s="29">
        <f t="shared" si="59"/>
        <v>221</v>
      </c>
      <c r="E28" s="29">
        <f t="shared" ref="E28" si="63">E27</f>
        <v>198</v>
      </c>
      <c r="F28" s="29">
        <f t="shared" si="61"/>
        <v>247</v>
      </c>
      <c r="G28" s="29">
        <f t="shared" si="58"/>
        <v>227</v>
      </c>
      <c r="H28" s="4" t="s">
        <v>0</v>
      </c>
      <c r="I28" s="16" t="str">
        <f t="shared" si="19"/>
        <v>13-12</v>
      </c>
      <c r="J28" s="14">
        <f t="shared" si="20"/>
        <v>221</v>
      </c>
      <c r="K28" s="15">
        <f t="shared" si="21"/>
        <v>198</v>
      </c>
      <c r="L28" s="17">
        <f t="shared" si="22"/>
        <v>247</v>
      </c>
      <c r="M28" s="18">
        <f t="shared" si="23"/>
        <v>198</v>
      </c>
      <c r="N28" s="14">
        <f t="shared" si="24"/>
        <v>247</v>
      </c>
      <c r="O28" s="15">
        <f t="shared" si="25"/>
        <v>227</v>
      </c>
      <c r="P28" s="17">
        <f t="shared" si="26"/>
        <v>221</v>
      </c>
      <c r="Q28" s="18">
        <f t="shared" si="27"/>
        <v>227</v>
      </c>
      <c r="R28" s="4" t="s">
        <v>0</v>
      </c>
      <c r="S28" s="16" t="str">
        <f t="shared" si="28"/>
        <v>13-12</v>
      </c>
      <c r="T28" s="14">
        <f t="shared" si="29"/>
        <v>221</v>
      </c>
      <c r="U28" s="18">
        <f t="shared" si="30"/>
        <v>552</v>
      </c>
      <c r="V28" s="14">
        <f t="shared" si="31"/>
        <v>247</v>
      </c>
      <c r="W28" s="18">
        <f t="shared" si="32"/>
        <v>552</v>
      </c>
      <c r="X28" s="14">
        <f t="shared" si="33"/>
        <v>247</v>
      </c>
      <c r="Y28" s="18">
        <f t="shared" si="34"/>
        <v>523</v>
      </c>
      <c r="Z28" s="14">
        <f t="shared" si="35"/>
        <v>221</v>
      </c>
      <c r="AA28" s="18">
        <f t="shared" si="36"/>
        <v>523</v>
      </c>
      <c r="AB28" s="4" t="s">
        <v>0</v>
      </c>
    </row>
    <row r="29" spans="1:28">
      <c r="A29" s="9" t="s">
        <v>215</v>
      </c>
      <c r="B29" s="24"/>
      <c r="C29" s="26"/>
      <c r="D29" s="29">
        <f t="shared" si="59"/>
        <v>247</v>
      </c>
      <c r="E29" s="29">
        <f t="shared" ref="E29" si="64">E28</f>
        <v>198</v>
      </c>
      <c r="F29" s="29">
        <f t="shared" si="61"/>
        <v>273</v>
      </c>
      <c r="G29" s="29">
        <f t="shared" si="58"/>
        <v>227</v>
      </c>
      <c r="H29" s="4" t="s">
        <v>0</v>
      </c>
      <c r="I29" s="16" t="str">
        <f t="shared" si="19"/>
        <v>13-11</v>
      </c>
      <c r="J29" s="14">
        <f t="shared" si="20"/>
        <v>247</v>
      </c>
      <c r="K29" s="15">
        <f t="shared" si="21"/>
        <v>198</v>
      </c>
      <c r="L29" s="17">
        <f t="shared" si="22"/>
        <v>273</v>
      </c>
      <c r="M29" s="18">
        <f t="shared" si="23"/>
        <v>198</v>
      </c>
      <c r="N29" s="14">
        <f t="shared" si="24"/>
        <v>273</v>
      </c>
      <c r="O29" s="15">
        <f t="shared" si="25"/>
        <v>227</v>
      </c>
      <c r="P29" s="17">
        <f t="shared" si="26"/>
        <v>247</v>
      </c>
      <c r="Q29" s="18">
        <f t="shared" si="27"/>
        <v>227</v>
      </c>
      <c r="R29" s="4" t="s">
        <v>0</v>
      </c>
      <c r="S29" s="16" t="str">
        <f t="shared" si="28"/>
        <v>13-11</v>
      </c>
      <c r="T29" s="14">
        <f t="shared" si="29"/>
        <v>247</v>
      </c>
      <c r="U29" s="18">
        <f t="shared" si="30"/>
        <v>552</v>
      </c>
      <c r="V29" s="14">
        <f t="shared" si="31"/>
        <v>273</v>
      </c>
      <c r="W29" s="18">
        <f t="shared" si="32"/>
        <v>552</v>
      </c>
      <c r="X29" s="14">
        <f t="shared" si="33"/>
        <v>273</v>
      </c>
      <c r="Y29" s="18">
        <f t="shared" si="34"/>
        <v>523</v>
      </c>
      <c r="Z29" s="14">
        <f t="shared" si="35"/>
        <v>247</v>
      </c>
      <c r="AA29" s="18">
        <f t="shared" si="36"/>
        <v>523</v>
      </c>
      <c r="AB29" s="4" t="s">
        <v>0</v>
      </c>
    </row>
    <row r="30" spans="1:28">
      <c r="A30" s="9" t="s">
        <v>214</v>
      </c>
      <c r="B30" s="24"/>
      <c r="C30" s="26"/>
      <c r="D30" s="29">
        <f t="shared" si="59"/>
        <v>273</v>
      </c>
      <c r="E30" s="29">
        <f t="shared" ref="E30" si="65">E29</f>
        <v>198</v>
      </c>
      <c r="F30" s="29">
        <f t="shared" si="61"/>
        <v>299</v>
      </c>
      <c r="G30" s="29">
        <f t="shared" si="58"/>
        <v>227</v>
      </c>
      <c r="H30" s="4" t="s">
        <v>0</v>
      </c>
      <c r="I30" s="16" t="str">
        <f t="shared" si="19"/>
        <v>13-10</v>
      </c>
      <c r="J30" s="14">
        <f t="shared" si="20"/>
        <v>273</v>
      </c>
      <c r="K30" s="15">
        <f t="shared" si="21"/>
        <v>198</v>
      </c>
      <c r="L30" s="17">
        <f t="shared" si="22"/>
        <v>299</v>
      </c>
      <c r="M30" s="18">
        <f t="shared" si="23"/>
        <v>198</v>
      </c>
      <c r="N30" s="14">
        <f t="shared" si="24"/>
        <v>299</v>
      </c>
      <c r="O30" s="15">
        <f t="shared" si="25"/>
        <v>227</v>
      </c>
      <c r="P30" s="17">
        <f t="shared" si="26"/>
        <v>273</v>
      </c>
      <c r="Q30" s="18">
        <f t="shared" si="27"/>
        <v>227</v>
      </c>
      <c r="R30" s="4" t="s">
        <v>0</v>
      </c>
      <c r="S30" s="16" t="str">
        <f t="shared" si="28"/>
        <v>13-10</v>
      </c>
      <c r="T30" s="14">
        <f t="shared" si="29"/>
        <v>273</v>
      </c>
      <c r="U30" s="18">
        <f t="shared" si="30"/>
        <v>552</v>
      </c>
      <c r="V30" s="14">
        <f t="shared" si="31"/>
        <v>299</v>
      </c>
      <c r="W30" s="18">
        <f t="shared" si="32"/>
        <v>552</v>
      </c>
      <c r="X30" s="14">
        <f t="shared" si="33"/>
        <v>299</v>
      </c>
      <c r="Y30" s="18">
        <f t="shared" si="34"/>
        <v>523</v>
      </c>
      <c r="Z30" s="14">
        <f t="shared" si="35"/>
        <v>273</v>
      </c>
      <c r="AA30" s="18">
        <f t="shared" si="36"/>
        <v>523</v>
      </c>
      <c r="AB30" s="4" t="s">
        <v>0</v>
      </c>
    </row>
    <row r="31" spans="1:28">
      <c r="A31" s="9" t="s">
        <v>213</v>
      </c>
      <c r="B31" s="24"/>
      <c r="C31" s="26"/>
      <c r="D31" s="29">
        <f t="shared" si="59"/>
        <v>299</v>
      </c>
      <c r="E31" s="29">
        <f t="shared" ref="E31" si="66">E30</f>
        <v>198</v>
      </c>
      <c r="F31" s="29">
        <f t="shared" si="61"/>
        <v>325</v>
      </c>
      <c r="G31" s="29">
        <f t="shared" si="58"/>
        <v>227</v>
      </c>
      <c r="H31" s="4" t="s">
        <v>0</v>
      </c>
      <c r="I31" s="16" t="str">
        <f t="shared" si="19"/>
        <v>13-08</v>
      </c>
      <c r="J31" s="14">
        <f t="shared" si="20"/>
        <v>299</v>
      </c>
      <c r="K31" s="15">
        <f t="shared" si="21"/>
        <v>198</v>
      </c>
      <c r="L31" s="17">
        <f t="shared" si="22"/>
        <v>325</v>
      </c>
      <c r="M31" s="18">
        <f t="shared" si="23"/>
        <v>198</v>
      </c>
      <c r="N31" s="14">
        <f t="shared" si="24"/>
        <v>325</v>
      </c>
      <c r="O31" s="15">
        <f t="shared" si="25"/>
        <v>227</v>
      </c>
      <c r="P31" s="17">
        <f t="shared" si="26"/>
        <v>299</v>
      </c>
      <c r="Q31" s="18">
        <f t="shared" si="27"/>
        <v>227</v>
      </c>
      <c r="R31" s="4" t="s">
        <v>0</v>
      </c>
      <c r="S31" s="16" t="str">
        <f t="shared" si="28"/>
        <v>13-08</v>
      </c>
      <c r="T31" s="14">
        <f t="shared" si="29"/>
        <v>299</v>
      </c>
      <c r="U31" s="18">
        <f t="shared" si="30"/>
        <v>552</v>
      </c>
      <c r="V31" s="14">
        <f t="shared" si="31"/>
        <v>325</v>
      </c>
      <c r="W31" s="18">
        <f t="shared" si="32"/>
        <v>552</v>
      </c>
      <c r="X31" s="14">
        <f t="shared" si="33"/>
        <v>325</v>
      </c>
      <c r="Y31" s="18">
        <f t="shared" si="34"/>
        <v>523</v>
      </c>
      <c r="Z31" s="14">
        <f t="shared" si="35"/>
        <v>299</v>
      </c>
      <c r="AA31" s="18">
        <f t="shared" si="36"/>
        <v>523</v>
      </c>
      <c r="AB31" s="4" t="s">
        <v>0</v>
      </c>
    </row>
    <row r="32" spans="1:28">
      <c r="A32" s="9" t="s">
        <v>212</v>
      </c>
      <c r="B32" s="24"/>
      <c r="C32" s="26"/>
      <c r="D32" s="29">
        <f t="shared" si="59"/>
        <v>325</v>
      </c>
      <c r="E32" s="29">
        <f t="shared" ref="E32" si="67">E31</f>
        <v>198</v>
      </c>
      <c r="F32" s="29">
        <f t="shared" si="61"/>
        <v>351</v>
      </c>
      <c r="G32" s="29">
        <f t="shared" si="58"/>
        <v>227</v>
      </c>
      <c r="H32" s="4" t="s">
        <v>0</v>
      </c>
      <c r="I32" s="16" t="str">
        <f t="shared" si="19"/>
        <v>13-07</v>
      </c>
      <c r="J32" s="14">
        <f t="shared" si="20"/>
        <v>325</v>
      </c>
      <c r="K32" s="15">
        <f t="shared" si="21"/>
        <v>198</v>
      </c>
      <c r="L32" s="17">
        <f t="shared" si="22"/>
        <v>351</v>
      </c>
      <c r="M32" s="18">
        <f t="shared" si="23"/>
        <v>198</v>
      </c>
      <c r="N32" s="14">
        <f t="shared" si="24"/>
        <v>351</v>
      </c>
      <c r="O32" s="15">
        <f t="shared" si="25"/>
        <v>227</v>
      </c>
      <c r="P32" s="17">
        <f t="shared" si="26"/>
        <v>325</v>
      </c>
      <c r="Q32" s="18">
        <f t="shared" si="27"/>
        <v>227</v>
      </c>
      <c r="R32" s="4" t="s">
        <v>0</v>
      </c>
      <c r="S32" s="16" t="str">
        <f t="shared" si="28"/>
        <v>13-07</v>
      </c>
      <c r="T32" s="14">
        <f t="shared" si="29"/>
        <v>325</v>
      </c>
      <c r="U32" s="18">
        <f t="shared" si="30"/>
        <v>552</v>
      </c>
      <c r="V32" s="14">
        <f t="shared" si="31"/>
        <v>351</v>
      </c>
      <c r="W32" s="18">
        <f t="shared" si="32"/>
        <v>552</v>
      </c>
      <c r="X32" s="14">
        <f t="shared" si="33"/>
        <v>351</v>
      </c>
      <c r="Y32" s="18">
        <f t="shared" si="34"/>
        <v>523</v>
      </c>
      <c r="Z32" s="14">
        <f t="shared" si="35"/>
        <v>325</v>
      </c>
      <c r="AA32" s="18">
        <f t="shared" si="36"/>
        <v>523</v>
      </c>
      <c r="AB32" s="4" t="s">
        <v>0</v>
      </c>
    </row>
    <row r="33" spans="1:28">
      <c r="A33" s="9" t="s">
        <v>211</v>
      </c>
      <c r="B33" s="24"/>
      <c r="C33" s="26"/>
      <c r="D33" s="29">
        <f t="shared" si="59"/>
        <v>351</v>
      </c>
      <c r="E33" s="29">
        <f t="shared" ref="E33" si="68">E32</f>
        <v>198</v>
      </c>
      <c r="F33" s="29">
        <f t="shared" si="61"/>
        <v>377</v>
      </c>
      <c r="G33" s="29">
        <f t="shared" si="58"/>
        <v>227</v>
      </c>
      <c r="H33" s="4" t="s">
        <v>0</v>
      </c>
      <c r="I33" s="16" t="str">
        <f t="shared" si="19"/>
        <v>13-06</v>
      </c>
      <c r="J33" s="14">
        <f t="shared" si="20"/>
        <v>351</v>
      </c>
      <c r="K33" s="15">
        <f t="shared" si="21"/>
        <v>198</v>
      </c>
      <c r="L33" s="17">
        <f t="shared" si="22"/>
        <v>377</v>
      </c>
      <c r="M33" s="18">
        <f t="shared" si="23"/>
        <v>198</v>
      </c>
      <c r="N33" s="14">
        <f t="shared" si="24"/>
        <v>377</v>
      </c>
      <c r="O33" s="15">
        <f t="shared" si="25"/>
        <v>227</v>
      </c>
      <c r="P33" s="17">
        <f t="shared" si="26"/>
        <v>351</v>
      </c>
      <c r="Q33" s="18">
        <f t="shared" si="27"/>
        <v>227</v>
      </c>
      <c r="R33" s="4" t="s">
        <v>0</v>
      </c>
      <c r="S33" s="16" t="str">
        <f t="shared" si="28"/>
        <v>13-06</v>
      </c>
      <c r="T33" s="14">
        <f t="shared" si="29"/>
        <v>351</v>
      </c>
      <c r="U33" s="18">
        <f t="shared" si="30"/>
        <v>552</v>
      </c>
      <c r="V33" s="14">
        <f t="shared" si="31"/>
        <v>377</v>
      </c>
      <c r="W33" s="18">
        <f t="shared" si="32"/>
        <v>552</v>
      </c>
      <c r="X33" s="14">
        <f t="shared" si="33"/>
        <v>377</v>
      </c>
      <c r="Y33" s="18">
        <f t="shared" si="34"/>
        <v>523</v>
      </c>
      <c r="Z33" s="14">
        <f t="shared" si="35"/>
        <v>351</v>
      </c>
      <c r="AA33" s="18">
        <f t="shared" si="36"/>
        <v>523</v>
      </c>
      <c r="AB33" s="4" t="s">
        <v>0</v>
      </c>
    </row>
    <row r="34" spans="1:28">
      <c r="A34" s="9" t="s">
        <v>210</v>
      </c>
      <c r="B34" s="24"/>
      <c r="C34" s="26"/>
      <c r="D34" s="29">
        <f t="shared" si="59"/>
        <v>377</v>
      </c>
      <c r="E34" s="29">
        <f t="shared" ref="E34" si="69">E33</f>
        <v>198</v>
      </c>
      <c r="F34" s="29">
        <f t="shared" si="61"/>
        <v>403</v>
      </c>
      <c r="G34" s="29">
        <f t="shared" si="58"/>
        <v>227</v>
      </c>
      <c r="H34" s="4" t="s">
        <v>0</v>
      </c>
      <c r="I34" s="16" t="str">
        <f t="shared" si="19"/>
        <v>13-05</v>
      </c>
      <c r="J34" s="14">
        <f t="shared" si="20"/>
        <v>377</v>
      </c>
      <c r="K34" s="15">
        <f t="shared" si="21"/>
        <v>198</v>
      </c>
      <c r="L34" s="17">
        <f t="shared" si="22"/>
        <v>403</v>
      </c>
      <c r="M34" s="18">
        <f t="shared" si="23"/>
        <v>198</v>
      </c>
      <c r="N34" s="14">
        <f t="shared" si="24"/>
        <v>403</v>
      </c>
      <c r="O34" s="15">
        <f t="shared" si="25"/>
        <v>227</v>
      </c>
      <c r="P34" s="17">
        <f t="shared" si="26"/>
        <v>377</v>
      </c>
      <c r="Q34" s="18">
        <f t="shared" si="27"/>
        <v>227</v>
      </c>
      <c r="R34" s="4" t="s">
        <v>0</v>
      </c>
      <c r="S34" s="16" t="str">
        <f t="shared" si="28"/>
        <v>13-05</v>
      </c>
      <c r="T34" s="14">
        <f t="shared" si="29"/>
        <v>377</v>
      </c>
      <c r="U34" s="18">
        <f t="shared" si="30"/>
        <v>552</v>
      </c>
      <c r="V34" s="14">
        <f t="shared" si="31"/>
        <v>403</v>
      </c>
      <c r="W34" s="18">
        <f t="shared" si="32"/>
        <v>552</v>
      </c>
      <c r="X34" s="14">
        <f t="shared" si="33"/>
        <v>403</v>
      </c>
      <c r="Y34" s="18">
        <f t="shared" si="34"/>
        <v>523</v>
      </c>
      <c r="Z34" s="14">
        <f t="shared" si="35"/>
        <v>377</v>
      </c>
      <c r="AA34" s="18">
        <f t="shared" si="36"/>
        <v>523</v>
      </c>
      <c r="AB34" s="4" t="s">
        <v>0</v>
      </c>
    </row>
    <row r="35" spans="1:28">
      <c r="A35" s="9" t="s">
        <v>209</v>
      </c>
      <c r="B35" s="24"/>
      <c r="C35" s="26"/>
      <c r="D35" s="29">
        <f t="shared" si="59"/>
        <v>403</v>
      </c>
      <c r="E35" s="29">
        <f t="shared" ref="E35" si="70">E34</f>
        <v>198</v>
      </c>
      <c r="F35" s="29">
        <f t="shared" si="61"/>
        <v>429</v>
      </c>
      <c r="G35" s="29">
        <f t="shared" si="58"/>
        <v>227</v>
      </c>
      <c r="H35" s="4" t="s">
        <v>0</v>
      </c>
      <c r="I35" s="16" t="str">
        <f t="shared" si="19"/>
        <v>13-03</v>
      </c>
      <c r="J35" s="14">
        <f t="shared" si="20"/>
        <v>403</v>
      </c>
      <c r="K35" s="15">
        <f t="shared" si="21"/>
        <v>198</v>
      </c>
      <c r="L35" s="17">
        <f t="shared" si="22"/>
        <v>429</v>
      </c>
      <c r="M35" s="18">
        <f t="shared" si="23"/>
        <v>198</v>
      </c>
      <c r="N35" s="14">
        <f t="shared" si="24"/>
        <v>429</v>
      </c>
      <c r="O35" s="15">
        <f t="shared" si="25"/>
        <v>227</v>
      </c>
      <c r="P35" s="17">
        <f t="shared" si="26"/>
        <v>403</v>
      </c>
      <c r="Q35" s="18">
        <f t="shared" si="27"/>
        <v>227</v>
      </c>
      <c r="R35" s="4" t="s">
        <v>0</v>
      </c>
      <c r="S35" s="16" t="str">
        <f t="shared" si="28"/>
        <v>13-03</v>
      </c>
      <c r="T35" s="14">
        <f t="shared" si="29"/>
        <v>403</v>
      </c>
      <c r="U35" s="18">
        <f t="shared" si="30"/>
        <v>552</v>
      </c>
      <c r="V35" s="14">
        <f t="shared" si="31"/>
        <v>429</v>
      </c>
      <c r="W35" s="18">
        <f t="shared" si="32"/>
        <v>552</v>
      </c>
      <c r="X35" s="14">
        <f t="shared" si="33"/>
        <v>429</v>
      </c>
      <c r="Y35" s="18">
        <f t="shared" si="34"/>
        <v>523</v>
      </c>
      <c r="Z35" s="14">
        <f t="shared" si="35"/>
        <v>403</v>
      </c>
      <c r="AA35" s="18">
        <f t="shared" si="36"/>
        <v>523</v>
      </c>
      <c r="AB35" s="4" t="s">
        <v>0</v>
      </c>
    </row>
    <row r="36" spans="1:28">
      <c r="A36" s="9" t="s">
        <v>208</v>
      </c>
      <c r="B36" s="24"/>
      <c r="C36" s="26"/>
      <c r="D36" s="29">
        <f t="shared" si="59"/>
        <v>429</v>
      </c>
      <c r="E36" s="29">
        <f t="shared" ref="E36" si="71">E35</f>
        <v>198</v>
      </c>
      <c r="F36" s="29">
        <f t="shared" si="61"/>
        <v>455</v>
      </c>
      <c r="G36" s="29">
        <f t="shared" si="58"/>
        <v>227</v>
      </c>
      <c r="H36" s="4" t="s">
        <v>0</v>
      </c>
      <c r="I36" s="16" t="str">
        <f t="shared" si="19"/>
        <v>13-02</v>
      </c>
      <c r="J36" s="14">
        <f t="shared" si="20"/>
        <v>429</v>
      </c>
      <c r="K36" s="15">
        <f t="shared" si="21"/>
        <v>198</v>
      </c>
      <c r="L36" s="17">
        <f t="shared" si="22"/>
        <v>455</v>
      </c>
      <c r="M36" s="18">
        <f t="shared" si="23"/>
        <v>198</v>
      </c>
      <c r="N36" s="14">
        <f t="shared" si="24"/>
        <v>455</v>
      </c>
      <c r="O36" s="15">
        <f t="shared" si="25"/>
        <v>227</v>
      </c>
      <c r="P36" s="17">
        <f t="shared" si="26"/>
        <v>429</v>
      </c>
      <c r="Q36" s="18">
        <f t="shared" si="27"/>
        <v>227</v>
      </c>
      <c r="R36" s="4" t="s">
        <v>0</v>
      </c>
      <c r="S36" s="16" t="str">
        <f t="shared" si="28"/>
        <v>13-02</v>
      </c>
      <c r="T36" s="14">
        <f t="shared" si="29"/>
        <v>429</v>
      </c>
      <c r="U36" s="18">
        <f t="shared" si="30"/>
        <v>552</v>
      </c>
      <c r="V36" s="14">
        <f t="shared" si="31"/>
        <v>455</v>
      </c>
      <c r="W36" s="18">
        <f t="shared" si="32"/>
        <v>552</v>
      </c>
      <c r="X36" s="14">
        <f t="shared" si="33"/>
        <v>455</v>
      </c>
      <c r="Y36" s="18">
        <f t="shared" si="34"/>
        <v>523</v>
      </c>
      <c r="Z36" s="14">
        <f t="shared" si="35"/>
        <v>429</v>
      </c>
      <c r="AA36" s="18">
        <f t="shared" si="36"/>
        <v>523</v>
      </c>
      <c r="AB36" s="4" t="s">
        <v>0</v>
      </c>
    </row>
    <row r="37" spans="1:28">
      <c r="A37" s="9" t="s">
        <v>207</v>
      </c>
      <c r="B37" s="24"/>
      <c r="C37" s="26"/>
      <c r="D37" s="29">
        <f t="shared" si="59"/>
        <v>455</v>
      </c>
      <c r="E37" s="29">
        <f t="shared" ref="E37" si="72">E36</f>
        <v>198</v>
      </c>
      <c r="F37" s="29">
        <f t="shared" si="61"/>
        <v>481</v>
      </c>
      <c r="G37" s="29">
        <f t="shared" si="58"/>
        <v>227</v>
      </c>
      <c r="H37" s="4" t="s">
        <v>0</v>
      </c>
      <c r="I37" s="16" t="str">
        <f t="shared" si="19"/>
        <v>13-01</v>
      </c>
      <c r="J37" s="14">
        <f t="shared" si="20"/>
        <v>455</v>
      </c>
      <c r="K37" s="15">
        <f t="shared" si="21"/>
        <v>198</v>
      </c>
      <c r="L37" s="17">
        <f t="shared" si="22"/>
        <v>481</v>
      </c>
      <c r="M37" s="18">
        <f t="shared" si="23"/>
        <v>198</v>
      </c>
      <c r="N37" s="14">
        <f t="shared" si="24"/>
        <v>481</v>
      </c>
      <c r="O37" s="15">
        <f t="shared" si="25"/>
        <v>227</v>
      </c>
      <c r="P37" s="17">
        <f t="shared" si="26"/>
        <v>455</v>
      </c>
      <c r="Q37" s="18">
        <f t="shared" si="27"/>
        <v>227</v>
      </c>
      <c r="R37" s="4" t="s">
        <v>0</v>
      </c>
      <c r="S37" s="16" t="str">
        <f t="shared" si="28"/>
        <v>13-01</v>
      </c>
      <c r="T37" s="14">
        <f t="shared" si="29"/>
        <v>455</v>
      </c>
      <c r="U37" s="18">
        <f t="shared" si="30"/>
        <v>552</v>
      </c>
      <c r="V37" s="14">
        <f t="shared" si="31"/>
        <v>481</v>
      </c>
      <c r="W37" s="18">
        <f t="shared" si="32"/>
        <v>552</v>
      </c>
      <c r="X37" s="14">
        <f t="shared" si="33"/>
        <v>481</v>
      </c>
      <c r="Y37" s="18">
        <f t="shared" si="34"/>
        <v>523</v>
      </c>
      <c r="Z37" s="14">
        <f t="shared" si="35"/>
        <v>455</v>
      </c>
      <c r="AA37" s="18">
        <f t="shared" si="36"/>
        <v>523</v>
      </c>
      <c r="AB37" s="4" t="s">
        <v>0</v>
      </c>
    </row>
    <row r="38" spans="1:28">
      <c r="A38" s="9" t="s">
        <v>204</v>
      </c>
      <c r="B38" s="24"/>
      <c r="C38" s="26">
        <v>1</v>
      </c>
      <c r="D38" s="27">
        <v>117</v>
      </c>
      <c r="E38" s="34">
        <f>ROUND(E$25+38.5*$C38,0)</f>
        <v>237</v>
      </c>
      <c r="F38" s="31">
        <v>143</v>
      </c>
      <c r="G38" s="34">
        <f>ROUND(G$25+38.5*$C38,0)</f>
        <v>266</v>
      </c>
      <c r="H38" s="4" t="s">
        <v>0</v>
      </c>
      <c r="I38" s="16" t="str">
        <f t="shared" si="19"/>
        <v>12-17</v>
      </c>
      <c r="J38" s="14">
        <f t="shared" si="20"/>
        <v>117</v>
      </c>
      <c r="K38" s="15">
        <f t="shared" si="21"/>
        <v>237</v>
      </c>
      <c r="L38" s="17">
        <f t="shared" si="22"/>
        <v>143</v>
      </c>
      <c r="M38" s="18">
        <f t="shared" si="23"/>
        <v>237</v>
      </c>
      <c r="N38" s="14">
        <f t="shared" si="24"/>
        <v>143</v>
      </c>
      <c r="O38" s="15">
        <f t="shared" si="25"/>
        <v>266</v>
      </c>
      <c r="P38" s="17">
        <f t="shared" si="26"/>
        <v>117</v>
      </c>
      <c r="Q38" s="18">
        <f t="shared" si="27"/>
        <v>266</v>
      </c>
      <c r="R38" s="4" t="s">
        <v>0</v>
      </c>
      <c r="S38" s="16" t="str">
        <f t="shared" si="28"/>
        <v>12-17</v>
      </c>
      <c r="T38" s="14">
        <f t="shared" si="29"/>
        <v>117</v>
      </c>
      <c r="U38" s="18">
        <f t="shared" si="30"/>
        <v>513</v>
      </c>
      <c r="V38" s="14">
        <f t="shared" si="31"/>
        <v>143</v>
      </c>
      <c r="W38" s="18">
        <f t="shared" si="32"/>
        <v>513</v>
      </c>
      <c r="X38" s="14">
        <f t="shared" si="33"/>
        <v>143</v>
      </c>
      <c r="Y38" s="18">
        <f t="shared" si="34"/>
        <v>484</v>
      </c>
      <c r="Z38" s="14">
        <f t="shared" si="35"/>
        <v>117</v>
      </c>
      <c r="AA38" s="18">
        <f t="shared" si="36"/>
        <v>484</v>
      </c>
      <c r="AB38" s="4" t="s">
        <v>0</v>
      </c>
    </row>
    <row r="39" spans="1:28">
      <c r="A39" s="9" t="s">
        <v>203</v>
      </c>
      <c r="B39" s="24"/>
      <c r="C39" s="26"/>
      <c r="D39" s="29">
        <f t="shared" ref="D39:D102" si="73">D25</f>
        <v>143</v>
      </c>
      <c r="E39" s="29">
        <f t="shared" ref="E39" si="74">E38</f>
        <v>237</v>
      </c>
      <c r="F39" s="29">
        <f t="shared" ref="F39:F102" si="75">F25</f>
        <v>169</v>
      </c>
      <c r="G39" s="29">
        <f t="shared" si="58"/>
        <v>266</v>
      </c>
      <c r="H39" s="4" t="s">
        <v>0</v>
      </c>
      <c r="I39" s="16" t="str">
        <f t="shared" si="19"/>
        <v>12-16</v>
      </c>
      <c r="J39" s="14">
        <f t="shared" si="20"/>
        <v>143</v>
      </c>
      <c r="K39" s="15">
        <f t="shared" si="21"/>
        <v>237</v>
      </c>
      <c r="L39" s="17">
        <f t="shared" si="22"/>
        <v>169</v>
      </c>
      <c r="M39" s="18">
        <f t="shared" si="23"/>
        <v>237</v>
      </c>
      <c r="N39" s="14">
        <f t="shared" si="24"/>
        <v>169</v>
      </c>
      <c r="O39" s="15">
        <f t="shared" si="25"/>
        <v>266</v>
      </c>
      <c r="P39" s="17">
        <f t="shared" si="26"/>
        <v>143</v>
      </c>
      <c r="Q39" s="18">
        <f t="shared" si="27"/>
        <v>266</v>
      </c>
      <c r="R39" s="4" t="s">
        <v>0</v>
      </c>
      <c r="S39" s="16" t="str">
        <f t="shared" si="28"/>
        <v>12-16</v>
      </c>
      <c r="T39" s="14">
        <f t="shared" si="29"/>
        <v>143</v>
      </c>
      <c r="U39" s="18">
        <f t="shared" si="30"/>
        <v>513</v>
      </c>
      <c r="V39" s="14">
        <f t="shared" si="31"/>
        <v>169</v>
      </c>
      <c r="W39" s="18">
        <f t="shared" si="32"/>
        <v>513</v>
      </c>
      <c r="X39" s="14">
        <f t="shared" si="33"/>
        <v>169</v>
      </c>
      <c r="Y39" s="18">
        <f t="shared" si="34"/>
        <v>484</v>
      </c>
      <c r="Z39" s="14">
        <f t="shared" si="35"/>
        <v>143</v>
      </c>
      <c r="AA39" s="18">
        <f t="shared" si="36"/>
        <v>484</v>
      </c>
      <c r="AB39" s="4" t="s">
        <v>0</v>
      </c>
    </row>
    <row r="40" spans="1:28">
      <c r="A40" s="9" t="s">
        <v>202</v>
      </c>
      <c r="B40" s="24"/>
      <c r="C40" s="26"/>
      <c r="D40" s="29">
        <f t="shared" si="73"/>
        <v>169</v>
      </c>
      <c r="E40" s="29">
        <f t="shared" ref="E40" si="76">E39</f>
        <v>237</v>
      </c>
      <c r="F40" s="29">
        <f t="shared" si="75"/>
        <v>195</v>
      </c>
      <c r="G40" s="29">
        <f t="shared" si="58"/>
        <v>266</v>
      </c>
      <c r="H40" s="4" t="s">
        <v>0</v>
      </c>
      <c r="I40" s="16" t="str">
        <f t="shared" si="19"/>
        <v>12-15</v>
      </c>
      <c r="J40" s="14">
        <f t="shared" si="20"/>
        <v>169</v>
      </c>
      <c r="K40" s="15">
        <f t="shared" si="21"/>
        <v>237</v>
      </c>
      <c r="L40" s="17">
        <f t="shared" si="22"/>
        <v>195</v>
      </c>
      <c r="M40" s="18">
        <f t="shared" si="23"/>
        <v>237</v>
      </c>
      <c r="N40" s="14">
        <f t="shared" si="24"/>
        <v>195</v>
      </c>
      <c r="O40" s="15">
        <f t="shared" si="25"/>
        <v>266</v>
      </c>
      <c r="P40" s="17">
        <f t="shared" si="26"/>
        <v>169</v>
      </c>
      <c r="Q40" s="18">
        <f t="shared" si="27"/>
        <v>266</v>
      </c>
      <c r="R40" s="4" t="s">
        <v>0</v>
      </c>
      <c r="S40" s="16" t="str">
        <f t="shared" si="28"/>
        <v>12-15</v>
      </c>
      <c r="T40" s="14">
        <f t="shared" si="29"/>
        <v>169</v>
      </c>
      <c r="U40" s="18">
        <f t="shared" si="30"/>
        <v>513</v>
      </c>
      <c r="V40" s="14">
        <f t="shared" si="31"/>
        <v>195</v>
      </c>
      <c r="W40" s="18">
        <f t="shared" si="32"/>
        <v>513</v>
      </c>
      <c r="X40" s="14">
        <f t="shared" si="33"/>
        <v>195</v>
      </c>
      <c r="Y40" s="18">
        <f t="shared" si="34"/>
        <v>484</v>
      </c>
      <c r="Z40" s="14">
        <f t="shared" si="35"/>
        <v>169</v>
      </c>
      <c r="AA40" s="18">
        <f t="shared" si="36"/>
        <v>484</v>
      </c>
      <c r="AB40" s="4" t="s">
        <v>0</v>
      </c>
    </row>
    <row r="41" spans="1:28">
      <c r="A41" s="9" t="s">
        <v>201</v>
      </c>
      <c r="B41" s="24"/>
      <c r="C41" s="26"/>
      <c r="D41" s="29">
        <f t="shared" si="73"/>
        <v>195</v>
      </c>
      <c r="E41" s="29">
        <f t="shared" ref="E41" si="77">E40</f>
        <v>237</v>
      </c>
      <c r="F41" s="29">
        <f t="shared" si="75"/>
        <v>221</v>
      </c>
      <c r="G41" s="29">
        <f t="shared" si="58"/>
        <v>266</v>
      </c>
      <c r="H41" s="4" t="s">
        <v>0</v>
      </c>
      <c r="I41" s="16" t="str">
        <f t="shared" si="19"/>
        <v>12-13</v>
      </c>
      <c r="J41" s="14">
        <f t="shared" si="20"/>
        <v>195</v>
      </c>
      <c r="K41" s="15">
        <f t="shared" si="21"/>
        <v>237</v>
      </c>
      <c r="L41" s="17">
        <f t="shared" si="22"/>
        <v>221</v>
      </c>
      <c r="M41" s="18">
        <f t="shared" si="23"/>
        <v>237</v>
      </c>
      <c r="N41" s="14">
        <f t="shared" si="24"/>
        <v>221</v>
      </c>
      <c r="O41" s="15">
        <f t="shared" si="25"/>
        <v>266</v>
      </c>
      <c r="P41" s="17">
        <f t="shared" si="26"/>
        <v>195</v>
      </c>
      <c r="Q41" s="18">
        <f t="shared" si="27"/>
        <v>266</v>
      </c>
      <c r="R41" s="4" t="s">
        <v>0</v>
      </c>
      <c r="S41" s="16" t="str">
        <f t="shared" si="28"/>
        <v>12-13</v>
      </c>
      <c r="T41" s="14">
        <f t="shared" si="29"/>
        <v>195</v>
      </c>
      <c r="U41" s="18">
        <f t="shared" si="30"/>
        <v>513</v>
      </c>
      <c r="V41" s="14">
        <f t="shared" si="31"/>
        <v>221</v>
      </c>
      <c r="W41" s="18">
        <f t="shared" si="32"/>
        <v>513</v>
      </c>
      <c r="X41" s="14">
        <f t="shared" si="33"/>
        <v>221</v>
      </c>
      <c r="Y41" s="18">
        <f t="shared" si="34"/>
        <v>484</v>
      </c>
      <c r="Z41" s="14">
        <f t="shared" si="35"/>
        <v>195</v>
      </c>
      <c r="AA41" s="18">
        <f t="shared" si="36"/>
        <v>484</v>
      </c>
      <c r="AB41" s="4" t="s">
        <v>0</v>
      </c>
    </row>
    <row r="42" spans="1:28">
      <c r="A42" s="9" t="s">
        <v>108</v>
      </c>
      <c r="B42" s="24"/>
      <c r="C42" s="26"/>
      <c r="D42" s="29">
        <f t="shared" si="73"/>
        <v>221</v>
      </c>
      <c r="E42" s="29">
        <f t="shared" ref="E42" si="78">E41</f>
        <v>237</v>
      </c>
      <c r="F42" s="29">
        <f t="shared" si="75"/>
        <v>247</v>
      </c>
      <c r="G42" s="29">
        <f t="shared" si="58"/>
        <v>266</v>
      </c>
      <c r="H42" s="4" t="s">
        <v>0</v>
      </c>
      <c r="I42" s="16" t="str">
        <f t="shared" si="19"/>
        <v>12-12</v>
      </c>
      <c r="J42" s="14">
        <f t="shared" si="20"/>
        <v>221</v>
      </c>
      <c r="K42" s="15">
        <f t="shared" si="21"/>
        <v>237</v>
      </c>
      <c r="L42" s="17">
        <f t="shared" si="22"/>
        <v>247</v>
      </c>
      <c r="M42" s="18">
        <f t="shared" si="23"/>
        <v>237</v>
      </c>
      <c r="N42" s="14">
        <f t="shared" si="24"/>
        <v>247</v>
      </c>
      <c r="O42" s="15">
        <f t="shared" si="25"/>
        <v>266</v>
      </c>
      <c r="P42" s="17">
        <f t="shared" si="26"/>
        <v>221</v>
      </c>
      <c r="Q42" s="18">
        <f t="shared" si="27"/>
        <v>266</v>
      </c>
      <c r="R42" s="4" t="s">
        <v>0</v>
      </c>
      <c r="S42" s="16" t="str">
        <f t="shared" si="28"/>
        <v>12-12</v>
      </c>
      <c r="T42" s="14">
        <f t="shared" si="29"/>
        <v>221</v>
      </c>
      <c r="U42" s="18">
        <f t="shared" si="30"/>
        <v>513</v>
      </c>
      <c r="V42" s="14">
        <f t="shared" si="31"/>
        <v>247</v>
      </c>
      <c r="W42" s="18">
        <f t="shared" si="32"/>
        <v>513</v>
      </c>
      <c r="X42" s="14">
        <f t="shared" si="33"/>
        <v>247</v>
      </c>
      <c r="Y42" s="18">
        <f t="shared" si="34"/>
        <v>484</v>
      </c>
      <c r="Z42" s="14">
        <f t="shared" si="35"/>
        <v>221</v>
      </c>
      <c r="AA42" s="18">
        <f t="shared" si="36"/>
        <v>484</v>
      </c>
      <c r="AB42" s="4" t="s">
        <v>0</v>
      </c>
    </row>
    <row r="43" spans="1:28">
      <c r="A43" s="9" t="s">
        <v>107</v>
      </c>
      <c r="B43" s="24"/>
      <c r="C43" s="26"/>
      <c r="D43" s="29">
        <f t="shared" si="73"/>
        <v>247</v>
      </c>
      <c r="E43" s="29">
        <f t="shared" ref="E43" si="79">E42</f>
        <v>237</v>
      </c>
      <c r="F43" s="29">
        <f t="shared" si="75"/>
        <v>273</v>
      </c>
      <c r="G43" s="29">
        <f t="shared" si="58"/>
        <v>266</v>
      </c>
      <c r="H43" s="4" t="s">
        <v>0</v>
      </c>
      <c r="I43" s="16" t="str">
        <f t="shared" si="19"/>
        <v>12-11</v>
      </c>
      <c r="J43" s="14">
        <f t="shared" si="20"/>
        <v>247</v>
      </c>
      <c r="K43" s="15">
        <f t="shared" si="21"/>
        <v>237</v>
      </c>
      <c r="L43" s="17">
        <f t="shared" si="22"/>
        <v>273</v>
      </c>
      <c r="M43" s="18">
        <f t="shared" si="23"/>
        <v>237</v>
      </c>
      <c r="N43" s="14">
        <f t="shared" si="24"/>
        <v>273</v>
      </c>
      <c r="O43" s="15">
        <f t="shared" si="25"/>
        <v>266</v>
      </c>
      <c r="P43" s="17">
        <f t="shared" si="26"/>
        <v>247</v>
      </c>
      <c r="Q43" s="18">
        <f t="shared" si="27"/>
        <v>266</v>
      </c>
      <c r="R43" s="4" t="s">
        <v>0</v>
      </c>
      <c r="S43" s="16" t="str">
        <f t="shared" si="28"/>
        <v>12-11</v>
      </c>
      <c r="T43" s="14">
        <f t="shared" si="29"/>
        <v>247</v>
      </c>
      <c r="U43" s="18">
        <f t="shared" si="30"/>
        <v>513</v>
      </c>
      <c r="V43" s="14">
        <f t="shared" si="31"/>
        <v>273</v>
      </c>
      <c r="W43" s="18">
        <f t="shared" si="32"/>
        <v>513</v>
      </c>
      <c r="X43" s="14">
        <f t="shared" si="33"/>
        <v>273</v>
      </c>
      <c r="Y43" s="18">
        <f t="shared" si="34"/>
        <v>484</v>
      </c>
      <c r="Z43" s="14">
        <f t="shared" si="35"/>
        <v>247</v>
      </c>
      <c r="AA43" s="18">
        <f t="shared" si="36"/>
        <v>484</v>
      </c>
      <c r="AB43" s="4" t="s">
        <v>0</v>
      </c>
    </row>
    <row r="44" spans="1:28">
      <c r="A44" s="9" t="s">
        <v>106</v>
      </c>
      <c r="B44" s="24"/>
      <c r="C44" s="26"/>
      <c r="D44" s="29">
        <f t="shared" si="73"/>
        <v>273</v>
      </c>
      <c r="E44" s="29">
        <f t="shared" ref="E44" si="80">E43</f>
        <v>237</v>
      </c>
      <c r="F44" s="29">
        <f t="shared" si="75"/>
        <v>299</v>
      </c>
      <c r="G44" s="29">
        <f t="shared" si="58"/>
        <v>266</v>
      </c>
      <c r="H44" s="4" t="s">
        <v>0</v>
      </c>
      <c r="I44" s="16" t="str">
        <f t="shared" si="19"/>
        <v>12-10</v>
      </c>
      <c r="J44" s="14">
        <f t="shared" si="20"/>
        <v>273</v>
      </c>
      <c r="K44" s="15">
        <f t="shared" si="21"/>
        <v>237</v>
      </c>
      <c r="L44" s="17">
        <f t="shared" si="22"/>
        <v>299</v>
      </c>
      <c r="M44" s="18">
        <f t="shared" si="23"/>
        <v>237</v>
      </c>
      <c r="N44" s="14">
        <f t="shared" si="24"/>
        <v>299</v>
      </c>
      <c r="O44" s="15">
        <f t="shared" si="25"/>
        <v>266</v>
      </c>
      <c r="P44" s="17">
        <f t="shared" si="26"/>
        <v>273</v>
      </c>
      <c r="Q44" s="18">
        <f t="shared" si="27"/>
        <v>266</v>
      </c>
      <c r="R44" s="4" t="s">
        <v>0</v>
      </c>
      <c r="S44" s="16" t="str">
        <f t="shared" si="28"/>
        <v>12-10</v>
      </c>
      <c r="T44" s="14">
        <f t="shared" si="29"/>
        <v>273</v>
      </c>
      <c r="U44" s="18">
        <f t="shared" si="30"/>
        <v>513</v>
      </c>
      <c r="V44" s="14">
        <f t="shared" si="31"/>
        <v>299</v>
      </c>
      <c r="W44" s="18">
        <f t="shared" si="32"/>
        <v>513</v>
      </c>
      <c r="X44" s="14">
        <f t="shared" si="33"/>
        <v>299</v>
      </c>
      <c r="Y44" s="18">
        <f t="shared" si="34"/>
        <v>484</v>
      </c>
      <c r="Z44" s="14">
        <f t="shared" si="35"/>
        <v>273</v>
      </c>
      <c r="AA44" s="18">
        <f t="shared" si="36"/>
        <v>484</v>
      </c>
      <c r="AB44" s="4" t="s">
        <v>0</v>
      </c>
    </row>
    <row r="45" spans="1:28">
      <c r="A45" s="9" t="s">
        <v>105</v>
      </c>
      <c r="B45" s="24"/>
      <c r="C45" s="26"/>
      <c r="D45" s="29">
        <f t="shared" si="73"/>
        <v>299</v>
      </c>
      <c r="E45" s="29">
        <f t="shared" ref="E45" si="81">E44</f>
        <v>237</v>
      </c>
      <c r="F45" s="29">
        <f t="shared" si="75"/>
        <v>325</v>
      </c>
      <c r="G45" s="29">
        <f t="shared" si="58"/>
        <v>266</v>
      </c>
      <c r="H45" s="4" t="s">
        <v>0</v>
      </c>
      <c r="I45" s="16" t="str">
        <f t="shared" si="19"/>
        <v>12-08</v>
      </c>
      <c r="J45" s="14">
        <f t="shared" si="20"/>
        <v>299</v>
      </c>
      <c r="K45" s="15">
        <f t="shared" si="21"/>
        <v>237</v>
      </c>
      <c r="L45" s="17">
        <f t="shared" si="22"/>
        <v>325</v>
      </c>
      <c r="M45" s="18">
        <f t="shared" si="23"/>
        <v>237</v>
      </c>
      <c r="N45" s="14">
        <f t="shared" si="24"/>
        <v>325</v>
      </c>
      <c r="O45" s="15">
        <f t="shared" si="25"/>
        <v>266</v>
      </c>
      <c r="P45" s="17">
        <f t="shared" si="26"/>
        <v>299</v>
      </c>
      <c r="Q45" s="18">
        <f t="shared" si="27"/>
        <v>266</v>
      </c>
      <c r="R45" s="4" t="s">
        <v>0</v>
      </c>
      <c r="S45" s="16" t="str">
        <f t="shared" si="28"/>
        <v>12-08</v>
      </c>
      <c r="T45" s="14">
        <f t="shared" si="29"/>
        <v>299</v>
      </c>
      <c r="U45" s="18">
        <f t="shared" si="30"/>
        <v>513</v>
      </c>
      <c r="V45" s="14">
        <f t="shared" si="31"/>
        <v>325</v>
      </c>
      <c r="W45" s="18">
        <f t="shared" si="32"/>
        <v>513</v>
      </c>
      <c r="X45" s="14">
        <f t="shared" si="33"/>
        <v>325</v>
      </c>
      <c r="Y45" s="18">
        <f t="shared" si="34"/>
        <v>484</v>
      </c>
      <c r="Z45" s="14">
        <f t="shared" si="35"/>
        <v>299</v>
      </c>
      <c r="AA45" s="18">
        <f t="shared" si="36"/>
        <v>484</v>
      </c>
      <c r="AB45" s="4" t="s">
        <v>0</v>
      </c>
    </row>
    <row r="46" spans="1:28">
      <c r="A46" s="9" t="s">
        <v>104</v>
      </c>
      <c r="B46" s="24"/>
      <c r="C46" s="26"/>
      <c r="D46" s="29">
        <f t="shared" si="73"/>
        <v>325</v>
      </c>
      <c r="E46" s="29">
        <f t="shared" ref="E46" si="82">E45</f>
        <v>237</v>
      </c>
      <c r="F46" s="29">
        <f t="shared" si="75"/>
        <v>351</v>
      </c>
      <c r="G46" s="29">
        <f t="shared" si="58"/>
        <v>266</v>
      </c>
      <c r="H46" s="4" t="s">
        <v>0</v>
      </c>
      <c r="I46" s="16" t="str">
        <f t="shared" si="19"/>
        <v>12-07</v>
      </c>
      <c r="J46" s="14">
        <f t="shared" si="20"/>
        <v>325</v>
      </c>
      <c r="K46" s="15">
        <f t="shared" si="21"/>
        <v>237</v>
      </c>
      <c r="L46" s="17">
        <f t="shared" si="22"/>
        <v>351</v>
      </c>
      <c r="M46" s="18">
        <f t="shared" si="23"/>
        <v>237</v>
      </c>
      <c r="N46" s="14">
        <f t="shared" si="24"/>
        <v>351</v>
      </c>
      <c r="O46" s="15">
        <f t="shared" si="25"/>
        <v>266</v>
      </c>
      <c r="P46" s="17">
        <f t="shared" si="26"/>
        <v>325</v>
      </c>
      <c r="Q46" s="18">
        <f t="shared" si="27"/>
        <v>266</v>
      </c>
      <c r="R46" s="4" t="s">
        <v>0</v>
      </c>
      <c r="S46" s="16" t="str">
        <f t="shared" si="28"/>
        <v>12-07</v>
      </c>
      <c r="T46" s="14">
        <f t="shared" si="29"/>
        <v>325</v>
      </c>
      <c r="U46" s="18">
        <f t="shared" si="30"/>
        <v>513</v>
      </c>
      <c r="V46" s="14">
        <f t="shared" si="31"/>
        <v>351</v>
      </c>
      <c r="W46" s="18">
        <f t="shared" si="32"/>
        <v>513</v>
      </c>
      <c r="X46" s="14">
        <f t="shared" si="33"/>
        <v>351</v>
      </c>
      <c r="Y46" s="18">
        <f t="shared" si="34"/>
        <v>484</v>
      </c>
      <c r="Z46" s="14">
        <f t="shared" si="35"/>
        <v>325</v>
      </c>
      <c r="AA46" s="18">
        <f t="shared" si="36"/>
        <v>484</v>
      </c>
      <c r="AB46" s="4" t="s">
        <v>0</v>
      </c>
    </row>
    <row r="47" spans="1:28">
      <c r="A47" s="9" t="s">
        <v>103</v>
      </c>
      <c r="B47" s="24"/>
      <c r="C47" s="26"/>
      <c r="D47" s="29">
        <f t="shared" si="73"/>
        <v>351</v>
      </c>
      <c r="E47" s="29">
        <f t="shared" ref="E47" si="83">E46</f>
        <v>237</v>
      </c>
      <c r="F47" s="29">
        <f t="shared" si="75"/>
        <v>377</v>
      </c>
      <c r="G47" s="29">
        <f t="shared" si="58"/>
        <v>266</v>
      </c>
      <c r="H47" s="4" t="s">
        <v>0</v>
      </c>
      <c r="I47" s="16" t="str">
        <f t="shared" si="19"/>
        <v>12-06</v>
      </c>
      <c r="J47" s="14">
        <f t="shared" si="20"/>
        <v>351</v>
      </c>
      <c r="K47" s="15">
        <f t="shared" si="21"/>
        <v>237</v>
      </c>
      <c r="L47" s="17">
        <f t="shared" si="22"/>
        <v>377</v>
      </c>
      <c r="M47" s="18">
        <f t="shared" si="23"/>
        <v>237</v>
      </c>
      <c r="N47" s="14">
        <f t="shared" si="24"/>
        <v>377</v>
      </c>
      <c r="O47" s="15">
        <f t="shared" si="25"/>
        <v>266</v>
      </c>
      <c r="P47" s="17">
        <f t="shared" si="26"/>
        <v>351</v>
      </c>
      <c r="Q47" s="18">
        <f t="shared" si="27"/>
        <v>266</v>
      </c>
      <c r="R47" s="4" t="s">
        <v>0</v>
      </c>
      <c r="S47" s="16" t="str">
        <f t="shared" si="28"/>
        <v>12-06</v>
      </c>
      <c r="T47" s="14">
        <f t="shared" si="29"/>
        <v>351</v>
      </c>
      <c r="U47" s="18">
        <f t="shared" si="30"/>
        <v>513</v>
      </c>
      <c r="V47" s="14">
        <f t="shared" si="31"/>
        <v>377</v>
      </c>
      <c r="W47" s="18">
        <f t="shared" si="32"/>
        <v>513</v>
      </c>
      <c r="X47" s="14">
        <f t="shared" si="33"/>
        <v>377</v>
      </c>
      <c r="Y47" s="18">
        <f t="shared" si="34"/>
        <v>484</v>
      </c>
      <c r="Z47" s="14">
        <f t="shared" si="35"/>
        <v>351</v>
      </c>
      <c r="AA47" s="18">
        <f t="shared" si="36"/>
        <v>484</v>
      </c>
      <c r="AB47" s="4" t="s">
        <v>0</v>
      </c>
    </row>
    <row r="48" spans="1:28">
      <c r="A48" s="9" t="s">
        <v>102</v>
      </c>
      <c r="B48" s="24"/>
      <c r="C48" s="26"/>
      <c r="D48" s="29">
        <f t="shared" si="73"/>
        <v>377</v>
      </c>
      <c r="E48" s="29">
        <f t="shared" ref="E48" si="84">E47</f>
        <v>237</v>
      </c>
      <c r="F48" s="29">
        <f t="shared" si="75"/>
        <v>403</v>
      </c>
      <c r="G48" s="29">
        <f t="shared" si="58"/>
        <v>266</v>
      </c>
      <c r="H48" s="4" t="s">
        <v>0</v>
      </c>
      <c r="I48" s="16" t="str">
        <f t="shared" si="19"/>
        <v>12-05</v>
      </c>
      <c r="J48" s="14">
        <f t="shared" si="20"/>
        <v>377</v>
      </c>
      <c r="K48" s="15">
        <f t="shared" si="21"/>
        <v>237</v>
      </c>
      <c r="L48" s="17">
        <f t="shared" si="22"/>
        <v>403</v>
      </c>
      <c r="M48" s="18">
        <f t="shared" si="23"/>
        <v>237</v>
      </c>
      <c r="N48" s="14">
        <f t="shared" si="24"/>
        <v>403</v>
      </c>
      <c r="O48" s="15">
        <f t="shared" si="25"/>
        <v>266</v>
      </c>
      <c r="P48" s="17">
        <f t="shared" si="26"/>
        <v>377</v>
      </c>
      <c r="Q48" s="18">
        <f t="shared" si="27"/>
        <v>266</v>
      </c>
      <c r="R48" s="4" t="s">
        <v>0</v>
      </c>
      <c r="S48" s="16" t="str">
        <f t="shared" si="28"/>
        <v>12-05</v>
      </c>
      <c r="T48" s="14">
        <f t="shared" si="29"/>
        <v>377</v>
      </c>
      <c r="U48" s="18">
        <f t="shared" si="30"/>
        <v>513</v>
      </c>
      <c r="V48" s="14">
        <f t="shared" si="31"/>
        <v>403</v>
      </c>
      <c r="W48" s="18">
        <f t="shared" si="32"/>
        <v>513</v>
      </c>
      <c r="X48" s="14">
        <f t="shared" si="33"/>
        <v>403</v>
      </c>
      <c r="Y48" s="18">
        <f t="shared" si="34"/>
        <v>484</v>
      </c>
      <c r="Z48" s="14">
        <f t="shared" si="35"/>
        <v>377</v>
      </c>
      <c r="AA48" s="18">
        <f t="shared" si="36"/>
        <v>484</v>
      </c>
      <c r="AB48" s="4" t="s">
        <v>0</v>
      </c>
    </row>
    <row r="49" spans="1:28">
      <c r="A49" s="9" t="s">
        <v>101</v>
      </c>
      <c r="B49" s="24"/>
      <c r="C49" s="26"/>
      <c r="D49" s="29">
        <f t="shared" si="73"/>
        <v>403</v>
      </c>
      <c r="E49" s="29">
        <f t="shared" ref="E49" si="85">E48</f>
        <v>237</v>
      </c>
      <c r="F49" s="29">
        <f t="shared" si="75"/>
        <v>429</v>
      </c>
      <c r="G49" s="29">
        <f t="shared" si="58"/>
        <v>266</v>
      </c>
      <c r="H49" s="4" t="s">
        <v>0</v>
      </c>
      <c r="I49" s="16" t="str">
        <f t="shared" si="19"/>
        <v>12-03</v>
      </c>
      <c r="J49" s="14">
        <f t="shared" si="20"/>
        <v>403</v>
      </c>
      <c r="K49" s="15">
        <f t="shared" si="21"/>
        <v>237</v>
      </c>
      <c r="L49" s="17">
        <f t="shared" si="22"/>
        <v>429</v>
      </c>
      <c r="M49" s="18">
        <f t="shared" si="23"/>
        <v>237</v>
      </c>
      <c r="N49" s="14">
        <f t="shared" si="24"/>
        <v>429</v>
      </c>
      <c r="O49" s="15">
        <f t="shared" si="25"/>
        <v>266</v>
      </c>
      <c r="P49" s="17">
        <f t="shared" si="26"/>
        <v>403</v>
      </c>
      <c r="Q49" s="18">
        <f t="shared" si="27"/>
        <v>266</v>
      </c>
      <c r="R49" s="4" t="s">
        <v>0</v>
      </c>
      <c r="S49" s="16" t="str">
        <f t="shared" si="28"/>
        <v>12-03</v>
      </c>
      <c r="T49" s="14">
        <f t="shared" si="29"/>
        <v>403</v>
      </c>
      <c r="U49" s="18">
        <f t="shared" si="30"/>
        <v>513</v>
      </c>
      <c r="V49" s="14">
        <f t="shared" si="31"/>
        <v>429</v>
      </c>
      <c r="W49" s="18">
        <f t="shared" si="32"/>
        <v>513</v>
      </c>
      <c r="X49" s="14">
        <f t="shared" si="33"/>
        <v>429</v>
      </c>
      <c r="Y49" s="18">
        <f t="shared" si="34"/>
        <v>484</v>
      </c>
      <c r="Z49" s="14">
        <f t="shared" si="35"/>
        <v>403</v>
      </c>
      <c r="AA49" s="18">
        <f t="shared" si="36"/>
        <v>484</v>
      </c>
      <c r="AB49" s="4" t="s">
        <v>0</v>
      </c>
    </row>
    <row r="50" spans="1:28">
      <c r="A50" s="9" t="s">
        <v>100</v>
      </c>
      <c r="B50" s="24"/>
      <c r="C50" s="26"/>
      <c r="D50" s="29">
        <f t="shared" si="73"/>
        <v>429</v>
      </c>
      <c r="E50" s="29">
        <f t="shared" ref="E50" si="86">E49</f>
        <v>237</v>
      </c>
      <c r="F50" s="29">
        <f t="shared" si="75"/>
        <v>455</v>
      </c>
      <c r="G50" s="29">
        <f t="shared" si="58"/>
        <v>266</v>
      </c>
      <c r="H50" s="4" t="s">
        <v>0</v>
      </c>
      <c r="I50" s="16" t="str">
        <f t="shared" si="19"/>
        <v>12-02</v>
      </c>
      <c r="J50" s="14">
        <f t="shared" si="20"/>
        <v>429</v>
      </c>
      <c r="K50" s="15">
        <f t="shared" si="21"/>
        <v>237</v>
      </c>
      <c r="L50" s="17">
        <f t="shared" si="22"/>
        <v>455</v>
      </c>
      <c r="M50" s="18">
        <f t="shared" si="23"/>
        <v>237</v>
      </c>
      <c r="N50" s="14">
        <f t="shared" si="24"/>
        <v>455</v>
      </c>
      <c r="O50" s="15">
        <f t="shared" si="25"/>
        <v>266</v>
      </c>
      <c r="P50" s="17">
        <f t="shared" si="26"/>
        <v>429</v>
      </c>
      <c r="Q50" s="18">
        <f t="shared" si="27"/>
        <v>266</v>
      </c>
      <c r="R50" s="4" t="s">
        <v>0</v>
      </c>
      <c r="S50" s="16" t="str">
        <f t="shared" si="28"/>
        <v>12-02</v>
      </c>
      <c r="T50" s="14">
        <f t="shared" si="29"/>
        <v>429</v>
      </c>
      <c r="U50" s="18">
        <f t="shared" si="30"/>
        <v>513</v>
      </c>
      <c r="V50" s="14">
        <f t="shared" si="31"/>
        <v>455</v>
      </c>
      <c r="W50" s="18">
        <f t="shared" si="32"/>
        <v>513</v>
      </c>
      <c r="X50" s="14">
        <f t="shared" si="33"/>
        <v>455</v>
      </c>
      <c r="Y50" s="18">
        <f t="shared" si="34"/>
        <v>484</v>
      </c>
      <c r="Z50" s="14">
        <f t="shared" si="35"/>
        <v>429</v>
      </c>
      <c r="AA50" s="18">
        <f t="shared" si="36"/>
        <v>484</v>
      </c>
      <c r="AB50" s="4" t="s">
        <v>0</v>
      </c>
    </row>
    <row r="51" spans="1:28">
      <c r="A51" s="9" t="s">
        <v>99</v>
      </c>
      <c r="B51" s="24"/>
      <c r="C51" s="26"/>
      <c r="D51" s="29">
        <f t="shared" si="73"/>
        <v>455</v>
      </c>
      <c r="E51" s="29">
        <f t="shared" ref="E51" si="87">E50</f>
        <v>237</v>
      </c>
      <c r="F51" s="29">
        <f t="shared" si="75"/>
        <v>481</v>
      </c>
      <c r="G51" s="29">
        <f t="shared" si="58"/>
        <v>266</v>
      </c>
      <c r="H51" s="4" t="s">
        <v>0</v>
      </c>
      <c r="I51" s="16" t="str">
        <f t="shared" si="19"/>
        <v>12-01</v>
      </c>
      <c r="J51" s="14">
        <f t="shared" si="20"/>
        <v>455</v>
      </c>
      <c r="K51" s="15">
        <f t="shared" si="21"/>
        <v>237</v>
      </c>
      <c r="L51" s="17">
        <f t="shared" si="22"/>
        <v>481</v>
      </c>
      <c r="M51" s="18">
        <f t="shared" si="23"/>
        <v>237</v>
      </c>
      <c r="N51" s="14">
        <f t="shared" si="24"/>
        <v>481</v>
      </c>
      <c r="O51" s="15">
        <f t="shared" si="25"/>
        <v>266</v>
      </c>
      <c r="P51" s="17">
        <f t="shared" si="26"/>
        <v>455</v>
      </c>
      <c r="Q51" s="18">
        <f t="shared" si="27"/>
        <v>266</v>
      </c>
      <c r="R51" s="4" t="s">
        <v>0</v>
      </c>
      <c r="S51" s="16" t="str">
        <f t="shared" si="28"/>
        <v>12-01</v>
      </c>
      <c r="T51" s="14">
        <f t="shared" si="29"/>
        <v>455</v>
      </c>
      <c r="U51" s="18">
        <f t="shared" si="30"/>
        <v>513</v>
      </c>
      <c r="V51" s="14">
        <f t="shared" si="31"/>
        <v>481</v>
      </c>
      <c r="W51" s="18">
        <f t="shared" si="32"/>
        <v>513</v>
      </c>
      <c r="X51" s="14">
        <f t="shared" si="33"/>
        <v>481</v>
      </c>
      <c r="Y51" s="18">
        <f t="shared" si="34"/>
        <v>484</v>
      </c>
      <c r="Z51" s="14">
        <f t="shared" si="35"/>
        <v>455</v>
      </c>
      <c r="AA51" s="18">
        <f t="shared" si="36"/>
        <v>484</v>
      </c>
      <c r="AB51" s="4" t="s">
        <v>0</v>
      </c>
    </row>
    <row r="52" spans="1:28">
      <c r="A52" s="9" t="s">
        <v>197</v>
      </c>
      <c r="B52" s="24"/>
      <c r="C52" s="26">
        <v>2</v>
      </c>
      <c r="D52" s="27">
        <v>117</v>
      </c>
      <c r="E52" s="34">
        <f t="shared" ref="E52" si="88">ROUND(E$25+38.5*$C52,0)</f>
        <v>275</v>
      </c>
      <c r="F52" s="31">
        <v>143</v>
      </c>
      <c r="G52" s="34">
        <f t="shared" ref="G52" si="89">ROUND(G$25+38.5*$C52,0)</f>
        <v>304</v>
      </c>
      <c r="H52" s="4" t="s">
        <v>0</v>
      </c>
      <c r="I52" s="16" t="str">
        <f t="shared" si="19"/>
        <v>11-17</v>
      </c>
      <c r="J52" s="14">
        <f t="shared" si="20"/>
        <v>117</v>
      </c>
      <c r="K52" s="15">
        <f t="shared" si="21"/>
        <v>275</v>
      </c>
      <c r="L52" s="17">
        <f t="shared" si="22"/>
        <v>143</v>
      </c>
      <c r="M52" s="18">
        <f t="shared" si="23"/>
        <v>275</v>
      </c>
      <c r="N52" s="14">
        <f t="shared" si="24"/>
        <v>143</v>
      </c>
      <c r="O52" s="15">
        <f t="shared" si="25"/>
        <v>304</v>
      </c>
      <c r="P52" s="17">
        <f t="shared" si="26"/>
        <v>117</v>
      </c>
      <c r="Q52" s="18">
        <f t="shared" si="27"/>
        <v>304</v>
      </c>
      <c r="R52" s="4" t="s">
        <v>0</v>
      </c>
      <c r="S52" s="16" t="str">
        <f t="shared" si="28"/>
        <v>11-17</v>
      </c>
      <c r="T52" s="14">
        <f t="shared" si="29"/>
        <v>117</v>
      </c>
      <c r="U52" s="18">
        <f t="shared" si="30"/>
        <v>475</v>
      </c>
      <c r="V52" s="14">
        <f t="shared" si="31"/>
        <v>143</v>
      </c>
      <c r="W52" s="18">
        <f t="shared" si="32"/>
        <v>475</v>
      </c>
      <c r="X52" s="14">
        <f t="shared" si="33"/>
        <v>143</v>
      </c>
      <c r="Y52" s="18">
        <f t="shared" si="34"/>
        <v>446</v>
      </c>
      <c r="Z52" s="14">
        <f t="shared" si="35"/>
        <v>117</v>
      </c>
      <c r="AA52" s="18">
        <f t="shared" si="36"/>
        <v>446</v>
      </c>
      <c r="AB52" s="4" t="s">
        <v>0</v>
      </c>
    </row>
    <row r="53" spans="1:28">
      <c r="A53" s="9" t="s">
        <v>196</v>
      </c>
      <c r="B53" s="24"/>
      <c r="C53" s="26"/>
      <c r="D53" s="29">
        <f t="shared" si="73"/>
        <v>143</v>
      </c>
      <c r="E53" s="29">
        <f t="shared" ref="E53" si="90">E52</f>
        <v>275</v>
      </c>
      <c r="F53" s="29">
        <f t="shared" si="75"/>
        <v>169</v>
      </c>
      <c r="G53" s="29">
        <f t="shared" si="58"/>
        <v>304</v>
      </c>
      <c r="H53" s="4" t="s">
        <v>0</v>
      </c>
      <c r="I53" s="16" t="str">
        <f t="shared" si="19"/>
        <v>11-16</v>
      </c>
      <c r="J53" s="14">
        <f t="shared" si="20"/>
        <v>143</v>
      </c>
      <c r="K53" s="15">
        <f t="shared" si="21"/>
        <v>275</v>
      </c>
      <c r="L53" s="17">
        <f t="shared" si="22"/>
        <v>169</v>
      </c>
      <c r="M53" s="18">
        <f t="shared" si="23"/>
        <v>275</v>
      </c>
      <c r="N53" s="14">
        <f t="shared" si="24"/>
        <v>169</v>
      </c>
      <c r="O53" s="15">
        <f t="shared" si="25"/>
        <v>304</v>
      </c>
      <c r="P53" s="17">
        <f t="shared" si="26"/>
        <v>143</v>
      </c>
      <c r="Q53" s="18">
        <f t="shared" si="27"/>
        <v>304</v>
      </c>
      <c r="R53" s="4" t="s">
        <v>0</v>
      </c>
      <c r="S53" s="16" t="str">
        <f t="shared" si="28"/>
        <v>11-16</v>
      </c>
      <c r="T53" s="14">
        <f t="shared" si="29"/>
        <v>143</v>
      </c>
      <c r="U53" s="18">
        <f t="shared" si="30"/>
        <v>475</v>
      </c>
      <c r="V53" s="14">
        <f t="shared" si="31"/>
        <v>169</v>
      </c>
      <c r="W53" s="18">
        <f t="shared" si="32"/>
        <v>475</v>
      </c>
      <c r="X53" s="14">
        <f t="shared" si="33"/>
        <v>169</v>
      </c>
      <c r="Y53" s="18">
        <f t="shared" si="34"/>
        <v>446</v>
      </c>
      <c r="Z53" s="14">
        <f t="shared" si="35"/>
        <v>143</v>
      </c>
      <c r="AA53" s="18">
        <f t="shared" si="36"/>
        <v>446</v>
      </c>
      <c r="AB53" s="4" t="s">
        <v>0</v>
      </c>
    </row>
    <row r="54" spans="1:28">
      <c r="A54" s="9" t="s">
        <v>195</v>
      </c>
      <c r="B54" s="24"/>
      <c r="C54" s="26"/>
      <c r="D54" s="29">
        <f t="shared" si="73"/>
        <v>169</v>
      </c>
      <c r="E54" s="29">
        <f t="shared" ref="E54" si="91">E53</f>
        <v>275</v>
      </c>
      <c r="F54" s="29">
        <f t="shared" si="75"/>
        <v>195</v>
      </c>
      <c r="G54" s="29">
        <f t="shared" si="58"/>
        <v>304</v>
      </c>
      <c r="H54" s="4" t="s">
        <v>0</v>
      </c>
      <c r="I54" s="16" t="str">
        <f t="shared" si="19"/>
        <v>11-15</v>
      </c>
      <c r="J54" s="14">
        <f t="shared" si="20"/>
        <v>169</v>
      </c>
      <c r="K54" s="15">
        <f t="shared" si="21"/>
        <v>275</v>
      </c>
      <c r="L54" s="17">
        <f t="shared" si="22"/>
        <v>195</v>
      </c>
      <c r="M54" s="18">
        <f t="shared" si="23"/>
        <v>275</v>
      </c>
      <c r="N54" s="14">
        <f t="shared" si="24"/>
        <v>195</v>
      </c>
      <c r="O54" s="15">
        <f t="shared" si="25"/>
        <v>304</v>
      </c>
      <c r="P54" s="17">
        <f t="shared" si="26"/>
        <v>169</v>
      </c>
      <c r="Q54" s="18">
        <f t="shared" si="27"/>
        <v>304</v>
      </c>
      <c r="R54" s="4" t="s">
        <v>0</v>
      </c>
      <c r="S54" s="16" t="str">
        <f t="shared" si="28"/>
        <v>11-15</v>
      </c>
      <c r="T54" s="14">
        <f t="shared" si="29"/>
        <v>169</v>
      </c>
      <c r="U54" s="18">
        <f t="shared" si="30"/>
        <v>475</v>
      </c>
      <c r="V54" s="14">
        <f t="shared" si="31"/>
        <v>195</v>
      </c>
      <c r="W54" s="18">
        <f t="shared" si="32"/>
        <v>475</v>
      </c>
      <c r="X54" s="14">
        <f t="shared" si="33"/>
        <v>195</v>
      </c>
      <c r="Y54" s="18">
        <f t="shared" si="34"/>
        <v>446</v>
      </c>
      <c r="Z54" s="14">
        <f t="shared" si="35"/>
        <v>169</v>
      </c>
      <c r="AA54" s="18">
        <f t="shared" si="36"/>
        <v>446</v>
      </c>
      <c r="AB54" s="4" t="s">
        <v>0</v>
      </c>
    </row>
    <row r="55" spans="1:28">
      <c r="A55" s="9" t="s">
        <v>194</v>
      </c>
      <c r="B55" s="24"/>
      <c r="C55" s="26"/>
      <c r="D55" s="29">
        <f t="shared" si="73"/>
        <v>195</v>
      </c>
      <c r="E55" s="29">
        <f t="shared" ref="E55" si="92">E54</f>
        <v>275</v>
      </c>
      <c r="F55" s="29">
        <f t="shared" si="75"/>
        <v>221</v>
      </c>
      <c r="G55" s="29">
        <f t="shared" si="58"/>
        <v>304</v>
      </c>
      <c r="H55" s="4" t="s">
        <v>0</v>
      </c>
      <c r="I55" s="16" t="str">
        <f t="shared" si="19"/>
        <v>11-13</v>
      </c>
      <c r="J55" s="14">
        <f t="shared" si="20"/>
        <v>195</v>
      </c>
      <c r="K55" s="15">
        <f t="shared" si="21"/>
        <v>275</v>
      </c>
      <c r="L55" s="17">
        <f t="shared" si="22"/>
        <v>221</v>
      </c>
      <c r="M55" s="18">
        <f t="shared" si="23"/>
        <v>275</v>
      </c>
      <c r="N55" s="14">
        <f t="shared" si="24"/>
        <v>221</v>
      </c>
      <c r="O55" s="15">
        <f t="shared" si="25"/>
        <v>304</v>
      </c>
      <c r="P55" s="17">
        <f t="shared" si="26"/>
        <v>195</v>
      </c>
      <c r="Q55" s="18">
        <f t="shared" si="27"/>
        <v>304</v>
      </c>
      <c r="R55" s="4" t="s">
        <v>0</v>
      </c>
      <c r="S55" s="16" t="str">
        <f t="shared" si="28"/>
        <v>11-13</v>
      </c>
      <c r="T55" s="14">
        <f t="shared" si="29"/>
        <v>195</v>
      </c>
      <c r="U55" s="18">
        <f t="shared" si="30"/>
        <v>475</v>
      </c>
      <c r="V55" s="14">
        <f t="shared" si="31"/>
        <v>221</v>
      </c>
      <c r="W55" s="18">
        <f t="shared" si="32"/>
        <v>475</v>
      </c>
      <c r="X55" s="14">
        <f t="shared" si="33"/>
        <v>221</v>
      </c>
      <c r="Y55" s="18">
        <f t="shared" si="34"/>
        <v>446</v>
      </c>
      <c r="Z55" s="14">
        <f t="shared" si="35"/>
        <v>195</v>
      </c>
      <c r="AA55" s="18">
        <f t="shared" si="36"/>
        <v>446</v>
      </c>
      <c r="AB55" s="4" t="s">
        <v>0</v>
      </c>
    </row>
    <row r="56" spans="1:28">
      <c r="A56" s="9" t="s">
        <v>98</v>
      </c>
      <c r="B56" s="24"/>
      <c r="C56" s="26"/>
      <c r="D56" s="29">
        <f t="shared" si="73"/>
        <v>221</v>
      </c>
      <c r="E56" s="29">
        <f t="shared" ref="E56" si="93">E55</f>
        <v>275</v>
      </c>
      <c r="F56" s="29">
        <f t="shared" si="75"/>
        <v>247</v>
      </c>
      <c r="G56" s="29">
        <f t="shared" si="58"/>
        <v>304</v>
      </c>
      <c r="H56" s="4" t="s">
        <v>0</v>
      </c>
      <c r="I56" s="16" t="str">
        <f t="shared" si="19"/>
        <v>11-12</v>
      </c>
      <c r="J56" s="14">
        <f t="shared" si="20"/>
        <v>221</v>
      </c>
      <c r="K56" s="15">
        <f t="shared" si="21"/>
        <v>275</v>
      </c>
      <c r="L56" s="17">
        <f t="shared" si="22"/>
        <v>247</v>
      </c>
      <c r="M56" s="18">
        <f t="shared" si="23"/>
        <v>275</v>
      </c>
      <c r="N56" s="14">
        <f t="shared" si="24"/>
        <v>247</v>
      </c>
      <c r="O56" s="15">
        <f t="shared" si="25"/>
        <v>304</v>
      </c>
      <c r="P56" s="17">
        <f t="shared" si="26"/>
        <v>221</v>
      </c>
      <c r="Q56" s="18">
        <f t="shared" si="27"/>
        <v>304</v>
      </c>
      <c r="R56" s="4" t="s">
        <v>0</v>
      </c>
      <c r="S56" s="16" t="str">
        <f t="shared" si="28"/>
        <v>11-12</v>
      </c>
      <c r="T56" s="14">
        <f t="shared" si="29"/>
        <v>221</v>
      </c>
      <c r="U56" s="18">
        <f t="shared" si="30"/>
        <v>475</v>
      </c>
      <c r="V56" s="14">
        <f t="shared" si="31"/>
        <v>247</v>
      </c>
      <c r="W56" s="18">
        <f t="shared" si="32"/>
        <v>475</v>
      </c>
      <c r="X56" s="14">
        <f t="shared" si="33"/>
        <v>247</v>
      </c>
      <c r="Y56" s="18">
        <f t="shared" si="34"/>
        <v>446</v>
      </c>
      <c r="Z56" s="14">
        <f t="shared" si="35"/>
        <v>221</v>
      </c>
      <c r="AA56" s="18">
        <f t="shared" si="36"/>
        <v>446</v>
      </c>
      <c r="AB56" s="4" t="s">
        <v>0</v>
      </c>
    </row>
    <row r="57" spans="1:28">
      <c r="A57" s="9" t="s">
        <v>97</v>
      </c>
      <c r="B57" s="24"/>
      <c r="C57" s="26"/>
      <c r="D57" s="29">
        <f t="shared" si="73"/>
        <v>247</v>
      </c>
      <c r="E57" s="29">
        <f t="shared" ref="E57" si="94">E56</f>
        <v>275</v>
      </c>
      <c r="F57" s="29">
        <f t="shared" si="75"/>
        <v>273</v>
      </c>
      <c r="G57" s="29">
        <f t="shared" si="58"/>
        <v>304</v>
      </c>
      <c r="H57" s="4" t="s">
        <v>0</v>
      </c>
      <c r="I57" s="16" t="str">
        <f t="shared" si="19"/>
        <v>11-11</v>
      </c>
      <c r="J57" s="14">
        <f t="shared" si="20"/>
        <v>247</v>
      </c>
      <c r="K57" s="15">
        <f t="shared" si="21"/>
        <v>275</v>
      </c>
      <c r="L57" s="17">
        <f t="shared" si="22"/>
        <v>273</v>
      </c>
      <c r="M57" s="18">
        <f t="shared" si="23"/>
        <v>275</v>
      </c>
      <c r="N57" s="14">
        <f t="shared" si="24"/>
        <v>273</v>
      </c>
      <c r="O57" s="15">
        <f t="shared" si="25"/>
        <v>304</v>
      </c>
      <c r="P57" s="17">
        <f t="shared" si="26"/>
        <v>247</v>
      </c>
      <c r="Q57" s="18">
        <f t="shared" si="27"/>
        <v>304</v>
      </c>
      <c r="R57" s="4" t="s">
        <v>0</v>
      </c>
      <c r="S57" s="16" t="str">
        <f t="shared" si="28"/>
        <v>11-11</v>
      </c>
      <c r="T57" s="14">
        <f t="shared" si="29"/>
        <v>247</v>
      </c>
      <c r="U57" s="18">
        <f t="shared" si="30"/>
        <v>475</v>
      </c>
      <c r="V57" s="14">
        <f t="shared" si="31"/>
        <v>273</v>
      </c>
      <c r="W57" s="18">
        <f t="shared" si="32"/>
        <v>475</v>
      </c>
      <c r="X57" s="14">
        <f t="shared" si="33"/>
        <v>273</v>
      </c>
      <c r="Y57" s="18">
        <f t="shared" si="34"/>
        <v>446</v>
      </c>
      <c r="Z57" s="14">
        <f t="shared" si="35"/>
        <v>247</v>
      </c>
      <c r="AA57" s="18">
        <f t="shared" si="36"/>
        <v>446</v>
      </c>
      <c r="AB57" s="4" t="s">
        <v>0</v>
      </c>
    </row>
    <row r="58" spans="1:28">
      <c r="A58" s="9" t="s">
        <v>96</v>
      </c>
      <c r="B58" s="24"/>
      <c r="C58" s="26"/>
      <c r="D58" s="29">
        <f t="shared" si="73"/>
        <v>273</v>
      </c>
      <c r="E58" s="29">
        <f t="shared" ref="E58" si="95">E57</f>
        <v>275</v>
      </c>
      <c r="F58" s="29">
        <f t="shared" si="75"/>
        <v>299</v>
      </c>
      <c r="G58" s="29">
        <f t="shared" si="58"/>
        <v>304</v>
      </c>
      <c r="H58" s="4" t="s">
        <v>0</v>
      </c>
      <c r="I58" s="16" t="str">
        <f t="shared" si="19"/>
        <v>11-10</v>
      </c>
      <c r="J58" s="14">
        <f t="shared" si="20"/>
        <v>273</v>
      </c>
      <c r="K58" s="15">
        <f t="shared" si="21"/>
        <v>275</v>
      </c>
      <c r="L58" s="17">
        <f t="shared" si="22"/>
        <v>299</v>
      </c>
      <c r="M58" s="18">
        <f t="shared" si="23"/>
        <v>275</v>
      </c>
      <c r="N58" s="14">
        <f t="shared" si="24"/>
        <v>299</v>
      </c>
      <c r="O58" s="15">
        <f t="shared" si="25"/>
        <v>304</v>
      </c>
      <c r="P58" s="17">
        <f t="shared" si="26"/>
        <v>273</v>
      </c>
      <c r="Q58" s="18">
        <f t="shared" si="27"/>
        <v>304</v>
      </c>
      <c r="R58" s="4" t="s">
        <v>0</v>
      </c>
      <c r="S58" s="16" t="str">
        <f t="shared" si="28"/>
        <v>11-10</v>
      </c>
      <c r="T58" s="14">
        <f t="shared" si="29"/>
        <v>273</v>
      </c>
      <c r="U58" s="18">
        <f t="shared" si="30"/>
        <v>475</v>
      </c>
      <c r="V58" s="14">
        <f t="shared" si="31"/>
        <v>299</v>
      </c>
      <c r="W58" s="18">
        <f t="shared" si="32"/>
        <v>475</v>
      </c>
      <c r="X58" s="14">
        <f t="shared" si="33"/>
        <v>299</v>
      </c>
      <c r="Y58" s="18">
        <f t="shared" si="34"/>
        <v>446</v>
      </c>
      <c r="Z58" s="14">
        <f t="shared" si="35"/>
        <v>273</v>
      </c>
      <c r="AA58" s="18">
        <f t="shared" si="36"/>
        <v>446</v>
      </c>
      <c r="AB58" s="4" t="s">
        <v>0</v>
      </c>
    </row>
    <row r="59" spans="1:28">
      <c r="A59" s="9" t="s">
        <v>95</v>
      </c>
      <c r="B59" s="24"/>
      <c r="C59" s="26"/>
      <c r="D59" s="29">
        <f t="shared" si="73"/>
        <v>299</v>
      </c>
      <c r="E59" s="29">
        <f t="shared" ref="E59" si="96">E58</f>
        <v>275</v>
      </c>
      <c r="F59" s="29">
        <f t="shared" si="75"/>
        <v>325</v>
      </c>
      <c r="G59" s="29">
        <f t="shared" si="58"/>
        <v>304</v>
      </c>
      <c r="H59" s="4" t="s">
        <v>0</v>
      </c>
      <c r="I59" s="16" t="str">
        <f t="shared" si="19"/>
        <v>11-08</v>
      </c>
      <c r="J59" s="14">
        <f t="shared" si="20"/>
        <v>299</v>
      </c>
      <c r="K59" s="15">
        <f t="shared" si="21"/>
        <v>275</v>
      </c>
      <c r="L59" s="17">
        <f t="shared" si="22"/>
        <v>325</v>
      </c>
      <c r="M59" s="18">
        <f t="shared" si="23"/>
        <v>275</v>
      </c>
      <c r="N59" s="14">
        <f t="shared" si="24"/>
        <v>325</v>
      </c>
      <c r="O59" s="15">
        <f t="shared" si="25"/>
        <v>304</v>
      </c>
      <c r="P59" s="17">
        <f t="shared" si="26"/>
        <v>299</v>
      </c>
      <c r="Q59" s="18">
        <f t="shared" si="27"/>
        <v>304</v>
      </c>
      <c r="R59" s="4" t="s">
        <v>0</v>
      </c>
      <c r="S59" s="16" t="str">
        <f t="shared" si="28"/>
        <v>11-08</v>
      </c>
      <c r="T59" s="14">
        <f t="shared" si="29"/>
        <v>299</v>
      </c>
      <c r="U59" s="18">
        <f t="shared" si="30"/>
        <v>475</v>
      </c>
      <c r="V59" s="14">
        <f t="shared" si="31"/>
        <v>325</v>
      </c>
      <c r="W59" s="18">
        <f t="shared" si="32"/>
        <v>475</v>
      </c>
      <c r="X59" s="14">
        <f t="shared" si="33"/>
        <v>325</v>
      </c>
      <c r="Y59" s="18">
        <f t="shared" si="34"/>
        <v>446</v>
      </c>
      <c r="Z59" s="14">
        <f t="shared" si="35"/>
        <v>299</v>
      </c>
      <c r="AA59" s="18">
        <f t="shared" si="36"/>
        <v>446</v>
      </c>
      <c r="AB59" s="4" t="s">
        <v>0</v>
      </c>
    </row>
    <row r="60" spans="1:28">
      <c r="A60" s="9" t="s">
        <v>94</v>
      </c>
      <c r="B60" s="24"/>
      <c r="C60" s="26"/>
      <c r="D60" s="29">
        <f t="shared" si="73"/>
        <v>325</v>
      </c>
      <c r="E60" s="29">
        <f t="shared" ref="E60" si="97">E59</f>
        <v>275</v>
      </c>
      <c r="F60" s="29">
        <f t="shared" si="75"/>
        <v>351</v>
      </c>
      <c r="G60" s="29">
        <f t="shared" si="58"/>
        <v>304</v>
      </c>
      <c r="H60" s="4" t="s">
        <v>0</v>
      </c>
      <c r="I60" s="16" t="str">
        <f t="shared" si="19"/>
        <v>11-07</v>
      </c>
      <c r="J60" s="14">
        <f t="shared" si="20"/>
        <v>325</v>
      </c>
      <c r="K60" s="15">
        <f t="shared" si="21"/>
        <v>275</v>
      </c>
      <c r="L60" s="17">
        <f t="shared" si="22"/>
        <v>351</v>
      </c>
      <c r="M60" s="18">
        <f t="shared" si="23"/>
        <v>275</v>
      </c>
      <c r="N60" s="14">
        <f t="shared" si="24"/>
        <v>351</v>
      </c>
      <c r="O60" s="15">
        <f t="shared" si="25"/>
        <v>304</v>
      </c>
      <c r="P60" s="17">
        <f t="shared" si="26"/>
        <v>325</v>
      </c>
      <c r="Q60" s="18">
        <f t="shared" si="27"/>
        <v>304</v>
      </c>
      <c r="R60" s="4" t="s">
        <v>0</v>
      </c>
      <c r="S60" s="16" t="str">
        <f t="shared" si="28"/>
        <v>11-07</v>
      </c>
      <c r="T60" s="14">
        <f t="shared" si="29"/>
        <v>325</v>
      </c>
      <c r="U60" s="18">
        <f t="shared" si="30"/>
        <v>475</v>
      </c>
      <c r="V60" s="14">
        <f t="shared" si="31"/>
        <v>351</v>
      </c>
      <c r="W60" s="18">
        <f t="shared" si="32"/>
        <v>475</v>
      </c>
      <c r="X60" s="14">
        <f t="shared" si="33"/>
        <v>351</v>
      </c>
      <c r="Y60" s="18">
        <f t="shared" si="34"/>
        <v>446</v>
      </c>
      <c r="Z60" s="14">
        <f t="shared" si="35"/>
        <v>325</v>
      </c>
      <c r="AA60" s="18">
        <f t="shared" si="36"/>
        <v>446</v>
      </c>
      <c r="AB60" s="4" t="s">
        <v>0</v>
      </c>
    </row>
    <row r="61" spans="1:28">
      <c r="A61" s="9" t="s">
        <v>93</v>
      </c>
      <c r="B61" s="24"/>
      <c r="C61" s="26"/>
      <c r="D61" s="29">
        <f t="shared" si="73"/>
        <v>351</v>
      </c>
      <c r="E61" s="29">
        <f t="shared" ref="E61" si="98">E60</f>
        <v>275</v>
      </c>
      <c r="F61" s="29">
        <f t="shared" si="75"/>
        <v>377</v>
      </c>
      <c r="G61" s="29">
        <f t="shared" si="58"/>
        <v>304</v>
      </c>
      <c r="H61" s="4" t="s">
        <v>0</v>
      </c>
      <c r="I61" s="16" t="str">
        <f t="shared" si="19"/>
        <v>11-06</v>
      </c>
      <c r="J61" s="14">
        <f t="shared" si="20"/>
        <v>351</v>
      </c>
      <c r="K61" s="15">
        <f t="shared" si="21"/>
        <v>275</v>
      </c>
      <c r="L61" s="17">
        <f t="shared" si="22"/>
        <v>377</v>
      </c>
      <c r="M61" s="18">
        <f t="shared" si="23"/>
        <v>275</v>
      </c>
      <c r="N61" s="14">
        <f t="shared" si="24"/>
        <v>377</v>
      </c>
      <c r="O61" s="15">
        <f t="shared" si="25"/>
        <v>304</v>
      </c>
      <c r="P61" s="17">
        <f t="shared" si="26"/>
        <v>351</v>
      </c>
      <c r="Q61" s="18">
        <f t="shared" si="27"/>
        <v>304</v>
      </c>
      <c r="R61" s="4" t="s">
        <v>0</v>
      </c>
      <c r="S61" s="16" t="str">
        <f t="shared" si="28"/>
        <v>11-06</v>
      </c>
      <c r="T61" s="14">
        <f t="shared" si="29"/>
        <v>351</v>
      </c>
      <c r="U61" s="18">
        <f t="shared" si="30"/>
        <v>475</v>
      </c>
      <c r="V61" s="14">
        <f t="shared" si="31"/>
        <v>377</v>
      </c>
      <c r="W61" s="18">
        <f t="shared" si="32"/>
        <v>475</v>
      </c>
      <c r="X61" s="14">
        <f t="shared" si="33"/>
        <v>377</v>
      </c>
      <c r="Y61" s="18">
        <f t="shared" si="34"/>
        <v>446</v>
      </c>
      <c r="Z61" s="14">
        <f t="shared" si="35"/>
        <v>351</v>
      </c>
      <c r="AA61" s="18">
        <f t="shared" si="36"/>
        <v>446</v>
      </c>
      <c r="AB61" s="4" t="s">
        <v>0</v>
      </c>
    </row>
    <row r="62" spans="1:28">
      <c r="A62" s="9" t="s">
        <v>92</v>
      </c>
      <c r="B62" s="24"/>
      <c r="C62" s="26"/>
      <c r="D62" s="29">
        <f t="shared" si="73"/>
        <v>377</v>
      </c>
      <c r="E62" s="29">
        <f t="shared" ref="E62" si="99">E61</f>
        <v>275</v>
      </c>
      <c r="F62" s="29">
        <f t="shared" si="75"/>
        <v>403</v>
      </c>
      <c r="G62" s="29">
        <f t="shared" si="58"/>
        <v>304</v>
      </c>
      <c r="H62" s="4" t="s">
        <v>0</v>
      </c>
      <c r="I62" s="16" t="str">
        <f t="shared" si="19"/>
        <v>11-05</v>
      </c>
      <c r="J62" s="14">
        <f t="shared" si="20"/>
        <v>377</v>
      </c>
      <c r="K62" s="15">
        <f t="shared" si="21"/>
        <v>275</v>
      </c>
      <c r="L62" s="17">
        <f t="shared" si="22"/>
        <v>403</v>
      </c>
      <c r="M62" s="18">
        <f t="shared" si="23"/>
        <v>275</v>
      </c>
      <c r="N62" s="14">
        <f t="shared" si="24"/>
        <v>403</v>
      </c>
      <c r="O62" s="15">
        <f t="shared" si="25"/>
        <v>304</v>
      </c>
      <c r="P62" s="17">
        <f t="shared" si="26"/>
        <v>377</v>
      </c>
      <c r="Q62" s="18">
        <f t="shared" si="27"/>
        <v>304</v>
      </c>
      <c r="R62" s="4" t="s">
        <v>0</v>
      </c>
      <c r="S62" s="16" t="str">
        <f t="shared" si="28"/>
        <v>11-05</v>
      </c>
      <c r="T62" s="14">
        <f t="shared" si="29"/>
        <v>377</v>
      </c>
      <c r="U62" s="18">
        <f t="shared" si="30"/>
        <v>475</v>
      </c>
      <c r="V62" s="14">
        <f t="shared" si="31"/>
        <v>403</v>
      </c>
      <c r="W62" s="18">
        <f t="shared" si="32"/>
        <v>475</v>
      </c>
      <c r="X62" s="14">
        <f t="shared" si="33"/>
        <v>403</v>
      </c>
      <c r="Y62" s="18">
        <f t="shared" si="34"/>
        <v>446</v>
      </c>
      <c r="Z62" s="14">
        <f t="shared" si="35"/>
        <v>377</v>
      </c>
      <c r="AA62" s="18">
        <f t="shared" si="36"/>
        <v>446</v>
      </c>
      <c r="AB62" s="4" t="s">
        <v>0</v>
      </c>
    </row>
    <row r="63" spans="1:28">
      <c r="A63" s="9" t="s">
        <v>91</v>
      </c>
      <c r="B63" s="24"/>
      <c r="C63" s="26"/>
      <c r="D63" s="29">
        <f t="shared" si="73"/>
        <v>403</v>
      </c>
      <c r="E63" s="29">
        <f t="shared" ref="E63" si="100">E62</f>
        <v>275</v>
      </c>
      <c r="F63" s="29">
        <f t="shared" si="75"/>
        <v>429</v>
      </c>
      <c r="G63" s="29">
        <f t="shared" si="58"/>
        <v>304</v>
      </c>
      <c r="H63" s="4" t="s">
        <v>0</v>
      </c>
      <c r="I63" s="16" t="str">
        <f t="shared" si="19"/>
        <v>11-03</v>
      </c>
      <c r="J63" s="14">
        <f t="shared" si="20"/>
        <v>403</v>
      </c>
      <c r="K63" s="15">
        <f t="shared" si="21"/>
        <v>275</v>
      </c>
      <c r="L63" s="17">
        <f t="shared" si="22"/>
        <v>429</v>
      </c>
      <c r="M63" s="18">
        <f t="shared" si="23"/>
        <v>275</v>
      </c>
      <c r="N63" s="14">
        <f t="shared" si="24"/>
        <v>429</v>
      </c>
      <c r="O63" s="15">
        <f t="shared" si="25"/>
        <v>304</v>
      </c>
      <c r="P63" s="17">
        <f t="shared" si="26"/>
        <v>403</v>
      </c>
      <c r="Q63" s="18">
        <f t="shared" si="27"/>
        <v>304</v>
      </c>
      <c r="R63" s="4" t="s">
        <v>0</v>
      </c>
      <c r="S63" s="16" t="str">
        <f t="shared" si="28"/>
        <v>11-03</v>
      </c>
      <c r="T63" s="14">
        <f t="shared" si="29"/>
        <v>403</v>
      </c>
      <c r="U63" s="18">
        <f t="shared" si="30"/>
        <v>475</v>
      </c>
      <c r="V63" s="14">
        <f t="shared" si="31"/>
        <v>429</v>
      </c>
      <c r="W63" s="18">
        <f t="shared" si="32"/>
        <v>475</v>
      </c>
      <c r="X63" s="14">
        <f t="shared" si="33"/>
        <v>429</v>
      </c>
      <c r="Y63" s="18">
        <f t="shared" si="34"/>
        <v>446</v>
      </c>
      <c r="Z63" s="14">
        <f t="shared" si="35"/>
        <v>403</v>
      </c>
      <c r="AA63" s="18">
        <f t="shared" si="36"/>
        <v>446</v>
      </c>
      <c r="AB63" s="4" t="s">
        <v>0</v>
      </c>
    </row>
    <row r="64" spans="1:28">
      <c r="A64" s="9" t="s">
        <v>90</v>
      </c>
      <c r="B64" s="24"/>
      <c r="C64" s="26"/>
      <c r="D64" s="29">
        <f t="shared" si="73"/>
        <v>429</v>
      </c>
      <c r="E64" s="29">
        <f t="shared" ref="E64" si="101">E63</f>
        <v>275</v>
      </c>
      <c r="F64" s="29">
        <f t="shared" si="75"/>
        <v>455</v>
      </c>
      <c r="G64" s="29">
        <f t="shared" si="58"/>
        <v>304</v>
      </c>
      <c r="H64" s="4" t="s">
        <v>0</v>
      </c>
      <c r="I64" s="16" t="str">
        <f t="shared" si="19"/>
        <v>11-02</v>
      </c>
      <c r="J64" s="14">
        <f t="shared" si="20"/>
        <v>429</v>
      </c>
      <c r="K64" s="15">
        <f t="shared" si="21"/>
        <v>275</v>
      </c>
      <c r="L64" s="17">
        <f t="shared" si="22"/>
        <v>455</v>
      </c>
      <c r="M64" s="18">
        <f t="shared" si="23"/>
        <v>275</v>
      </c>
      <c r="N64" s="14">
        <f t="shared" si="24"/>
        <v>455</v>
      </c>
      <c r="O64" s="15">
        <f t="shared" si="25"/>
        <v>304</v>
      </c>
      <c r="P64" s="17">
        <f t="shared" si="26"/>
        <v>429</v>
      </c>
      <c r="Q64" s="18">
        <f t="shared" si="27"/>
        <v>304</v>
      </c>
      <c r="R64" s="4" t="s">
        <v>0</v>
      </c>
      <c r="S64" s="16" t="str">
        <f t="shared" si="28"/>
        <v>11-02</v>
      </c>
      <c r="T64" s="14">
        <f t="shared" si="29"/>
        <v>429</v>
      </c>
      <c r="U64" s="18">
        <f t="shared" si="30"/>
        <v>475</v>
      </c>
      <c r="V64" s="14">
        <f t="shared" si="31"/>
        <v>455</v>
      </c>
      <c r="W64" s="18">
        <f t="shared" si="32"/>
        <v>475</v>
      </c>
      <c r="X64" s="14">
        <f t="shared" si="33"/>
        <v>455</v>
      </c>
      <c r="Y64" s="18">
        <f t="shared" si="34"/>
        <v>446</v>
      </c>
      <c r="Z64" s="14">
        <f t="shared" si="35"/>
        <v>429</v>
      </c>
      <c r="AA64" s="18">
        <f t="shared" si="36"/>
        <v>446</v>
      </c>
      <c r="AB64" s="4" t="s">
        <v>0</v>
      </c>
    </row>
    <row r="65" spans="1:28">
      <c r="A65" s="9" t="s">
        <v>89</v>
      </c>
      <c r="B65" s="24"/>
      <c r="C65" s="26"/>
      <c r="D65" s="29">
        <f t="shared" si="73"/>
        <v>455</v>
      </c>
      <c r="E65" s="29">
        <f t="shared" ref="E65" si="102">E64</f>
        <v>275</v>
      </c>
      <c r="F65" s="29">
        <f t="shared" si="75"/>
        <v>481</v>
      </c>
      <c r="G65" s="29">
        <f t="shared" si="58"/>
        <v>304</v>
      </c>
      <c r="H65" s="4" t="s">
        <v>0</v>
      </c>
      <c r="I65" s="16" t="str">
        <f t="shared" si="19"/>
        <v>11-01</v>
      </c>
      <c r="J65" s="14">
        <f t="shared" si="20"/>
        <v>455</v>
      </c>
      <c r="K65" s="15">
        <f t="shared" si="21"/>
        <v>275</v>
      </c>
      <c r="L65" s="17">
        <f t="shared" si="22"/>
        <v>481</v>
      </c>
      <c r="M65" s="18">
        <f t="shared" si="23"/>
        <v>275</v>
      </c>
      <c r="N65" s="14">
        <f t="shared" si="24"/>
        <v>481</v>
      </c>
      <c r="O65" s="15">
        <f t="shared" si="25"/>
        <v>304</v>
      </c>
      <c r="P65" s="17">
        <f t="shared" si="26"/>
        <v>455</v>
      </c>
      <c r="Q65" s="18">
        <f t="shared" si="27"/>
        <v>304</v>
      </c>
      <c r="R65" s="4" t="s">
        <v>0</v>
      </c>
      <c r="S65" s="16" t="str">
        <f t="shared" si="28"/>
        <v>11-01</v>
      </c>
      <c r="T65" s="14">
        <f t="shared" si="29"/>
        <v>455</v>
      </c>
      <c r="U65" s="18">
        <f t="shared" si="30"/>
        <v>475</v>
      </c>
      <c r="V65" s="14">
        <f t="shared" si="31"/>
        <v>481</v>
      </c>
      <c r="W65" s="18">
        <f t="shared" si="32"/>
        <v>475</v>
      </c>
      <c r="X65" s="14">
        <f t="shared" si="33"/>
        <v>481</v>
      </c>
      <c r="Y65" s="18">
        <f t="shared" si="34"/>
        <v>446</v>
      </c>
      <c r="Z65" s="14">
        <f t="shared" si="35"/>
        <v>455</v>
      </c>
      <c r="AA65" s="18">
        <f t="shared" si="36"/>
        <v>446</v>
      </c>
      <c r="AB65" s="4" t="s">
        <v>0</v>
      </c>
    </row>
    <row r="66" spans="1:28">
      <c r="A66" s="9" t="s">
        <v>190</v>
      </c>
      <c r="B66" s="24"/>
      <c r="C66" s="26">
        <v>3</v>
      </c>
      <c r="D66" s="27">
        <v>117</v>
      </c>
      <c r="E66" s="34">
        <f t="shared" ref="E66" si="103">ROUND(E$25+38.5*$C66,0)</f>
        <v>314</v>
      </c>
      <c r="F66" s="31">
        <v>143</v>
      </c>
      <c r="G66" s="34">
        <f t="shared" ref="G66" si="104">ROUND(G$25+38.5*$C66,0)</f>
        <v>343</v>
      </c>
      <c r="H66" s="4" t="s">
        <v>0</v>
      </c>
      <c r="I66" s="16" t="str">
        <f t="shared" si="19"/>
        <v>10-17</v>
      </c>
      <c r="J66" s="14">
        <f t="shared" si="20"/>
        <v>117</v>
      </c>
      <c r="K66" s="15">
        <f t="shared" si="21"/>
        <v>314</v>
      </c>
      <c r="L66" s="17">
        <f t="shared" si="22"/>
        <v>143</v>
      </c>
      <c r="M66" s="18">
        <f t="shared" si="23"/>
        <v>314</v>
      </c>
      <c r="N66" s="14">
        <f t="shared" si="24"/>
        <v>143</v>
      </c>
      <c r="O66" s="15">
        <f t="shared" si="25"/>
        <v>343</v>
      </c>
      <c r="P66" s="17">
        <f t="shared" si="26"/>
        <v>117</v>
      </c>
      <c r="Q66" s="18">
        <f t="shared" si="27"/>
        <v>343</v>
      </c>
      <c r="R66" s="4" t="s">
        <v>0</v>
      </c>
      <c r="S66" s="16" t="str">
        <f t="shared" si="28"/>
        <v>10-17</v>
      </c>
      <c r="T66" s="14">
        <f t="shared" si="29"/>
        <v>117</v>
      </c>
      <c r="U66" s="18">
        <f t="shared" si="30"/>
        <v>436</v>
      </c>
      <c r="V66" s="14">
        <f t="shared" si="31"/>
        <v>143</v>
      </c>
      <c r="W66" s="18">
        <f t="shared" si="32"/>
        <v>436</v>
      </c>
      <c r="X66" s="14">
        <f t="shared" si="33"/>
        <v>143</v>
      </c>
      <c r="Y66" s="18">
        <f t="shared" si="34"/>
        <v>407</v>
      </c>
      <c r="Z66" s="14">
        <f t="shared" si="35"/>
        <v>117</v>
      </c>
      <c r="AA66" s="18">
        <f t="shared" si="36"/>
        <v>407</v>
      </c>
      <c r="AB66" s="4" t="s">
        <v>0</v>
      </c>
    </row>
    <row r="67" spans="1:28">
      <c r="A67" s="9" t="s">
        <v>189</v>
      </c>
      <c r="B67" s="24"/>
      <c r="C67" s="26"/>
      <c r="D67" s="29">
        <f t="shared" si="73"/>
        <v>143</v>
      </c>
      <c r="E67" s="29">
        <f t="shared" ref="E67" si="105">E66</f>
        <v>314</v>
      </c>
      <c r="F67" s="29">
        <f t="shared" si="75"/>
        <v>169</v>
      </c>
      <c r="G67" s="29">
        <f t="shared" si="58"/>
        <v>343</v>
      </c>
      <c r="H67" s="4" t="s">
        <v>0</v>
      </c>
      <c r="I67" s="16" t="str">
        <f t="shared" si="19"/>
        <v>10-16</v>
      </c>
      <c r="J67" s="14">
        <f t="shared" si="20"/>
        <v>143</v>
      </c>
      <c r="K67" s="15">
        <f t="shared" si="21"/>
        <v>314</v>
      </c>
      <c r="L67" s="17">
        <f t="shared" si="22"/>
        <v>169</v>
      </c>
      <c r="M67" s="18">
        <f t="shared" si="23"/>
        <v>314</v>
      </c>
      <c r="N67" s="14">
        <f t="shared" si="24"/>
        <v>169</v>
      </c>
      <c r="O67" s="15">
        <f t="shared" si="25"/>
        <v>343</v>
      </c>
      <c r="P67" s="17">
        <f t="shared" si="26"/>
        <v>143</v>
      </c>
      <c r="Q67" s="18">
        <f t="shared" si="27"/>
        <v>343</v>
      </c>
      <c r="R67" s="4" t="s">
        <v>0</v>
      </c>
      <c r="S67" s="16" t="str">
        <f t="shared" si="28"/>
        <v>10-16</v>
      </c>
      <c r="T67" s="14">
        <f t="shared" si="29"/>
        <v>143</v>
      </c>
      <c r="U67" s="18">
        <f t="shared" si="30"/>
        <v>436</v>
      </c>
      <c r="V67" s="14">
        <f t="shared" si="31"/>
        <v>169</v>
      </c>
      <c r="W67" s="18">
        <f t="shared" si="32"/>
        <v>436</v>
      </c>
      <c r="X67" s="14">
        <f t="shared" si="33"/>
        <v>169</v>
      </c>
      <c r="Y67" s="18">
        <f t="shared" si="34"/>
        <v>407</v>
      </c>
      <c r="Z67" s="14">
        <f t="shared" si="35"/>
        <v>143</v>
      </c>
      <c r="AA67" s="18">
        <f t="shared" si="36"/>
        <v>407</v>
      </c>
      <c r="AB67" s="4" t="s">
        <v>0</v>
      </c>
    </row>
    <row r="68" spans="1:28">
      <c r="A68" s="9" t="s">
        <v>188</v>
      </c>
      <c r="B68" s="24"/>
      <c r="C68" s="26"/>
      <c r="D68" s="29">
        <f t="shared" si="73"/>
        <v>169</v>
      </c>
      <c r="E68" s="29">
        <f t="shared" ref="E68" si="106">E67</f>
        <v>314</v>
      </c>
      <c r="F68" s="29">
        <f t="shared" si="75"/>
        <v>195</v>
      </c>
      <c r="G68" s="29">
        <f t="shared" si="58"/>
        <v>343</v>
      </c>
      <c r="H68" s="4" t="s">
        <v>0</v>
      </c>
      <c r="I68" s="16" t="str">
        <f t="shared" si="19"/>
        <v>10-15</v>
      </c>
      <c r="J68" s="14">
        <f t="shared" si="20"/>
        <v>169</v>
      </c>
      <c r="K68" s="15">
        <f t="shared" si="21"/>
        <v>314</v>
      </c>
      <c r="L68" s="17">
        <f t="shared" si="22"/>
        <v>195</v>
      </c>
      <c r="M68" s="18">
        <f t="shared" si="23"/>
        <v>314</v>
      </c>
      <c r="N68" s="14">
        <f t="shared" si="24"/>
        <v>195</v>
      </c>
      <c r="O68" s="15">
        <f t="shared" si="25"/>
        <v>343</v>
      </c>
      <c r="P68" s="17">
        <f t="shared" si="26"/>
        <v>169</v>
      </c>
      <c r="Q68" s="18">
        <f t="shared" si="27"/>
        <v>343</v>
      </c>
      <c r="R68" s="4" t="s">
        <v>0</v>
      </c>
      <c r="S68" s="16" t="str">
        <f t="shared" si="28"/>
        <v>10-15</v>
      </c>
      <c r="T68" s="14">
        <f t="shared" si="29"/>
        <v>169</v>
      </c>
      <c r="U68" s="18">
        <f t="shared" si="30"/>
        <v>436</v>
      </c>
      <c r="V68" s="14">
        <f t="shared" si="31"/>
        <v>195</v>
      </c>
      <c r="W68" s="18">
        <f t="shared" si="32"/>
        <v>436</v>
      </c>
      <c r="X68" s="14">
        <f t="shared" si="33"/>
        <v>195</v>
      </c>
      <c r="Y68" s="18">
        <f t="shared" si="34"/>
        <v>407</v>
      </c>
      <c r="Z68" s="14">
        <f t="shared" si="35"/>
        <v>169</v>
      </c>
      <c r="AA68" s="18">
        <f t="shared" si="36"/>
        <v>407</v>
      </c>
      <c r="AB68" s="4" t="s">
        <v>0</v>
      </c>
    </row>
    <row r="69" spans="1:28">
      <c r="A69" s="9" t="s">
        <v>187</v>
      </c>
      <c r="B69" s="24"/>
      <c r="C69" s="26"/>
      <c r="D69" s="29">
        <f t="shared" si="73"/>
        <v>195</v>
      </c>
      <c r="E69" s="29">
        <f t="shared" ref="E69" si="107">E68</f>
        <v>314</v>
      </c>
      <c r="F69" s="29">
        <f t="shared" si="75"/>
        <v>221</v>
      </c>
      <c r="G69" s="29">
        <f t="shared" si="58"/>
        <v>343</v>
      </c>
      <c r="H69" s="4" t="s">
        <v>0</v>
      </c>
      <c r="I69" s="16" t="str">
        <f t="shared" si="19"/>
        <v>10-13</v>
      </c>
      <c r="J69" s="14">
        <f t="shared" si="20"/>
        <v>195</v>
      </c>
      <c r="K69" s="15">
        <f t="shared" si="21"/>
        <v>314</v>
      </c>
      <c r="L69" s="17">
        <f t="shared" si="22"/>
        <v>221</v>
      </c>
      <c r="M69" s="18">
        <f t="shared" si="23"/>
        <v>314</v>
      </c>
      <c r="N69" s="14">
        <f t="shared" si="24"/>
        <v>221</v>
      </c>
      <c r="O69" s="15">
        <f t="shared" si="25"/>
        <v>343</v>
      </c>
      <c r="P69" s="17">
        <f t="shared" si="26"/>
        <v>195</v>
      </c>
      <c r="Q69" s="18">
        <f t="shared" si="27"/>
        <v>343</v>
      </c>
      <c r="R69" s="4" t="s">
        <v>0</v>
      </c>
      <c r="S69" s="16" t="str">
        <f t="shared" si="28"/>
        <v>10-13</v>
      </c>
      <c r="T69" s="14">
        <f t="shared" si="29"/>
        <v>195</v>
      </c>
      <c r="U69" s="18">
        <f t="shared" si="30"/>
        <v>436</v>
      </c>
      <c r="V69" s="14">
        <f t="shared" si="31"/>
        <v>221</v>
      </c>
      <c r="W69" s="18">
        <f t="shared" si="32"/>
        <v>436</v>
      </c>
      <c r="X69" s="14">
        <f t="shared" si="33"/>
        <v>221</v>
      </c>
      <c r="Y69" s="18">
        <f t="shared" si="34"/>
        <v>407</v>
      </c>
      <c r="Z69" s="14">
        <f t="shared" si="35"/>
        <v>195</v>
      </c>
      <c r="AA69" s="18">
        <f t="shared" si="36"/>
        <v>407</v>
      </c>
      <c r="AB69" s="4" t="s">
        <v>0</v>
      </c>
    </row>
    <row r="70" spans="1:28">
      <c r="A70" s="9" t="s">
        <v>88</v>
      </c>
      <c r="B70" s="24"/>
      <c r="C70" s="26"/>
      <c r="D70" s="29">
        <f t="shared" si="73"/>
        <v>221</v>
      </c>
      <c r="E70" s="29">
        <f t="shared" ref="E70" si="108">E69</f>
        <v>314</v>
      </c>
      <c r="F70" s="29">
        <f t="shared" si="75"/>
        <v>247</v>
      </c>
      <c r="G70" s="29">
        <f t="shared" si="58"/>
        <v>343</v>
      </c>
      <c r="H70" s="4" t="s">
        <v>0</v>
      </c>
      <c r="I70" s="16" t="str">
        <f t="shared" si="19"/>
        <v>10-12</v>
      </c>
      <c r="J70" s="14">
        <f t="shared" si="20"/>
        <v>221</v>
      </c>
      <c r="K70" s="15">
        <f t="shared" si="21"/>
        <v>314</v>
      </c>
      <c r="L70" s="17">
        <f t="shared" si="22"/>
        <v>247</v>
      </c>
      <c r="M70" s="18">
        <f t="shared" si="23"/>
        <v>314</v>
      </c>
      <c r="N70" s="14">
        <f t="shared" si="24"/>
        <v>247</v>
      </c>
      <c r="O70" s="15">
        <f t="shared" si="25"/>
        <v>343</v>
      </c>
      <c r="P70" s="17">
        <f t="shared" si="26"/>
        <v>221</v>
      </c>
      <c r="Q70" s="18">
        <f t="shared" si="27"/>
        <v>343</v>
      </c>
      <c r="R70" s="4" t="s">
        <v>0</v>
      </c>
      <c r="S70" s="16" t="str">
        <f t="shared" si="28"/>
        <v>10-12</v>
      </c>
      <c r="T70" s="14">
        <f t="shared" si="29"/>
        <v>221</v>
      </c>
      <c r="U70" s="18">
        <f t="shared" si="30"/>
        <v>436</v>
      </c>
      <c r="V70" s="14">
        <f t="shared" si="31"/>
        <v>247</v>
      </c>
      <c r="W70" s="18">
        <f t="shared" si="32"/>
        <v>436</v>
      </c>
      <c r="X70" s="14">
        <f t="shared" si="33"/>
        <v>247</v>
      </c>
      <c r="Y70" s="18">
        <f t="shared" si="34"/>
        <v>407</v>
      </c>
      <c r="Z70" s="14">
        <f t="shared" si="35"/>
        <v>221</v>
      </c>
      <c r="AA70" s="18">
        <f t="shared" si="36"/>
        <v>407</v>
      </c>
      <c r="AB70" s="4" t="s">
        <v>0</v>
      </c>
    </row>
    <row r="71" spans="1:28">
      <c r="A71" s="9" t="s">
        <v>87</v>
      </c>
      <c r="B71" s="24"/>
      <c r="C71" s="26"/>
      <c r="D71" s="29">
        <f t="shared" si="73"/>
        <v>247</v>
      </c>
      <c r="E71" s="29">
        <f t="shared" ref="E71" si="109">E70</f>
        <v>314</v>
      </c>
      <c r="F71" s="29">
        <f t="shared" si="75"/>
        <v>273</v>
      </c>
      <c r="G71" s="29">
        <f t="shared" si="58"/>
        <v>343</v>
      </c>
      <c r="H71" s="4" t="s">
        <v>0</v>
      </c>
      <c r="I71" s="16" t="str">
        <f t="shared" si="19"/>
        <v>10-11</v>
      </c>
      <c r="J71" s="14">
        <f t="shared" si="20"/>
        <v>247</v>
      </c>
      <c r="K71" s="15">
        <f t="shared" si="21"/>
        <v>314</v>
      </c>
      <c r="L71" s="17">
        <f t="shared" si="22"/>
        <v>273</v>
      </c>
      <c r="M71" s="18">
        <f t="shared" si="23"/>
        <v>314</v>
      </c>
      <c r="N71" s="14">
        <f t="shared" si="24"/>
        <v>273</v>
      </c>
      <c r="O71" s="15">
        <f t="shared" si="25"/>
        <v>343</v>
      </c>
      <c r="P71" s="17">
        <f t="shared" si="26"/>
        <v>247</v>
      </c>
      <c r="Q71" s="18">
        <f t="shared" si="27"/>
        <v>343</v>
      </c>
      <c r="R71" s="4" t="s">
        <v>0</v>
      </c>
      <c r="S71" s="16" t="str">
        <f t="shared" si="28"/>
        <v>10-11</v>
      </c>
      <c r="T71" s="14">
        <f t="shared" si="29"/>
        <v>247</v>
      </c>
      <c r="U71" s="18">
        <f t="shared" si="30"/>
        <v>436</v>
      </c>
      <c r="V71" s="14">
        <f t="shared" si="31"/>
        <v>273</v>
      </c>
      <c r="W71" s="18">
        <f t="shared" si="32"/>
        <v>436</v>
      </c>
      <c r="X71" s="14">
        <f t="shared" si="33"/>
        <v>273</v>
      </c>
      <c r="Y71" s="18">
        <f t="shared" si="34"/>
        <v>407</v>
      </c>
      <c r="Z71" s="14">
        <f t="shared" si="35"/>
        <v>247</v>
      </c>
      <c r="AA71" s="18">
        <f t="shared" si="36"/>
        <v>407</v>
      </c>
      <c r="AB71" s="4" t="s">
        <v>0</v>
      </c>
    </row>
    <row r="72" spans="1:28">
      <c r="A72" s="9" t="s">
        <v>86</v>
      </c>
      <c r="B72" s="24"/>
      <c r="C72" s="26"/>
      <c r="D72" s="29">
        <f t="shared" si="73"/>
        <v>273</v>
      </c>
      <c r="E72" s="29">
        <f t="shared" ref="E72" si="110">E71</f>
        <v>314</v>
      </c>
      <c r="F72" s="29">
        <f t="shared" si="75"/>
        <v>299</v>
      </c>
      <c r="G72" s="29">
        <f t="shared" si="58"/>
        <v>343</v>
      </c>
      <c r="H72" s="4" t="s">
        <v>0</v>
      </c>
      <c r="I72" s="16" t="str">
        <f t="shared" si="19"/>
        <v>10-10</v>
      </c>
      <c r="J72" s="14">
        <f t="shared" si="20"/>
        <v>273</v>
      </c>
      <c r="K72" s="15">
        <f t="shared" si="21"/>
        <v>314</v>
      </c>
      <c r="L72" s="17">
        <f t="shared" si="22"/>
        <v>299</v>
      </c>
      <c r="M72" s="18">
        <f t="shared" si="23"/>
        <v>314</v>
      </c>
      <c r="N72" s="14">
        <f t="shared" si="24"/>
        <v>299</v>
      </c>
      <c r="O72" s="15">
        <f t="shared" si="25"/>
        <v>343</v>
      </c>
      <c r="P72" s="17">
        <f t="shared" si="26"/>
        <v>273</v>
      </c>
      <c r="Q72" s="18">
        <f t="shared" si="27"/>
        <v>343</v>
      </c>
      <c r="R72" s="4" t="s">
        <v>0</v>
      </c>
      <c r="S72" s="16" t="str">
        <f t="shared" si="28"/>
        <v>10-10</v>
      </c>
      <c r="T72" s="14">
        <f t="shared" si="29"/>
        <v>273</v>
      </c>
      <c r="U72" s="18">
        <f t="shared" si="30"/>
        <v>436</v>
      </c>
      <c r="V72" s="14">
        <f t="shared" si="31"/>
        <v>299</v>
      </c>
      <c r="W72" s="18">
        <f t="shared" si="32"/>
        <v>436</v>
      </c>
      <c r="X72" s="14">
        <f t="shared" si="33"/>
        <v>299</v>
      </c>
      <c r="Y72" s="18">
        <f t="shared" si="34"/>
        <v>407</v>
      </c>
      <c r="Z72" s="14">
        <f t="shared" si="35"/>
        <v>273</v>
      </c>
      <c r="AA72" s="18">
        <f t="shared" si="36"/>
        <v>407</v>
      </c>
      <c r="AB72" s="4" t="s">
        <v>0</v>
      </c>
    </row>
    <row r="73" spans="1:28">
      <c r="A73" s="9" t="s">
        <v>85</v>
      </c>
      <c r="B73" s="24"/>
      <c r="C73" s="26"/>
      <c r="D73" s="29">
        <f t="shared" si="73"/>
        <v>299</v>
      </c>
      <c r="E73" s="29">
        <f t="shared" ref="E73" si="111">E72</f>
        <v>314</v>
      </c>
      <c r="F73" s="29">
        <f t="shared" si="75"/>
        <v>325</v>
      </c>
      <c r="G73" s="29">
        <f t="shared" si="58"/>
        <v>343</v>
      </c>
      <c r="H73" s="4" t="s">
        <v>0</v>
      </c>
      <c r="I73" s="16" t="str">
        <f t="shared" si="19"/>
        <v>10-08</v>
      </c>
      <c r="J73" s="14">
        <f t="shared" si="20"/>
        <v>299</v>
      </c>
      <c r="K73" s="15">
        <f t="shared" si="21"/>
        <v>314</v>
      </c>
      <c r="L73" s="17">
        <f t="shared" si="22"/>
        <v>325</v>
      </c>
      <c r="M73" s="18">
        <f t="shared" si="23"/>
        <v>314</v>
      </c>
      <c r="N73" s="14">
        <f t="shared" si="24"/>
        <v>325</v>
      </c>
      <c r="O73" s="15">
        <f t="shared" si="25"/>
        <v>343</v>
      </c>
      <c r="P73" s="17">
        <f t="shared" si="26"/>
        <v>299</v>
      </c>
      <c r="Q73" s="18">
        <f t="shared" si="27"/>
        <v>343</v>
      </c>
      <c r="R73" s="4" t="s">
        <v>0</v>
      </c>
      <c r="S73" s="16" t="str">
        <f t="shared" si="28"/>
        <v>10-08</v>
      </c>
      <c r="T73" s="14">
        <f t="shared" si="29"/>
        <v>299</v>
      </c>
      <c r="U73" s="18">
        <f t="shared" si="30"/>
        <v>436</v>
      </c>
      <c r="V73" s="14">
        <f t="shared" si="31"/>
        <v>325</v>
      </c>
      <c r="W73" s="18">
        <f t="shared" si="32"/>
        <v>436</v>
      </c>
      <c r="X73" s="14">
        <f t="shared" si="33"/>
        <v>325</v>
      </c>
      <c r="Y73" s="18">
        <f t="shared" si="34"/>
        <v>407</v>
      </c>
      <c r="Z73" s="14">
        <f t="shared" si="35"/>
        <v>299</v>
      </c>
      <c r="AA73" s="18">
        <f t="shared" si="36"/>
        <v>407</v>
      </c>
      <c r="AB73" s="4" t="s">
        <v>0</v>
      </c>
    </row>
    <row r="74" spans="1:28">
      <c r="A74" s="9" t="s">
        <v>84</v>
      </c>
      <c r="B74" s="24"/>
      <c r="C74" s="26"/>
      <c r="D74" s="29">
        <f t="shared" si="73"/>
        <v>325</v>
      </c>
      <c r="E74" s="29">
        <f t="shared" ref="E74" si="112">E73</f>
        <v>314</v>
      </c>
      <c r="F74" s="29">
        <f t="shared" si="75"/>
        <v>351</v>
      </c>
      <c r="G74" s="29">
        <f t="shared" si="58"/>
        <v>343</v>
      </c>
      <c r="H74" s="4" t="s">
        <v>0</v>
      </c>
      <c r="I74" s="16" t="str">
        <f t="shared" si="19"/>
        <v>10-07</v>
      </c>
      <c r="J74" s="14">
        <f t="shared" si="20"/>
        <v>325</v>
      </c>
      <c r="K74" s="15">
        <f t="shared" si="21"/>
        <v>314</v>
      </c>
      <c r="L74" s="17">
        <f t="shared" si="22"/>
        <v>351</v>
      </c>
      <c r="M74" s="18">
        <f t="shared" si="23"/>
        <v>314</v>
      </c>
      <c r="N74" s="14">
        <f t="shared" si="24"/>
        <v>351</v>
      </c>
      <c r="O74" s="15">
        <f t="shared" si="25"/>
        <v>343</v>
      </c>
      <c r="P74" s="17">
        <f t="shared" si="26"/>
        <v>325</v>
      </c>
      <c r="Q74" s="18">
        <f t="shared" si="27"/>
        <v>343</v>
      </c>
      <c r="R74" s="4" t="s">
        <v>0</v>
      </c>
      <c r="S74" s="16" t="str">
        <f t="shared" si="28"/>
        <v>10-07</v>
      </c>
      <c r="T74" s="14">
        <f t="shared" si="29"/>
        <v>325</v>
      </c>
      <c r="U74" s="18">
        <f t="shared" si="30"/>
        <v>436</v>
      </c>
      <c r="V74" s="14">
        <f t="shared" si="31"/>
        <v>351</v>
      </c>
      <c r="W74" s="18">
        <f t="shared" si="32"/>
        <v>436</v>
      </c>
      <c r="X74" s="14">
        <f t="shared" si="33"/>
        <v>351</v>
      </c>
      <c r="Y74" s="18">
        <f t="shared" si="34"/>
        <v>407</v>
      </c>
      <c r="Z74" s="14">
        <f t="shared" si="35"/>
        <v>325</v>
      </c>
      <c r="AA74" s="18">
        <f t="shared" si="36"/>
        <v>407</v>
      </c>
      <c r="AB74" s="4" t="s">
        <v>0</v>
      </c>
    </row>
    <row r="75" spans="1:28">
      <c r="A75" s="9" t="s">
        <v>83</v>
      </c>
      <c r="B75" s="24"/>
      <c r="C75" s="26"/>
      <c r="D75" s="29">
        <f t="shared" si="73"/>
        <v>351</v>
      </c>
      <c r="E75" s="29">
        <f t="shared" ref="E75" si="113">E74</f>
        <v>314</v>
      </c>
      <c r="F75" s="29">
        <f t="shared" si="75"/>
        <v>377</v>
      </c>
      <c r="G75" s="29">
        <f t="shared" si="58"/>
        <v>343</v>
      </c>
      <c r="H75" s="4" t="s">
        <v>0</v>
      </c>
      <c r="I75" s="16" t="str">
        <f t="shared" si="19"/>
        <v>10-06</v>
      </c>
      <c r="J75" s="14">
        <f t="shared" si="20"/>
        <v>351</v>
      </c>
      <c r="K75" s="15">
        <f t="shared" si="21"/>
        <v>314</v>
      </c>
      <c r="L75" s="17">
        <f t="shared" si="22"/>
        <v>377</v>
      </c>
      <c r="M75" s="18">
        <f t="shared" si="23"/>
        <v>314</v>
      </c>
      <c r="N75" s="14">
        <f t="shared" si="24"/>
        <v>377</v>
      </c>
      <c r="O75" s="15">
        <f t="shared" si="25"/>
        <v>343</v>
      </c>
      <c r="P75" s="17">
        <f t="shared" si="26"/>
        <v>351</v>
      </c>
      <c r="Q75" s="18">
        <f t="shared" si="27"/>
        <v>343</v>
      </c>
      <c r="R75" s="4" t="s">
        <v>0</v>
      </c>
      <c r="S75" s="16" t="str">
        <f t="shared" si="28"/>
        <v>10-06</v>
      </c>
      <c r="T75" s="14">
        <f t="shared" si="29"/>
        <v>351</v>
      </c>
      <c r="U75" s="18">
        <f t="shared" si="30"/>
        <v>436</v>
      </c>
      <c r="V75" s="14">
        <f t="shared" si="31"/>
        <v>377</v>
      </c>
      <c r="W75" s="18">
        <f t="shared" si="32"/>
        <v>436</v>
      </c>
      <c r="X75" s="14">
        <f t="shared" si="33"/>
        <v>377</v>
      </c>
      <c r="Y75" s="18">
        <f t="shared" si="34"/>
        <v>407</v>
      </c>
      <c r="Z75" s="14">
        <f t="shared" si="35"/>
        <v>351</v>
      </c>
      <c r="AA75" s="18">
        <f t="shared" si="36"/>
        <v>407</v>
      </c>
      <c r="AB75" s="4" t="s">
        <v>0</v>
      </c>
    </row>
    <row r="76" spans="1:28">
      <c r="A76" s="9" t="s">
        <v>82</v>
      </c>
      <c r="B76" s="24"/>
      <c r="C76" s="26"/>
      <c r="D76" s="29">
        <f t="shared" si="73"/>
        <v>377</v>
      </c>
      <c r="E76" s="29">
        <f t="shared" ref="E76" si="114">E75</f>
        <v>314</v>
      </c>
      <c r="F76" s="29">
        <f t="shared" si="75"/>
        <v>403</v>
      </c>
      <c r="G76" s="29">
        <f t="shared" ref="G76:G139" si="115">G75</f>
        <v>343</v>
      </c>
      <c r="H76" s="4" t="s">
        <v>0</v>
      </c>
      <c r="I76" s="16" t="str">
        <f t="shared" si="19"/>
        <v>10-05</v>
      </c>
      <c r="J76" s="14">
        <f t="shared" si="20"/>
        <v>377</v>
      </c>
      <c r="K76" s="15">
        <f t="shared" si="21"/>
        <v>314</v>
      </c>
      <c r="L76" s="17">
        <f t="shared" si="22"/>
        <v>403</v>
      </c>
      <c r="M76" s="18">
        <f t="shared" si="23"/>
        <v>314</v>
      </c>
      <c r="N76" s="14">
        <f t="shared" si="24"/>
        <v>403</v>
      </c>
      <c r="O76" s="15">
        <f t="shared" si="25"/>
        <v>343</v>
      </c>
      <c r="P76" s="17">
        <f t="shared" si="26"/>
        <v>377</v>
      </c>
      <c r="Q76" s="18">
        <f t="shared" si="27"/>
        <v>343</v>
      </c>
      <c r="R76" s="4" t="s">
        <v>0</v>
      </c>
      <c r="S76" s="16" t="str">
        <f t="shared" si="28"/>
        <v>10-05</v>
      </c>
      <c r="T76" s="14">
        <f t="shared" si="29"/>
        <v>377</v>
      </c>
      <c r="U76" s="18">
        <f t="shared" si="30"/>
        <v>436</v>
      </c>
      <c r="V76" s="14">
        <f t="shared" si="31"/>
        <v>403</v>
      </c>
      <c r="W76" s="18">
        <f t="shared" si="32"/>
        <v>436</v>
      </c>
      <c r="X76" s="14">
        <f t="shared" si="33"/>
        <v>403</v>
      </c>
      <c r="Y76" s="18">
        <f t="shared" si="34"/>
        <v>407</v>
      </c>
      <c r="Z76" s="14">
        <f t="shared" si="35"/>
        <v>377</v>
      </c>
      <c r="AA76" s="18">
        <f t="shared" si="36"/>
        <v>407</v>
      </c>
      <c r="AB76" s="4" t="s">
        <v>0</v>
      </c>
    </row>
    <row r="77" spans="1:28">
      <c r="A77" s="9" t="s">
        <v>81</v>
      </c>
      <c r="B77" s="24"/>
      <c r="C77" s="26"/>
      <c r="D77" s="29">
        <f t="shared" si="73"/>
        <v>403</v>
      </c>
      <c r="E77" s="29">
        <f t="shared" ref="E77" si="116">E76</f>
        <v>314</v>
      </c>
      <c r="F77" s="29">
        <f t="shared" si="75"/>
        <v>429</v>
      </c>
      <c r="G77" s="29">
        <f t="shared" si="115"/>
        <v>343</v>
      </c>
      <c r="H77" s="4" t="s">
        <v>0</v>
      </c>
      <c r="I77" s="16" t="str">
        <f t="shared" ref="I77:I140" si="117">A77</f>
        <v>10-03</v>
      </c>
      <c r="J77" s="14">
        <f t="shared" ref="J77:J140" si="118">IF(D77&lt;&gt;"",D77,0)</f>
        <v>403</v>
      </c>
      <c r="K77" s="15">
        <f t="shared" ref="K77:K140" si="119">IF(E77&lt;&gt;"",E77,0)</f>
        <v>314</v>
      </c>
      <c r="L77" s="17">
        <f t="shared" ref="L77:L140" si="120">N77</f>
        <v>429</v>
      </c>
      <c r="M77" s="18">
        <f t="shared" ref="M77:M140" si="121">K77</f>
        <v>314</v>
      </c>
      <c r="N77" s="14">
        <f t="shared" ref="N77:N140" si="122">IF(F77&lt;&gt;"",F77,0)</f>
        <v>429</v>
      </c>
      <c r="O77" s="15">
        <f t="shared" ref="O77:O140" si="123">IF(G77&lt;&gt;"",G77,0)</f>
        <v>343</v>
      </c>
      <c r="P77" s="17">
        <f t="shared" ref="P77:P140" si="124">J77</f>
        <v>403</v>
      </c>
      <c r="Q77" s="18">
        <f t="shared" ref="Q77:Q140" si="125">O77</f>
        <v>343</v>
      </c>
      <c r="R77" s="4" t="s">
        <v>0</v>
      </c>
      <c r="S77" s="16" t="str">
        <f t="shared" ref="S77:S140" si="126">I77</f>
        <v>10-03</v>
      </c>
      <c r="T77" s="14">
        <f t="shared" ref="T77:T140" si="127">IF(J77&lt;&gt;"",J77,"")</f>
        <v>403</v>
      </c>
      <c r="U77" s="18">
        <f t="shared" ref="U77:U140" si="128">IF(K77&lt;&gt;"",U$6-K77,"")</f>
        <v>436</v>
      </c>
      <c r="V77" s="14">
        <f t="shared" ref="V77:V140" si="129">IF(L77&lt;&gt;"",L77,"")</f>
        <v>429</v>
      </c>
      <c r="W77" s="18">
        <f t="shared" ref="W77:W140" si="130">IF(M77&lt;&gt;"",W$6-M77,"")</f>
        <v>436</v>
      </c>
      <c r="X77" s="14">
        <f t="shared" ref="X77:X140" si="131">IF(N77&lt;&gt;"",N77,"")</f>
        <v>429</v>
      </c>
      <c r="Y77" s="18">
        <f t="shared" ref="Y77:Y140" si="132">IF(O77&lt;&gt;"",Y$6-O77,"")</f>
        <v>407</v>
      </c>
      <c r="Z77" s="14">
        <f t="shared" ref="Z77:Z140" si="133">IF(P77&lt;&gt;"",P77,"")</f>
        <v>403</v>
      </c>
      <c r="AA77" s="18">
        <f t="shared" ref="AA77:AA140" si="134">IF(Q77&lt;&gt;"",AA$6-Q77,"")</f>
        <v>407</v>
      </c>
      <c r="AB77" s="4" t="s">
        <v>0</v>
      </c>
    </row>
    <row r="78" spans="1:28">
      <c r="A78" s="9" t="s">
        <v>80</v>
      </c>
      <c r="B78" s="24"/>
      <c r="C78" s="26"/>
      <c r="D78" s="29">
        <f t="shared" si="73"/>
        <v>429</v>
      </c>
      <c r="E78" s="29">
        <f t="shared" ref="E78" si="135">E77</f>
        <v>314</v>
      </c>
      <c r="F78" s="29">
        <f t="shared" si="75"/>
        <v>455</v>
      </c>
      <c r="G78" s="29">
        <f t="shared" si="115"/>
        <v>343</v>
      </c>
      <c r="H78" s="4" t="s">
        <v>0</v>
      </c>
      <c r="I78" s="16" t="str">
        <f t="shared" si="117"/>
        <v>10-02</v>
      </c>
      <c r="J78" s="14">
        <f t="shared" si="118"/>
        <v>429</v>
      </c>
      <c r="K78" s="15">
        <f t="shared" si="119"/>
        <v>314</v>
      </c>
      <c r="L78" s="17">
        <f t="shared" si="120"/>
        <v>455</v>
      </c>
      <c r="M78" s="18">
        <f t="shared" si="121"/>
        <v>314</v>
      </c>
      <c r="N78" s="14">
        <f t="shared" si="122"/>
        <v>455</v>
      </c>
      <c r="O78" s="15">
        <f t="shared" si="123"/>
        <v>343</v>
      </c>
      <c r="P78" s="17">
        <f t="shared" si="124"/>
        <v>429</v>
      </c>
      <c r="Q78" s="18">
        <f t="shared" si="125"/>
        <v>343</v>
      </c>
      <c r="R78" s="4" t="s">
        <v>0</v>
      </c>
      <c r="S78" s="16" t="str">
        <f t="shared" si="126"/>
        <v>10-02</v>
      </c>
      <c r="T78" s="14">
        <f t="shared" si="127"/>
        <v>429</v>
      </c>
      <c r="U78" s="18">
        <f t="shared" si="128"/>
        <v>436</v>
      </c>
      <c r="V78" s="14">
        <f t="shared" si="129"/>
        <v>455</v>
      </c>
      <c r="W78" s="18">
        <f t="shared" si="130"/>
        <v>436</v>
      </c>
      <c r="X78" s="14">
        <f t="shared" si="131"/>
        <v>455</v>
      </c>
      <c r="Y78" s="18">
        <f t="shared" si="132"/>
        <v>407</v>
      </c>
      <c r="Z78" s="14">
        <f t="shared" si="133"/>
        <v>429</v>
      </c>
      <c r="AA78" s="18">
        <f t="shared" si="134"/>
        <v>407</v>
      </c>
      <c r="AB78" s="4" t="s">
        <v>0</v>
      </c>
    </row>
    <row r="79" spans="1:28">
      <c r="A79" s="9" t="s">
        <v>79</v>
      </c>
      <c r="B79" s="24"/>
      <c r="C79" s="26"/>
      <c r="D79" s="29">
        <f t="shared" si="73"/>
        <v>455</v>
      </c>
      <c r="E79" s="29">
        <f t="shared" ref="E79" si="136">E78</f>
        <v>314</v>
      </c>
      <c r="F79" s="29">
        <f t="shared" si="75"/>
        <v>481</v>
      </c>
      <c r="G79" s="29">
        <f t="shared" si="115"/>
        <v>343</v>
      </c>
      <c r="H79" s="4" t="s">
        <v>0</v>
      </c>
      <c r="I79" s="16" t="str">
        <f t="shared" si="117"/>
        <v>10-01</v>
      </c>
      <c r="J79" s="14">
        <f t="shared" si="118"/>
        <v>455</v>
      </c>
      <c r="K79" s="15">
        <f t="shared" si="119"/>
        <v>314</v>
      </c>
      <c r="L79" s="17">
        <f t="shared" si="120"/>
        <v>481</v>
      </c>
      <c r="M79" s="18">
        <f t="shared" si="121"/>
        <v>314</v>
      </c>
      <c r="N79" s="14">
        <f t="shared" si="122"/>
        <v>481</v>
      </c>
      <c r="O79" s="15">
        <f t="shared" si="123"/>
        <v>343</v>
      </c>
      <c r="P79" s="17">
        <f t="shared" si="124"/>
        <v>455</v>
      </c>
      <c r="Q79" s="18">
        <f t="shared" si="125"/>
        <v>343</v>
      </c>
      <c r="R79" s="4" t="s">
        <v>0</v>
      </c>
      <c r="S79" s="16" t="str">
        <f t="shared" si="126"/>
        <v>10-01</v>
      </c>
      <c r="T79" s="14">
        <f t="shared" si="127"/>
        <v>455</v>
      </c>
      <c r="U79" s="18">
        <f t="shared" si="128"/>
        <v>436</v>
      </c>
      <c r="V79" s="14">
        <f t="shared" si="129"/>
        <v>481</v>
      </c>
      <c r="W79" s="18">
        <f t="shared" si="130"/>
        <v>436</v>
      </c>
      <c r="X79" s="14">
        <f t="shared" si="131"/>
        <v>481</v>
      </c>
      <c r="Y79" s="18">
        <f t="shared" si="132"/>
        <v>407</v>
      </c>
      <c r="Z79" s="14">
        <f t="shared" si="133"/>
        <v>455</v>
      </c>
      <c r="AA79" s="18">
        <f t="shared" si="134"/>
        <v>407</v>
      </c>
      <c r="AB79" s="4" t="s">
        <v>0</v>
      </c>
    </row>
    <row r="80" spans="1:28">
      <c r="A80" s="9" t="s">
        <v>183</v>
      </c>
      <c r="B80" s="24"/>
      <c r="C80" s="26">
        <v>4</v>
      </c>
      <c r="D80" s="27">
        <v>117</v>
      </c>
      <c r="E80" s="34">
        <f t="shared" ref="E80" si="137">ROUND(E$25+38.5*$C80,0)</f>
        <v>352</v>
      </c>
      <c r="F80" s="31">
        <v>143</v>
      </c>
      <c r="G80" s="34">
        <f t="shared" ref="G80" si="138">ROUND(G$25+38.5*$C80,0)</f>
        <v>381</v>
      </c>
      <c r="H80" s="4" t="s">
        <v>0</v>
      </c>
      <c r="I80" s="16" t="str">
        <f t="shared" si="117"/>
        <v>08-17</v>
      </c>
      <c r="J80" s="14">
        <f t="shared" si="118"/>
        <v>117</v>
      </c>
      <c r="K80" s="15">
        <f t="shared" si="119"/>
        <v>352</v>
      </c>
      <c r="L80" s="17">
        <f t="shared" si="120"/>
        <v>143</v>
      </c>
      <c r="M80" s="18">
        <f t="shared" si="121"/>
        <v>352</v>
      </c>
      <c r="N80" s="14">
        <f t="shared" si="122"/>
        <v>143</v>
      </c>
      <c r="O80" s="15">
        <f t="shared" si="123"/>
        <v>381</v>
      </c>
      <c r="P80" s="17">
        <f t="shared" si="124"/>
        <v>117</v>
      </c>
      <c r="Q80" s="18">
        <f t="shared" si="125"/>
        <v>381</v>
      </c>
      <c r="R80" s="4" t="s">
        <v>0</v>
      </c>
      <c r="S80" s="16" t="str">
        <f t="shared" si="126"/>
        <v>08-17</v>
      </c>
      <c r="T80" s="14">
        <f t="shared" si="127"/>
        <v>117</v>
      </c>
      <c r="U80" s="18">
        <f t="shared" si="128"/>
        <v>398</v>
      </c>
      <c r="V80" s="14">
        <f t="shared" si="129"/>
        <v>143</v>
      </c>
      <c r="W80" s="18">
        <f t="shared" si="130"/>
        <v>398</v>
      </c>
      <c r="X80" s="14">
        <f t="shared" si="131"/>
        <v>143</v>
      </c>
      <c r="Y80" s="18">
        <f t="shared" si="132"/>
        <v>369</v>
      </c>
      <c r="Z80" s="14">
        <f t="shared" si="133"/>
        <v>117</v>
      </c>
      <c r="AA80" s="18">
        <f t="shared" si="134"/>
        <v>369</v>
      </c>
      <c r="AB80" s="4" t="s">
        <v>0</v>
      </c>
    </row>
    <row r="81" spans="1:28">
      <c r="A81" s="9" t="s">
        <v>182</v>
      </c>
      <c r="B81" s="24"/>
      <c r="C81" s="26"/>
      <c r="D81" s="29">
        <f t="shared" si="73"/>
        <v>143</v>
      </c>
      <c r="E81" s="29">
        <f t="shared" ref="E81" si="139">E80</f>
        <v>352</v>
      </c>
      <c r="F81" s="29">
        <f t="shared" si="75"/>
        <v>169</v>
      </c>
      <c r="G81" s="29">
        <f t="shared" si="115"/>
        <v>381</v>
      </c>
      <c r="H81" s="4" t="s">
        <v>0</v>
      </c>
      <c r="I81" s="16" t="str">
        <f t="shared" si="117"/>
        <v>08-16</v>
      </c>
      <c r="J81" s="14">
        <f t="shared" si="118"/>
        <v>143</v>
      </c>
      <c r="K81" s="15">
        <f t="shared" si="119"/>
        <v>352</v>
      </c>
      <c r="L81" s="17">
        <f t="shared" si="120"/>
        <v>169</v>
      </c>
      <c r="M81" s="18">
        <f t="shared" si="121"/>
        <v>352</v>
      </c>
      <c r="N81" s="14">
        <f t="shared" si="122"/>
        <v>169</v>
      </c>
      <c r="O81" s="15">
        <f t="shared" si="123"/>
        <v>381</v>
      </c>
      <c r="P81" s="17">
        <f t="shared" si="124"/>
        <v>143</v>
      </c>
      <c r="Q81" s="18">
        <f t="shared" si="125"/>
        <v>381</v>
      </c>
      <c r="R81" s="4" t="s">
        <v>0</v>
      </c>
      <c r="S81" s="16" t="str">
        <f t="shared" si="126"/>
        <v>08-16</v>
      </c>
      <c r="T81" s="14">
        <f t="shared" si="127"/>
        <v>143</v>
      </c>
      <c r="U81" s="18">
        <f t="shared" si="128"/>
        <v>398</v>
      </c>
      <c r="V81" s="14">
        <f t="shared" si="129"/>
        <v>169</v>
      </c>
      <c r="W81" s="18">
        <f t="shared" si="130"/>
        <v>398</v>
      </c>
      <c r="X81" s="14">
        <f t="shared" si="131"/>
        <v>169</v>
      </c>
      <c r="Y81" s="18">
        <f t="shared" si="132"/>
        <v>369</v>
      </c>
      <c r="Z81" s="14">
        <f t="shared" si="133"/>
        <v>143</v>
      </c>
      <c r="AA81" s="18">
        <f t="shared" si="134"/>
        <v>369</v>
      </c>
      <c r="AB81" s="4" t="s">
        <v>0</v>
      </c>
    </row>
    <row r="82" spans="1:28">
      <c r="A82" s="9" t="s">
        <v>181</v>
      </c>
      <c r="B82" s="24"/>
      <c r="C82" s="26"/>
      <c r="D82" s="29">
        <f t="shared" si="73"/>
        <v>169</v>
      </c>
      <c r="E82" s="29">
        <f t="shared" ref="E82" si="140">E81</f>
        <v>352</v>
      </c>
      <c r="F82" s="29">
        <f t="shared" si="75"/>
        <v>195</v>
      </c>
      <c r="G82" s="29">
        <f t="shared" si="115"/>
        <v>381</v>
      </c>
      <c r="H82" s="4" t="s">
        <v>0</v>
      </c>
      <c r="I82" s="16" t="str">
        <f t="shared" si="117"/>
        <v>08-15</v>
      </c>
      <c r="J82" s="14">
        <f t="shared" si="118"/>
        <v>169</v>
      </c>
      <c r="K82" s="15">
        <f t="shared" si="119"/>
        <v>352</v>
      </c>
      <c r="L82" s="17">
        <f t="shared" si="120"/>
        <v>195</v>
      </c>
      <c r="M82" s="18">
        <f t="shared" si="121"/>
        <v>352</v>
      </c>
      <c r="N82" s="14">
        <f t="shared" si="122"/>
        <v>195</v>
      </c>
      <c r="O82" s="15">
        <f t="shared" si="123"/>
        <v>381</v>
      </c>
      <c r="P82" s="17">
        <f t="shared" si="124"/>
        <v>169</v>
      </c>
      <c r="Q82" s="18">
        <f t="shared" si="125"/>
        <v>381</v>
      </c>
      <c r="R82" s="4" t="s">
        <v>0</v>
      </c>
      <c r="S82" s="16" t="str">
        <f t="shared" si="126"/>
        <v>08-15</v>
      </c>
      <c r="T82" s="14">
        <f t="shared" si="127"/>
        <v>169</v>
      </c>
      <c r="U82" s="18">
        <f t="shared" si="128"/>
        <v>398</v>
      </c>
      <c r="V82" s="14">
        <f t="shared" si="129"/>
        <v>195</v>
      </c>
      <c r="W82" s="18">
        <f t="shared" si="130"/>
        <v>398</v>
      </c>
      <c r="X82" s="14">
        <f t="shared" si="131"/>
        <v>195</v>
      </c>
      <c r="Y82" s="18">
        <f t="shared" si="132"/>
        <v>369</v>
      </c>
      <c r="Z82" s="14">
        <f t="shared" si="133"/>
        <v>169</v>
      </c>
      <c r="AA82" s="18">
        <f t="shared" si="134"/>
        <v>369</v>
      </c>
      <c r="AB82" s="4" t="s">
        <v>0</v>
      </c>
    </row>
    <row r="83" spans="1:28">
      <c r="A83" s="9" t="s">
        <v>180</v>
      </c>
      <c r="B83" s="24"/>
      <c r="C83" s="26"/>
      <c r="D83" s="29">
        <f t="shared" si="73"/>
        <v>195</v>
      </c>
      <c r="E83" s="29">
        <f t="shared" ref="E83" si="141">E82</f>
        <v>352</v>
      </c>
      <c r="F83" s="29">
        <f t="shared" si="75"/>
        <v>221</v>
      </c>
      <c r="G83" s="29">
        <f t="shared" si="115"/>
        <v>381</v>
      </c>
      <c r="H83" s="4" t="s">
        <v>0</v>
      </c>
      <c r="I83" s="16" t="str">
        <f t="shared" si="117"/>
        <v>08-13</v>
      </c>
      <c r="J83" s="14">
        <f t="shared" si="118"/>
        <v>195</v>
      </c>
      <c r="K83" s="15">
        <f t="shared" si="119"/>
        <v>352</v>
      </c>
      <c r="L83" s="17">
        <f t="shared" si="120"/>
        <v>221</v>
      </c>
      <c r="M83" s="18">
        <f t="shared" si="121"/>
        <v>352</v>
      </c>
      <c r="N83" s="14">
        <f t="shared" si="122"/>
        <v>221</v>
      </c>
      <c r="O83" s="15">
        <f t="shared" si="123"/>
        <v>381</v>
      </c>
      <c r="P83" s="17">
        <f t="shared" si="124"/>
        <v>195</v>
      </c>
      <c r="Q83" s="18">
        <f t="shared" si="125"/>
        <v>381</v>
      </c>
      <c r="R83" s="4" t="s">
        <v>0</v>
      </c>
      <c r="S83" s="16" t="str">
        <f t="shared" si="126"/>
        <v>08-13</v>
      </c>
      <c r="T83" s="14">
        <f t="shared" si="127"/>
        <v>195</v>
      </c>
      <c r="U83" s="18">
        <f t="shared" si="128"/>
        <v>398</v>
      </c>
      <c r="V83" s="14">
        <f t="shared" si="129"/>
        <v>221</v>
      </c>
      <c r="W83" s="18">
        <f t="shared" si="130"/>
        <v>398</v>
      </c>
      <c r="X83" s="14">
        <f t="shared" si="131"/>
        <v>221</v>
      </c>
      <c r="Y83" s="18">
        <f t="shared" si="132"/>
        <v>369</v>
      </c>
      <c r="Z83" s="14">
        <f t="shared" si="133"/>
        <v>195</v>
      </c>
      <c r="AA83" s="18">
        <f t="shared" si="134"/>
        <v>369</v>
      </c>
      <c r="AB83" s="4" t="s">
        <v>0</v>
      </c>
    </row>
    <row r="84" spans="1:28">
      <c r="A84" s="9" t="s">
        <v>78</v>
      </c>
      <c r="B84" s="24"/>
      <c r="C84" s="26"/>
      <c r="D84" s="29">
        <f t="shared" si="73"/>
        <v>221</v>
      </c>
      <c r="E84" s="29">
        <f t="shared" ref="E84" si="142">E83</f>
        <v>352</v>
      </c>
      <c r="F84" s="29">
        <f t="shared" si="75"/>
        <v>247</v>
      </c>
      <c r="G84" s="29">
        <f t="shared" si="115"/>
        <v>381</v>
      </c>
      <c r="H84" s="4" t="s">
        <v>0</v>
      </c>
      <c r="I84" s="16" t="str">
        <f t="shared" si="117"/>
        <v>08-12</v>
      </c>
      <c r="J84" s="14">
        <f t="shared" si="118"/>
        <v>221</v>
      </c>
      <c r="K84" s="15">
        <f t="shared" si="119"/>
        <v>352</v>
      </c>
      <c r="L84" s="17">
        <f t="shared" si="120"/>
        <v>247</v>
      </c>
      <c r="M84" s="18">
        <f t="shared" si="121"/>
        <v>352</v>
      </c>
      <c r="N84" s="14">
        <f t="shared" si="122"/>
        <v>247</v>
      </c>
      <c r="O84" s="15">
        <f t="shared" si="123"/>
        <v>381</v>
      </c>
      <c r="P84" s="17">
        <f t="shared" si="124"/>
        <v>221</v>
      </c>
      <c r="Q84" s="18">
        <f t="shared" si="125"/>
        <v>381</v>
      </c>
      <c r="R84" s="4" t="s">
        <v>0</v>
      </c>
      <c r="S84" s="16" t="str">
        <f t="shared" si="126"/>
        <v>08-12</v>
      </c>
      <c r="T84" s="14">
        <f t="shared" si="127"/>
        <v>221</v>
      </c>
      <c r="U84" s="18">
        <f t="shared" si="128"/>
        <v>398</v>
      </c>
      <c r="V84" s="14">
        <f t="shared" si="129"/>
        <v>247</v>
      </c>
      <c r="W84" s="18">
        <f t="shared" si="130"/>
        <v>398</v>
      </c>
      <c r="X84" s="14">
        <f t="shared" si="131"/>
        <v>247</v>
      </c>
      <c r="Y84" s="18">
        <f t="shared" si="132"/>
        <v>369</v>
      </c>
      <c r="Z84" s="14">
        <f t="shared" si="133"/>
        <v>221</v>
      </c>
      <c r="AA84" s="18">
        <f t="shared" si="134"/>
        <v>369</v>
      </c>
      <c r="AB84" s="4" t="s">
        <v>0</v>
      </c>
    </row>
    <row r="85" spans="1:28">
      <c r="A85" s="9" t="s">
        <v>77</v>
      </c>
      <c r="B85" s="24"/>
      <c r="C85" s="26"/>
      <c r="D85" s="29">
        <f t="shared" si="73"/>
        <v>247</v>
      </c>
      <c r="E85" s="29">
        <f t="shared" ref="E85" si="143">E84</f>
        <v>352</v>
      </c>
      <c r="F85" s="29">
        <f t="shared" si="75"/>
        <v>273</v>
      </c>
      <c r="G85" s="29">
        <f t="shared" si="115"/>
        <v>381</v>
      </c>
      <c r="H85" s="4" t="s">
        <v>0</v>
      </c>
      <c r="I85" s="16" t="str">
        <f t="shared" si="117"/>
        <v>08-11</v>
      </c>
      <c r="J85" s="14">
        <f t="shared" si="118"/>
        <v>247</v>
      </c>
      <c r="K85" s="15">
        <f t="shared" si="119"/>
        <v>352</v>
      </c>
      <c r="L85" s="17">
        <f t="shared" si="120"/>
        <v>273</v>
      </c>
      <c r="M85" s="18">
        <f t="shared" si="121"/>
        <v>352</v>
      </c>
      <c r="N85" s="14">
        <f t="shared" si="122"/>
        <v>273</v>
      </c>
      <c r="O85" s="15">
        <f t="shared" si="123"/>
        <v>381</v>
      </c>
      <c r="P85" s="17">
        <f t="shared" si="124"/>
        <v>247</v>
      </c>
      <c r="Q85" s="18">
        <f t="shared" si="125"/>
        <v>381</v>
      </c>
      <c r="R85" s="4" t="s">
        <v>0</v>
      </c>
      <c r="S85" s="16" t="str">
        <f t="shared" si="126"/>
        <v>08-11</v>
      </c>
      <c r="T85" s="14">
        <f t="shared" si="127"/>
        <v>247</v>
      </c>
      <c r="U85" s="18">
        <f t="shared" si="128"/>
        <v>398</v>
      </c>
      <c r="V85" s="14">
        <f t="shared" si="129"/>
        <v>273</v>
      </c>
      <c r="W85" s="18">
        <f t="shared" si="130"/>
        <v>398</v>
      </c>
      <c r="X85" s="14">
        <f t="shared" si="131"/>
        <v>273</v>
      </c>
      <c r="Y85" s="18">
        <f t="shared" si="132"/>
        <v>369</v>
      </c>
      <c r="Z85" s="14">
        <f t="shared" si="133"/>
        <v>247</v>
      </c>
      <c r="AA85" s="18">
        <f t="shared" si="134"/>
        <v>369</v>
      </c>
      <c r="AB85" s="4" t="s">
        <v>0</v>
      </c>
    </row>
    <row r="86" spans="1:28">
      <c r="A86" s="9" t="s">
        <v>76</v>
      </c>
      <c r="B86" s="24"/>
      <c r="C86" s="26"/>
      <c r="D86" s="29">
        <f t="shared" si="73"/>
        <v>273</v>
      </c>
      <c r="E86" s="29">
        <f t="shared" ref="E86" si="144">E85</f>
        <v>352</v>
      </c>
      <c r="F86" s="29">
        <f t="shared" si="75"/>
        <v>299</v>
      </c>
      <c r="G86" s="29">
        <f t="shared" si="115"/>
        <v>381</v>
      </c>
      <c r="H86" s="4" t="s">
        <v>0</v>
      </c>
      <c r="I86" s="16" t="str">
        <f t="shared" si="117"/>
        <v>08-10</v>
      </c>
      <c r="J86" s="14">
        <f t="shared" si="118"/>
        <v>273</v>
      </c>
      <c r="K86" s="15">
        <f t="shared" si="119"/>
        <v>352</v>
      </c>
      <c r="L86" s="17">
        <f t="shared" si="120"/>
        <v>299</v>
      </c>
      <c r="M86" s="18">
        <f t="shared" si="121"/>
        <v>352</v>
      </c>
      <c r="N86" s="14">
        <f t="shared" si="122"/>
        <v>299</v>
      </c>
      <c r="O86" s="15">
        <f t="shared" si="123"/>
        <v>381</v>
      </c>
      <c r="P86" s="17">
        <f t="shared" si="124"/>
        <v>273</v>
      </c>
      <c r="Q86" s="18">
        <f t="shared" si="125"/>
        <v>381</v>
      </c>
      <c r="R86" s="4" t="s">
        <v>0</v>
      </c>
      <c r="S86" s="16" t="str">
        <f t="shared" si="126"/>
        <v>08-10</v>
      </c>
      <c r="T86" s="14">
        <f t="shared" si="127"/>
        <v>273</v>
      </c>
      <c r="U86" s="18">
        <f t="shared" si="128"/>
        <v>398</v>
      </c>
      <c r="V86" s="14">
        <f t="shared" si="129"/>
        <v>299</v>
      </c>
      <c r="W86" s="18">
        <f t="shared" si="130"/>
        <v>398</v>
      </c>
      <c r="X86" s="14">
        <f t="shared" si="131"/>
        <v>299</v>
      </c>
      <c r="Y86" s="18">
        <f t="shared" si="132"/>
        <v>369</v>
      </c>
      <c r="Z86" s="14">
        <f t="shared" si="133"/>
        <v>273</v>
      </c>
      <c r="AA86" s="18">
        <f t="shared" si="134"/>
        <v>369</v>
      </c>
      <c r="AB86" s="4" t="s">
        <v>0</v>
      </c>
    </row>
    <row r="87" spans="1:28">
      <c r="A87" s="9" t="s">
        <v>75</v>
      </c>
      <c r="B87" s="24"/>
      <c r="C87" s="26"/>
      <c r="D87" s="29">
        <f t="shared" si="73"/>
        <v>299</v>
      </c>
      <c r="E87" s="29">
        <f t="shared" ref="E87" si="145">E86</f>
        <v>352</v>
      </c>
      <c r="F87" s="29">
        <f t="shared" si="75"/>
        <v>325</v>
      </c>
      <c r="G87" s="29">
        <f t="shared" si="115"/>
        <v>381</v>
      </c>
      <c r="H87" s="4" t="s">
        <v>0</v>
      </c>
      <c r="I87" s="16" t="str">
        <f t="shared" si="117"/>
        <v>08-08</v>
      </c>
      <c r="J87" s="14">
        <f t="shared" si="118"/>
        <v>299</v>
      </c>
      <c r="K87" s="15">
        <f t="shared" si="119"/>
        <v>352</v>
      </c>
      <c r="L87" s="17">
        <f t="shared" si="120"/>
        <v>325</v>
      </c>
      <c r="M87" s="18">
        <f t="shared" si="121"/>
        <v>352</v>
      </c>
      <c r="N87" s="14">
        <f t="shared" si="122"/>
        <v>325</v>
      </c>
      <c r="O87" s="15">
        <f t="shared" si="123"/>
        <v>381</v>
      </c>
      <c r="P87" s="17">
        <f t="shared" si="124"/>
        <v>299</v>
      </c>
      <c r="Q87" s="18">
        <f t="shared" si="125"/>
        <v>381</v>
      </c>
      <c r="R87" s="4" t="s">
        <v>0</v>
      </c>
      <c r="S87" s="16" t="str">
        <f t="shared" si="126"/>
        <v>08-08</v>
      </c>
      <c r="T87" s="14">
        <f t="shared" si="127"/>
        <v>299</v>
      </c>
      <c r="U87" s="18">
        <f t="shared" si="128"/>
        <v>398</v>
      </c>
      <c r="V87" s="14">
        <f t="shared" si="129"/>
        <v>325</v>
      </c>
      <c r="W87" s="18">
        <f t="shared" si="130"/>
        <v>398</v>
      </c>
      <c r="X87" s="14">
        <f t="shared" si="131"/>
        <v>325</v>
      </c>
      <c r="Y87" s="18">
        <f t="shared" si="132"/>
        <v>369</v>
      </c>
      <c r="Z87" s="14">
        <f t="shared" si="133"/>
        <v>299</v>
      </c>
      <c r="AA87" s="18">
        <f t="shared" si="134"/>
        <v>369</v>
      </c>
      <c r="AB87" s="4" t="s">
        <v>0</v>
      </c>
    </row>
    <row r="88" spans="1:28">
      <c r="A88" s="9" t="s">
        <v>74</v>
      </c>
      <c r="B88" s="24"/>
      <c r="C88" s="26"/>
      <c r="D88" s="29">
        <f t="shared" si="73"/>
        <v>325</v>
      </c>
      <c r="E88" s="29">
        <f t="shared" ref="E88" si="146">E87</f>
        <v>352</v>
      </c>
      <c r="F88" s="29">
        <f t="shared" si="75"/>
        <v>351</v>
      </c>
      <c r="G88" s="29">
        <f t="shared" si="115"/>
        <v>381</v>
      </c>
      <c r="H88" s="4" t="s">
        <v>0</v>
      </c>
      <c r="I88" s="16" t="str">
        <f t="shared" si="117"/>
        <v>08-07</v>
      </c>
      <c r="J88" s="14">
        <f t="shared" si="118"/>
        <v>325</v>
      </c>
      <c r="K88" s="15">
        <f t="shared" si="119"/>
        <v>352</v>
      </c>
      <c r="L88" s="17">
        <f t="shared" si="120"/>
        <v>351</v>
      </c>
      <c r="M88" s="18">
        <f t="shared" si="121"/>
        <v>352</v>
      </c>
      <c r="N88" s="14">
        <f t="shared" si="122"/>
        <v>351</v>
      </c>
      <c r="O88" s="15">
        <f t="shared" si="123"/>
        <v>381</v>
      </c>
      <c r="P88" s="17">
        <f t="shared" si="124"/>
        <v>325</v>
      </c>
      <c r="Q88" s="18">
        <f t="shared" si="125"/>
        <v>381</v>
      </c>
      <c r="R88" s="4" t="s">
        <v>0</v>
      </c>
      <c r="S88" s="16" t="str">
        <f t="shared" si="126"/>
        <v>08-07</v>
      </c>
      <c r="T88" s="14">
        <f t="shared" si="127"/>
        <v>325</v>
      </c>
      <c r="U88" s="18">
        <f t="shared" si="128"/>
        <v>398</v>
      </c>
      <c r="V88" s="14">
        <f t="shared" si="129"/>
        <v>351</v>
      </c>
      <c r="W88" s="18">
        <f t="shared" si="130"/>
        <v>398</v>
      </c>
      <c r="X88" s="14">
        <f t="shared" si="131"/>
        <v>351</v>
      </c>
      <c r="Y88" s="18">
        <f t="shared" si="132"/>
        <v>369</v>
      </c>
      <c r="Z88" s="14">
        <f t="shared" si="133"/>
        <v>325</v>
      </c>
      <c r="AA88" s="18">
        <f t="shared" si="134"/>
        <v>369</v>
      </c>
      <c r="AB88" s="4" t="s">
        <v>0</v>
      </c>
    </row>
    <row r="89" spans="1:28">
      <c r="A89" s="9" t="s">
        <v>73</v>
      </c>
      <c r="B89" s="24"/>
      <c r="C89" s="26"/>
      <c r="D89" s="29">
        <f t="shared" si="73"/>
        <v>351</v>
      </c>
      <c r="E89" s="29">
        <f t="shared" ref="E89" si="147">E88</f>
        <v>352</v>
      </c>
      <c r="F89" s="29">
        <f t="shared" si="75"/>
        <v>377</v>
      </c>
      <c r="G89" s="29">
        <f t="shared" si="115"/>
        <v>381</v>
      </c>
      <c r="H89" s="4" t="s">
        <v>0</v>
      </c>
      <c r="I89" s="16" t="str">
        <f t="shared" si="117"/>
        <v>08-06</v>
      </c>
      <c r="J89" s="14">
        <f t="shared" si="118"/>
        <v>351</v>
      </c>
      <c r="K89" s="15">
        <f t="shared" si="119"/>
        <v>352</v>
      </c>
      <c r="L89" s="17">
        <f t="shared" si="120"/>
        <v>377</v>
      </c>
      <c r="M89" s="18">
        <f t="shared" si="121"/>
        <v>352</v>
      </c>
      <c r="N89" s="14">
        <f t="shared" si="122"/>
        <v>377</v>
      </c>
      <c r="O89" s="15">
        <f t="shared" si="123"/>
        <v>381</v>
      </c>
      <c r="P89" s="17">
        <f t="shared" si="124"/>
        <v>351</v>
      </c>
      <c r="Q89" s="18">
        <f t="shared" si="125"/>
        <v>381</v>
      </c>
      <c r="R89" s="4" t="s">
        <v>0</v>
      </c>
      <c r="S89" s="16" t="str">
        <f t="shared" si="126"/>
        <v>08-06</v>
      </c>
      <c r="T89" s="14">
        <f t="shared" si="127"/>
        <v>351</v>
      </c>
      <c r="U89" s="18">
        <f t="shared" si="128"/>
        <v>398</v>
      </c>
      <c r="V89" s="14">
        <f t="shared" si="129"/>
        <v>377</v>
      </c>
      <c r="W89" s="18">
        <f t="shared" si="130"/>
        <v>398</v>
      </c>
      <c r="X89" s="14">
        <f t="shared" si="131"/>
        <v>377</v>
      </c>
      <c r="Y89" s="18">
        <f t="shared" si="132"/>
        <v>369</v>
      </c>
      <c r="Z89" s="14">
        <f t="shared" si="133"/>
        <v>351</v>
      </c>
      <c r="AA89" s="18">
        <f t="shared" si="134"/>
        <v>369</v>
      </c>
      <c r="AB89" s="4" t="s">
        <v>0</v>
      </c>
    </row>
    <row r="90" spans="1:28">
      <c r="A90" s="9" t="s">
        <v>72</v>
      </c>
      <c r="B90" s="24"/>
      <c r="C90" s="26"/>
      <c r="D90" s="29">
        <f t="shared" si="73"/>
        <v>377</v>
      </c>
      <c r="E90" s="29">
        <f t="shared" ref="E90" si="148">E89</f>
        <v>352</v>
      </c>
      <c r="F90" s="29">
        <f t="shared" si="75"/>
        <v>403</v>
      </c>
      <c r="G90" s="29">
        <f t="shared" si="115"/>
        <v>381</v>
      </c>
      <c r="H90" s="4" t="s">
        <v>0</v>
      </c>
      <c r="I90" s="16" t="str">
        <f t="shared" si="117"/>
        <v>08-05</v>
      </c>
      <c r="J90" s="14">
        <f t="shared" si="118"/>
        <v>377</v>
      </c>
      <c r="K90" s="15">
        <f t="shared" si="119"/>
        <v>352</v>
      </c>
      <c r="L90" s="17">
        <f t="shared" si="120"/>
        <v>403</v>
      </c>
      <c r="M90" s="18">
        <f t="shared" si="121"/>
        <v>352</v>
      </c>
      <c r="N90" s="14">
        <f t="shared" si="122"/>
        <v>403</v>
      </c>
      <c r="O90" s="15">
        <f t="shared" si="123"/>
        <v>381</v>
      </c>
      <c r="P90" s="17">
        <f t="shared" si="124"/>
        <v>377</v>
      </c>
      <c r="Q90" s="18">
        <f t="shared" si="125"/>
        <v>381</v>
      </c>
      <c r="R90" s="4" t="s">
        <v>0</v>
      </c>
      <c r="S90" s="16" t="str">
        <f t="shared" si="126"/>
        <v>08-05</v>
      </c>
      <c r="T90" s="14">
        <f t="shared" si="127"/>
        <v>377</v>
      </c>
      <c r="U90" s="18">
        <f t="shared" si="128"/>
        <v>398</v>
      </c>
      <c r="V90" s="14">
        <f t="shared" si="129"/>
        <v>403</v>
      </c>
      <c r="W90" s="18">
        <f t="shared" si="130"/>
        <v>398</v>
      </c>
      <c r="X90" s="14">
        <f t="shared" si="131"/>
        <v>403</v>
      </c>
      <c r="Y90" s="18">
        <f t="shared" si="132"/>
        <v>369</v>
      </c>
      <c r="Z90" s="14">
        <f t="shared" si="133"/>
        <v>377</v>
      </c>
      <c r="AA90" s="18">
        <f t="shared" si="134"/>
        <v>369</v>
      </c>
      <c r="AB90" s="4" t="s">
        <v>0</v>
      </c>
    </row>
    <row r="91" spans="1:28">
      <c r="A91" s="9" t="s">
        <v>71</v>
      </c>
      <c r="B91" s="24"/>
      <c r="C91" s="26"/>
      <c r="D91" s="29">
        <f t="shared" si="73"/>
        <v>403</v>
      </c>
      <c r="E91" s="29">
        <f t="shared" ref="E91" si="149">E90</f>
        <v>352</v>
      </c>
      <c r="F91" s="29">
        <f t="shared" si="75"/>
        <v>429</v>
      </c>
      <c r="G91" s="29">
        <f t="shared" si="115"/>
        <v>381</v>
      </c>
      <c r="H91" s="4" t="s">
        <v>0</v>
      </c>
      <c r="I91" s="16" t="str">
        <f t="shared" si="117"/>
        <v>08-03</v>
      </c>
      <c r="J91" s="14">
        <f t="shared" si="118"/>
        <v>403</v>
      </c>
      <c r="K91" s="15">
        <f t="shared" si="119"/>
        <v>352</v>
      </c>
      <c r="L91" s="17">
        <f t="shared" si="120"/>
        <v>429</v>
      </c>
      <c r="M91" s="18">
        <f t="shared" si="121"/>
        <v>352</v>
      </c>
      <c r="N91" s="14">
        <f t="shared" si="122"/>
        <v>429</v>
      </c>
      <c r="O91" s="15">
        <f t="shared" si="123"/>
        <v>381</v>
      </c>
      <c r="P91" s="17">
        <f t="shared" si="124"/>
        <v>403</v>
      </c>
      <c r="Q91" s="18">
        <f t="shared" si="125"/>
        <v>381</v>
      </c>
      <c r="R91" s="4" t="s">
        <v>0</v>
      </c>
      <c r="S91" s="16" t="str">
        <f t="shared" si="126"/>
        <v>08-03</v>
      </c>
      <c r="T91" s="14">
        <f t="shared" si="127"/>
        <v>403</v>
      </c>
      <c r="U91" s="18">
        <f t="shared" si="128"/>
        <v>398</v>
      </c>
      <c r="V91" s="14">
        <f t="shared" si="129"/>
        <v>429</v>
      </c>
      <c r="W91" s="18">
        <f t="shared" si="130"/>
        <v>398</v>
      </c>
      <c r="X91" s="14">
        <f t="shared" si="131"/>
        <v>429</v>
      </c>
      <c r="Y91" s="18">
        <f t="shared" si="132"/>
        <v>369</v>
      </c>
      <c r="Z91" s="14">
        <f t="shared" si="133"/>
        <v>403</v>
      </c>
      <c r="AA91" s="18">
        <f t="shared" si="134"/>
        <v>369</v>
      </c>
      <c r="AB91" s="4" t="s">
        <v>0</v>
      </c>
    </row>
    <row r="92" spans="1:28">
      <c r="A92" s="9" t="s">
        <v>70</v>
      </c>
      <c r="B92" s="24"/>
      <c r="C92" s="26"/>
      <c r="D92" s="29">
        <f t="shared" si="73"/>
        <v>429</v>
      </c>
      <c r="E92" s="29">
        <f t="shared" ref="E92" si="150">E91</f>
        <v>352</v>
      </c>
      <c r="F92" s="29">
        <f t="shared" si="75"/>
        <v>455</v>
      </c>
      <c r="G92" s="29">
        <f t="shared" si="115"/>
        <v>381</v>
      </c>
      <c r="H92" s="4" t="s">
        <v>0</v>
      </c>
      <c r="I92" s="16" t="str">
        <f t="shared" si="117"/>
        <v>08-02</v>
      </c>
      <c r="J92" s="14">
        <f t="shared" si="118"/>
        <v>429</v>
      </c>
      <c r="K92" s="15">
        <f t="shared" si="119"/>
        <v>352</v>
      </c>
      <c r="L92" s="17">
        <f t="shared" si="120"/>
        <v>455</v>
      </c>
      <c r="M92" s="18">
        <f t="shared" si="121"/>
        <v>352</v>
      </c>
      <c r="N92" s="14">
        <f t="shared" si="122"/>
        <v>455</v>
      </c>
      <c r="O92" s="15">
        <f t="shared" si="123"/>
        <v>381</v>
      </c>
      <c r="P92" s="17">
        <f t="shared" si="124"/>
        <v>429</v>
      </c>
      <c r="Q92" s="18">
        <f t="shared" si="125"/>
        <v>381</v>
      </c>
      <c r="R92" s="4" t="s">
        <v>0</v>
      </c>
      <c r="S92" s="16" t="str">
        <f t="shared" si="126"/>
        <v>08-02</v>
      </c>
      <c r="T92" s="14">
        <f t="shared" si="127"/>
        <v>429</v>
      </c>
      <c r="U92" s="18">
        <f t="shared" si="128"/>
        <v>398</v>
      </c>
      <c r="V92" s="14">
        <f t="shared" si="129"/>
        <v>455</v>
      </c>
      <c r="W92" s="18">
        <f t="shared" si="130"/>
        <v>398</v>
      </c>
      <c r="X92" s="14">
        <f t="shared" si="131"/>
        <v>455</v>
      </c>
      <c r="Y92" s="18">
        <f t="shared" si="132"/>
        <v>369</v>
      </c>
      <c r="Z92" s="14">
        <f t="shared" si="133"/>
        <v>429</v>
      </c>
      <c r="AA92" s="18">
        <f t="shared" si="134"/>
        <v>369</v>
      </c>
      <c r="AB92" s="4" t="s">
        <v>0</v>
      </c>
    </row>
    <row r="93" spans="1:28">
      <c r="A93" s="9" t="s">
        <v>69</v>
      </c>
      <c r="B93" s="24"/>
      <c r="C93" s="26"/>
      <c r="D93" s="29">
        <f t="shared" si="73"/>
        <v>455</v>
      </c>
      <c r="E93" s="29">
        <f t="shared" ref="E93" si="151">E92</f>
        <v>352</v>
      </c>
      <c r="F93" s="29">
        <f t="shared" si="75"/>
        <v>481</v>
      </c>
      <c r="G93" s="29">
        <f t="shared" si="115"/>
        <v>381</v>
      </c>
      <c r="H93" s="4" t="s">
        <v>0</v>
      </c>
      <c r="I93" s="16" t="str">
        <f t="shared" si="117"/>
        <v>08-01</v>
      </c>
      <c r="J93" s="14">
        <f t="shared" si="118"/>
        <v>455</v>
      </c>
      <c r="K93" s="15">
        <f t="shared" si="119"/>
        <v>352</v>
      </c>
      <c r="L93" s="17">
        <f t="shared" si="120"/>
        <v>481</v>
      </c>
      <c r="M93" s="18">
        <f t="shared" si="121"/>
        <v>352</v>
      </c>
      <c r="N93" s="14">
        <f t="shared" si="122"/>
        <v>481</v>
      </c>
      <c r="O93" s="15">
        <f t="shared" si="123"/>
        <v>381</v>
      </c>
      <c r="P93" s="17">
        <f t="shared" si="124"/>
        <v>455</v>
      </c>
      <c r="Q93" s="18">
        <f t="shared" si="125"/>
        <v>381</v>
      </c>
      <c r="R93" s="4" t="s">
        <v>0</v>
      </c>
      <c r="S93" s="16" t="str">
        <f t="shared" si="126"/>
        <v>08-01</v>
      </c>
      <c r="T93" s="14">
        <f t="shared" si="127"/>
        <v>455</v>
      </c>
      <c r="U93" s="18">
        <f t="shared" si="128"/>
        <v>398</v>
      </c>
      <c r="V93" s="14">
        <f t="shared" si="129"/>
        <v>481</v>
      </c>
      <c r="W93" s="18">
        <f t="shared" si="130"/>
        <v>398</v>
      </c>
      <c r="X93" s="14">
        <f t="shared" si="131"/>
        <v>481</v>
      </c>
      <c r="Y93" s="18">
        <f t="shared" si="132"/>
        <v>369</v>
      </c>
      <c r="Z93" s="14">
        <f t="shared" si="133"/>
        <v>455</v>
      </c>
      <c r="AA93" s="18">
        <f t="shared" si="134"/>
        <v>369</v>
      </c>
      <c r="AB93" s="4" t="s">
        <v>0</v>
      </c>
    </row>
    <row r="94" spans="1:28">
      <c r="A94" s="9" t="s">
        <v>176</v>
      </c>
      <c r="B94" s="24"/>
      <c r="C94" s="26">
        <v>5</v>
      </c>
      <c r="D94" s="27">
        <v>117</v>
      </c>
      <c r="E94" s="34">
        <f t="shared" ref="E94" si="152">ROUND(E$25+38.5*$C94,0)</f>
        <v>391</v>
      </c>
      <c r="F94" s="31">
        <v>143</v>
      </c>
      <c r="G94" s="34">
        <f t="shared" ref="G94" si="153">ROUND(G$25+38.5*$C94,0)</f>
        <v>420</v>
      </c>
      <c r="H94" s="4" t="s">
        <v>0</v>
      </c>
      <c r="I94" s="16" t="str">
        <f t="shared" si="117"/>
        <v>07-17</v>
      </c>
      <c r="J94" s="14">
        <f t="shared" si="118"/>
        <v>117</v>
      </c>
      <c r="K94" s="15">
        <f t="shared" si="119"/>
        <v>391</v>
      </c>
      <c r="L94" s="17">
        <f t="shared" si="120"/>
        <v>143</v>
      </c>
      <c r="M94" s="18">
        <f t="shared" si="121"/>
        <v>391</v>
      </c>
      <c r="N94" s="14">
        <f t="shared" si="122"/>
        <v>143</v>
      </c>
      <c r="O94" s="15">
        <f t="shared" si="123"/>
        <v>420</v>
      </c>
      <c r="P94" s="17">
        <f t="shared" si="124"/>
        <v>117</v>
      </c>
      <c r="Q94" s="18">
        <f t="shared" si="125"/>
        <v>420</v>
      </c>
      <c r="R94" s="4" t="s">
        <v>0</v>
      </c>
      <c r="S94" s="16" t="str">
        <f t="shared" si="126"/>
        <v>07-17</v>
      </c>
      <c r="T94" s="14">
        <f t="shared" si="127"/>
        <v>117</v>
      </c>
      <c r="U94" s="18">
        <f t="shared" si="128"/>
        <v>359</v>
      </c>
      <c r="V94" s="14">
        <f t="shared" si="129"/>
        <v>143</v>
      </c>
      <c r="W94" s="18">
        <f t="shared" si="130"/>
        <v>359</v>
      </c>
      <c r="X94" s="14">
        <f t="shared" si="131"/>
        <v>143</v>
      </c>
      <c r="Y94" s="18">
        <f t="shared" si="132"/>
        <v>330</v>
      </c>
      <c r="Z94" s="14">
        <f t="shared" si="133"/>
        <v>117</v>
      </c>
      <c r="AA94" s="18">
        <f t="shared" si="134"/>
        <v>330</v>
      </c>
      <c r="AB94" s="4" t="s">
        <v>0</v>
      </c>
    </row>
    <row r="95" spans="1:28">
      <c r="A95" s="9" t="s">
        <v>175</v>
      </c>
      <c r="B95" s="24"/>
      <c r="C95" s="26"/>
      <c r="D95" s="29">
        <f t="shared" si="73"/>
        <v>143</v>
      </c>
      <c r="E95" s="29">
        <f t="shared" ref="E95" si="154">E94</f>
        <v>391</v>
      </c>
      <c r="F95" s="29">
        <f t="shared" si="75"/>
        <v>169</v>
      </c>
      <c r="G95" s="29">
        <f t="shared" si="115"/>
        <v>420</v>
      </c>
      <c r="H95" s="4" t="s">
        <v>0</v>
      </c>
      <c r="I95" s="16" t="str">
        <f t="shared" si="117"/>
        <v>07-16</v>
      </c>
      <c r="J95" s="14">
        <f t="shared" si="118"/>
        <v>143</v>
      </c>
      <c r="K95" s="15">
        <f t="shared" si="119"/>
        <v>391</v>
      </c>
      <c r="L95" s="17">
        <f t="shared" si="120"/>
        <v>169</v>
      </c>
      <c r="M95" s="18">
        <f t="shared" si="121"/>
        <v>391</v>
      </c>
      <c r="N95" s="14">
        <f t="shared" si="122"/>
        <v>169</v>
      </c>
      <c r="O95" s="15">
        <f t="shared" si="123"/>
        <v>420</v>
      </c>
      <c r="P95" s="17">
        <f t="shared" si="124"/>
        <v>143</v>
      </c>
      <c r="Q95" s="18">
        <f t="shared" si="125"/>
        <v>420</v>
      </c>
      <c r="R95" s="4" t="s">
        <v>0</v>
      </c>
      <c r="S95" s="16" t="str">
        <f t="shared" si="126"/>
        <v>07-16</v>
      </c>
      <c r="T95" s="14">
        <f t="shared" si="127"/>
        <v>143</v>
      </c>
      <c r="U95" s="18">
        <f t="shared" si="128"/>
        <v>359</v>
      </c>
      <c r="V95" s="14">
        <f t="shared" si="129"/>
        <v>169</v>
      </c>
      <c r="W95" s="18">
        <f t="shared" si="130"/>
        <v>359</v>
      </c>
      <c r="X95" s="14">
        <f t="shared" si="131"/>
        <v>169</v>
      </c>
      <c r="Y95" s="18">
        <f t="shared" si="132"/>
        <v>330</v>
      </c>
      <c r="Z95" s="14">
        <f t="shared" si="133"/>
        <v>143</v>
      </c>
      <c r="AA95" s="18">
        <f t="shared" si="134"/>
        <v>330</v>
      </c>
      <c r="AB95" s="4" t="s">
        <v>0</v>
      </c>
    </row>
    <row r="96" spans="1:28">
      <c r="A96" s="9" t="s">
        <v>174</v>
      </c>
      <c r="B96" s="24"/>
      <c r="C96" s="26"/>
      <c r="D96" s="29">
        <f t="shared" si="73"/>
        <v>169</v>
      </c>
      <c r="E96" s="29">
        <f t="shared" ref="E96" si="155">E95</f>
        <v>391</v>
      </c>
      <c r="F96" s="29">
        <f t="shared" si="75"/>
        <v>195</v>
      </c>
      <c r="G96" s="29">
        <f t="shared" si="115"/>
        <v>420</v>
      </c>
      <c r="H96" s="4" t="s">
        <v>0</v>
      </c>
      <c r="I96" s="16" t="str">
        <f t="shared" si="117"/>
        <v>07-15</v>
      </c>
      <c r="J96" s="14">
        <f t="shared" si="118"/>
        <v>169</v>
      </c>
      <c r="K96" s="15">
        <f t="shared" si="119"/>
        <v>391</v>
      </c>
      <c r="L96" s="17">
        <f t="shared" si="120"/>
        <v>195</v>
      </c>
      <c r="M96" s="18">
        <f t="shared" si="121"/>
        <v>391</v>
      </c>
      <c r="N96" s="14">
        <f t="shared" si="122"/>
        <v>195</v>
      </c>
      <c r="O96" s="15">
        <f t="shared" si="123"/>
        <v>420</v>
      </c>
      <c r="P96" s="17">
        <f t="shared" si="124"/>
        <v>169</v>
      </c>
      <c r="Q96" s="18">
        <f t="shared" si="125"/>
        <v>420</v>
      </c>
      <c r="R96" s="4" t="s">
        <v>0</v>
      </c>
      <c r="S96" s="16" t="str">
        <f t="shared" si="126"/>
        <v>07-15</v>
      </c>
      <c r="T96" s="14">
        <f t="shared" si="127"/>
        <v>169</v>
      </c>
      <c r="U96" s="18">
        <f t="shared" si="128"/>
        <v>359</v>
      </c>
      <c r="V96" s="14">
        <f t="shared" si="129"/>
        <v>195</v>
      </c>
      <c r="W96" s="18">
        <f t="shared" si="130"/>
        <v>359</v>
      </c>
      <c r="X96" s="14">
        <f t="shared" si="131"/>
        <v>195</v>
      </c>
      <c r="Y96" s="18">
        <f t="shared" si="132"/>
        <v>330</v>
      </c>
      <c r="Z96" s="14">
        <f t="shared" si="133"/>
        <v>169</v>
      </c>
      <c r="AA96" s="18">
        <f t="shared" si="134"/>
        <v>330</v>
      </c>
      <c r="AB96" s="4" t="s">
        <v>0</v>
      </c>
    </row>
    <row r="97" spans="1:28">
      <c r="A97" s="9" t="s">
        <v>173</v>
      </c>
      <c r="B97" s="24"/>
      <c r="C97" s="26"/>
      <c r="D97" s="29">
        <f t="shared" si="73"/>
        <v>195</v>
      </c>
      <c r="E97" s="29">
        <f t="shared" ref="E97" si="156">E96</f>
        <v>391</v>
      </c>
      <c r="F97" s="29">
        <f t="shared" si="75"/>
        <v>221</v>
      </c>
      <c r="G97" s="29">
        <f t="shared" si="115"/>
        <v>420</v>
      </c>
      <c r="H97" s="4" t="s">
        <v>0</v>
      </c>
      <c r="I97" s="16" t="str">
        <f t="shared" si="117"/>
        <v>07-13</v>
      </c>
      <c r="J97" s="14">
        <f t="shared" si="118"/>
        <v>195</v>
      </c>
      <c r="K97" s="15">
        <f t="shared" si="119"/>
        <v>391</v>
      </c>
      <c r="L97" s="17">
        <f t="shared" si="120"/>
        <v>221</v>
      </c>
      <c r="M97" s="18">
        <f t="shared" si="121"/>
        <v>391</v>
      </c>
      <c r="N97" s="14">
        <f t="shared" si="122"/>
        <v>221</v>
      </c>
      <c r="O97" s="15">
        <f t="shared" si="123"/>
        <v>420</v>
      </c>
      <c r="P97" s="17">
        <f t="shared" si="124"/>
        <v>195</v>
      </c>
      <c r="Q97" s="18">
        <f t="shared" si="125"/>
        <v>420</v>
      </c>
      <c r="R97" s="4" t="s">
        <v>0</v>
      </c>
      <c r="S97" s="16" t="str">
        <f t="shared" si="126"/>
        <v>07-13</v>
      </c>
      <c r="T97" s="14">
        <f t="shared" si="127"/>
        <v>195</v>
      </c>
      <c r="U97" s="18">
        <f t="shared" si="128"/>
        <v>359</v>
      </c>
      <c r="V97" s="14">
        <f t="shared" si="129"/>
        <v>221</v>
      </c>
      <c r="W97" s="18">
        <f t="shared" si="130"/>
        <v>359</v>
      </c>
      <c r="X97" s="14">
        <f t="shared" si="131"/>
        <v>221</v>
      </c>
      <c r="Y97" s="18">
        <f t="shared" si="132"/>
        <v>330</v>
      </c>
      <c r="Z97" s="14">
        <f t="shared" si="133"/>
        <v>195</v>
      </c>
      <c r="AA97" s="18">
        <f t="shared" si="134"/>
        <v>330</v>
      </c>
      <c r="AB97" s="4" t="s">
        <v>0</v>
      </c>
    </row>
    <row r="98" spans="1:28">
      <c r="A98" s="9" t="s">
        <v>68</v>
      </c>
      <c r="B98" s="24"/>
      <c r="C98" s="26"/>
      <c r="D98" s="29">
        <f t="shared" si="73"/>
        <v>221</v>
      </c>
      <c r="E98" s="29">
        <f t="shared" ref="E98" si="157">E97</f>
        <v>391</v>
      </c>
      <c r="F98" s="29">
        <f t="shared" si="75"/>
        <v>247</v>
      </c>
      <c r="G98" s="29">
        <f t="shared" si="115"/>
        <v>420</v>
      </c>
      <c r="H98" s="4" t="s">
        <v>0</v>
      </c>
      <c r="I98" s="16" t="str">
        <f t="shared" si="117"/>
        <v>07-12</v>
      </c>
      <c r="J98" s="14">
        <f t="shared" si="118"/>
        <v>221</v>
      </c>
      <c r="K98" s="15">
        <f t="shared" si="119"/>
        <v>391</v>
      </c>
      <c r="L98" s="17">
        <f t="shared" si="120"/>
        <v>247</v>
      </c>
      <c r="M98" s="18">
        <f t="shared" si="121"/>
        <v>391</v>
      </c>
      <c r="N98" s="14">
        <f t="shared" si="122"/>
        <v>247</v>
      </c>
      <c r="O98" s="15">
        <f t="shared" si="123"/>
        <v>420</v>
      </c>
      <c r="P98" s="17">
        <f t="shared" si="124"/>
        <v>221</v>
      </c>
      <c r="Q98" s="18">
        <f t="shared" si="125"/>
        <v>420</v>
      </c>
      <c r="R98" s="4" t="s">
        <v>0</v>
      </c>
      <c r="S98" s="16" t="str">
        <f t="shared" si="126"/>
        <v>07-12</v>
      </c>
      <c r="T98" s="14">
        <f t="shared" si="127"/>
        <v>221</v>
      </c>
      <c r="U98" s="18">
        <f t="shared" si="128"/>
        <v>359</v>
      </c>
      <c r="V98" s="14">
        <f t="shared" si="129"/>
        <v>247</v>
      </c>
      <c r="W98" s="18">
        <f t="shared" si="130"/>
        <v>359</v>
      </c>
      <c r="X98" s="14">
        <f t="shared" si="131"/>
        <v>247</v>
      </c>
      <c r="Y98" s="18">
        <f t="shared" si="132"/>
        <v>330</v>
      </c>
      <c r="Z98" s="14">
        <f t="shared" si="133"/>
        <v>221</v>
      </c>
      <c r="AA98" s="18">
        <f t="shared" si="134"/>
        <v>330</v>
      </c>
      <c r="AB98" s="4" t="s">
        <v>0</v>
      </c>
    </row>
    <row r="99" spans="1:28">
      <c r="A99" s="9" t="s">
        <v>67</v>
      </c>
      <c r="B99" s="24"/>
      <c r="C99" s="26"/>
      <c r="D99" s="29">
        <f t="shared" si="73"/>
        <v>247</v>
      </c>
      <c r="E99" s="29">
        <f t="shared" ref="E99" si="158">E98</f>
        <v>391</v>
      </c>
      <c r="F99" s="29">
        <f t="shared" si="75"/>
        <v>273</v>
      </c>
      <c r="G99" s="29">
        <f t="shared" si="115"/>
        <v>420</v>
      </c>
      <c r="H99" s="4" t="s">
        <v>0</v>
      </c>
      <c r="I99" s="16" t="str">
        <f t="shared" si="117"/>
        <v>07-11</v>
      </c>
      <c r="J99" s="14">
        <f t="shared" si="118"/>
        <v>247</v>
      </c>
      <c r="K99" s="15">
        <f t="shared" si="119"/>
        <v>391</v>
      </c>
      <c r="L99" s="17">
        <f t="shared" si="120"/>
        <v>273</v>
      </c>
      <c r="M99" s="18">
        <f t="shared" si="121"/>
        <v>391</v>
      </c>
      <c r="N99" s="14">
        <f t="shared" si="122"/>
        <v>273</v>
      </c>
      <c r="O99" s="15">
        <f t="shared" si="123"/>
        <v>420</v>
      </c>
      <c r="P99" s="17">
        <f t="shared" si="124"/>
        <v>247</v>
      </c>
      <c r="Q99" s="18">
        <f t="shared" si="125"/>
        <v>420</v>
      </c>
      <c r="R99" s="4" t="s">
        <v>0</v>
      </c>
      <c r="S99" s="16" t="str">
        <f t="shared" si="126"/>
        <v>07-11</v>
      </c>
      <c r="T99" s="14">
        <f t="shared" si="127"/>
        <v>247</v>
      </c>
      <c r="U99" s="18">
        <f t="shared" si="128"/>
        <v>359</v>
      </c>
      <c r="V99" s="14">
        <f t="shared" si="129"/>
        <v>273</v>
      </c>
      <c r="W99" s="18">
        <f t="shared" si="130"/>
        <v>359</v>
      </c>
      <c r="X99" s="14">
        <f t="shared" si="131"/>
        <v>273</v>
      </c>
      <c r="Y99" s="18">
        <f t="shared" si="132"/>
        <v>330</v>
      </c>
      <c r="Z99" s="14">
        <f t="shared" si="133"/>
        <v>247</v>
      </c>
      <c r="AA99" s="18">
        <f t="shared" si="134"/>
        <v>330</v>
      </c>
      <c r="AB99" s="4" t="s">
        <v>0</v>
      </c>
    </row>
    <row r="100" spans="1:28">
      <c r="A100" s="9" t="s">
        <v>66</v>
      </c>
      <c r="B100" s="24"/>
      <c r="C100" s="26"/>
      <c r="D100" s="29">
        <f t="shared" si="73"/>
        <v>273</v>
      </c>
      <c r="E100" s="29">
        <f t="shared" ref="E100" si="159">E99</f>
        <v>391</v>
      </c>
      <c r="F100" s="29">
        <f t="shared" si="75"/>
        <v>299</v>
      </c>
      <c r="G100" s="29">
        <f t="shared" si="115"/>
        <v>420</v>
      </c>
      <c r="H100" s="4" t="s">
        <v>0</v>
      </c>
      <c r="I100" s="16" t="str">
        <f t="shared" si="117"/>
        <v>07-10</v>
      </c>
      <c r="J100" s="14">
        <f t="shared" si="118"/>
        <v>273</v>
      </c>
      <c r="K100" s="15">
        <f t="shared" si="119"/>
        <v>391</v>
      </c>
      <c r="L100" s="17">
        <f t="shared" si="120"/>
        <v>299</v>
      </c>
      <c r="M100" s="18">
        <f t="shared" si="121"/>
        <v>391</v>
      </c>
      <c r="N100" s="14">
        <f t="shared" si="122"/>
        <v>299</v>
      </c>
      <c r="O100" s="15">
        <f t="shared" si="123"/>
        <v>420</v>
      </c>
      <c r="P100" s="17">
        <f t="shared" si="124"/>
        <v>273</v>
      </c>
      <c r="Q100" s="18">
        <f t="shared" si="125"/>
        <v>420</v>
      </c>
      <c r="R100" s="4" t="s">
        <v>0</v>
      </c>
      <c r="S100" s="16" t="str">
        <f t="shared" si="126"/>
        <v>07-10</v>
      </c>
      <c r="T100" s="14">
        <f t="shared" si="127"/>
        <v>273</v>
      </c>
      <c r="U100" s="18">
        <f t="shared" si="128"/>
        <v>359</v>
      </c>
      <c r="V100" s="14">
        <f t="shared" si="129"/>
        <v>299</v>
      </c>
      <c r="W100" s="18">
        <f t="shared" si="130"/>
        <v>359</v>
      </c>
      <c r="X100" s="14">
        <f t="shared" si="131"/>
        <v>299</v>
      </c>
      <c r="Y100" s="18">
        <f t="shared" si="132"/>
        <v>330</v>
      </c>
      <c r="Z100" s="14">
        <f t="shared" si="133"/>
        <v>273</v>
      </c>
      <c r="AA100" s="18">
        <f t="shared" si="134"/>
        <v>330</v>
      </c>
      <c r="AB100" s="4" t="s">
        <v>0</v>
      </c>
    </row>
    <row r="101" spans="1:28">
      <c r="A101" s="9" t="s">
        <v>65</v>
      </c>
      <c r="B101" s="24"/>
      <c r="C101" s="26"/>
      <c r="D101" s="29">
        <f t="shared" si="73"/>
        <v>299</v>
      </c>
      <c r="E101" s="29">
        <f t="shared" ref="E101" si="160">E100</f>
        <v>391</v>
      </c>
      <c r="F101" s="29">
        <f t="shared" si="75"/>
        <v>325</v>
      </c>
      <c r="G101" s="29">
        <f t="shared" si="115"/>
        <v>420</v>
      </c>
      <c r="H101" s="4" t="s">
        <v>0</v>
      </c>
      <c r="I101" s="16" t="str">
        <f t="shared" si="117"/>
        <v>07-08</v>
      </c>
      <c r="J101" s="14">
        <f t="shared" si="118"/>
        <v>299</v>
      </c>
      <c r="K101" s="15">
        <f t="shared" si="119"/>
        <v>391</v>
      </c>
      <c r="L101" s="17">
        <f t="shared" si="120"/>
        <v>325</v>
      </c>
      <c r="M101" s="18">
        <f t="shared" si="121"/>
        <v>391</v>
      </c>
      <c r="N101" s="14">
        <f t="shared" si="122"/>
        <v>325</v>
      </c>
      <c r="O101" s="15">
        <f t="shared" si="123"/>
        <v>420</v>
      </c>
      <c r="P101" s="17">
        <f t="shared" si="124"/>
        <v>299</v>
      </c>
      <c r="Q101" s="18">
        <f t="shared" si="125"/>
        <v>420</v>
      </c>
      <c r="R101" s="4" t="s">
        <v>0</v>
      </c>
      <c r="S101" s="16" t="str">
        <f t="shared" si="126"/>
        <v>07-08</v>
      </c>
      <c r="T101" s="14">
        <f t="shared" si="127"/>
        <v>299</v>
      </c>
      <c r="U101" s="18">
        <f t="shared" si="128"/>
        <v>359</v>
      </c>
      <c r="V101" s="14">
        <f t="shared" si="129"/>
        <v>325</v>
      </c>
      <c r="W101" s="18">
        <f t="shared" si="130"/>
        <v>359</v>
      </c>
      <c r="X101" s="14">
        <f t="shared" si="131"/>
        <v>325</v>
      </c>
      <c r="Y101" s="18">
        <f t="shared" si="132"/>
        <v>330</v>
      </c>
      <c r="Z101" s="14">
        <f t="shared" si="133"/>
        <v>299</v>
      </c>
      <c r="AA101" s="18">
        <f t="shared" si="134"/>
        <v>330</v>
      </c>
      <c r="AB101" s="4" t="s">
        <v>0</v>
      </c>
    </row>
    <row r="102" spans="1:28">
      <c r="A102" s="9" t="s">
        <v>64</v>
      </c>
      <c r="B102" s="24"/>
      <c r="C102" s="26"/>
      <c r="D102" s="29">
        <f t="shared" si="73"/>
        <v>325</v>
      </c>
      <c r="E102" s="29">
        <f t="shared" ref="E102" si="161">E101</f>
        <v>391</v>
      </c>
      <c r="F102" s="29">
        <f t="shared" si="75"/>
        <v>351</v>
      </c>
      <c r="G102" s="29">
        <f t="shared" si="115"/>
        <v>420</v>
      </c>
      <c r="H102" s="4" t="s">
        <v>0</v>
      </c>
      <c r="I102" s="16" t="str">
        <f t="shared" si="117"/>
        <v>07-07</v>
      </c>
      <c r="J102" s="14">
        <f t="shared" si="118"/>
        <v>325</v>
      </c>
      <c r="K102" s="15">
        <f t="shared" si="119"/>
        <v>391</v>
      </c>
      <c r="L102" s="17">
        <f t="shared" si="120"/>
        <v>351</v>
      </c>
      <c r="M102" s="18">
        <f t="shared" si="121"/>
        <v>391</v>
      </c>
      <c r="N102" s="14">
        <f t="shared" si="122"/>
        <v>351</v>
      </c>
      <c r="O102" s="15">
        <f t="shared" si="123"/>
        <v>420</v>
      </c>
      <c r="P102" s="17">
        <f t="shared" si="124"/>
        <v>325</v>
      </c>
      <c r="Q102" s="18">
        <f t="shared" si="125"/>
        <v>420</v>
      </c>
      <c r="R102" s="4" t="s">
        <v>0</v>
      </c>
      <c r="S102" s="16" t="str">
        <f t="shared" si="126"/>
        <v>07-07</v>
      </c>
      <c r="T102" s="14">
        <f t="shared" si="127"/>
        <v>325</v>
      </c>
      <c r="U102" s="18">
        <f t="shared" si="128"/>
        <v>359</v>
      </c>
      <c r="V102" s="14">
        <f t="shared" si="129"/>
        <v>351</v>
      </c>
      <c r="W102" s="18">
        <f t="shared" si="130"/>
        <v>359</v>
      </c>
      <c r="X102" s="14">
        <f t="shared" si="131"/>
        <v>351</v>
      </c>
      <c r="Y102" s="18">
        <f t="shared" si="132"/>
        <v>330</v>
      </c>
      <c r="Z102" s="14">
        <f t="shared" si="133"/>
        <v>325</v>
      </c>
      <c r="AA102" s="18">
        <f t="shared" si="134"/>
        <v>330</v>
      </c>
      <c r="AB102" s="4" t="s">
        <v>0</v>
      </c>
    </row>
    <row r="103" spans="1:28">
      <c r="A103" s="9" t="s">
        <v>63</v>
      </c>
      <c r="B103" s="24"/>
      <c r="C103" s="26"/>
      <c r="D103" s="29">
        <f t="shared" ref="D103:D166" si="162">D89</f>
        <v>351</v>
      </c>
      <c r="E103" s="29">
        <f t="shared" ref="E103" si="163">E102</f>
        <v>391</v>
      </c>
      <c r="F103" s="29">
        <f t="shared" ref="F103:F166" si="164">F89</f>
        <v>377</v>
      </c>
      <c r="G103" s="29">
        <f t="shared" si="115"/>
        <v>420</v>
      </c>
      <c r="H103" s="4" t="s">
        <v>0</v>
      </c>
      <c r="I103" s="16" t="str">
        <f t="shared" si="117"/>
        <v>07-06</v>
      </c>
      <c r="J103" s="14">
        <f t="shared" si="118"/>
        <v>351</v>
      </c>
      <c r="K103" s="15">
        <f t="shared" si="119"/>
        <v>391</v>
      </c>
      <c r="L103" s="17">
        <f t="shared" si="120"/>
        <v>377</v>
      </c>
      <c r="M103" s="18">
        <f t="shared" si="121"/>
        <v>391</v>
      </c>
      <c r="N103" s="14">
        <f t="shared" si="122"/>
        <v>377</v>
      </c>
      <c r="O103" s="15">
        <f t="shared" si="123"/>
        <v>420</v>
      </c>
      <c r="P103" s="17">
        <f t="shared" si="124"/>
        <v>351</v>
      </c>
      <c r="Q103" s="18">
        <f t="shared" si="125"/>
        <v>420</v>
      </c>
      <c r="R103" s="4" t="s">
        <v>0</v>
      </c>
      <c r="S103" s="16" t="str">
        <f t="shared" si="126"/>
        <v>07-06</v>
      </c>
      <c r="T103" s="14">
        <f t="shared" si="127"/>
        <v>351</v>
      </c>
      <c r="U103" s="18">
        <f t="shared" si="128"/>
        <v>359</v>
      </c>
      <c r="V103" s="14">
        <f t="shared" si="129"/>
        <v>377</v>
      </c>
      <c r="W103" s="18">
        <f t="shared" si="130"/>
        <v>359</v>
      </c>
      <c r="X103" s="14">
        <f t="shared" si="131"/>
        <v>377</v>
      </c>
      <c r="Y103" s="18">
        <f t="shared" si="132"/>
        <v>330</v>
      </c>
      <c r="Z103" s="14">
        <f t="shared" si="133"/>
        <v>351</v>
      </c>
      <c r="AA103" s="18">
        <f t="shared" si="134"/>
        <v>330</v>
      </c>
      <c r="AB103" s="4" t="s">
        <v>0</v>
      </c>
    </row>
    <row r="104" spans="1:28">
      <c r="A104" s="9" t="s">
        <v>62</v>
      </c>
      <c r="B104" s="24"/>
      <c r="C104" s="26"/>
      <c r="D104" s="29">
        <f t="shared" si="162"/>
        <v>377</v>
      </c>
      <c r="E104" s="29">
        <f t="shared" ref="E104" si="165">E103</f>
        <v>391</v>
      </c>
      <c r="F104" s="29">
        <f t="shared" si="164"/>
        <v>403</v>
      </c>
      <c r="G104" s="29">
        <f t="shared" si="115"/>
        <v>420</v>
      </c>
      <c r="H104" s="4" t="s">
        <v>0</v>
      </c>
      <c r="I104" s="16" t="str">
        <f t="shared" si="117"/>
        <v>07-05</v>
      </c>
      <c r="J104" s="14">
        <f t="shared" si="118"/>
        <v>377</v>
      </c>
      <c r="K104" s="15">
        <f t="shared" si="119"/>
        <v>391</v>
      </c>
      <c r="L104" s="17">
        <f t="shared" si="120"/>
        <v>403</v>
      </c>
      <c r="M104" s="18">
        <f t="shared" si="121"/>
        <v>391</v>
      </c>
      <c r="N104" s="14">
        <f t="shared" si="122"/>
        <v>403</v>
      </c>
      <c r="O104" s="15">
        <f t="shared" si="123"/>
        <v>420</v>
      </c>
      <c r="P104" s="17">
        <f t="shared" si="124"/>
        <v>377</v>
      </c>
      <c r="Q104" s="18">
        <f t="shared" si="125"/>
        <v>420</v>
      </c>
      <c r="R104" s="4" t="s">
        <v>0</v>
      </c>
      <c r="S104" s="16" t="str">
        <f t="shared" si="126"/>
        <v>07-05</v>
      </c>
      <c r="T104" s="14">
        <f t="shared" si="127"/>
        <v>377</v>
      </c>
      <c r="U104" s="18">
        <f t="shared" si="128"/>
        <v>359</v>
      </c>
      <c r="V104" s="14">
        <f t="shared" si="129"/>
        <v>403</v>
      </c>
      <c r="W104" s="18">
        <f t="shared" si="130"/>
        <v>359</v>
      </c>
      <c r="X104" s="14">
        <f t="shared" si="131"/>
        <v>403</v>
      </c>
      <c r="Y104" s="18">
        <f t="shared" si="132"/>
        <v>330</v>
      </c>
      <c r="Z104" s="14">
        <f t="shared" si="133"/>
        <v>377</v>
      </c>
      <c r="AA104" s="18">
        <f t="shared" si="134"/>
        <v>330</v>
      </c>
      <c r="AB104" s="4" t="s">
        <v>0</v>
      </c>
    </row>
    <row r="105" spans="1:28">
      <c r="A105" s="9" t="s">
        <v>3</v>
      </c>
      <c r="B105" s="24"/>
      <c r="C105" s="26"/>
      <c r="D105" s="29">
        <f t="shared" si="162"/>
        <v>403</v>
      </c>
      <c r="E105" s="29">
        <f t="shared" ref="E105" si="166">E104</f>
        <v>391</v>
      </c>
      <c r="F105" s="29">
        <f t="shared" si="164"/>
        <v>429</v>
      </c>
      <c r="G105" s="29">
        <f t="shared" si="115"/>
        <v>420</v>
      </c>
      <c r="H105" s="4" t="s">
        <v>0</v>
      </c>
      <c r="I105" s="16" t="str">
        <f t="shared" si="117"/>
        <v>07-03</v>
      </c>
      <c r="J105" s="14">
        <f t="shared" si="118"/>
        <v>403</v>
      </c>
      <c r="K105" s="15">
        <f t="shared" si="119"/>
        <v>391</v>
      </c>
      <c r="L105" s="17">
        <f t="shared" si="120"/>
        <v>429</v>
      </c>
      <c r="M105" s="18">
        <f t="shared" si="121"/>
        <v>391</v>
      </c>
      <c r="N105" s="14">
        <f t="shared" si="122"/>
        <v>429</v>
      </c>
      <c r="O105" s="15">
        <f t="shared" si="123"/>
        <v>420</v>
      </c>
      <c r="P105" s="17">
        <f t="shared" si="124"/>
        <v>403</v>
      </c>
      <c r="Q105" s="18">
        <f t="shared" si="125"/>
        <v>420</v>
      </c>
      <c r="R105" s="4" t="s">
        <v>0</v>
      </c>
      <c r="S105" s="16" t="str">
        <f t="shared" si="126"/>
        <v>07-03</v>
      </c>
      <c r="T105" s="14">
        <f t="shared" si="127"/>
        <v>403</v>
      </c>
      <c r="U105" s="18">
        <f t="shared" si="128"/>
        <v>359</v>
      </c>
      <c r="V105" s="14">
        <f t="shared" si="129"/>
        <v>429</v>
      </c>
      <c r="W105" s="18">
        <f t="shared" si="130"/>
        <v>359</v>
      </c>
      <c r="X105" s="14">
        <f t="shared" si="131"/>
        <v>429</v>
      </c>
      <c r="Y105" s="18">
        <f t="shared" si="132"/>
        <v>330</v>
      </c>
      <c r="Z105" s="14">
        <f t="shared" si="133"/>
        <v>403</v>
      </c>
      <c r="AA105" s="18">
        <f t="shared" si="134"/>
        <v>330</v>
      </c>
      <c r="AB105" s="4" t="s">
        <v>0</v>
      </c>
    </row>
    <row r="106" spans="1:28">
      <c r="A106" s="9" t="s">
        <v>61</v>
      </c>
      <c r="B106" s="24"/>
      <c r="C106" s="26"/>
      <c r="D106" s="29">
        <f t="shared" si="162"/>
        <v>429</v>
      </c>
      <c r="E106" s="29">
        <f t="shared" ref="E106" si="167">E105</f>
        <v>391</v>
      </c>
      <c r="F106" s="29">
        <f t="shared" si="164"/>
        <v>455</v>
      </c>
      <c r="G106" s="29">
        <f t="shared" si="115"/>
        <v>420</v>
      </c>
      <c r="H106" s="4" t="s">
        <v>0</v>
      </c>
      <c r="I106" s="16" t="str">
        <f t="shared" si="117"/>
        <v>07-02</v>
      </c>
      <c r="J106" s="14">
        <f t="shared" si="118"/>
        <v>429</v>
      </c>
      <c r="K106" s="15">
        <f t="shared" si="119"/>
        <v>391</v>
      </c>
      <c r="L106" s="17">
        <f t="shared" si="120"/>
        <v>455</v>
      </c>
      <c r="M106" s="18">
        <f t="shared" si="121"/>
        <v>391</v>
      </c>
      <c r="N106" s="14">
        <f t="shared" si="122"/>
        <v>455</v>
      </c>
      <c r="O106" s="15">
        <f t="shared" si="123"/>
        <v>420</v>
      </c>
      <c r="P106" s="17">
        <f t="shared" si="124"/>
        <v>429</v>
      </c>
      <c r="Q106" s="18">
        <f t="shared" si="125"/>
        <v>420</v>
      </c>
      <c r="R106" s="4" t="s">
        <v>0</v>
      </c>
      <c r="S106" s="16" t="str">
        <f t="shared" si="126"/>
        <v>07-02</v>
      </c>
      <c r="T106" s="14">
        <f t="shared" si="127"/>
        <v>429</v>
      </c>
      <c r="U106" s="18">
        <f t="shared" si="128"/>
        <v>359</v>
      </c>
      <c r="V106" s="14">
        <f t="shared" si="129"/>
        <v>455</v>
      </c>
      <c r="W106" s="18">
        <f t="shared" si="130"/>
        <v>359</v>
      </c>
      <c r="X106" s="14">
        <f t="shared" si="131"/>
        <v>455</v>
      </c>
      <c r="Y106" s="18">
        <f t="shared" si="132"/>
        <v>330</v>
      </c>
      <c r="Z106" s="14">
        <f t="shared" si="133"/>
        <v>429</v>
      </c>
      <c r="AA106" s="18">
        <f t="shared" si="134"/>
        <v>330</v>
      </c>
      <c r="AB106" s="4" t="s">
        <v>0</v>
      </c>
    </row>
    <row r="107" spans="1:28">
      <c r="A107" s="9" t="s">
        <v>60</v>
      </c>
      <c r="B107" s="24"/>
      <c r="C107" s="26"/>
      <c r="D107" s="29">
        <f t="shared" si="162"/>
        <v>455</v>
      </c>
      <c r="E107" s="29">
        <f t="shared" ref="E107" si="168">E106</f>
        <v>391</v>
      </c>
      <c r="F107" s="29">
        <f t="shared" si="164"/>
        <v>481</v>
      </c>
      <c r="G107" s="29">
        <f t="shared" si="115"/>
        <v>420</v>
      </c>
      <c r="H107" s="4" t="s">
        <v>0</v>
      </c>
      <c r="I107" s="16" t="str">
        <f t="shared" si="117"/>
        <v>07-01</v>
      </c>
      <c r="J107" s="14">
        <f t="shared" si="118"/>
        <v>455</v>
      </c>
      <c r="K107" s="15">
        <f t="shared" si="119"/>
        <v>391</v>
      </c>
      <c r="L107" s="17">
        <f t="shared" si="120"/>
        <v>481</v>
      </c>
      <c r="M107" s="18">
        <f t="shared" si="121"/>
        <v>391</v>
      </c>
      <c r="N107" s="14">
        <f t="shared" si="122"/>
        <v>481</v>
      </c>
      <c r="O107" s="15">
        <f t="shared" si="123"/>
        <v>420</v>
      </c>
      <c r="P107" s="17">
        <f t="shared" si="124"/>
        <v>455</v>
      </c>
      <c r="Q107" s="18">
        <f t="shared" si="125"/>
        <v>420</v>
      </c>
      <c r="R107" s="4" t="s">
        <v>0</v>
      </c>
      <c r="S107" s="16" t="str">
        <f t="shared" si="126"/>
        <v>07-01</v>
      </c>
      <c r="T107" s="14">
        <f t="shared" si="127"/>
        <v>455</v>
      </c>
      <c r="U107" s="18">
        <f t="shared" si="128"/>
        <v>359</v>
      </c>
      <c r="V107" s="14">
        <f t="shared" si="129"/>
        <v>481</v>
      </c>
      <c r="W107" s="18">
        <f t="shared" si="130"/>
        <v>359</v>
      </c>
      <c r="X107" s="14">
        <f t="shared" si="131"/>
        <v>481</v>
      </c>
      <c r="Y107" s="18">
        <f t="shared" si="132"/>
        <v>330</v>
      </c>
      <c r="Z107" s="14">
        <f t="shared" si="133"/>
        <v>455</v>
      </c>
      <c r="AA107" s="18">
        <f t="shared" si="134"/>
        <v>330</v>
      </c>
      <c r="AB107" s="4" t="s">
        <v>0</v>
      </c>
    </row>
    <row r="108" spans="1:28">
      <c r="A108" s="9" t="s">
        <v>137</v>
      </c>
      <c r="B108" s="24"/>
      <c r="C108" s="26">
        <v>6</v>
      </c>
      <c r="D108" s="27">
        <v>117</v>
      </c>
      <c r="E108" s="34">
        <f t="shared" ref="E108" si="169">ROUND(E$25+38.5*$C108,0)</f>
        <v>429</v>
      </c>
      <c r="F108" s="31">
        <v>143</v>
      </c>
      <c r="G108" s="34">
        <f t="shared" ref="G108" si="170">ROUND(G$25+38.5*$C108,0)</f>
        <v>458</v>
      </c>
      <c r="H108" s="4" t="s">
        <v>0</v>
      </c>
      <c r="I108" s="16" t="str">
        <f t="shared" si="117"/>
        <v>06-17</v>
      </c>
      <c r="J108" s="14">
        <f t="shared" si="118"/>
        <v>117</v>
      </c>
      <c r="K108" s="15">
        <f t="shared" si="119"/>
        <v>429</v>
      </c>
      <c r="L108" s="17">
        <f t="shared" si="120"/>
        <v>143</v>
      </c>
      <c r="M108" s="18">
        <f t="shared" si="121"/>
        <v>429</v>
      </c>
      <c r="N108" s="14">
        <f t="shared" si="122"/>
        <v>143</v>
      </c>
      <c r="O108" s="15">
        <f t="shared" si="123"/>
        <v>458</v>
      </c>
      <c r="P108" s="17">
        <f t="shared" si="124"/>
        <v>117</v>
      </c>
      <c r="Q108" s="18">
        <f t="shared" si="125"/>
        <v>458</v>
      </c>
      <c r="R108" s="4" t="s">
        <v>0</v>
      </c>
      <c r="S108" s="16" t="str">
        <f t="shared" si="126"/>
        <v>06-17</v>
      </c>
      <c r="T108" s="14">
        <f t="shared" si="127"/>
        <v>117</v>
      </c>
      <c r="U108" s="18">
        <f t="shared" si="128"/>
        <v>321</v>
      </c>
      <c r="V108" s="14">
        <f t="shared" si="129"/>
        <v>143</v>
      </c>
      <c r="W108" s="18">
        <f t="shared" si="130"/>
        <v>321</v>
      </c>
      <c r="X108" s="14">
        <f t="shared" si="131"/>
        <v>143</v>
      </c>
      <c r="Y108" s="18">
        <f t="shared" si="132"/>
        <v>292</v>
      </c>
      <c r="Z108" s="14">
        <f t="shared" si="133"/>
        <v>117</v>
      </c>
      <c r="AA108" s="18">
        <f t="shared" si="134"/>
        <v>292</v>
      </c>
      <c r="AB108" s="4" t="s">
        <v>0</v>
      </c>
    </row>
    <row r="109" spans="1:28">
      <c r="A109" s="9" t="s">
        <v>169</v>
      </c>
      <c r="B109" s="24"/>
      <c r="C109" s="26"/>
      <c r="D109" s="29">
        <f t="shared" si="162"/>
        <v>143</v>
      </c>
      <c r="E109" s="29">
        <f t="shared" ref="E109" si="171">E108</f>
        <v>429</v>
      </c>
      <c r="F109" s="29">
        <f t="shared" si="164"/>
        <v>169</v>
      </c>
      <c r="G109" s="29">
        <f t="shared" si="115"/>
        <v>458</v>
      </c>
      <c r="H109" s="4" t="s">
        <v>0</v>
      </c>
      <c r="I109" s="16" t="str">
        <f t="shared" si="117"/>
        <v>06-16</v>
      </c>
      <c r="J109" s="14">
        <f t="shared" si="118"/>
        <v>143</v>
      </c>
      <c r="K109" s="15">
        <f t="shared" si="119"/>
        <v>429</v>
      </c>
      <c r="L109" s="17">
        <f t="shared" si="120"/>
        <v>169</v>
      </c>
      <c r="M109" s="18">
        <f t="shared" si="121"/>
        <v>429</v>
      </c>
      <c r="N109" s="14">
        <f t="shared" si="122"/>
        <v>169</v>
      </c>
      <c r="O109" s="15">
        <f t="shared" si="123"/>
        <v>458</v>
      </c>
      <c r="P109" s="17">
        <f t="shared" si="124"/>
        <v>143</v>
      </c>
      <c r="Q109" s="18">
        <f t="shared" si="125"/>
        <v>458</v>
      </c>
      <c r="R109" s="4" t="s">
        <v>0</v>
      </c>
      <c r="S109" s="16" t="str">
        <f t="shared" si="126"/>
        <v>06-16</v>
      </c>
      <c r="T109" s="14">
        <f t="shared" si="127"/>
        <v>143</v>
      </c>
      <c r="U109" s="18">
        <f t="shared" si="128"/>
        <v>321</v>
      </c>
      <c r="V109" s="14">
        <f t="shared" si="129"/>
        <v>169</v>
      </c>
      <c r="W109" s="18">
        <f t="shared" si="130"/>
        <v>321</v>
      </c>
      <c r="X109" s="14">
        <f t="shared" si="131"/>
        <v>169</v>
      </c>
      <c r="Y109" s="18">
        <f t="shared" si="132"/>
        <v>292</v>
      </c>
      <c r="Z109" s="14">
        <f t="shared" si="133"/>
        <v>143</v>
      </c>
      <c r="AA109" s="18">
        <f t="shared" si="134"/>
        <v>292</v>
      </c>
      <c r="AB109" s="4" t="s">
        <v>0</v>
      </c>
    </row>
    <row r="110" spans="1:28">
      <c r="A110" s="9" t="s">
        <v>168</v>
      </c>
      <c r="B110" s="24"/>
      <c r="C110" s="26"/>
      <c r="D110" s="29">
        <f t="shared" si="162"/>
        <v>169</v>
      </c>
      <c r="E110" s="29">
        <f t="shared" ref="E110" si="172">E109</f>
        <v>429</v>
      </c>
      <c r="F110" s="29">
        <f t="shared" si="164"/>
        <v>195</v>
      </c>
      <c r="G110" s="29">
        <f t="shared" si="115"/>
        <v>458</v>
      </c>
      <c r="H110" s="4" t="s">
        <v>0</v>
      </c>
      <c r="I110" s="16" t="str">
        <f t="shared" si="117"/>
        <v>06-15</v>
      </c>
      <c r="J110" s="14">
        <f t="shared" si="118"/>
        <v>169</v>
      </c>
      <c r="K110" s="15">
        <f t="shared" si="119"/>
        <v>429</v>
      </c>
      <c r="L110" s="17">
        <f t="shared" si="120"/>
        <v>195</v>
      </c>
      <c r="M110" s="18">
        <f t="shared" si="121"/>
        <v>429</v>
      </c>
      <c r="N110" s="14">
        <f t="shared" si="122"/>
        <v>195</v>
      </c>
      <c r="O110" s="15">
        <f t="shared" si="123"/>
        <v>458</v>
      </c>
      <c r="P110" s="17">
        <f t="shared" si="124"/>
        <v>169</v>
      </c>
      <c r="Q110" s="18">
        <f t="shared" si="125"/>
        <v>458</v>
      </c>
      <c r="R110" s="4" t="s">
        <v>0</v>
      </c>
      <c r="S110" s="16" t="str">
        <f t="shared" si="126"/>
        <v>06-15</v>
      </c>
      <c r="T110" s="14">
        <f t="shared" si="127"/>
        <v>169</v>
      </c>
      <c r="U110" s="18">
        <f t="shared" si="128"/>
        <v>321</v>
      </c>
      <c r="V110" s="14">
        <f t="shared" si="129"/>
        <v>195</v>
      </c>
      <c r="W110" s="18">
        <f t="shared" si="130"/>
        <v>321</v>
      </c>
      <c r="X110" s="14">
        <f t="shared" si="131"/>
        <v>195</v>
      </c>
      <c r="Y110" s="18">
        <f t="shared" si="132"/>
        <v>292</v>
      </c>
      <c r="Z110" s="14">
        <f t="shared" si="133"/>
        <v>169</v>
      </c>
      <c r="AA110" s="18">
        <f t="shared" si="134"/>
        <v>292</v>
      </c>
      <c r="AB110" s="4" t="s">
        <v>0</v>
      </c>
    </row>
    <row r="111" spans="1:28">
      <c r="A111" s="9" t="s">
        <v>167</v>
      </c>
      <c r="B111" s="24"/>
      <c r="C111" s="26"/>
      <c r="D111" s="29">
        <f t="shared" si="162"/>
        <v>195</v>
      </c>
      <c r="E111" s="29">
        <f t="shared" ref="E111" si="173">E110</f>
        <v>429</v>
      </c>
      <c r="F111" s="29">
        <f t="shared" si="164"/>
        <v>221</v>
      </c>
      <c r="G111" s="29">
        <f t="shared" si="115"/>
        <v>458</v>
      </c>
      <c r="H111" s="4" t="s">
        <v>0</v>
      </c>
      <c r="I111" s="16" t="str">
        <f t="shared" si="117"/>
        <v>06-13</v>
      </c>
      <c r="J111" s="14">
        <f t="shared" si="118"/>
        <v>195</v>
      </c>
      <c r="K111" s="15">
        <f t="shared" si="119"/>
        <v>429</v>
      </c>
      <c r="L111" s="17">
        <f t="shared" si="120"/>
        <v>221</v>
      </c>
      <c r="M111" s="18">
        <f t="shared" si="121"/>
        <v>429</v>
      </c>
      <c r="N111" s="14">
        <f t="shared" si="122"/>
        <v>221</v>
      </c>
      <c r="O111" s="15">
        <f t="shared" si="123"/>
        <v>458</v>
      </c>
      <c r="P111" s="17">
        <f t="shared" si="124"/>
        <v>195</v>
      </c>
      <c r="Q111" s="18">
        <f t="shared" si="125"/>
        <v>458</v>
      </c>
      <c r="R111" s="4" t="s">
        <v>0</v>
      </c>
      <c r="S111" s="16" t="str">
        <f t="shared" si="126"/>
        <v>06-13</v>
      </c>
      <c r="T111" s="14">
        <f t="shared" si="127"/>
        <v>195</v>
      </c>
      <c r="U111" s="18">
        <f t="shared" si="128"/>
        <v>321</v>
      </c>
      <c r="V111" s="14">
        <f t="shared" si="129"/>
        <v>221</v>
      </c>
      <c r="W111" s="18">
        <f t="shared" si="130"/>
        <v>321</v>
      </c>
      <c r="X111" s="14">
        <f t="shared" si="131"/>
        <v>221</v>
      </c>
      <c r="Y111" s="18">
        <f t="shared" si="132"/>
        <v>292</v>
      </c>
      <c r="Z111" s="14">
        <f t="shared" si="133"/>
        <v>195</v>
      </c>
      <c r="AA111" s="18">
        <f t="shared" si="134"/>
        <v>292</v>
      </c>
      <c r="AB111" s="4" t="s">
        <v>0</v>
      </c>
    </row>
    <row r="112" spans="1:28">
      <c r="A112" s="9" t="s">
        <v>59</v>
      </c>
      <c r="B112" s="24"/>
      <c r="C112" s="26"/>
      <c r="D112" s="29">
        <f t="shared" si="162"/>
        <v>221</v>
      </c>
      <c r="E112" s="29">
        <f t="shared" ref="E112" si="174">E111</f>
        <v>429</v>
      </c>
      <c r="F112" s="29">
        <f t="shared" si="164"/>
        <v>247</v>
      </c>
      <c r="G112" s="29">
        <f t="shared" si="115"/>
        <v>458</v>
      </c>
      <c r="H112" s="4" t="s">
        <v>0</v>
      </c>
      <c r="I112" s="16" t="str">
        <f t="shared" si="117"/>
        <v>06-12</v>
      </c>
      <c r="J112" s="14">
        <f t="shared" si="118"/>
        <v>221</v>
      </c>
      <c r="K112" s="15">
        <f t="shared" si="119"/>
        <v>429</v>
      </c>
      <c r="L112" s="17">
        <f t="shared" si="120"/>
        <v>247</v>
      </c>
      <c r="M112" s="18">
        <f t="shared" si="121"/>
        <v>429</v>
      </c>
      <c r="N112" s="14">
        <f t="shared" si="122"/>
        <v>247</v>
      </c>
      <c r="O112" s="15">
        <f t="shared" si="123"/>
        <v>458</v>
      </c>
      <c r="P112" s="17">
        <f t="shared" si="124"/>
        <v>221</v>
      </c>
      <c r="Q112" s="18">
        <f t="shared" si="125"/>
        <v>458</v>
      </c>
      <c r="R112" s="4" t="s">
        <v>0</v>
      </c>
      <c r="S112" s="16" t="str">
        <f t="shared" si="126"/>
        <v>06-12</v>
      </c>
      <c r="T112" s="14">
        <f t="shared" si="127"/>
        <v>221</v>
      </c>
      <c r="U112" s="18">
        <f t="shared" si="128"/>
        <v>321</v>
      </c>
      <c r="V112" s="14">
        <f t="shared" si="129"/>
        <v>247</v>
      </c>
      <c r="W112" s="18">
        <f t="shared" si="130"/>
        <v>321</v>
      </c>
      <c r="X112" s="14">
        <f t="shared" si="131"/>
        <v>247</v>
      </c>
      <c r="Y112" s="18">
        <f t="shared" si="132"/>
        <v>292</v>
      </c>
      <c r="Z112" s="14">
        <f t="shared" si="133"/>
        <v>221</v>
      </c>
      <c r="AA112" s="18">
        <f t="shared" si="134"/>
        <v>292</v>
      </c>
      <c r="AB112" s="4" t="s">
        <v>0</v>
      </c>
    </row>
    <row r="113" spans="1:28">
      <c r="A113" s="9" t="s">
        <v>58</v>
      </c>
      <c r="B113" s="24"/>
      <c r="C113" s="26"/>
      <c r="D113" s="29">
        <f t="shared" si="162"/>
        <v>247</v>
      </c>
      <c r="E113" s="29">
        <f t="shared" ref="E113" si="175">E112</f>
        <v>429</v>
      </c>
      <c r="F113" s="29">
        <f t="shared" si="164"/>
        <v>273</v>
      </c>
      <c r="G113" s="29">
        <f t="shared" si="115"/>
        <v>458</v>
      </c>
      <c r="H113" s="4" t="s">
        <v>0</v>
      </c>
      <c r="I113" s="16" t="str">
        <f t="shared" si="117"/>
        <v>06-11</v>
      </c>
      <c r="J113" s="14">
        <f t="shared" si="118"/>
        <v>247</v>
      </c>
      <c r="K113" s="15">
        <f t="shared" si="119"/>
        <v>429</v>
      </c>
      <c r="L113" s="17">
        <f t="shared" si="120"/>
        <v>273</v>
      </c>
      <c r="M113" s="18">
        <f t="shared" si="121"/>
        <v>429</v>
      </c>
      <c r="N113" s="14">
        <f t="shared" si="122"/>
        <v>273</v>
      </c>
      <c r="O113" s="15">
        <f t="shared" si="123"/>
        <v>458</v>
      </c>
      <c r="P113" s="17">
        <f t="shared" si="124"/>
        <v>247</v>
      </c>
      <c r="Q113" s="18">
        <f t="shared" si="125"/>
        <v>458</v>
      </c>
      <c r="R113" s="4" t="s">
        <v>0</v>
      </c>
      <c r="S113" s="16" t="str">
        <f t="shared" si="126"/>
        <v>06-11</v>
      </c>
      <c r="T113" s="14">
        <f t="shared" si="127"/>
        <v>247</v>
      </c>
      <c r="U113" s="18">
        <f t="shared" si="128"/>
        <v>321</v>
      </c>
      <c r="V113" s="14">
        <f t="shared" si="129"/>
        <v>273</v>
      </c>
      <c r="W113" s="18">
        <f t="shared" si="130"/>
        <v>321</v>
      </c>
      <c r="X113" s="14">
        <f t="shared" si="131"/>
        <v>273</v>
      </c>
      <c r="Y113" s="18">
        <f t="shared" si="132"/>
        <v>292</v>
      </c>
      <c r="Z113" s="14">
        <f t="shared" si="133"/>
        <v>247</v>
      </c>
      <c r="AA113" s="18">
        <f t="shared" si="134"/>
        <v>292</v>
      </c>
      <c r="AB113" s="4" t="s">
        <v>0</v>
      </c>
    </row>
    <row r="114" spans="1:28">
      <c r="A114" s="9" t="s">
        <v>57</v>
      </c>
      <c r="B114" s="24"/>
      <c r="C114" s="26"/>
      <c r="D114" s="29">
        <f t="shared" si="162"/>
        <v>273</v>
      </c>
      <c r="E114" s="29">
        <f t="shared" ref="E114" si="176">E113</f>
        <v>429</v>
      </c>
      <c r="F114" s="29">
        <f t="shared" si="164"/>
        <v>299</v>
      </c>
      <c r="G114" s="29">
        <f t="shared" si="115"/>
        <v>458</v>
      </c>
      <c r="H114" s="4" t="s">
        <v>0</v>
      </c>
      <c r="I114" s="16" t="str">
        <f t="shared" si="117"/>
        <v>06-10</v>
      </c>
      <c r="J114" s="14">
        <f t="shared" si="118"/>
        <v>273</v>
      </c>
      <c r="K114" s="15">
        <f t="shared" si="119"/>
        <v>429</v>
      </c>
      <c r="L114" s="17">
        <f t="shared" si="120"/>
        <v>299</v>
      </c>
      <c r="M114" s="18">
        <f t="shared" si="121"/>
        <v>429</v>
      </c>
      <c r="N114" s="14">
        <f t="shared" si="122"/>
        <v>299</v>
      </c>
      <c r="O114" s="15">
        <f t="shared" si="123"/>
        <v>458</v>
      </c>
      <c r="P114" s="17">
        <f t="shared" si="124"/>
        <v>273</v>
      </c>
      <c r="Q114" s="18">
        <f t="shared" si="125"/>
        <v>458</v>
      </c>
      <c r="R114" s="4" t="s">
        <v>0</v>
      </c>
      <c r="S114" s="16" t="str">
        <f t="shared" si="126"/>
        <v>06-10</v>
      </c>
      <c r="T114" s="14">
        <f t="shared" si="127"/>
        <v>273</v>
      </c>
      <c r="U114" s="18">
        <f t="shared" si="128"/>
        <v>321</v>
      </c>
      <c r="V114" s="14">
        <f t="shared" si="129"/>
        <v>299</v>
      </c>
      <c r="W114" s="18">
        <f t="shared" si="130"/>
        <v>321</v>
      </c>
      <c r="X114" s="14">
        <f t="shared" si="131"/>
        <v>299</v>
      </c>
      <c r="Y114" s="18">
        <f t="shared" si="132"/>
        <v>292</v>
      </c>
      <c r="Z114" s="14">
        <f t="shared" si="133"/>
        <v>273</v>
      </c>
      <c r="AA114" s="18">
        <f t="shared" si="134"/>
        <v>292</v>
      </c>
      <c r="AB114" s="4" t="s">
        <v>0</v>
      </c>
    </row>
    <row r="115" spans="1:28">
      <c r="A115" s="9" t="s">
        <v>56</v>
      </c>
      <c r="B115" s="24"/>
      <c r="C115" s="26"/>
      <c r="D115" s="29">
        <f t="shared" si="162"/>
        <v>299</v>
      </c>
      <c r="E115" s="29">
        <f t="shared" ref="E115" si="177">E114</f>
        <v>429</v>
      </c>
      <c r="F115" s="29">
        <f t="shared" si="164"/>
        <v>325</v>
      </c>
      <c r="G115" s="29">
        <f t="shared" si="115"/>
        <v>458</v>
      </c>
      <c r="H115" s="4" t="s">
        <v>0</v>
      </c>
      <c r="I115" s="16" t="str">
        <f t="shared" si="117"/>
        <v>06-08</v>
      </c>
      <c r="J115" s="14">
        <f t="shared" si="118"/>
        <v>299</v>
      </c>
      <c r="K115" s="15">
        <f t="shared" si="119"/>
        <v>429</v>
      </c>
      <c r="L115" s="17">
        <f t="shared" si="120"/>
        <v>325</v>
      </c>
      <c r="M115" s="18">
        <f t="shared" si="121"/>
        <v>429</v>
      </c>
      <c r="N115" s="14">
        <f t="shared" si="122"/>
        <v>325</v>
      </c>
      <c r="O115" s="15">
        <f t="shared" si="123"/>
        <v>458</v>
      </c>
      <c r="P115" s="17">
        <f t="shared" si="124"/>
        <v>299</v>
      </c>
      <c r="Q115" s="18">
        <f t="shared" si="125"/>
        <v>458</v>
      </c>
      <c r="R115" s="4" t="s">
        <v>0</v>
      </c>
      <c r="S115" s="16" t="str">
        <f t="shared" si="126"/>
        <v>06-08</v>
      </c>
      <c r="T115" s="14">
        <f t="shared" si="127"/>
        <v>299</v>
      </c>
      <c r="U115" s="18">
        <f t="shared" si="128"/>
        <v>321</v>
      </c>
      <c r="V115" s="14">
        <f t="shared" si="129"/>
        <v>325</v>
      </c>
      <c r="W115" s="18">
        <f t="shared" si="130"/>
        <v>321</v>
      </c>
      <c r="X115" s="14">
        <f t="shared" si="131"/>
        <v>325</v>
      </c>
      <c r="Y115" s="18">
        <f t="shared" si="132"/>
        <v>292</v>
      </c>
      <c r="Z115" s="14">
        <f t="shared" si="133"/>
        <v>299</v>
      </c>
      <c r="AA115" s="18">
        <f t="shared" si="134"/>
        <v>292</v>
      </c>
      <c r="AB115" s="4" t="s">
        <v>0</v>
      </c>
    </row>
    <row r="116" spans="1:28">
      <c r="A116" s="9" t="s">
        <v>55</v>
      </c>
      <c r="B116" s="24"/>
      <c r="C116" s="26"/>
      <c r="D116" s="29">
        <f t="shared" si="162"/>
        <v>325</v>
      </c>
      <c r="E116" s="29">
        <f t="shared" ref="E116" si="178">E115</f>
        <v>429</v>
      </c>
      <c r="F116" s="29">
        <f t="shared" si="164"/>
        <v>351</v>
      </c>
      <c r="G116" s="29">
        <f t="shared" si="115"/>
        <v>458</v>
      </c>
      <c r="H116" s="4" t="s">
        <v>0</v>
      </c>
      <c r="I116" s="16" t="str">
        <f t="shared" si="117"/>
        <v>06-07</v>
      </c>
      <c r="J116" s="14">
        <f t="shared" si="118"/>
        <v>325</v>
      </c>
      <c r="K116" s="15">
        <f t="shared" si="119"/>
        <v>429</v>
      </c>
      <c r="L116" s="17">
        <f t="shared" si="120"/>
        <v>351</v>
      </c>
      <c r="M116" s="18">
        <f t="shared" si="121"/>
        <v>429</v>
      </c>
      <c r="N116" s="14">
        <f t="shared" si="122"/>
        <v>351</v>
      </c>
      <c r="O116" s="15">
        <f t="shared" si="123"/>
        <v>458</v>
      </c>
      <c r="P116" s="17">
        <f t="shared" si="124"/>
        <v>325</v>
      </c>
      <c r="Q116" s="18">
        <f t="shared" si="125"/>
        <v>458</v>
      </c>
      <c r="R116" s="4" t="s">
        <v>0</v>
      </c>
      <c r="S116" s="16" t="str">
        <f t="shared" si="126"/>
        <v>06-07</v>
      </c>
      <c r="T116" s="14">
        <f t="shared" si="127"/>
        <v>325</v>
      </c>
      <c r="U116" s="18">
        <f t="shared" si="128"/>
        <v>321</v>
      </c>
      <c r="V116" s="14">
        <f t="shared" si="129"/>
        <v>351</v>
      </c>
      <c r="W116" s="18">
        <f t="shared" si="130"/>
        <v>321</v>
      </c>
      <c r="X116" s="14">
        <f t="shared" si="131"/>
        <v>351</v>
      </c>
      <c r="Y116" s="18">
        <f t="shared" si="132"/>
        <v>292</v>
      </c>
      <c r="Z116" s="14">
        <f t="shared" si="133"/>
        <v>325</v>
      </c>
      <c r="AA116" s="18">
        <f t="shared" si="134"/>
        <v>292</v>
      </c>
      <c r="AB116" s="4" t="s">
        <v>0</v>
      </c>
    </row>
    <row r="117" spans="1:28">
      <c r="A117" s="9" t="s">
        <v>54</v>
      </c>
      <c r="B117" s="24"/>
      <c r="C117" s="26"/>
      <c r="D117" s="29">
        <f t="shared" si="162"/>
        <v>351</v>
      </c>
      <c r="E117" s="29">
        <f t="shared" ref="E117" si="179">E116</f>
        <v>429</v>
      </c>
      <c r="F117" s="29">
        <f t="shared" si="164"/>
        <v>377</v>
      </c>
      <c r="G117" s="29">
        <f t="shared" si="115"/>
        <v>458</v>
      </c>
      <c r="H117" s="4" t="s">
        <v>0</v>
      </c>
      <c r="I117" s="16" t="str">
        <f t="shared" si="117"/>
        <v>06-06</v>
      </c>
      <c r="J117" s="14">
        <f t="shared" si="118"/>
        <v>351</v>
      </c>
      <c r="K117" s="15">
        <f t="shared" si="119"/>
        <v>429</v>
      </c>
      <c r="L117" s="17">
        <f t="shared" si="120"/>
        <v>377</v>
      </c>
      <c r="M117" s="18">
        <f t="shared" si="121"/>
        <v>429</v>
      </c>
      <c r="N117" s="14">
        <f t="shared" si="122"/>
        <v>377</v>
      </c>
      <c r="O117" s="15">
        <f t="shared" si="123"/>
        <v>458</v>
      </c>
      <c r="P117" s="17">
        <f t="shared" si="124"/>
        <v>351</v>
      </c>
      <c r="Q117" s="18">
        <f t="shared" si="125"/>
        <v>458</v>
      </c>
      <c r="R117" s="4" t="s">
        <v>0</v>
      </c>
      <c r="S117" s="16" t="str">
        <f t="shared" si="126"/>
        <v>06-06</v>
      </c>
      <c r="T117" s="14">
        <f t="shared" si="127"/>
        <v>351</v>
      </c>
      <c r="U117" s="18">
        <f t="shared" si="128"/>
        <v>321</v>
      </c>
      <c r="V117" s="14">
        <f t="shared" si="129"/>
        <v>377</v>
      </c>
      <c r="W117" s="18">
        <f t="shared" si="130"/>
        <v>321</v>
      </c>
      <c r="X117" s="14">
        <f t="shared" si="131"/>
        <v>377</v>
      </c>
      <c r="Y117" s="18">
        <f t="shared" si="132"/>
        <v>292</v>
      </c>
      <c r="Z117" s="14">
        <f t="shared" si="133"/>
        <v>351</v>
      </c>
      <c r="AA117" s="18">
        <f t="shared" si="134"/>
        <v>292</v>
      </c>
      <c r="AB117" s="4" t="s">
        <v>0</v>
      </c>
    </row>
    <row r="118" spans="1:28">
      <c r="A118" s="9" t="s">
        <v>53</v>
      </c>
      <c r="B118" s="24"/>
      <c r="C118" s="26"/>
      <c r="D118" s="29">
        <f t="shared" si="162"/>
        <v>377</v>
      </c>
      <c r="E118" s="29">
        <f t="shared" ref="E118" si="180">E117</f>
        <v>429</v>
      </c>
      <c r="F118" s="29">
        <f t="shared" si="164"/>
        <v>403</v>
      </c>
      <c r="G118" s="29">
        <f t="shared" si="115"/>
        <v>458</v>
      </c>
      <c r="H118" s="4" t="s">
        <v>0</v>
      </c>
      <c r="I118" s="16" t="str">
        <f t="shared" si="117"/>
        <v>06-05</v>
      </c>
      <c r="J118" s="14">
        <f t="shared" si="118"/>
        <v>377</v>
      </c>
      <c r="K118" s="15">
        <f t="shared" si="119"/>
        <v>429</v>
      </c>
      <c r="L118" s="17">
        <f t="shared" si="120"/>
        <v>403</v>
      </c>
      <c r="M118" s="18">
        <f t="shared" si="121"/>
        <v>429</v>
      </c>
      <c r="N118" s="14">
        <f t="shared" si="122"/>
        <v>403</v>
      </c>
      <c r="O118" s="15">
        <f t="shared" si="123"/>
        <v>458</v>
      </c>
      <c r="P118" s="17">
        <f t="shared" si="124"/>
        <v>377</v>
      </c>
      <c r="Q118" s="18">
        <f t="shared" si="125"/>
        <v>458</v>
      </c>
      <c r="R118" s="4" t="s">
        <v>0</v>
      </c>
      <c r="S118" s="16" t="str">
        <f t="shared" si="126"/>
        <v>06-05</v>
      </c>
      <c r="T118" s="14">
        <f t="shared" si="127"/>
        <v>377</v>
      </c>
      <c r="U118" s="18">
        <f t="shared" si="128"/>
        <v>321</v>
      </c>
      <c r="V118" s="14">
        <f t="shared" si="129"/>
        <v>403</v>
      </c>
      <c r="W118" s="18">
        <f t="shared" si="130"/>
        <v>321</v>
      </c>
      <c r="X118" s="14">
        <f t="shared" si="131"/>
        <v>403</v>
      </c>
      <c r="Y118" s="18">
        <f t="shared" si="132"/>
        <v>292</v>
      </c>
      <c r="Z118" s="14">
        <f t="shared" si="133"/>
        <v>377</v>
      </c>
      <c r="AA118" s="18">
        <f t="shared" si="134"/>
        <v>292</v>
      </c>
      <c r="AB118" s="4" t="s">
        <v>0</v>
      </c>
    </row>
    <row r="119" spans="1:28">
      <c r="A119" s="9" t="s">
        <v>52</v>
      </c>
      <c r="B119" s="24"/>
      <c r="C119" s="26"/>
      <c r="D119" s="29">
        <f t="shared" si="162"/>
        <v>403</v>
      </c>
      <c r="E119" s="29">
        <f t="shared" ref="E119" si="181">E118</f>
        <v>429</v>
      </c>
      <c r="F119" s="29">
        <f t="shared" si="164"/>
        <v>429</v>
      </c>
      <c r="G119" s="29">
        <f t="shared" si="115"/>
        <v>458</v>
      </c>
      <c r="H119" s="4" t="s">
        <v>0</v>
      </c>
      <c r="I119" s="16" t="str">
        <f t="shared" si="117"/>
        <v>06-03</v>
      </c>
      <c r="J119" s="14">
        <f t="shared" si="118"/>
        <v>403</v>
      </c>
      <c r="K119" s="15">
        <f t="shared" si="119"/>
        <v>429</v>
      </c>
      <c r="L119" s="17">
        <f t="shared" si="120"/>
        <v>429</v>
      </c>
      <c r="M119" s="18">
        <f t="shared" si="121"/>
        <v>429</v>
      </c>
      <c r="N119" s="14">
        <f t="shared" si="122"/>
        <v>429</v>
      </c>
      <c r="O119" s="15">
        <f t="shared" si="123"/>
        <v>458</v>
      </c>
      <c r="P119" s="17">
        <f t="shared" si="124"/>
        <v>403</v>
      </c>
      <c r="Q119" s="18">
        <f t="shared" si="125"/>
        <v>458</v>
      </c>
      <c r="R119" s="4" t="s">
        <v>0</v>
      </c>
      <c r="S119" s="16" t="str">
        <f t="shared" si="126"/>
        <v>06-03</v>
      </c>
      <c r="T119" s="14">
        <f t="shared" si="127"/>
        <v>403</v>
      </c>
      <c r="U119" s="18">
        <f t="shared" si="128"/>
        <v>321</v>
      </c>
      <c r="V119" s="14">
        <f t="shared" si="129"/>
        <v>429</v>
      </c>
      <c r="W119" s="18">
        <f t="shared" si="130"/>
        <v>321</v>
      </c>
      <c r="X119" s="14">
        <f t="shared" si="131"/>
        <v>429</v>
      </c>
      <c r="Y119" s="18">
        <f t="shared" si="132"/>
        <v>292</v>
      </c>
      <c r="Z119" s="14">
        <f t="shared" si="133"/>
        <v>403</v>
      </c>
      <c r="AA119" s="18">
        <f t="shared" si="134"/>
        <v>292</v>
      </c>
      <c r="AB119" s="4" t="s">
        <v>0</v>
      </c>
    </row>
    <row r="120" spans="1:28">
      <c r="A120" s="9" t="s">
        <v>51</v>
      </c>
      <c r="B120" s="24"/>
      <c r="C120" s="26"/>
      <c r="D120" s="29">
        <f t="shared" si="162"/>
        <v>429</v>
      </c>
      <c r="E120" s="29">
        <f t="shared" ref="E120" si="182">E119</f>
        <v>429</v>
      </c>
      <c r="F120" s="29">
        <f t="shared" si="164"/>
        <v>455</v>
      </c>
      <c r="G120" s="29">
        <f t="shared" si="115"/>
        <v>458</v>
      </c>
      <c r="H120" s="4" t="s">
        <v>0</v>
      </c>
      <c r="I120" s="16" t="str">
        <f t="shared" si="117"/>
        <v>06-02</v>
      </c>
      <c r="J120" s="14">
        <f t="shared" si="118"/>
        <v>429</v>
      </c>
      <c r="K120" s="15">
        <f t="shared" si="119"/>
        <v>429</v>
      </c>
      <c r="L120" s="17">
        <f t="shared" si="120"/>
        <v>455</v>
      </c>
      <c r="M120" s="18">
        <f t="shared" si="121"/>
        <v>429</v>
      </c>
      <c r="N120" s="14">
        <f t="shared" si="122"/>
        <v>455</v>
      </c>
      <c r="O120" s="15">
        <f t="shared" si="123"/>
        <v>458</v>
      </c>
      <c r="P120" s="17">
        <f t="shared" si="124"/>
        <v>429</v>
      </c>
      <c r="Q120" s="18">
        <f t="shared" si="125"/>
        <v>458</v>
      </c>
      <c r="R120" s="4" t="s">
        <v>0</v>
      </c>
      <c r="S120" s="16" t="str">
        <f t="shared" si="126"/>
        <v>06-02</v>
      </c>
      <c r="T120" s="14">
        <f t="shared" si="127"/>
        <v>429</v>
      </c>
      <c r="U120" s="18">
        <f t="shared" si="128"/>
        <v>321</v>
      </c>
      <c r="V120" s="14">
        <f t="shared" si="129"/>
        <v>455</v>
      </c>
      <c r="W120" s="18">
        <f t="shared" si="130"/>
        <v>321</v>
      </c>
      <c r="X120" s="14">
        <f t="shared" si="131"/>
        <v>455</v>
      </c>
      <c r="Y120" s="18">
        <f t="shared" si="132"/>
        <v>292</v>
      </c>
      <c r="Z120" s="14">
        <f t="shared" si="133"/>
        <v>429</v>
      </c>
      <c r="AA120" s="18">
        <f t="shared" si="134"/>
        <v>292</v>
      </c>
      <c r="AB120" s="4" t="s">
        <v>0</v>
      </c>
    </row>
    <row r="121" spans="1:28">
      <c r="A121" s="9" t="s">
        <v>50</v>
      </c>
      <c r="B121" s="24"/>
      <c r="C121" s="26"/>
      <c r="D121" s="29">
        <f t="shared" si="162"/>
        <v>455</v>
      </c>
      <c r="E121" s="29">
        <f t="shared" ref="E121" si="183">E120</f>
        <v>429</v>
      </c>
      <c r="F121" s="29">
        <f t="shared" si="164"/>
        <v>481</v>
      </c>
      <c r="G121" s="29">
        <f t="shared" si="115"/>
        <v>458</v>
      </c>
      <c r="H121" s="4" t="s">
        <v>0</v>
      </c>
      <c r="I121" s="16" t="str">
        <f t="shared" si="117"/>
        <v>06-01</v>
      </c>
      <c r="J121" s="14">
        <f t="shared" si="118"/>
        <v>455</v>
      </c>
      <c r="K121" s="15">
        <f t="shared" si="119"/>
        <v>429</v>
      </c>
      <c r="L121" s="17">
        <f t="shared" si="120"/>
        <v>481</v>
      </c>
      <c r="M121" s="18">
        <f t="shared" si="121"/>
        <v>429</v>
      </c>
      <c r="N121" s="14">
        <f t="shared" si="122"/>
        <v>481</v>
      </c>
      <c r="O121" s="15">
        <f t="shared" si="123"/>
        <v>458</v>
      </c>
      <c r="P121" s="17">
        <f t="shared" si="124"/>
        <v>455</v>
      </c>
      <c r="Q121" s="18">
        <f t="shared" si="125"/>
        <v>458</v>
      </c>
      <c r="R121" s="4" t="s">
        <v>0</v>
      </c>
      <c r="S121" s="16" t="str">
        <f t="shared" si="126"/>
        <v>06-01</v>
      </c>
      <c r="T121" s="14">
        <f t="shared" si="127"/>
        <v>455</v>
      </c>
      <c r="U121" s="18">
        <f t="shared" si="128"/>
        <v>321</v>
      </c>
      <c r="V121" s="14">
        <f t="shared" si="129"/>
        <v>481</v>
      </c>
      <c r="W121" s="18">
        <f t="shared" si="130"/>
        <v>321</v>
      </c>
      <c r="X121" s="14">
        <f t="shared" si="131"/>
        <v>481</v>
      </c>
      <c r="Y121" s="18">
        <f t="shared" si="132"/>
        <v>292</v>
      </c>
      <c r="Z121" s="14">
        <f t="shared" si="133"/>
        <v>455</v>
      </c>
      <c r="AA121" s="18">
        <f t="shared" si="134"/>
        <v>292</v>
      </c>
      <c r="AB121" s="4" t="s">
        <v>0</v>
      </c>
    </row>
    <row r="122" spans="1:28">
      <c r="A122" s="9" t="s">
        <v>135</v>
      </c>
      <c r="B122" s="24"/>
      <c r="C122" s="26">
        <v>7</v>
      </c>
      <c r="D122" s="27">
        <v>117</v>
      </c>
      <c r="E122" s="34">
        <f t="shared" ref="E122" si="184">ROUND(E$25+38.5*$C122,0)</f>
        <v>468</v>
      </c>
      <c r="F122" s="31">
        <v>143</v>
      </c>
      <c r="G122" s="34">
        <f t="shared" ref="G122" si="185">ROUND(G$25+38.5*$C122,0)</f>
        <v>497</v>
      </c>
      <c r="H122" s="4" t="s">
        <v>0</v>
      </c>
      <c r="I122" s="16" t="str">
        <f t="shared" si="117"/>
        <v>05-17</v>
      </c>
      <c r="J122" s="14">
        <f t="shared" si="118"/>
        <v>117</v>
      </c>
      <c r="K122" s="15">
        <f t="shared" si="119"/>
        <v>468</v>
      </c>
      <c r="L122" s="17">
        <f t="shared" si="120"/>
        <v>143</v>
      </c>
      <c r="M122" s="18">
        <f t="shared" si="121"/>
        <v>468</v>
      </c>
      <c r="N122" s="14">
        <f t="shared" si="122"/>
        <v>143</v>
      </c>
      <c r="O122" s="15">
        <f t="shared" si="123"/>
        <v>497</v>
      </c>
      <c r="P122" s="17">
        <f t="shared" si="124"/>
        <v>117</v>
      </c>
      <c r="Q122" s="18">
        <f t="shared" si="125"/>
        <v>497</v>
      </c>
      <c r="R122" s="4" t="s">
        <v>0</v>
      </c>
      <c r="S122" s="16" t="str">
        <f t="shared" si="126"/>
        <v>05-17</v>
      </c>
      <c r="T122" s="14">
        <f t="shared" si="127"/>
        <v>117</v>
      </c>
      <c r="U122" s="18">
        <f t="shared" si="128"/>
        <v>282</v>
      </c>
      <c r="V122" s="14">
        <f t="shared" si="129"/>
        <v>143</v>
      </c>
      <c r="W122" s="18">
        <f t="shared" si="130"/>
        <v>282</v>
      </c>
      <c r="X122" s="14">
        <f t="shared" si="131"/>
        <v>143</v>
      </c>
      <c r="Y122" s="18">
        <f t="shared" si="132"/>
        <v>253</v>
      </c>
      <c r="Z122" s="14">
        <f t="shared" si="133"/>
        <v>117</v>
      </c>
      <c r="AA122" s="18">
        <f t="shared" si="134"/>
        <v>253</v>
      </c>
      <c r="AB122" s="4" t="s">
        <v>0</v>
      </c>
    </row>
    <row r="123" spans="1:28">
      <c r="A123" s="9" t="s">
        <v>163</v>
      </c>
      <c r="B123" s="24"/>
      <c r="C123" s="26"/>
      <c r="D123" s="29">
        <f t="shared" si="162"/>
        <v>143</v>
      </c>
      <c r="E123" s="29">
        <f t="shared" ref="E123" si="186">E122</f>
        <v>468</v>
      </c>
      <c r="F123" s="29">
        <f t="shared" si="164"/>
        <v>169</v>
      </c>
      <c r="G123" s="29">
        <f t="shared" si="115"/>
        <v>497</v>
      </c>
      <c r="H123" s="4" t="s">
        <v>0</v>
      </c>
      <c r="I123" s="16" t="str">
        <f t="shared" si="117"/>
        <v>05-16</v>
      </c>
      <c r="J123" s="14">
        <f t="shared" si="118"/>
        <v>143</v>
      </c>
      <c r="K123" s="15">
        <f t="shared" si="119"/>
        <v>468</v>
      </c>
      <c r="L123" s="17">
        <f t="shared" si="120"/>
        <v>169</v>
      </c>
      <c r="M123" s="18">
        <f t="shared" si="121"/>
        <v>468</v>
      </c>
      <c r="N123" s="14">
        <f t="shared" si="122"/>
        <v>169</v>
      </c>
      <c r="O123" s="15">
        <f t="shared" si="123"/>
        <v>497</v>
      </c>
      <c r="P123" s="17">
        <f t="shared" si="124"/>
        <v>143</v>
      </c>
      <c r="Q123" s="18">
        <f t="shared" si="125"/>
        <v>497</v>
      </c>
      <c r="R123" s="4" t="s">
        <v>0</v>
      </c>
      <c r="S123" s="16" t="str">
        <f t="shared" si="126"/>
        <v>05-16</v>
      </c>
      <c r="T123" s="14">
        <f t="shared" si="127"/>
        <v>143</v>
      </c>
      <c r="U123" s="18">
        <f t="shared" si="128"/>
        <v>282</v>
      </c>
      <c r="V123" s="14">
        <f t="shared" si="129"/>
        <v>169</v>
      </c>
      <c r="W123" s="18">
        <f t="shared" si="130"/>
        <v>282</v>
      </c>
      <c r="X123" s="14">
        <f t="shared" si="131"/>
        <v>169</v>
      </c>
      <c r="Y123" s="18">
        <f t="shared" si="132"/>
        <v>253</v>
      </c>
      <c r="Z123" s="14">
        <f t="shared" si="133"/>
        <v>143</v>
      </c>
      <c r="AA123" s="18">
        <f t="shared" si="134"/>
        <v>253</v>
      </c>
      <c r="AB123" s="4" t="s">
        <v>0</v>
      </c>
    </row>
    <row r="124" spans="1:28">
      <c r="A124" s="9" t="s">
        <v>162</v>
      </c>
      <c r="B124" s="24"/>
      <c r="C124" s="26"/>
      <c r="D124" s="29">
        <f t="shared" si="162"/>
        <v>169</v>
      </c>
      <c r="E124" s="29">
        <f t="shared" ref="E124" si="187">E123</f>
        <v>468</v>
      </c>
      <c r="F124" s="29">
        <f t="shared" si="164"/>
        <v>195</v>
      </c>
      <c r="G124" s="29">
        <f t="shared" si="115"/>
        <v>497</v>
      </c>
      <c r="H124" s="4" t="s">
        <v>0</v>
      </c>
      <c r="I124" s="16" t="str">
        <f t="shared" si="117"/>
        <v>05-15</v>
      </c>
      <c r="J124" s="14">
        <f t="shared" si="118"/>
        <v>169</v>
      </c>
      <c r="K124" s="15">
        <f t="shared" si="119"/>
        <v>468</v>
      </c>
      <c r="L124" s="17">
        <f t="shared" si="120"/>
        <v>195</v>
      </c>
      <c r="M124" s="18">
        <f t="shared" si="121"/>
        <v>468</v>
      </c>
      <c r="N124" s="14">
        <f t="shared" si="122"/>
        <v>195</v>
      </c>
      <c r="O124" s="15">
        <f t="shared" si="123"/>
        <v>497</v>
      </c>
      <c r="P124" s="17">
        <f t="shared" si="124"/>
        <v>169</v>
      </c>
      <c r="Q124" s="18">
        <f t="shared" si="125"/>
        <v>497</v>
      </c>
      <c r="R124" s="4" t="s">
        <v>0</v>
      </c>
      <c r="S124" s="16" t="str">
        <f t="shared" si="126"/>
        <v>05-15</v>
      </c>
      <c r="T124" s="14">
        <f t="shared" si="127"/>
        <v>169</v>
      </c>
      <c r="U124" s="18">
        <f t="shared" si="128"/>
        <v>282</v>
      </c>
      <c r="V124" s="14">
        <f t="shared" si="129"/>
        <v>195</v>
      </c>
      <c r="W124" s="18">
        <f t="shared" si="130"/>
        <v>282</v>
      </c>
      <c r="X124" s="14">
        <f t="shared" si="131"/>
        <v>195</v>
      </c>
      <c r="Y124" s="18">
        <f t="shared" si="132"/>
        <v>253</v>
      </c>
      <c r="Z124" s="14">
        <f t="shared" si="133"/>
        <v>169</v>
      </c>
      <c r="AA124" s="18">
        <f t="shared" si="134"/>
        <v>253</v>
      </c>
      <c r="AB124" s="4" t="s">
        <v>0</v>
      </c>
    </row>
    <row r="125" spans="1:28">
      <c r="A125" s="9" t="s">
        <v>161</v>
      </c>
      <c r="B125" s="24"/>
      <c r="C125" s="26"/>
      <c r="D125" s="29">
        <f t="shared" si="162"/>
        <v>195</v>
      </c>
      <c r="E125" s="29">
        <f t="shared" ref="E125" si="188">E124</f>
        <v>468</v>
      </c>
      <c r="F125" s="29">
        <f t="shared" si="164"/>
        <v>221</v>
      </c>
      <c r="G125" s="29">
        <f t="shared" si="115"/>
        <v>497</v>
      </c>
      <c r="H125" s="4" t="s">
        <v>0</v>
      </c>
      <c r="I125" s="16" t="str">
        <f t="shared" si="117"/>
        <v>05-13</v>
      </c>
      <c r="J125" s="14">
        <f t="shared" si="118"/>
        <v>195</v>
      </c>
      <c r="K125" s="15">
        <f t="shared" si="119"/>
        <v>468</v>
      </c>
      <c r="L125" s="17">
        <f t="shared" si="120"/>
        <v>221</v>
      </c>
      <c r="M125" s="18">
        <f t="shared" si="121"/>
        <v>468</v>
      </c>
      <c r="N125" s="14">
        <f t="shared" si="122"/>
        <v>221</v>
      </c>
      <c r="O125" s="15">
        <f t="shared" si="123"/>
        <v>497</v>
      </c>
      <c r="P125" s="17">
        <f t="shared" si="124"/>
        <v>195</v>
      </c>
      <c r="Q125" s="18">
        <f t="shared" si="125"/>
        <v>497</v>
      </c>
      <c r="R125" s="4" t="s">
        <v>0</v>
      </c>
      <c r="S125" s="16" t="str">
        <f t="shared" si="126"/>
        <v>05-13</v>
      </c>
      <c r="T125" s="14">
        <f t="shared" si="127"/>
        <v>195</v>
      </c>
      <c r="U125" s="18">
        <f t="shared" si="128"/>
        <v>282</v>
      </c>
      <c r="V125" s="14">
        <f t="shared" si="129"/>
        <v>221</v>
      </c>
      <c r="W125" s="18">
        <f t="shared" si="130"/>
        <v>282</v>
      </c>
      <c r="X125" s="14">
        <f t="shared" si="131"/>
        <v>221</v>
      </c>
      <c r="Y125" s="18">
        <f t="shared" si="132"/>
        <v>253</v>
      </c>
      <c r="Z125" s="14">
        <f t="shared" si="133"/>
        <v>195</v>
      </c>
      <c r="AA125" s="18">
        <f t="shared" si="134"/>
        <v>253</v>
      </c>
      <c r="AB125" s="4" t="s">
        <v>0</v>
      </c>
    </row>
    <row r="126" spans="1:28">
      <c r="A126" s="9" t="s">
        <v>49</v>
      </c>
      <c r="B126" s="24"/>
      <c r="C126" s="26"/>
      <c r="D126" s="29">
        <f t="shared" si="162"/>
        <v>221</v>
      </c>
      <c r="E126" s="29">
        <f t="shared" ref="E126" si="189">E125</f>
        <v>468</v>
      </c>
      <c r="F126" s="29">
        <f t="shared" si="164"/>
        <v>247</v>
      </c>
      <c r="G126" s="29">
        <f t="shared" si="115"/>
        <v>497</v>
      </c>
      <c r="H126" s="4" t="s">
        <v>0</v>
      </c>
      <c r="I126" s="16" t="str">
        <f t="shared" si="117"/>
        <v>05-12</v>
      </c>
      <c r="J126" s="14">
        <f t="shared" si="118"/>
        <v>221</v>
      </c>
      <c r="K126" s="15">
        <f t="shared" si="119"/>
        <v>468</v>
      </c>
      <c r="L126" s="17">
        <f t="shared" si="120"/>
        <v>247</v>
      </c>
      <c r="M126" s="18">
        <f t="shared" si="121"/>
        <v>468</v>
      </c>
      <c r="N126" s="14">
        <f t="shared" si="122"/>
        <v>247</v>
      </c>
      <c r="O126" s="15">
        <f t="shared" si="123"/>
        <v>497</v>
      </c>
      <c r="P126" s="17">
        <f t="shared" si="124"/>
        <v>221</v>
      </c>
      <c r="Q126" s="18">
        <f t="shared" si="125"/>
        <v>497</v>
      </c>
      <c r="R126" s="4" t="s">
        <v>0</v>
      </c>
      <c r="S126" s="16" t="str">
        <f t="shared" si="126"/>
        <v>05-12</v>
      </c>
      <c r="T126" s="14">
        <f t="shared" si="127"/>
        <v>221</v>
      </c>
      <c r="U126" s="18">
        <f t="shared" si="128"/>
        <v>282</v>
      </c>
      <c r="V126" s="14">
        <f t="shared" si="129"/>
        <v>247</v>
      </c>
      <c r="W126" s="18">
        <f t="shared" si="130"/>
        <v>282</v>
      </c>
      <c r="X126" s="14">
        <f t="shared" si="131"/>
        <v>247</v>
      </c>
      <c r="Y126" s="18">
        <f t="shared" si="132"/>
        <v>253</v>
      </c>
      <c r="Z126" s="14">
        <f t="shared" si="133"/>
        <v>221</v>
      </c>
      <c r="AA126" s="18">
        <f t="shared" si="134"/>
        <v>253</v>
      </c>
      <c r="AB126" s="4" t="s">
        <v>0</v>
      </c>
    </row>
    <row r="127" spans="1:28">
      <c r="A127" s="9" t="s">
        <v>48</v>
      </c>
      <c r="B127" s="24"/>
      <c r="C127" s="26"/>
      <c r="D127" s="29">
        <f t="shared" si="162"/>
        <v>247</v>
      </c>
      <c r="E127" s="29">
        <f t="shared" ref="E127" si="190">E126</f>
        <v>468</v>
      </c>
      <c r="F127" s="29">
        <f t="shared" si="164"/>
        <v>273</v>
      </c>
      <c r="G127" s="29">
        <f t="shared" si="115"/>
        <v>497</v>
      </c>
      <c r="H127" s="4" t="s">
        <v>0</v>
      </c>
      <c r="I127" s="16" t="str">
        <f t="shared" si="117"/>
        <v>05-11</v>
      </c>
      <c r="J127" s="14">
        <f t="shared" si="118"/>
        <v>247</v>
      </c>
      <c r="K127" s="15">
        <f t="shared" si="119"/>
        <v>468</v>
      </c>
      <c r="L127" s="17">
        <f t="shared" si="120"/>
        <v>273</v>
      </c>
      <c r="M127" s="18">
        <f t="shared" si="121"/>
        <v>468</v>
      </c>
      <c r="N127" s="14">
        <f t="shared" si="122"/>
        <v>273</v>
      </c>
      <c r="O127" s="15">
        <f t="shared" si="123"/>
        <v>497</v>
      </c>
      <c r="P127" s="17">
        <f t="shared" si="124"/>
        <v>247</v>
      </c>
      <c r="Q127" s="18">
        <f t="shared" si="125"/>
        <v>497</v>
      </c>
      <c r="R127" s="4" t="s">
        <v>0</v>
      </c>
      <c r="S127" s="16" t="str">
        <f t="shared" si="126"/>
        <v>05-11</v>
      </c>
      <c r="T127" s="14">
        <f t="shared" si="127"/>
        <v>247</v>
      </c>
      <c r="U127" s="18">
        <f t="shared" si="128"/>
        <v>282</v>
      </c>
      <c r="V127" s="14">
        <f t="shared" si="129"/>
        <v>273</v>
      </c>
      <c r="W127" s="18">
        <f t="shared" si="130"/>
        <v>282</v>
      </c>
      <c r="X127" s="14">
        <f t="shared" si="131"/>
        <v>273</v>
      </c>
      <c r="Y127" s="18">
        <f t="shared" si="132"/>
        <v>253</v>
      </c>
      <c r="Z127" s="14">
        <f t="shared" si="133"/>
        <v>247</v>
      </c>
      <c r="AA127" s="18">
        <f t="shared" si="134"/>
        <v>253</v>
      </c>
      <c r="AB127" s="4" t="s">
        <v>0</v>
      </c>
    </row>
    <row r="128" spans="1:28">
      <c r="A128" s="9" t="s">
        <v>47</v>
      </c>
      <c r="B128" s="24"/>
      <c r="C128" s="26"/>
      <c r="D128" s="29">
        <f t="shared" si="162"/>
        <v>273</v>
      </c>
      <c r="E128" s="29">
        <f t="shared" ref="E128" si="191">E127</f>
        <v>468</v>
      </c>
      <c r="F128" s="29">
        <f t="shared" si="164"/>
        <v>299</v>
      </c>
      <c r="G128" s="29">
        <f t="shared" si="115"/>
        <v>497</v>
      </c>
      <c r="H128" s="4" t="s">
        <v>0</v>
      </c>
      <c r="I128" s="16" t="str">
        <f t="shared" si="117"/>
        <v>05-10</v>
      </c>
      <c r="J128" s="14">
        <f t="shared" si="118"/>
        <v>273</v>
      </c>
      <c r="K128" s="15">
        <f t="shared" si="119"/>
        <v>468</v>
      </c>
      <c r="L128" s="17">
        <f t="shared" si="120"/>
        <v>299</v>
      </c>
      <c r="M128" s="18">
        <f t="shared" si="121"/>
        <v>468</v>
      </c>
      <c r="N128" s="14">
        <f t="shared" si="122"/>
        <v>299</v>
      </c>
      <c r="O128" s="15">
        <f t="shared" si="123"/>
        <v>497</v>
      </c>
      <c r="P128" s="17">
        <f t="shared" si="124"/>
        <v>273</v>
      </c>
      <c r="Q128" s="18">
        <f t="shared" si="125"/>
        <v>497</v>
      </c>
      <c r="R128" s="4" t="s">
        <v>0</v>
      </c>
      <c r="S128" s="16" t="str">
        <f t="shared" si="126"/>
        <v>05-10</v>
      </c>
      <c r="T128" s="14">
        <f t="shared" si="127"/>
        <v>273</v>
      </c>
      <c r="U128" s="18">
        <f t="shared" si="128"/>
        <v>282</v>
      </c>
      <c r="V128" s="14">
        <f t="shared" si="129"/>
        <v>299</v>
      </c>
      <c r="W128" s="18">
        <f t="shared" si="130"/>
        <v>282</v>
      </c>
      <c r="X128" s="14">
        <f t="shared" si="131"/>
        <v>299</v>
      </c>
      <c r="Y128" s="18">
        <f t="shared" si="132"/>
        <v>253</v>
      </c>
      <c r="Z128" s="14">
        <f t="shared" si="133"/>
        <v>273</v>
      </c>
      <c r="AA128" s="18">
        <f t="shared" si="134"/>
        <v>253</v>
      </c>
      <c r="AB128" s="4" t="s">
        <v>0</v>
      </c>
    </row>
    <row r="129" spans="1:28">
      <c r="A129" s="9" t="s">
        <v>46</v>
      </c>
      <c r="B129" s="24"/>
      <c r="C129" s="26"/>
      <c r="D129" s="29">
        <f t="shared" si="162"/>
        <v>299</v>
      </c>
      <c r="E129" s="29">
        <f t="shared" ref="E129" si="192">E128</f>
        <v>468</v>
      </c>
      <c r="F129" s="29">
        <f t="shared" si="164"/>
        <v>325</v>
      </c>
      <c r="G129" s="29">
        <f t="shared" si="115"/>
        <v>497</v>
      </c>
      <c r="H129" s="4" t="s">
        <v>0</v>
      </c>
      <c r="I129" s="16" t="str">
        <f t="shared" si="117"/>
        <v>05-08</v>
      </c>
      <c r="J129" s="14">
        <f t="shared" si="118"/>
        <v>299</v>
      </c>
      <c r="K129" s="15">
        <f t="shared" si="119"/>
        <v>468</v>
      </c>
      <c r="L129" s="17">
        <f t="shared" si="120"/>
        <v>325</v>
      </c>
      <c r="M129" s="18">
        <f t="shared" si="121"/>
        <v>468</v>
      </c>
      <c r="N129" s="14">
        <f t="shared" si="122"/>
        <v>325</v>
      </c>
      <c r="O129" s="15">
        <f t="shared" si="123"/>
        <v>497</v>
      </c>
      <c r="P129" s="17">
        <f t="shared" si="124"/>
        <v>299</v>
      </c>
      <c r="Q129" s="18">
        <f t="shared" si="125"/>
        <v>497</v>
      </c>
      <c r="R129" s="4" t="s">
        <v>0</v>
      </c>
      <c r="S129" s="16" t="str">
        <f t="shared" si="126"/>
        <v>05-08</v>
      </c>
      <c r="T129" s="14">
        <f t="shared" si="127"/>
        <v>299</v>
      </c>
      <c r="U129" s="18">
        <f t="shared" si="128"/>
        <v>282</v>
      </c>
      <c r="V129" s="14">
        <f t="shared" si="129"/>
        <v>325</v>
      </c>
      <c r="W129" s="18">
        <f t="shared" si="130"/>
        <v>282</v>
      </c>
      <c r="X129" s="14">
        <f t="shared" si="131"/>
        <v>325</v>
      </c>
      <c r="Y129" s="18">
        <f t="shared" si="132"/>
        <v>253</v>
      </c>
      <c r="Z129" s="14">
        <f t="shared" si="133"/>
        <v>299</v>
      </c>
      <c r="AA129" s="18">
        <f t="shared" si="134"/>
        <v>253</v>
      </c>
      <c r="AB129" s="4" t="s">
        <v>0</v>
      </c>
    </row>
    <row r="130" spans="1:28">
      <c r="A130" s="9" t="s">
        <v>45</v>
      </c>
      <c r="B130" s="24"/>
      <c r="C130" s="26"/>
      <c r="D130" s="29">
        <f t="shared" si="162"/>
        <v>325</v>
      </c>
      <c r="E130" s="29">
        <f t="shared" ref="E130" si="193">E129</f>
        <v>468</v>
      </c>
      <c r="F130" s="29">
        <f t="shared" si="164"/>
        <v>351</v>
      </c>
      <c r="G130" s="29">
        <f t="shared" si="115"/>
        <v>497</v>
      </c>
      <c r="H130" s="4" t="s">
        <v>0</v>
      </c>
      <c r="I130" s="16" t="str">
        <f t="shared" si="117"/>
        <v>05-07</v>
      </c>
      <c r="J130" s="14">
        <f t="shared" si="118"/>
        <v>325</v>
      </c>
      <c r="K130" s="15">
        <f t="shared" si="119"/>
        <v>468</v>
      </c>
      <c r="L130" s="17">
        <f t="shared" si="120"/>
        <v>351</v>
      </c>
      <c r="M130" s="18">
        <f t="shared" si="121"/>
        <v>468</v>
      </c>
      <c r="N130" s="14">
        <f t="shared" si="122"/>
        <v>351</v>
      </c>
      <c r="O130" s="15">
        <f t="shared" si="123"/>
        <v>497</v>
      </c>
      <c r="P130" s="17">
        <f t="shared" si="124"/>
        <v>325</v>
      </c>
      <c r="Q130" s="18">
        <f t="shared" si="125"/>
        <v>497</v>
      </c>
      <c r="R130" s="4" t="s">
        <v>0</v>
      </c>
      <c r="S130" s="16" t="str">
        <f t="shared" si="126"/>
        <v>05-07</v>
      </c>
      <c r="T130" s="14">
        <f t="shared" si="127"/>
        <v>325</v>
      </c>
      <c r="U130" s="18">
        <f t="shared" si="128"/>
        <v>282</v>
      </c>
      <c r="V130" s="14">
        <f t="shared" si="129"/>
        <v>351</v>
      </c>
      <c r="W130" s="18">
        <f t="shared" si="130"/>
        <v>282</v>
      </c>
      <c r="X130" s="14">
        <f t="shared" si="131"/>
        <v>351</v>
      </c>
      <c r="Y130" s="18">
        <f t="shared" si="132"/>
        <v>253</v>
      </c>
      <c r="Z130" s="14">
        <f t="shared" si="133"/>
        <v>325</v>
      </c>
      <c r="AA130" s="18">
        <f t="shared" si="134"/>
        <v>253</v>
      </c>
      <c r="AB130" s="4" t="s">
        <v>0</v>
      </c>
    </row>
    <row r="131" spans="1:28">
      <c r="A131" s="9" t="s">
        <v>44</v>
      </c>
      <c r="B131" s="24"/>
      <c r="C131" s="26"/>
      <c r="D131" s="29">
        <f t="shared" si="162"/>
        <v>351</v>
      </c>
      <c r="E131" s="29">
        <f t="shared" ref="E131" si="194">E130</f>
        <v>468</v>
      </c>
      <c r="F131" s="29">
        <f t="shared" si="164"/>
        <v>377</v>
      </c>
      <c r="G131" s="29">
        <f t="shared" si="115"/>
        <v>497</v>
      </c>
      <c r="H131" s="4" t="s">
        <v>0</v>
      </c>
      <c r="I131" s="16" t="str">
        <f t="shared" si="117"/>
        <v>05-06</v>
      </c>
      <c r="J131" s="14">
        <f t="shared" si="118"/>
        <v>351</v>
      </c>
      <c r="K131" s="15">
        <f t="shared" si="119"/>
        <v>468</v>
      </c>
      <c r="L131" s="17">
        <f t="shared" si="120"/>
        <v>377</v>
      </c>
      <c r="M131" s="18">
        <f t="shared" si="121"/>
        <v>468</v>
      </c>
      <c r="N131" s="14">
        <f t="shared" si="122"/>
        <v>377</v>
      </c>
      <c r="O131" s="15">
        <f t="shared" si="123"/>
        <v>497</v>
      </c>
      <c r="P131" s="17">
        <f t="shared" si="124"/>
        <v>351</v>
      </c>
      <c r="Q131" s="18">
        <f t="shared" si="125"/>
        <v>497</v>
      </c>
      <c r="R131" s="4" t="s">
        <v>0</v>
      </c>
      <c r="S131" s="16" t="str">
        <f t="shared" si="126"/>
        <v>05-06</v>
      </c>
      <c r="T131" s="14">
        <f t="shared" si="127"/>
        <v>351</v>
      </c>
      <c r="U131" s="18">
        <f t="shared" si="128"/>
        <v>282</v>
      </c>
      <c r="V131" s="14">
        <f t="shared" si="129"/>
        <v>377</v>
      </c>
      <c r="W131" s="18">
        <f t="shared" si="130"/>
        <v>282</v>
      </c>
      <c r="X131" s="14">
        <f t="shared" si="131"/>
        <v>377</v>
      </c>
      <c r="Y131" s="18">
        <f t="shared" si="132"/>
        <v>253</v>
      </c>
      <c r="Z131" s="14">
        <f t="shared" si="133"/>
        <v>351</v>
      </c>
      <c r="AA131" s="18">
        <f t="shared" si="134"/>
        <v>253</v>
      </c>
      <c r="AB131" s="4" t="s">
        <v>0</v>
      </c>
    </row>
    <row r="132" spans="1:28">
      <c r="A132" s="9" t="s">
        <v>43</v>
      </c>
      <c r="B132" s="24"/>
      <c r="C132" s="26"/>
      <c r="D132" s="29">
        <f t="shared" si="162"/>
        <v>377</v>
      </c>
      <c r="E132" s="29">
        <f t="shared" ref="E132" si="195">E131</f>
        <v>468</v>
      </c>
      <c r="F132" s="29">
        <f t="shared" si="164"/>
        <v>403</v>
      </c>
      <c r="G132" s="29">
        <f t="shared" si="115"/>
        <v>497</v>
      </c>
      <c r="H132" s="4" t="s">
        <v>0</v>
      </c>
      <c r="I132" s="16" t="str">
        <f t="shared" si="117"/>
        <v>05-05</v>
      </c>
      <c r="J132" s="14">
        <f t="shared" si="118"/>
        <v>377</v>
      </c>
      <c r="K132" s="15">
        <f t="shared" si="119"/>
        <v>468</v>
      </c>
      <c r="L132" s="17">
        <f t="shared" si="120"/>
        <v>403</v>
      </c>
      <c r="M132" s="18">
        <f t="shared" si="121"/>
        <v>468</v>
      </c>
      <c r="N132" s="14">
        <f t="shared" si="122"/>
        <v>403</v>
      </c>
      <c r="O132" s="15">
        <f t="shared" si="123"/>
        <v>497</v>
      </c>
      <c r="P132" s="17">
        <f t="shared" si="124"/>
        <v>377</v>
      </c>
      <c r="Q132" s="18">
        <f t="shared" si="125"/>
        <v>497</v>
      </c>
      <c r="R132" s="4" t="s">
        <v>0</v>
      </c>
      <c r="S132" s="16" t="str">
        <f t="shared" si="126"/>
        <v>05-05</v>
      </c>
      <c r="T132" s="14">
        <f t="shared" si="127"/>
        <v>377</v>
      </c>
      <c r="U132" s="18">
        <f t="shared" si="128"/>
        <v>282</v>
      </c>
      <c r="V132" s="14">
        <f t="shared" si="129"/>
        <v>403</v>
      </c>
      <c r="W132" s="18">
        <f t="shared" si="130"/>
        <v>282</v>
      </c>
      <c r="X132" s="14">
        <f t="shared" si="131"/>
        <v>403</v>
      </c>
      <c r="Y132" s="18">
        <f t="shared" si="132"/>
        <v>253</v>
      </c>
      <c r="Z132" s="14">
        <f t="shared" si="133"/>
        <v>377</v>
      </c>
      <c r="AA132" s="18">
        <f t="shared" si="134"/>
        <v>253</v>
      </c>
      <c r="AB132" s="4" t="s">
        <v>0</v>
      </c>
    </row>
    <row r="133" spans="1:28">
      <c r="A133" s="9" t="s">
        <v>42</v>
      </c>
      <c r="B133" s="24"/>
      <c r="C133" s="26"/>
      <c r="D133" s="29">
        <f t="shared" si="162"/>
        <v>403</v>
      </c>
      <c r="E133" s="29">
        <f t="shared" ref="E133" si="196">E132</f>
        <v>468</v>
      </c>
      <c r="F133" s="29">
        <f t="shared" si="164"/>
        <v>429</v>
      </c>
      <c r="G133" s="29">
        <f t="shared" si="115"/>
        <v>497</v>
      </c>
      <c r="H133" s="4" t="s">
        <v>0</v>
      </c>
      <c r="I133" s="16" t="str">
        <f t="shared" si="117"/>
        <v>05-03</v>
      </c>
      <c r="J133" s="14">
        <f t="shared" si="118"/>
        <v>403</v>
      </c>
      <c r="K133" s="15">
        <f t="shared" si="119"/>
        <v>468</v>
      </c>
      <c r="L133" s="17">
        <f t="shared" si="120"/>
        <v>429</v>
      </c>
      <c r="M133" s="18">
        <f t="shared" si="121"/>
        <v>468</v>
      </c>
      <c r="N133" s="14">
        <f t="shared" si="122"/>
        <v>429</v>
      </c>
      <c r="O133" s="15">
        <f t="shared" si="123"/>
        <v>497</v>
      </c>
      <c r="P133" s="17">
        <f t="shared" si="124"/>
        <v>403</v>
      </c>
      <c r="Q133" s="18">
        <f t="shared" si="125"/>
        <v>497</v>
      </c>
      <c r="R133" s="4" t="s">
        <v>0</v>
      </c>
      <c r="S133" s="16" t="str">
        <f t="shared" si="126"/>
        <v>05-03</v>
      </c>
      <c r="T133" s="14">
        <f t="shared" si="127"/>
        <v>403</v>
      </c>
      <c r="U133" s="18">
        <f t="shared" si="128"/>
        <v>282</v>
      </c>
      <c r="V133" s="14">
        <f t="shared" si="129"/>
        <v>429</v>
      </c>
      <c r="W133" s="18">
        <f t="shared" si="130"/>
        <v>282</v>
      </c>
      <c r="X133" s="14">
        <f t="shared" si="131"/>
        <v>429</v>
      </c>
      <c r="Y133" s="18">
        <f t="shared" si="132"/>
        <v>253</v>
      </c>
      <c r="Z133" s="14">
        <f t="shared" si="133"/>
        <v>403</v>
      </c>
      <c r="AA133" s="18">
        <f t="shared" si="134"/>
        <v>253</v>
      </c>
      <c r="AB133" s="4" t="s">
        <v>0</v>
      </c>
    </row>
    <row r="134" spans="1:28">
      <c r="A134" s="9" t="s">
        <v>41</v>
      </c>
      <c r="B134" s="24"/>
      <c r="C134" s="26"/>
      <c r="D134" s="29">
        <f t="shared" si="162"/>
        <v>429</v>
      </c>
      <c r="E134" s="29">
        <f t="shared" ref="E134" si="197">E133</f>
        <v>468</v>
      </c>
      <c r="F134" s="29">
        <f t="shared" si="164"/>
        <v>455</v>
      </c>
      <c r="G134" s="29">
        <f t="shared" si="115"/>
        <v>497</v>
      </c>
      <c r="H134" s="4" t="s">
        <v>0</v>
      </c>
      <c r="I134" s="16" t="str">
        <f t="shared" si="117"/>
        <v>05-02</v>
      </c>
      <c r="J134" s="14">
        <f t="shared" si="118"/>
        <v>429</v>
      </c>
      <c r="K134" s="15">
        <f t="shared" si="119"/>
        <v>468</v>
      </c>
      <c r="L134" s="17">
        <f t="shared" si="120"/>
        <v>455</v>
      </c>
      <c r="M134" s="18">
        <f t="shared" si="121"/>
        <v>468</v>
      </c>
      <c r="N134" s="14">
        <f t="shared" si="122"/>
        <v>455</v>
      </c>
      <c r="O134" s="15">
        <f t="shared" si="123"/>
        <v>497</v>
      </c>
      <c r="P134" s="17">
        <f t="shared" si="124"/>
        <v>429</v>
      </c>
      <c r="Q134" s="18">
        <f t="shared" si="125"/>
        <v>497</v>
      </c>
      <c r="R134" s="4" t="s">
        <v>0</v>
      </c>
      <c r="S134" s="16" t="str">
        <f t="shared" si="126"/>
        <v>05-02</v>
      </c>
      <c r="T134" s="14">
        <f t="shared" si="127"/>
        <v>429</v>
      </c>
      <c r="U134" s="18">
        <f t="shared" si="128"/>
        <v>282</v>
      </c>
      <c r="V134" s="14">
        <f t="shared" si="129"/>
        <v>455</v>
      </c>
      <c r="W134" s="18">
        <f t="shared" si="130"/>
        <v>282</v>
      </c>
      <c r="X134" s="14">
        <f t="shared" si="131"/>
        <v>455</v>
      </c>
      <c r="Y134" s="18">
        <f t="shared" si="132"/>
        <v>253</v>
      </c>
      <c r="Z134" s="14">
        <f t="shared" si="133"/>
        <v>429</v>
      </c>
      <c r="AA134" s="18">
        <f t="shared" si="134"/>
        <v>253</v>
      </c>
      <c r="AB134" s="4" t="s">
        <v>0</v>
      </c>
    </row>
    <row r="135" spans="1:28">
      <c r="A135" s="9" t="s">
        <v>40</v>
      </c>
      <c r="B135" s="24"/>
      <c r="C135" s="26"/>
      <c r="D135" s="29">
        <f t="shared" si="162"/>
        <v>455</v>
      </c>
      <c r="E135" s="29">
        <f t="shared" ref="E135" si="198">E134</f>
        <v>468</v>
      </c>
      <c r="F135" s="29">
        <f t="shared" si="164"/>
        <v>481</v>
      </c>
      <c r="G135" s="29">
        <f t="shared" si="115"/>
        <v>497</v>
      </c>
      <c r="H135" s="4" t="s">
        <v>0</v>
      </c>
      <c r="I135" s="16" t="str">
        <f t="shared" si="117"/>
        <v>05-01</v>
      </c>
      <c r="J135" s="14">
        <f t="shared" si="118"/>
        <v>455</v>
      </c>
      <c r="K135" s="15">
        <f t="shared" si="119"/>
        <v>468</v>
      </c>
      <c r="L135" s="17">
        <f t="shared" si="120"/>
        <v>481</v>
      </c>
      <c r="M135" s="18">
        <f t="shared" si="121"/>
        <v>468</v>
      </c>
      <c r="N135" s="14">
        <f t="shared" si="122"/>
        <v>481</v>
      </c>
      <c r="O135" s="15">
        <f t="shared" si="123"/>
        <v>497</v>
      </c>
      <c r="P135" s="17">
        <f t="shared" si="124"/>
        <v>455</v>
      </c>
      <c r="Q135" s="18">
        <f t="shared" si="125"/>
        <v>497</v>
      </c>
      <c r="R135" s="4" t="s">
        <v>0</v>
      </c>
      <c r="S135" s="16" t="str">
        <f t="shared" si="126"/>
        <v>05-01</v>
      </c>
      <c r="T135" s="14">
        <f t="shared" si="127"/>
        <v>455</v>
      </c>
      <c r="U135" s="18">
        <f t="shared" si="128"/>
        <v>282</v>
      </c>
      <c r="V135" s="14">
        <f t="shared" si="129"/>
        <v>481</v>
      </c>
      <c r="W135" s="18">
        <f t="shared" si="130"/>
        <v>282</v>
      </c>
      <c r="X135" s="14">
        <f t="shared" si="131"/>
        <v>481</v>
      </c>
      <c r="Y135" s="18">
        <f t="shared" si="132"/>
        <v>253</v>
      </c>
      <c r="Z135" s="14">
        <f t="shared" si="133"/>
        <v>455</v>
      </c>
      <c r="AA135" s="18">
        <f t="shared" si="134"/>
        <v>253</v>
      </c>
      <c r="AB135" s="4" t="s">
        <v>0</v>
      </c>
    </row>
    <row r="136" spans="1:28">
      <c r="A136" s="9" t="s">
        <v>157</v>
      </c>
      <c r="B136" s="24"/>
      <c r="C136" s="26">
        <v>8</v>
      </c>
      <c r="D136" s="27">
        <v>117</v>
      </c>
      <c r="E136" s="34">
        <f t="shared" ref="E136" si="199">ROUND(E$25+38.5*$C136,0)</f>
        <v>506</v>
      </c>
      <c r="F136" s="31">
        <v>143</v>
      </c>
      <c r="G136" s="34">
        <f t="shared" ref="G136" si="200">ROUND(G$25+38.5*$C136,0)</f>
        <v>535</v>
      </c>
      <c r="H136" s="4" t="s">
        <v>0</v>
      </c>
      <c r="I136" s="16" t="str">
        <f t="shared" si="117"/>
        <v>03-17</v>
      </c>
      <c r="J136" s="14">
        <f t="shared" si="118"/>
        <v>117</v>
      </c>
      <c r="K136" s="15">
        <f t="shared" si="119"/>
        <v>506</v>
      </c>
      <c r="L136" s="17">
        <f t="shared" si="120"/>
        <v>143</v>
      </c>
      <c r="M136" s="18">
        <f t="shared" si="121"/>
        <v>506</v>
      </c>
      <c r="N136" s="14">
        <f t="shared" si="122"/>
        <v>143</v>
      </c>
      <c r="O136" s="15">
        <f t="shared" si="123"/>
        <v>535</v>
      </c>
      <c r="P136" s="17">
        <f t="shared" si="124"/>
        <v>117</v>
      </c>
      <c r="Q136" s="18">
        <f t="shared" si="125"/>
        <v>535</v>
      </c>
      <c r="R136" s="4" t="s">
        <v>0</v>
      </c>
      <c r="S136" s="16" t="str">
        <f t="shared" si="126"/>
        <v>03-17</v>
      </c>
      <c r="T136" s="14">
        <f t="shared" si="127"/>
        <v>117</v>
      </c>
      <c r="U136" s="18">
        <f t="shared" si="128"/>
        <v>244</v>
      </c>
      <c r="V136" s="14">
        <f t="shared" si="129"/>
        <v>143</v>
      </c>
      <c r="W136" s="18">
        <f t="shared" si="130"/>
        <v>244</v>
      </c>
      <c r="X136" s="14">
        <f t="shared" si="131"/>
        <v>143</v>
      </c>
      <c r="Y136" s="18">
        <f t="shared" si="132"/>
        <v>215</v>
      </c>
      <c r="Z136" s="14">
        <f t="shared" si="133"/>
        <v>117</v>
      </c>
      <c r="AA136" s="18">
        <f t="shared" si="134"/>
        <v>215</v>
      </c>
      <c r="AB136" s="4" t="s">
        <v>0</v>
      </c>
    </row>
    <row r="137" spans="1:28">
      <c r="A137" s="9" t="s">
        <v>156</v>
      </c>
      <c r="B137" s="24"/>
      <c r="C137" s="26"/>
      <c r="D137" s="29">
        <f t="shared" si="162"/>
        <v>143</v>
      </c>
      <c r="E137" s="29">
        <f t="shared" ref="E137" si="201">E136</f>
        <v>506</v>
      </c>
      <c r="F137" s="29">
        <f t="shared" si="164"/>
        <v>169</v>
      </c>
      <c r="G137" s="29">
        <f t="shared" si="115"/>
        <v>535</v>
      </c>
      <c r="H137" s="4" t="s">
        <v>0</v>
      </c>
      <c r="I137" s="16" t="str">
        <f t="shared" si="117"/>
        <v>03-16</v>
      </c>
      <c r="J137" s="14">
        <f t="shared" si="118"/>
        <v>143</v>
      </c>
      <c r="K137" s="15">
        <f t="shared" si="119"/>
        <v>506</v>
      </c>
      <c r="L137" s="17">
        <f t="shared" si="120"/>
        <v>169</v>
      </c>
      <c r="M137" s="18">
        <f t="shared" si="121"/>
        <v>506</v>
      </c>
      <c r="N137" s="14">
        <f t="shared" si="122"/>
        <v>169</v>
      </c>
      <c r="O137" s="15">
        <f t="shared" si="123"/>
        <v>535</v>
      </c>
      <c r="P137" s="17">
        <f t="shared" si="124"/>
        <v>143</v>
      </c>
      <c r="Q137" s="18">
        <f t="shared" si="125"/>
        <v>535</v>
      </c>
      <c r="R137" s="4" t="s">
        <v>0</v>
      </c>
      <c r="S137" s="16" t="str">
        <f t="shared" si="126"/>
        <v>03-16</v>
      </c>
      <c r="T137" s="14">
        <f t="shared" si="127"/>
        <v>143</v>
      </c>
      <c r="U137" s="18">
        <f t="shared" si="128"/>
        <v>244</v>
      </c>
      <c r="V137" s="14">
        <f t="shared" si="129"/>
        <v>169</v>
      </c>
      <c r="W137" s="18">
        <f t="shared" si="130"/>
        <v>244</v>
      </c>
      <c r="X137" s="14">
        <f t="shared" si="131"/>
        <v>169</v>
      </c>
      <c r="Y137" s="18">
        <f t="shared" si="132"/>
        <v>215</v>
      </c>
      <c r="Z137" s="14">
        <f t="shared" si="133"/>
        <v>143</v>
      </c>
      <c r="AA137" s="18">
        <f t="shared" si="134"/>
        <v>215</v>
      </c>
      <c r="AB137" s="4" t="s">
        <v>0</v>
      </c>
    </row>
    <row r="138" spans="1:28">
      <c r="A138" s="9" t="s">
        <v>155</v>
      </c>
      <c r="B138" s="24"/>
      <c r="C138" s="26"/>
      <c r="D138" s="29">
        <f t="shared" si="162"/>
        <v>169</v>
      </c>
      <c r="E138" s="29">
        <f t="shared" ref="E138" si="202">E137</f>
        <v>506</v>
      </c>
      <c r="F138" s="29">
        <f t="shared" si="164"/>
        <v>195</v>
      </c>
      <c r="G138" s="29">
        <f t="shared" si="115"/>
        <v>535</v>
      </c>
      <c r="H138" s="4" t="s">
        <v>0</v>
      </c>
      <c r="I138" s="16" t="str">
        <f t="shared" si="117"/>
        <v>03-15</v>
      </c>
      <c r="J138" s="14">
        <f t="shared" si="118"/>
        <v>169</v>
      </c>
      <c r="K138" s="15">
        <f t="shared" si="119"/>
        <v>506</v>
      </c>
      <c r="L138" s="17">
        <f t="shared" si="120"/>
        <v>195</v>
      </c>
      <c r="M138" s="18">
        <f t="shared" si="121"/>
        <v>506</v>
      </c>
      <c r="N138" s="14">
        <f t="shared" si="122"/>
        <v>195</v>
      </c>
      <c r="O138" s="15">
        <f t="shared" si="123"/>
        <v>535</v>
      </c>
      <c r="P138" s="17">
        <f t="shared" si="124"/>
        <v>169</v>
      </c>
      <c r="Q138" s="18">
        <f t="shared" si="125"/>
        <v>535</v>
      </c>
      <c r="R138" s="4" t="s">
        <v>0</v>
      </c>
      <c r="S138" s="16" t="str">
        <f t="shared" si="126"/>
        <v>03-15</v>
      </c>
      <c r="T138" s="14">
        <f t="shared" si="127"/>
        <v>169</v>
      </c>
      <c r="U138" s="18">
        <f t="shared" si="128"/>
        <v>244</v>
      </c>
      <c r="V138" s="14">
        <f t="shared" si="129"/>
        <v>195</v>
      </c>
      <c r="W138" s="18">
        <f t="shared" si="130"/>
        <v>244</v>
      </c>
      <c r="X138" s="14">
        <f t="shared" si="131"/>
        <v>195</v>
      </c>
      <c r="Y138" s="18">
        <f t="shared" si="132"/>
        <v>215</v>
      </c>
      <c r="Z138" s="14">
        <f t="shared" si="133"/>
        <v>169</v>
      </c>
      <c r="AA138" s="18">
        <f t="shared" si="134"/>
        <v>215</v>
      </c>
      <c r="AB138" s="4" t="s">
        <v>0</v>
      </c>
    </row>
    <row r="139" spans="1:28">
      <c r="A139" s="9" t="s">
        <v>154</v>
      </c>
      <c r="B139" s="24"/>
      <c r="C139" s="26"/>
      <c r="D139" s="29">
        <f t="shared" si="162"/>
        <v>195</v>
      </c>
      <c r="E139" s="29">
        <f t="shared" ref="E139" si="203">E138</f>
        <v>506</v>
      </c>
      <c r="F139" s="29">
        <f t="shared" si="164"/>
        <v>221</v>
      </c>
      <c r="G139" s="29">
        <f t="shared" si="115"/>
        <v>535</v>
      </c>
      <c r="H139" s="4" t="s">
        <v>0</v>
      </c>
      <c r="I139" s="16" t="str">
        <f t="shared" si="117"/>
        <v>03-13</v>
      </c>
      <c r="J139" s="14">
        <f t="shared" si="118"/>
        <v>195</v>
      </c>
      <c r="K139" s="15">
        <f t="shared" si="119"/>
        <v>506</v>
      </c>
      <c r="L139" s="17">
        <f t="shared" si="120"/>
        <v>221</v>
      </c>
      <c r="M139" s="18">
        <f t="shared" si="121"/>
        <v>506</v>
      </c>
      <c r="N139" s="14">
        <f t="shared" si="122"/>
        <v>221</v>
      </c>
      <c r="O139" s="15">
        <f t="shared" si="123"/>
        <v>535</v>
      </c>
      <c r="P139" s="17">
        <f t="shared" si="124"/>
        <v>195</v>
      </c>
      <c r="Q139" s="18">
        <f t="shared" si="125"/>
        <v>535</v>
      </c>
      <c r="R139" s="4" t="s">
        <v>0</v>
      </c>
      <c r="S139" s="16" t="str">
        <f t="shared" si="126"/>
        <v>03-13</v>
      </c>
      <c r="T139" s="14">
        <f t="shared" si="127"/>
        <v>195</v>
      </c>
      <c r="U139" s="18">
        <f t="shared" si="128"/>
        <v>244</v>
      </c>
      <c r="V139" s="14">
        <f t="shared" si="129"/>
        <v>221</v>
      </c>
      <c r="W139" s="18">
        <f t="shared" si="130"/>
        <v>244</v>
      </c>
      <c r="X139" s="14">
        <f t="shared" si="131"/>
        <v>221</v>
      </c>
      <c r="Y139" s="18">
        <f t="shared" si="132"/>
        <v>215</v>
      </c>
      <c r="Z139" s="14">
        <f t="shared" si="133"/>
        <v>195</v>
      </c>
      <c r="AA139" s="18">
        <f t="shared" si="134"/>
        <v>215</v>
      </c>
      <c r="AB139" s="4" t="s">
        <v>0</v>
      </c>
    </row>
    <row r="140" spans="1:28">
      <c r="A140" s="9" t="s">
        <v>39</v>
      </c>
      <c r="B140" s="24"/>
      <c r="C140" s="26"/>
      <c r="D140" s="29">
        <f t="shared" si="162"/>
        <v>221</v>
      </c>
      <c r="E140" s="29">
        <f t="shared" ref="E140" si="204">E139</f>
        <v>506</v>
      </c>
      <c r="F140" s="29">
        <f t="shared" si="164"/>
        <v>247</v>
      </c>
      <c r="G140" s="29">
        <f t="shared" ref="G140:G176" si="205">G139</f>
        <v>535</v>
      </c>
      <c r="H140" s="4" t="s">
        <v>0</v>
      </c>
      <c r="I140" s="16" t="str">
        <f t="shared" si="117"/>
        <v>03-12</v>
      </c>
      <c r="J140" s="14">
        <f t="shared" si="118"/>
        <v>221</v>
      </c>
      <c r="K140" s="15">
        <f t="shared" si="119"/>
        <v>506</v>
      </c>
      <c r="L140" s="17">
        <f t="shared" si="120"/>
        <v>247</v>
      </c>
      <c r="M140" s="18">
        <f t="shared" si="121"/>
        <v>506</v>
      </c>
      <c r="N140" s="14">
        <f t="shared" si="122"/>
        <v>247</v>
      </c>
      <c r="O140" s="15">
        <f t="shared" si="123"/>
        <v>535</v>
      </c>
      <c r="P140" s="17">
        <f t="shared" si="124"/>
        <v>221</v>
      </c>
      <c r="Q140" s="18">
        <f t="shared" si="125"/>
        <v>535</v>
      </c>
      <c r="R140" s="4" t="s">
        <v>0</v>
      </c>
      <c r="S140" s="16" t="str">
        <f t="shared" si="126"/>
        <v>03-12</v>
      </c>
      <c r="T140" s="14">
        <f t="shared" si="127"/>
        <v>221</v>
      </c>
      <c r="U140" s="18">
        <f t="shared" si="128"/>
        <v>244</v>
      </c>
      <c r="V140" s="14">
        <f t="shared" si="129"/>
        <v>247</v>
      </c>
      <c r="W140" s="18">
        <f t="shared" si="130"/>
        <v>244</v>
      </c>
      <c r="X140" s="14">
        <f t="shared" si="131"/>
        <v>247</v>
      </c>
      <c r="Y140" s="18">
        <f t="shared" si="132"/>
        <v>215</v>
      </c>
      <c r="Z140" s="14">
        <f t="shared" si="133"/>
        <v>221</v>
      </c>
      <c r="AA140" s="18">
        <f t="shared" si="134"/>
        <v>215</v>
      </c>
      <c r="AB140" s="4" t="s">
        <v>0</v>
      </c>
    </row>
    <row r="141" spans="1:28">
      <c r="A141" s="9" t="s">
        <v>38</v>
      </c>
      <c r="B141" s="24"/>
      <c r="C141" s="26"/>
      <c r="D141" s="29">
        <f t="shared" si="162"/>
        <v>247</v>
      </c>
      <c r="E141" s="29">
        <f t="shared" ref="E141" si="206">E140</f>
        <v>506</v>
      </c>
      <c r="F141" s="29">
        <f t="shared" si="164"/>
        <v>273</v>
      </c>
      <c r="G141" s="29">
        <f t="shared" si="205"/>
        <v>535</v>
      </c>
      <c r="H141" s="4" t="s">
        <v>0</v>
      </c>
      <c r="I141" s="16" t="str">
        <f t="shared" ref="I141:I175" si="207">A141</f>
        <v>03-11</v>
      </c>
      <c r="J141" s="14">
        <f t="shared" ref="J141:J175" si="208">IF(D141&lt;&gt;"",D141,0)</f>
        <v>247</v>
      </c>
      <c r="K141" s="15">
        <f t="shared" ref="K141:K175" si="209">IF(E141&lt;&gt;"",E141,0)</f>
        <v>506</v>
      </c>
      <c r="L141" s="17">
        <f t="shared" ref="L141:L175" si="210">N141</f>
        <v>273</v>
      </c>
      <c r="M141" s="18">
        <f t="shared" ref="M141:M175" si="211">K141</f>
        <v>506</v>
      </c>
      <c r="N141" s="14">
        <f t="shared" ref="N141:N175" si="212">IF(F141&lt;&gt;"",F141,0)</f>
        <v>273</v>
      </c>
      <c r="O141" s="15">
        <f t="shared" ref="O141:O175" si="213">IF(G141&lt;&gt;"",G141,0)</f>
        <v>535</v>
      </c>
      <c r="P141" s="17">
        <f t="shared" ref="P141:P175" si="214">J141</f>
        <v>247</v>
      </c>
      <c r="Q141" s="18">
        <f t="shared" ref="Q141:Q175" si="215">O141</f>
        <v>535</v>
      </c>
      <c r="R141" s="4" t="s">
        <v>0</v>
      </c>
      <c r="S141" s="16" t="str">
        <f t="shared" ref="S141:S175" si="216">I141</f>
        <v>03-11</v>
      </c>
      <c r="T141" s="14">
        <f t="shared" ref="T141:T175" si="217">IF(J141&lt;&gt;"",J141,"")</f>
        <v>247</v>
      </c>
      <c r="U141" s="18">
        <f t="shared" ref="U141:U175" si="218">IF(K141&lt;&gt;"",U$6-K141,"")</f>
        <v>244</v>
      </c>
      <c r="V141" s="14">
        <f t="shared" ref="V141:V175" si="219">IF(L141&lt;&gt;"",L141,"")</f>
        <v>273</v>
      </c>
      <c r="W141" s="18">
        <f t="shared" ref="W141:W175" si="220">IF(M141&lt;&gt;"",W$6-M141,"")</f>
        <v>244</v>
      </c>
      <c r="X141" s="14">
        <f t="shared" ref="X141:X175" si="221">IF(N141&lt;&gt;"",N141,"")</f>
        <v>273</v>
      </c>
      <c r="Y141" s="18">
        <f t="shared" ref="Y141:Y175" si="222">IF(O141&lt;&gt;"",Y$6-O141,"")</f>
        <v>215</v>
      </c>
      <c r="Z141" s="14">
        <f t="shared" ref="Z141:Z175" si="223">IF(P141&lt;&gt;"",P141,"")</f>
        <v>247</v>
      </c>
      <c r="AA141" s="18">
        <f t="shared" ref="AA141:AA175" si="224">IF(Q141&lt;&gt;"",AA$6-Q141,"")</f>
        <v>215</v>
      </c>
      <c r="AB141" s="4" t="s">
        <v>0</v>
      </c>
    </row>
    <row r="142" spans="1:28">
      <c r="A142" s="9" t="s">
        <v>37</v>
      </c>
      <c r="B142" s="24"/>
      <c r="C142" s="26"/>
      <c r="D142" s="29">
        <f t="shared" si="162"/>
        <v>273</v>
      </c>
      <c r="E142" s="29">
        <f t="shared" ref="E142" si="225">E141</f>
        <v>506</v>
      </c>
      <c r="F142" s="29">
        <f t="shared" si="164"/>
        <v>299</v>
      </c>
      <c r="G142" s="29">
        <f t="shared" si="205"/>
        <v>535</v>
      </c>
      <c r="H142" s="4" t="s">
        <v>0</v>
      </c>
      <c r="I142" s="16" t="str">
        <f t="shared" si="207"/>
        <v>03-10</v>
      </c>
      <c r="J142" s="14">
        <f t="shared" si="208"/>
        <v>273</v>
      </c>
      <c r="K142" s="15">
        <f t="shared" si="209"/>
        <v>506</v>
      </c>
      <c r="L142" s="17">
        <f t="shared" si="210"/>
        <v>299</v>
      </c>
      <c r="M142" s="18">
        <f t="shared" si="211"/>
        <v>506</v>
      </c>
      <c r="N142" s="14">
        <f t="shared" si="212"/>
        <v>299</v>
      </c>
      <c r="O142" s="15">
        <f t="shared" si="213"/>
        <v>535</v>
      </c>
      <c r="P142" s="17">
        <f t="shared" si="214"/>
        <v>273</v>
      </c>
      <c r="Q142" s="18">
        <f t="shared" si="215"/>
        <v>535</v>
      </c>
      <c r="R142" s="4" t="s">
        <v>0</v>
      </c>
      <c r="S142" s="16" t="str">
        <f t="shared" si="216"/>
        <v>03-10</v>
      </c>
      <c r="T142" s="14">
        <f t="shared" si="217"/>
        <v>273</v>
      </c>
      <c r="U142" s="18">
        <f t="shared" si="218"/>
        <v>244</v>
      </c>
      <c r="V142" s="14">
        <f t="shared" si="219"/>
        <v>299</v>
      </c>
      <c r="W142" s="18">
        <f t="shared" si="220"/>
        <v>244</v>
      </c>
      <c r="X142" s="14">
        <f t="shared" si="221"/>
        <v>299</v>
      </c>
      <c r="Y142" s="18">
        <f t="shared" si="222"/>
        <v>215</v>
      </c>
      <c r="Z142" s="14">
        <f t="shared" si="223"/>
        <v>273</v>
      </c>
      <c r="AA142" s="18">
        <f t="shared" si="224"/>
        <v>215</v>
      </c>
      <c r="AB142" s="4" t="s">
        <v>0</v>
      </c>
    </row>
    <row r="143" spans="1:28">
      <c r="A143" s="9" t="s">
        <v>36</v>
      </c>
      <c r="B143" s="24"/>
      <c r="C143" s="26"/>
      <c r="D143" s="29">
        <f t="shared" si="162"/>
        <v>299</v>
      </c>
      <c r="E143" s="29">
        <f t="shared" ref="E143" si="226">E142</f>
        <v>506</v>
      </c>
      <c r="F143" s="29">
        <f t="shared" si="164"/>
        <v>325</v>
      </c>
      <c r="G143" s="29">
        <f t="shared" si="205"/>
        <v>535</v>
      </c>
      <c r="H143" s="4" t="s">
        <v>0</v>
      </c>
      <c r="I143" s="16" t="str">
        <f t="shared" si="207"/>
        <v>03-08</v>
      </c>
      <c r="J143" s="14">
        <f t="shared" si="208"/>
        <v>299</v>
      </c>
      <c r="K143" s="15">
        <f t="shared" si="209"/>
        <v>506</v>
      </c>
      <c r="L143" s="17">
        <f t="shared" si="210"/>
        <v>325</v>
      </c>
      <c r="M143" s="18">
        <f t="shared" si="211"/>
        <v>506</v>
      </c>
      <c r="N143" s="14">
        <f t="shared" si="212"/>
        <v>325</v>
      </c>
      <c r="O143" s="15">
        <f t="shared" si="213"/>
        <v>535</v>
      </c>
      <c r="P143" s="17">
        <f t="shared" si="214"/>
        <v>299</v>
      </c>
      <c r="Q143" s="18">
        <f t="shared" si="215"/>
        <v>535</v>
      </c>
      <c r="R143" s="4" t="s">
        <v>0</v>
      </c>
      <c r="S143" s="16" t="str">
        <f t="shared" si="216"/>
        <v>03-08</v>
      </c>
      <c r="T143" s="14">
        <f t="shared" si="217"/>
        <v>299</v>
      </c>
      <c r="U143" s="18">
        <f t="shared" si="218"/>
        <v>244</v>
      </c>
      <c r="V143" s="14">
        <f t="shared" si="219"/>
        <v>325</v>
      </c>
      <c r="W143" s="18">
        <f t="shared" si="220"/>
        <v>244</v>
      </c>
      <c r="X143" s="14">
        <f t="shared" si="221"/>
        <v>325</v>
      </c>
      <c r="Y143" s="18">
        <f t="shared" si="222"/>
        <v>215</v>
      </c>
      <c r="Z143" s="14">
        <f t="shared" si="223"/>
        <v>299</v>
      </c>
      <c r="AA143" s="18">
        <f t="shared" si="224"/>
        <v>215</v>
      </c>
      <c r="AB143" s="4" t="s">
        <v>0</v>
      </c>
    </row>
    <row r="144" spans="1:28">
      <c r="A144" s="9" t="s">
        <v>35</v>
      </c>
      <c r="B144" s="24"/>
      <c r="C144" s="26"/>
      <c r="D144" s="29">
        <f t="shared" si="162"/>
        <v>325</v>
      </c>
      <c r="E144" s="29">
        <f t="shared" ref="E144" si="227">E143</f>
        <v>506</v>
      </c>
      <c r="F144" s="29">
        <f t="shared" si="164"/>
        <v>351</v>
      </c>
      <c r="G144" s="29">
        <f t="shared" si="205"/>
        <v>535</v>
      </c>
      <c r="H144" s="4" t="s">
        <v>0</v>
      </c>
      <c r="I144" s="16" t="str">
        <f t="shared" si="207"/>
        <v>03-07</v>
      </c>
      <c r="J144" s="14">
        <f t="shared" si="208"/>
        <v>325</v>
      </c>
      <c r="K144" s="15">
        <f t="shared" si="209"/>
        <v>506</v>
      </c>
      <c r="L144" s="17">
        <f t="shared" si="210"/>
        <v>351</v>
      </c>
      <c r="M144" s="18">
        <f t="shared" si="211"/>
        <v>506</v>
      </c>
      <c r="N144" s="14">
        <f t="shared" si="212"/>
        <v>351</v>
      </c>
      <c r="O144" s="15">
        <f t="shared" si="213"/>
        <v>535</v>
      </c>
      <c r="P144" s="17">
        <f t="shared" si="214"/>
        <v>325</v>
      </c>
      <c r="Q144" s="18">
        <f t="shared" si="215"/>
        <v>535</v>
      </c>
      <c r="R144" s="4" t="s">
        <v>0</v>
      </c>
      <c r="S144" s="16" t="str">
        <f t="shared" si="216"/>
        <v>03-07</v>
      </c>
      <c r="T144" s="14">
        <f t="shared" si="217"/>
        <v>325</v>
      </c>
      <c r="U144" s="18">
        <f t="shared" si="218"/>
        <v>244</v>
      </c>
      <c r="V144" s="14">
        <f t="shared" si="219"/>
        <v>351</v>
      </c>
      <c r="W144" s="18">
        <f t="shared" si="220"/>
        <v>244</v>
      </c>
      <c r="X144" s="14">
        <f t="shared" si="221"/>
        <v>351</v>
      </c>
      <c r="Y144" s="18">
        <f t="shared" si="222"/>
        <v>215</v>
      </c>
      <c r="Z144" s="14">
        <f t="shared" si="223"/>
        <v>325</v>
      </c>
      <c r="AA144" s="18">
        <f t="shared" si="224"/>
        <v>215</v>
      </c>
      <c r="AB144" s="4" t="s">
        <v>0</v>
      </c>
    </row>
    <row r="145" spans="1:28">
      <c r="A145" s="9" t="s">
        <v>34</v>
      </c>
      <c r="B145" s="24"/>
      <c r="C145" s="26"/>
      <c r="D145" s="29">
        <f t="shared" si="162"/>
        <v>351</v>
      </c>
      <c r="E145" s="29">
        <f t="shared" ref="E145" si="228">E144</f>
        <v>506</v>
      </c>
      <c r="F145" s="29">
        <f t="shared" si="164"/>
        <v>377</v>
      </c>
      <c r="G145" s="29">
        <f t="shared" si="205"/>
        <v>535</v>
      </c>
      <c r="H145" s="4" t="s">
        <v>0</v>
      </c>
      <c r="I145" s="16" t="str">
        <f t="shared" si="207"/>
        <v>03-06</v>
      </c>
      <c r="J145" s="14">
        <f t="shared" si="208"/>
        <v>351</v>
      </c>
      <c r="K145" s="15">
        <f t="shared" si="209"/>
        <v>506</v>
      </c>
      <c r="L145" s="17">
        <f t="shared" si="210"/>
        <v>377</v>
      </c>
      <c r="M145" s="18">
        <f t="shared" si="211"/>
        <v>506</v>
      </c>
      <c r="N145" s="14">
        <f t="shared" si="212"/>
        <v>377</v>
      </c>
      <c r="O145" s="15">
        <f t="shared" si="213"/>
        <v>535</v>
      </c>
      <c r="P145" s="17">
        <f t="shared" si="214"/>
        <v>351</v>
      </c>
      <c r="Q145" s="18">
        <f t="shared" si="215"/>
        <v>535</v>
      </c>
      <c r="R145" s="4" t="s">
        <v>0</v>
      </c>
      <c r="S145" s="16" t="str">
        <f t="shared" si="216"/>
        <v>03-06</v>
      </c>
      <c r="T145" s="14">
        <f t="shared" si="217"/>
        <v>351</v>
      </c>
      <c r="U145" s="18">
        <f t="shared" si="218"/>
        <v>244</v>
      </c>
      <c r="V145" s="14">
        <f t="shared" si="219"/>
        <v>377</v>
      </c>
      <c r="W145" s="18">
        <f t="shared" si="220"/>
        <v>244</v>
      </c>
      <c r="X145" s="14">
        <f t="shared" si="221"/>
        <v>377</v>
      </c>
      <c r="Y145" s="18">
        <f t="shared" si="222"/>
        <v>215</v>
      </c>
      <c r="Z145" s="14">
        <f t="shared" si="223"/>
        <v>351</v>
      </c>
      <c r="AA145" s="18">
        <f t="shared" si="224"/>
        <v>215</v>
      </c>
      <c r="AB145" s="4" t="s">
        <v>0</v>
      </c>
    </row>
    <row r="146" spans="1:28">
      <c r="A146" s="9" t="s">
        <v>33</v>
      </c>
      <c r="B146" s="24"/>
      <c r="C146" s="26"/>
      <c r="D146" s="29">
        <f t="shared" si="162"/>
        <v>377</v>
      </c>
      <c r="E146" s="29">
        <f t="shared" ref="E146" si="229">E145</f>
        <v>506</v>
      </c>
      <c r="F146" s="29">
        <f t="shared" si="164"/>
        <v>403</v>
      </c>
      <c r="G146" s="29">
        <f t="shared" si="205"/>
        <v>535</v>
      </c>
      <c r="H146" s="4" t="s">
        <v>0</v>
      </c>
      <c r="I146" s="16" t="str">
        <f t="shared" si="207"/>
        <v>03-05</v>
      </c>
      <c r="J146" s="14">
        <f t="shared" si="208"/>
        <v>377</v>
      </c>
      <c r="K146" s="15">
        <f t="shared" si="209"/>
        <v>506</v>
      </c>
      <c r="L146" s="17">
        <f t="shared" si="210"/>
        <v>403</v>
      </c>
      <c r="M146" s="18">
        <f t="shared" si="211"/>
        <v>506</v>
      </c>
      <c r="N146" s="14">
        <f t="shared" si="212"/>
        <v>403</v>
      </c>
      <c r="O146" s="15">
        <f t="shared" si="213"/>
        <v>535</v>
      </c>
      <c r="P146" s="17">
        <f t="shared" si="214"/>
        <v>377</v>
      </c>
      <c r="Q146" s="18">
        <f t="shared" si="215"/>
        <v>535</v>
      </c>
      <c r="R146" s="4" t="s">
        <v>0</v>
      </c>
      <c r="S146" s="16" t="str">
        <f t="shared" si="216"/>
        <v>03-05</v>
      </c>
      <c r="T146" s="14">
        <f t="shared" si="217"/>
        <v>377</v>
      </c>
      <c r="U146" s="18">
        <f t="shared" si="218"/>
        <v>244</v>
      </c>
      <c r="V146" s="14">
        <f t="shared" si="219"/>
        <v>403</v>
      </c>
      <c r="W146" s="18">
        <f t="shared" si="220"/>
        <v>244</v>
      </c>
      <c r="X146" s="14">
        <f t="shared" si="221"/>
        <v>403</v>
      </c>
      <c r="Y146" s="18">
        <f t="shared" si="222"/>
        <v>215</v>
      </c>
      <c r="Z146" s="14">
        <f t="shared" si="223"/>
        <v>377</v>
      </c>
      <c r="AA146" s="18">
        <f t="shared" si="224"/>
        <v>215</v>
      </c>
      <c r="AB146" s="4" t="s">
        <v>0</v>
      </c>
    </row>
    <row r="147" spans="1:28">
      <c r="A147" s="9" t="s">
        <v>32</v>
      </c>
      <c r="B147" s="24"/>
      <c r="C147" s="26"/>
      <c r="D147" s="29">
        <f t="shared" si="162"/>
        <v>403</v>
      </c>
      <c r="E147" s="29">
        <f t="shared" ref="E147" si="230">E146</f>
        <v>506</v>
      </c>
      <c r="F147" s="29">
        <f t="shared" si="164"/>
        <v>429</v>
      </c>
      <c r="G147" s="29">
        <f t="shared" si="205"/>
        <v>535</v>
      </c>
      <c r="H147" s="4" t="s">
        <v>0</v>
      </c>
      <c r="I147" s="16" t="str">
        <f t="shared" si="207"/>
        <v>03-03</v>
      </c>
      <c r="J147" s="14">
        <f t="shared" si="208"/>
        <v>403</v>
      </c>
      <c r="K147" s="15">
        <f t="shared" si="209"/>
        <v>506</v>
      </c>
      <c r="L147" s="17">
        <f t="shared" si="210"/>
        <v>429</v>
      </c>
      <c r="M147" s="18">
        <f t="shared" si="211"/>
        <v>506</v>
      </c>
      <c r="N147" s="14">
        <f t="shared" si="212"/>
        <v>429</v>
      </c>
      <c r="O147" s="15">
        <f t="shared" si="213"/>
        <v>535</v>
      </c>
      <c r="P147" s="17">
        <f t="shared" si="214"/>
        <v>403</v>
      </c>
      <c r="Q147" s="18">
        <f t="shared" si="215"/>
        <v>535</v>
      </c>
      <c r="R147" s="4" t="s">
        <v>0</v>
      </c>
      <c r="S147" s="16" t="str">
        <f t="shared" si="216"/>
        <v>03-03</v>
      </c>
      <c r="T147" s="14">
        <f t="shared" si="217"/>
        <v>403</v>
      </c>
      <c r="U147" s="18">
        <f t="shared" si="218"/>
        <v>244</v>
      </c>
      <c r="V147" s="14">
        <f t="shared" si="219"/>
        <v>429</v>
      </c>
      <c r="W147" s="18">
        <f t="shared" si="220"/>
        <v>244</v>
      </c>
      <c r="X147" s="14">
        <f t="shared" si="221"/>
        <v>429</v>
      </c>
      <c r="Y147" s="18">
        <f t="shared" si="222"/>
        <v>215</v>
      </c>
      <c r="Z147" s="14">
        <f t="shared" si="223"/>
        <v>403</v>
      </c>
      <c r="AA147" s="18">
        <f t="shared" si="224"/>
        <v>215</v>
      </c>
      <c r="AB147" s="4" t="s">
        <v>0</v>
      </c>
    </row>
    <row r="148" spans="1:28">
      <c r="A148" s="9" t="s">
        <v>31</v>
      </c>
      <c r="B148" s="24"/>
      <c r="C148" s="26"/>
      <c r="D148" s="29">
        <f t="shared" si="162"/>
        <v>429</v>
      </c>
      <c r="E148" s="29">
        <f t="shared" ref="E148" si="231">E147</f>
        <v>506</v>
      </c>
      <c r="F148" s="29">
        <f t="shared" si="164"/>
        <v>455</v>
      </c>
      <c r="G148" s="29">
        <f t="shared" si="205"/>
        <v>535</v>
      </c>
      <c r="H148" s="4" t="s">
        <v>0</v>
      </c>
      <c r="I148" s="16" t="str">
        <f t="shared" si="207"/>
        <v>03-02</v>
      </c>
      <c r="J148" s="14">
        <f t="shared" si="208"/>
        <v>429</v>
      </c>
      <c r="K148" s="15">
        <f t="shared" si="209"/>
        <v>506</v>
      </c>
      <c r="L148" s="17">
        <f t="shared" si="210"/>
        <v>455</v>
      </c>
      <c r="M148" s="18">
        <f t="shared" si="211"/>
        <v>506</v>
      </c>
      <c r="N148" s="14">
        <f t="shared" si="212"/>
        <v>455</v>
      </c>
      <c r="O148" s="15">
        <f t="shared" si="213"/>
        <v>535</v>
      </c>
      <c r="P148" s="17">
        <f t="shared" si="214"/>
        <v>429</v>
      </c>
      <c r="Q148" s="18">
        <f t="shared" si="215"/>
        <v>535</v>
      </c>
      <c r="R148" s="4" t="s">
        <v>0</v>
      </c>
      <c r="S148" s="16" t="str">
        <f t="shared" si="216"/>
        <v>03-02</v>
      </c>
      <c r="T148" s="14">
        <f t="shared" si="217"/>
        <v>429</v>
      </c>
      <c r="U148" s="18">
        <f t="shared" si="218"/>
        <v>244</v>
      </c>
      <c r="V148" s="14">
        <f t="shared" si="219"/>
        <v>455</v>
      </c>
      <c r="W148" s="18">
        <f t="shared" si="220"/>
        <v>244</v>
      </c>
      <c r="X148" s="14">
        <f t="shared" si="221"/>
        <v>455</v>
      </c>
      <c r="Y148" s="18">
        <f t="shared" si="222"/>
        <v>215</v>
      </c>
      <c r="Z148" s="14">
        <f t="shared" si="223"/>
        <v>429</v>
      </c>
      <c r="AA148" s="18">
        <f t="shared" si="224"/>
        <v>215</v>
      </c>
      <c r="AB148" s="4" t="s">
        <v>0</v>
      </c>
    </row>
    <row r="149" spans="1:28">
      <c r="A149" s="9" t="s">
        <v>30</v>
      </c>
      <c r="B149" s="24"/>
      <c r="C149" s="26"/>
      <c r="D149" s="29">
        <f t="shared" si="162"/>
        <v>455</v>
      </c>
      <c r="E149" s="29">
        <f t="shared" ref="E149" si="232">E148</f>
        <v>506</v>
      </c>
      <c r="F149" s="29">
        <f t="shared" si="164"/>
        <v>481</v>
      </c>
      <c r="G149" s="29">
        <f t="shared" si="205"/>
        <v>535</v>
      </c>
      <c r="H149" s="4" t="s">
        <v>0</v>
      </c>
      <c r="I149" s="16" t="str">
        <f t="shared" si="207"/>
        <v>03-01</v>
      </c>
      <c r="J149" s="14">
        <f t="shared" si="208"/>
        <v>455</v>
      </c>
      <c r="K149" s="15">
        <f t="shared" si="209"/>
        <v>506</v>
      </c>
      <c r="L149" s="17">
        <f t="shared" si="210"/>
        <v>481</v>
      </c>
      <c r="M149" s="18">
        <f t="shared" si="211"/>
        <v>506</v>
      </c>
      <c r="N149" s="14">
        <f t="shared" si="212"/>
        <v>481</v>
      </c>
      <c r="O149" s="15">
        <f t="shared" si="213"/>
        <v>535</v>
      </c>
      <c r="P149" s="17">
        <f t="shared" si="214"/>
        <v>455</v>
      </c>
      <c r="Q149" s="18">
        <f t="shared" si="215"/>
        <v>535</v>
      </c>
      <c r="R149" s="4" t="s">
        <v>0</v>
      </c>
      <c r="S149" s="16" t="str">
        <f t="shared" si="216"/>
        <v>03-01</v>
      </c>
      <c r="T149" s="14">
        <f t="shared" si="217"/>
        <v>455</v>
      </c>
      <c r="U149" s="18">
        <f t="shared" si="218"/>
        <v>244</v>
      </c>
      <c r="V149" s="14">
        <f t="shared" si="219"/>
        <v>481</v>
      </c>
      <c r="W149" s="18">
        <f t="shared" si="220"/>
        <v>244</v>
      </c>
      <c r="X149" s="14">
        <f t="shared" si="221"/>
        <v>481</v>
      </c>
      <c r="Y149" s="18">
        <f t="shared" si="222"/>
        <v>215</v>
      </c>
      <c r="Z149" s="14">
        <f t="shared" si="223"/>
        <v>455</v>
      </c>
      <c r="AA149" s="18">
        <f t="shared" si="224"/>
        <v>215</v>
      </c>
      <c r="AB149" s="4" t="s">
        <v>0</v>
      </c>
    </row>
    <row r="150" spans="1:28">
      <c r="A150" s="9" t="s">
        <v>151</v>
      </c>
      <c r="B150" s="24"/>
      <c r="C150" s="26">
        <v>9</v>
      </c>
      <c r="D150" s="27">
        <v>117</v>
      </c>
      <c r="E150" s="34">
        <f t="shared" ref="E150" si="233">ROUND(E$25+38.5*$C150,0)</f>
        <v>545</v>
      </c>
      <c r="F150" s="31">
        <v>143</v>
      </c>
      <c r="G150" s="34">
        <f t="shared" ref="G150" si="234">ROUND(G$25+38.5*$C150,0)</f>
        <v>574</v>
      </c>
      <c r="H150" s="4" t="s">
        <v>0</v>
      </c>
      <c r="I150" s="16" t="str">
        <f t="shared" si="207"/>
        <v>02-17</v>
      </c>
      <c r="J150" s="14">
        <f t="shared" si="208"/>
        <v>117</v>
      </c>
      <c r="K150" s="15">
        <f t="shared" si="209"/>
        <v>545</v>
      </c>
      <c r="L150" s="17">
        <f t="shared" si="210"/>
        <v>143</v>
      </c>
      <c r="M150" s="18">
        <f t="shared" si="211"/>
        <v>545</v>
      </c>
      <c r="N150" s="14">
        <f t="shared" si="212"/>
        <v>143</v>
      </c>
      <c r="O150" s="15">
        <f t="shared" si="213"/>
        <v>574</v>
      </c>
      <c r="P150" s="17">
        <f t="shared" si="214"/>
        <v>117</v>
      </c>
      <c r="Q150" s="18">
        <f t="shared" si="215"/>
        <v>574</v>
      </c>
      <c r="R150" s="4" t="s">
        <v>0</v>
      </c>
      <c r="S150" s="16" t="str">
        <f t="shared" si="216"/>
        <v>02-17</v>
      </c>
      <c r="T150" s="14">
        <f t="shared" si="217"/>
        <v>117</v>
      </c>
      <c r="U150" s="18">
        <f t="shared" si="218"/>
        <v>205</v>
      </c>
      <c r="V150" s="14">
        <f t="shared" si="219"/>
        <v>143</v>
      </c>
      <c r="W150" s="18">
        <f t="shared" si="220"/>
        <v>205</v>
      </c>
      <c r="X150" s="14">
        <f t="shared" si="221"/>
        <v>143</v>
      </c>
      <c r="Y150" s="18">
        <f t="shared" si="222"/>
        <v>176</v>
      </c>
      <c r="Z150" s="14">
        <f t="shared" si="223"/>
        <v>117</v>
      </c>
      <c r="AA150" s="18">
        <f t="shared" si="224"/>
        <v>176</v>
      </c>
      <c r="AB150" s="4" t="s">
        <v>0</v>
      </c>
    </row>
    <row r="151" spans="1:28">
      <c r="A151" s="9" t="s">
        <v>150</v>
      </c>
      <c r="B151" s="24"/>
      <c r="C151" s="26"/>
      <c r="D151" s="29">
        <f t="shared" si="162"/>
        <v>143</v>
      </c>
      <c r="E151" s="29">
        <f t="shared" ref="E151" si="235">E150</f>
        <v>545</v>
      </c>
      <c r="F151" s="29">
        <f t="shared" si="164"/>
        <v>169</v>
      </c>
      <c r="G151" s="29">
        <f t="shared" si="205"/>
        <v>574</v>
      </c>
      <c r="H151" s="4" t="s">
        <v>0</v>
      </c>
      <c r="I151" s="16" t="str">
        <f t="shared" si="207"/>
        <v>02-16</v>
      </c>
      <c r="J151" s="14">
        <f t="shared" si="208"/>
        <v>143</v>
      </c>
      <c r="K151" s="15">
        <f t="shared" si="209"/>
        <v>545</v>
      </c>
      <c r="L151" s="17">
        <f t="shared" si="210"/>
        <v>169</v>
      </c>
      <c r="M151" s="18">
        <f t="shared" si="211"/>
        <v>545</v>
      </c>
      <c r="N151" s="14">
        <f t="shared" si="212"/>
        <v>169</v>
      </c>
      <c r="O151" s="15">
        <f t="shared" si="213"/>
        <v>574</v>
      </c>
      <c r="P151" s="17">
        <f t="shared" si="214"/>
        <v>143</v>
      </c>
      <c r="Q151" s="18">
        <f t="shared" si="215"/>
        <v>574</v>
      </c>
      <c r="R151" s="4" t="s">
        <v>0</v>
      </c>
      <c r="S151" s="16" t="str">
        <f t="shared" si="216"/>
        <v>02-16</v>
      </c>
      <c r="T151" s="14">
        <f t="shared" si="217"/>
        <v>143</v>
      </c>
      <c r="U151" s="18">
        <f t="shared" si="218"/>
        <v>205</v>
      </c>
      <c r="V151" s="14">
        <f t="shared" si="219"/>
        <v>169</v>
      </c>
      <c r="W151" s="18">
        <f t="shared" si="220"/>
        <v>205</v>
      </c>
      <c r="X151" s="14">
        <f t="shared" si="221"/>
        <v>169</v>
      </c>
      <c r="Y151" s="18">
        <f t="shared" si="222"/>
        <v>176</v>
      </c>
      <c r="Z151" s="14">
        <f t="shared" si="223"/>
        <v>143</v>
      </c>
      <c r="AA151" s="18">
        <f t="shared" si="224"/>
        <v>176</v>
      </c>
      <c r="AB151" s="4" t="s">
        <v>0</v>
      </c>
    </row>
    <row r="152" spans="1:28">
      <c r="A152" s="9" t="s">
        <v>149</v>
      </c>
      <c r="B152" s="24"/>
      <c r="C152" s="26"/>
      <c r="D152" s="29">
        <f t="shared" si="162"/>
        <v>169</v>
      </c>
      <c r="E152" s="29">
        <f t="shared" ref="E152" si="236">E151</f>
        <v>545</v>
      </c>
      <c r="F152" s="29">
        <f t="shared" si="164"/>
        <v>195</v>
      </c>
      <c r="G152" s="29">
        <f t="shared" si="205"/>
        <v>574</v>
      </c>
      <c r="H152" s="4" t="s">
        <v>0</v>
      </c>
      <c r="I152" s="16" t="str">
        <f t="shared" si="207"/>
        <v>02-15</v>
      </c>
      <c r="J152" s="14">
        <f t="shared" si="208"/>
        <v>169</v>
      </c>
      <c r="K152" s="15">
        <f t="shared" si="209"/>
        <v>545</v>
      </c>
      <c r="L152" s="17">
        <f t="shared" si="210"/>
        <v>195</v>
      </c>
      <c r="M152" s="18">
        <f t="shared" si="211"/>
        <v>545</v>
      </c>
      <c r="N152" s="14">
        <f t="shared" si="212"/>
        <v>195</v>
      </c>
      <c r="O152" s="15">
        <f t="shared" si="213"/>
        <v>574</v>
      </c>
      <c r="P152" s="17">
        <f t="shared" si="214"/>
        <v>169</v>
      </c>
      <c r="Q152" s="18">
        <f t="shared" si="215"/>
        <v>574</v>
      </c>
      <c r="R152" s="4" t="s">
        <v>0</v>
      </c>
      <c r="S152" s="16" t="str">
        <f t="shared" si="216"/>
        <v>02-15</v>
      </c>
      <c r="T152" s="14">
        <f t="shared" si="217"/>
        <v>169</v>
      </c>
      <c r="U152" s="18">
        <f t="shared" si="218"/>
        <v>205</v>
      </c>
      <c r="V152" s="14">
        <f t="shared" si="219"/>
        <v>195</v>
      </c>
      <c r="W152" s="18">
        <f t="shared" si="220"/>
        <v>205</v>
      </c>
      <c r="X152" s="14">
        <f t="shared" si="221"/>
        <v>195</v>
      </c>
      <c r="Y152" s="18">
        <f t="shared" si="222"/>
        <v>176</v>
      </c>
      <c r="Z152" s="14">
        <f t="shared" si="223"/>
        <v>169</v>
      </c>
      <c r="AA152" s="18">
        <f t="shared" si="224"/>
        <v>176</v>
      </c>
      <c r="AB152" s="4" t="s">
        <v>0</v>
      </c>
    </row>
    <row r="153" spans="1:28">
      <c r="A153" s="9" t="s">
        <v>148</v>
      </c>
      <c r="B153" s="24"/>
      <c r="C153" s="26"/>
      <c r="D153" s="29">
        <f t="shared" si="162"/>
        <v>195</v>
      </c>
      <c r="E153" s="29">
        <f t="shared" ref="E153" si="237">E152</f>
        <v>545</v>
      </c>
      <c r="F153" s="29">
        <f t="shared" si="164"/>
        <v>221</v>
      </c>
      <c r="G153" s="29">
        <f t="shared" si="205"/>
        <v>574</v>
      </c>
      <c r="H153" s="4" t="s">
        <v>0</v>
      </c>
      <c r="I153" s="16" t="str">
        <f t="shared" si="207"/>
        <v>02-13</v>
      </c>
      <c r="J153" s="14">
        <f t="shared" si="208"/>
        <v>195</v>
      </c>
      <c r="K153" s="15">
        <f t="shared" si="209"/>
        <v>545</v>
      </c>
      <c r="L153" s="17">
        <f t="shared" si="210"/>
        <v>221</v>
      </c>
      <c r="M153" s="18">
        <f t="shared" si="211"/>
        <v>545</v>
      </c>
      <c r="N153" s="14">
        <f t="shared" si="212"/>
        <v>221</v>
      </c>
      <c r="O153" s="15">
        <f t="shared" si="213"/>
        <v>574</v>
      </c>
      <c r="P153" s="17">
        <f t="shared" si="214"/>
        <v>195</v>
      </c>
      <c r="Q153" s="18">
        <f t="shared" si="215"/>
        <v>574</v>
      </c>
      <c r="R153" s="4" t="s">
        <v>0</v>
      </c>
      <c r="S153" s="16" t="str">
        <f t="shared" si="216"/>
        <v>02-13</v>
      </c>
      <c r="T153" s="14">
        <f t="shared" si="217"/>
        <v>195</v>
      </c>
      <c r="U153" s="18">
        <f t="shared" si="218"/>
        <v>205</v>
      </c>
      <c r="V153" s="14">
        <f t="shared" si="219"/>
        <v>221</v>
      </c>
      <c r="W153" s="18">
        <f t="shared" si="220"/>
        <v>205</v>
      </c>
      <c r="X153" s="14">
        <f t="shared" si="221"/>
        <v>221</v>
      </c>
      <c r="Y153" s="18">
        <f t="shared" si="222"/>
        <v>176</v>
      </c>
      <c r="Z153" s="14">
        <f t="shared" si="223"/>
        <v>195</v>
      </c>
      <c r="AA153" s="18">
        <f t="shared" si="224"/>
        <v>176</v>
      </c>
      <c r="AB153" s="4" t="s">
        <v>0</v>
      </c>
    </row>
    <row r="154" spans="1:28">
      <c r="A154" s="9" t="s">
        <v>29</v>
      </c>
      <c r="B154" s="24"/>
      <c r="C154" s="26"/>
      <c r="D154" s="29">
        <f t="shared" si="162"/>
        <v>221</v>
      </c>
      <c r="E154" s="29">
        <f t="shared" ref="E154" si="238">E153</f>
        <v>545</v>
      </c>
      <c r="F154" s="29">
        <f t="shared" si="164"/>
        <v>247</v>
      </c>
      <c r="G154" s="29">
        <f t="shared" si="205"/>
        <v>574</v>
      </c>
      <c r="H154" s="4" t="s">
        <v>0</v>
      </c>
      <c r="I154" s="16" t="str">
        <f t="shared" si="207"/>
        <v>02-12</v>
      </c>
      <c r="J154" s="14">
        <f t="shared" si="208"/>
        <v>221</v>
      </c>
      <c r="K154" s="15">
        <f t="shared" si="209"/>
        <v>545</v>
      </c>
      <c r="L154" s="17">
        <f t="shared" si="210"/>
        <v>247</v>
      </c>
      <c r="M154" s="18">
        <f t="shared" si="211"/>
        <v>545</v>
      </c>
      <c r="N154" s="14">
        <f t="shared" si="212"/>
        <v>247</v>
      </c>
      <c r="O154" s="15">
        <f t="shared" si="213"/>
        <v>574</v>
      </c>
      <c r="P154" s="17">
        <f t="shared" si="214"/>
        <v>221</v>
      </c>
      <c r="Q154" s="18">
        <f t="shared" si="215"/>
        <v>574</v>
      </c>
      <c r="R154" s="4" t="s">
        <v>0</v>
      </c>
      <c r="S154" s="16" t="str">
        <f t="shared" si="216"/>
        <v>02-12</v>
      </c>
      <c r="T154" s="14">
        <f t="shared" si="217"/>
        <v>221</v>
      </c>
      <c r="U154" s="18">
        <f t="shared" si="218"/>
        <v>205</v>
      </c>
      <c r="V154" s="14">
        <f t="shared" si="219"/>
        <v>247</v>
      </c>
      <c r="W154" s="18">
        <f t="shared" si="220"/>
        <v>205</v>
      </c>
      <c r="X154" s="14">
        <f t="shared" si="221"/>
        <v>247</v>
      </c>
      <c r="Y154" s="18">
        <f t="shared" si="222"/>
        <v>176</v>
      </c>
      <c r="Z154" s="14">
        <f t="shared" si="223"/>
        <v>221</v>
      </c>
      <c r="AA154" s="18">
        <f t="shared" si="224"/>
        <v>176</v>
      </c>
      <c r="AB154" s="4" t="s">
        <v>0</v>
      </c>
    </row>
    <row r="155" spans="1:28">
      <c r="A155" s="9" t="s">
        <v>28</v>
      </c>
      <c r="B155" s="24"/>
      <c r="C155" s="26"/>
      <c r="D155" s="29">
        <f t="shared" si="162"/>
        <v>247</v>
      </c>
      <c r="E155" s="29">
        <f t="shared" ref="E155" si="239">E154</f>
        <v>545</v>
      </c>
      <c r="F155" s="29">
        <f t="shared" si="164"/>
        <v>273</v>
      </c>
      <c r="G155" s="29">
        <f t="shared" si="205"/>
        <v>574</v>
      </c>
      <c r="H155" s="4" t="s">
        <v>0</v>
      </c>
      <c r="I155" s="16" t="str">
        <f t="shared" si="207"/>
        <v>02-11</v>
      </c>
      <c r="J155" s="14">
        <f t="shared" si="208"/>
        <v>247</v>
      </c>
      <c r="K155" s="15">
        <f t="shared" si="209"/>
        <v>545</v>
      </c>
      <c r="L155" s="17">
        <f t="shared" si="210"/>
        <v>273</v>
      </c>
      <c r="M155" s="18">
        <f t="shared" si="211"/>
        <v>545</v>
      </c>
      <c r="N155" s="14">
        <f t="shared" si="212"/>
        <v>273</v>
      </c>
      <c r="O155" s="15">
        <f t="shared" si="213"/>
        <v>574</v>
      </c>
      <c r="P155" s="17">
        <f t="shared" si="214"/>
        <v>247</v>
      </c>
      <c r="Q155" s="18">
        <f t="shared" si="215"/>
        <v>574</v>
      </c>
      <c r="R155" s="4" t="s">
        <v>0</v>
      </c>
      <c r="S155" s="16" t="str">
        <f t="shared" si="216"/>
        <v>02-11</v>
      </c>
      <c r="T155" s="14">
        <f t="shared" si="217"/>
        <v>247</v>
      </c>
      <c r="U155" s="18">
        <f t="shared" si="218"/>
        <v>205</v>
      </c>
      <c r="V155" s="14">
        <f t="shared" si="219"/>
        <v>273</v>
      </c>
      <c r="W155" s="18">
        <f t="shared" si="220"/>
        <v>205</v>
      </c>
      <c r="X155" s="14">
        <f t="shared" si="221"/>
        <v>273</v>
      </c>
      <c r="Y155" s="18">
        <f t="shared" si="222"/>
        <v>176</v>
      </c>
      <c r="Z155" s="14">
        <f t="shared" si="223"/>
        <v>247</v>
      </c>
      <c r="AA155" s="18">
        <f t="shared" si="224"/>
        <v>176</v>
      </c>
      <c r="AB155" s="4" t="s">
        <v>0</v>
      </c>
    </row>
    <row r="156" spans="1:28">
      <c r="A156" s="9" t="s">
        <v>27</v>
      </c>
      <c r="B156" s="24"/>
      <c r="C156" s="26"/>
      <c r="D156" s="29">
        <f t="shared" si="162"/>
        <v>273</v>
      </c>
      <c r="E156" s="29">
        <f t="shared" ref="E156" si="240">E155</f>
        <v>545</v>
      </c>
      <c r="F156" s="29">
        <f t="shared" si="164"/>
        <v>299</v>
      </c>
      <c r="G156" s="29">
        <f t="shared" si="205"/>
        <v>574</v>
      </c>
      <c r="H156" s="4" t="s">
        <v>0</v>
      </c>
      <c r="I156" s="16" t="str">
        <f t="shared" si="207"/>
        <v>02-10</v>
      </c>
      <c r="J156" s="14">
        <f t="shared" si="208"/>
        <v>273</v>
      </c>
      <c r="K156" s="15">
        <f t="shared" si="209"/>
        <v>545</v>
      </c>
      <c r="L156" s="17">
        <f t="shared" si="210"/>
        <v>299</v>
      </c>
      <c r="M156" s="18">
        <f t="shared" si="211"/>
        <v>545</v>
      </c>
      <c r="N156" s="14">
        <f t="shared" si="212"/>
        <v>299</v>
      </c>
      <c r="O156" s="15">
        <f t="shared" si="213"/>
        <v>574</v>
      </c>
      <c r="P156" s="17">
        <f t="shared" si="214"/>
        <v>273</v>
      </c>
      <c r="Q156" s="18">
        <f t="shared" si="215"/>
        <v>574</v>
      </c>
      <c r="R156" s="4" t="s">
        <v>0</v>
      </c>
      <c r="S156" s="16" t="str">
        <f t="shared" si="216"/>
        <v>02-10</v>
      </c>
      <c r="T156" s="14">
        <f t="shared" si="217"/>
        <v>273</v>
      </c>
      <c r="U156" s="18">
        <f t="shared" si="218"/>
        <v>205</v>
      </c>
      <c r="V156" s="14">
        <f t="shared" si="219"/>
        <v>299</v>
      </c>
      <c r="W156" s="18">
        <f t="shared" si="220"/>
        <v>205</v>
      </c>
      <c r="X156" s="14">
        <f t="shared" si="221"/>
        <v>299</v>
      </c>
      <c r="Y156" s="18">
        <f t="shared" si="222"/>
        <v>176</v>
      </c>
      <c r="Z156" s="14">
        <f t="shared" si="223"/>
        <v>273</v>
      </c>
      <c r="AA156" s="18">
        <f t="shared" si="224"/>
        <v>176</v>
      </c>
      <c r="AB156" s="4" t="s">
        <v>0</v>
      </c>
    </row>
    <row r="157" spans="1:28">
      <c r="A157" s="9" t="s">
        <v>26</v>
      </c>
      <c r="B157" s="24"/>
      <c r="C157" s="26"/>
      <c r="D157" s="29">
        <f t="shared" si="162"/>
        <v>299</v>
      </c>
      <c r="E157" s="29">
        <f t="shared" ref="E157" si="241">E156</f>
        <v>545</v>
      </c>
      <c r="F157" s="29">
        <f t="shared" si="164"/>
        <v>325</v>
      </c>
      <c r="G157" s="29">
        <f t="shared" si="205"/>
        <v>574</v>
      </c>
      <c r="H157" s="4" t="s">
        <v>0</v>
      </c>
      <c r="I157" s="16" t="str">
        <f t="shared" si="207"/>
        <v>02-08</v>
      </c>
      <c r="J157" s="14">
        <f t="shared" si="208"/>
        <v>299</v>
      </c>
      <c r="K157" s="15">
        <f t="shared" si="209"/>
        <v>545</v>
      </c>
      <c r="L157" s="17">
        <f t="shared" si="210"/>
        <v>325</v>
      </c>
      <c r="M157" s="18">
        <f t="shared" si="211"/>
        <v>545</v>
      </c>
      <c r="N157" s="14">
        <f t="shared" si="212"/>
        <v>325</v>
      </c>
      <c r="O157" s="15">
        <f t="shared" si="213"/>
        <v>574</v>
      </c>
      <c r="P157" s="17">
        <f t="shared" si="214"/>
        <v>299</v>
      </c>
      <c r="Q157" s="18">
        <f t="shared" si="215"/>
        <v>574</v>
      </c>
      <c r="R157" s="4" t="s">
        <v>0</v>
      </c>
      <c r="S157" s="16" t="str">
        <f t="shared" si="216"/>
        <v>02-08</v>
      </c>
      <c r="T157" s="14">
        <f t="shared" si="217"/>
        <v>299</v>
      </c>
      <c r="U157" s="18">
        <f t="shared" si="218"/>
        <v>205</v>
      </c>
      <c r="V157" s="14">
        <f t="shared" si="219"/>
        <v>325</v>
      </c>
      <c r="W157" s="18">
        <f t="shared" si="220"/>
        <v>205</v>
      </c>
      <c r="X157" s="14">
        <f t="shared" si="221"/>
        <v>325</v>
      </c>
      <c r="Y157" s="18">
        <f t="shared" si="222"/>
        <v>176</v>
      </c>
      <c r="Z157" s="14">
        <f t="shared" si="223"/>
        <v>299</v>
      </c>
      <c r="AA157" s="18">
        <f t="shared" si="224"/>
        <v>176</v>
      </c>
      <c r="AB157" s="4" t="s">
        <v>0</v>
      </c>
    </row>
    <row r="158" spans="1:28">
      <c r="A158" s="9" t="s">
        <v>25</v>
      </c>
      <c r="B158" s="24"/>
      <c r="C158" s="26"/>
      <c r="D158" s="29">
        <f t="shared" si="162"/>
        <v>325</v>
      </c>
      <c r="E158" s="29">
        <f t="shared" ref="E158" si="242">E157</f>
        <v>545</v>
      </c>
      <c r="F158" s="29">
        <f t="shared" si="164"/>
        <v>351</v>
      </c>
      <c r="G158" s="29">
        <f t="shared" si="205"/>
        <v>574</v>
      </c>
      <c r="H158" s="4" t="s">
        <v>0</v>
      </c>
      <c r="I158" s="16" t="str">
        <f t="shared" si="207"/>
        <v>02-07</v>
      </c>
      <c r="J158" s="14">
        <f t="shared" si="208"/>
        <v>325</v>
      </c>
      <c r="K158" s="15">
        <f t="shared" si="209"/>
        <v>545</v>
      </c>
      <c r="L158" s="17">
        <f t="shared" si="210"/>
        <v>351</v>
      </c>
      <c r="M158" s="18">
        <f t="shared" si="211"/>
        <v>545</v>
      </c>
      <c r="N158" s="14">
        <f t="shared" si="212"/>
        <v>351</v>
      </c>
      <c r="O158" s="15">
        <f t="shared" si="213"/>
        <v>574</v>
      </c>
      <c r="P158" s="17">
        <f t="shared" si="214"/>
        <v>325</v>
      </c>
      <c r="Q158" s="18">
        <f t="shared" si="215"/>
        <v>574</v>
      </c>
      <c r="R158" s="4" t="s">
        <v>0</v>
      </c>
      <c r="S158" s="16" t="str">
        <f t="shared" si="216"/>
        <v>02-07</v>
      </c>
      <c r="T158" s="14">
        <f t="shared" si="217"/>
        <v>325</v>
      </c>
      <c r="U158" s="18">
        <f t="shared" si="218"/>
        <v>205</v>
      </c>
      <c r="V158" s="14">
        <f t="shared" si="219"/>
        <v>351</v>
      </c>
      <c r="W158" s="18">
        <f t="shared" si="220"/>
        <v>205</v>
      </c>
      <c r="X158" s="14">
        <f t="shared" si="221"/>
        <v>351</v>
      </c>
      <c r="Y158" s="18">
        <f t="shared" si="222"/>
        <v>176</v>
      </c>
      <c r="Z158" s="14">
        <f t="shared" si="223"/>
        <v>325</v>
      </c>
      <c r="AA158" s="18">
        <f t="shared" si="224"/>
        <v>176</v>
      </c>
      <c r="AB158" s="4" t="s">
        <v>0</v>
      </c>
    </row>
    <row r="159" spans="1:28">
      <c r="A159" s="9" t="s">
        <v>24</v>
      </c>
      <c r="B159" s="24"/>
      <c r="C159" s="26"/>
      <c r="D159" s="29">
        <f t="shared" si="162"/>
        <v>351</v>
      </c>
      <c r="E159" s="29">
        <f t="shared" ref="E159" si="243">E158</f>
        <v>545</v>
      </c>
      <c r="F159" s="29">
        <f t="shared" si="164"/>
        <v>377</v>
      </c>
      <c r="G159" s="29">
        <f t="shared" si="205"/>
        <v>574</v>
      </c>
      <c r="H159" s="4" t="s">
        <v>0</v>
      </c>
      <c r="I159" s="16" t="str">
        <f t="shared" si="207"/>
        <v>02-06</v>
      </c>
      <c r="J159" s="14">
        <f t="shared" si="208"/>
        <v>351</v>
      </c>
      <c r="K159" s="15">
        <f t="shared" si="209"/>
        <v>545</v>
      </c>
      <c r="L159" s="17">
        <f t="shared" si="210"/>
        <v>377</v>
      </c>
      <c r="M159" s="18">
        <f t="shared" si="211"/>
        <v>545</v>
      </c>
      <c r="N159" s="14">
        <f t="shared" si="212"/>
        <v>377</v>
      </c>
      <c r="O159" s="15">
        <f t="shared" si="213"/>
        <v>574</v>
      </c>
      <c r="P159" s="17">
        <f t="shared" si="214"/>
        <v>351</v>
      </c>
      <c r="Q159" s="18">
        <f t="shared" si="215"/>
        <v>574</v>
      </c>
      <c r="R159" s="4" t="s">
        <v>0</v>
      </c>
      <c r="S159" s="16" t="str">
        <f t="shared" si="216"/>
        <v>02-06</v>
      </c>
      <c r="T159" s="14">
        <f t="shared" si="217"/>
        <v>351</v>
      </c>
      <c r="U159" s="18">
        <f t="shared" si="218"/>
        <v>205</v>
      </c>
      <c r="V159" s="14">
        <f t="shared" si="219"/>
        <v>377</v>
      </c>
      <c r="W159" s="18">
        <f t="shared" si="220"/>
        <v>205</v>
      </c>
      <c r="X159" s="14">
        <f t="shared" si="221"/>
        <v>377</v>
      </c>
      <c r="Y159" s="18">
        <f t="shared" si="222"/>
        <v>176</v>
      </c>
      <c r="Z159" s="14">
        <f t="shared" si="223"/>
        <v>351</v>
      </c>
      <c r="AA159" s="18">
        <f t="shared" si="224"/>
        <v>176</v>
      </c>
      <c r="AB159" s="4" t="s">
        <v>0</v>
      </c>
    </row>
    <row r="160" spans="1:28">
      <c r="A160" s="9" t="s">
        <v>23</v>
      </c>
      <c r="B160" s="24"/>
      <c r="C160" s="26"/>
      <c r="D160" s="29">
        <f t="shared" si="162"/>
        <v>377</v>
      </c>
      <c r="E160" s="29">
        <f t="shared" ref="E160" si="244">E159</f>
        <v>545</v>
      </c>
      <c r="F160" s="29">
        <f t="shared" si="164"/>
        <v>403</v>
      </c>
      <c r="G160" s="29">
        <f t="shared" si="205"/>
        <v>574</v>
      </c>
      <c r="H160" s="4" t="s">
        <v>0</v>
      </c>
      <c r="I160" s="16" t="str">
        <f t="shared" si="207"/>
        <v>02-05</v>
      </c>
      <c r="J160" s="14">
        <f t="shared" si="208"/>
        <v>377</v>
      </c>
      <c r="K160" s="15">
        <f t="shared" si="209"/>
        <v>545</v>
      </c>
      <c r="L160" s="17">
        <f t="shared" si="210"/>
        <v>403</v>
      </c>
      <c r="M160" s="18">
        <f t="shared" si="211"/>
        <v>545</v>
      </c>
      <c r="N160" s="14">
        <f t="shared" si="212"/>
        <v>403</v>
      </c>
      <c r="O160" s="15">
        <f t="shared" si="213"/>
        <v>574</v>
      </c>
      <c r="P160" s="17">
        <f t="shared" si="214"/>
        <v>377</v>
      </c>
      <c r="Q160" s="18">
        <f t="shared" si="215"/>
        <v>574</v>
      </c>
      <c r="R160" s="4" t="s">
        <v>0</v>
      </c>
      <c r="S160" s="16" t="str">
        <f t="shared" si="216"/>
        <v>02-05</v>
      </c>
      <c r="T160" s="14">
        <f t="shared" si="217"/>
        <v>377</v>
      </c>
      <c r="U160" s="18">
        <f t="shared" si="218"/>
        <v>205</v>
      </c>
      <c r="V160" s="14">
        <f t="shared" si="219"/>
        <v>403</v>
      </c>
      <c r="W160" s="18">
        <f t="shared" si="220"/>
        <v>205</v>
      </c>
      <c r="X160" s="14">
        <f t="shared" si="221"/>
        <v>403</v>
      </c>
      <c r="Y160" s="18">
        <f t="shared" si="222"/>
        <v>176</v>
      </c>
      <c r="Z160" s="14">
        <f t="shared" si="223"/>
        <v>377</v>
      </c>
      <c r="AA160" s="18">
        <f t="shared" si="224"/>
        <v>176</v>
      </c>
      <c r="AB160" s="4" t="s">
        <v>0</v>
      </c>
    </row>
    <row r="161" spans="1:28">
      <c r="A161" s="9" t="s">
        <v>22</v>
      </c>
      <c r="B161" s="24"/>
      <c r="C161" s="26"/>
      <c r="D161" s="29">
        <f t="shared" si="162"/>
        <v>403</v>
      </c>
      <c r="E161" s="29">
        <f t="shared" ref="E161" si="245">E160</f>
        <v>545</v>
      </c>
      <c r="F161" s="29">
        <f t="shared" si="164"/>
        <v>429</v>
      </c>
      <c r="G161" s="29">
        <f t="shared" si="205"/>
        <v>574</v>
      </c>
      <c r="H161" s="4" t="s">
        <v>0</v>
      </c>
      <c r="I161" s="16" t="str">
        <f t="shared" si="207"/>
        <v>02-03</v>
      </c>
      <c r="J161" s="14">
        <f t="shared" si="208"/>
        <v>403</v>
      </c>
      <c r="K161" s="15">
        <f t="shared" si="209"/>
        <v>545</v>
      </c>
      <c r="L161" s="17">
        <f t="shared" si="210"/>
        <v>429</v>
      </c>
      <c r="M161" s="18">
        <f t="shared" si="211"/>
        <v>545</v>
      </c>
      <c r="N161" s="14">
        <f t="shared" si="212"/>
        <v>429</v>
      </c>
      <c r="O161" s="15">
        <f t="shared" si="213"/>
        <v>574</v>
      </c>
      <c r="P161" s="17">
        <f t="shared" si="214"/>
        <v>403</v>
      </c>
      <c r="Q161" s="18">
        <f t="shared" si="215"/>
        <v>574</v>
      </c>
      <c r="R161" s="4" t="s">
        <v>0</v>
      </c>
      <c r="S161" s="16" t="str">
        <f t="shared" si="216"/>
        <v>02-03</v>
      </c>
      <c r="T161" s="14">
        <f t="shared" si="217"/>
        <v>403</v>
      </c>
      <c r="U161" s="18">
        <f t="shared" si="218"/>
        <v>205</v>
      </c>
      <c r="V161" s="14">
        <f t="shared" si="219"/>
        <v>429</v>
      </c>
      <c r="W161" s="18">
        <f t="shared" si="220"/>
        <v>205</v>
      </c>
      <c r="X161" s="14">
        <f t="shared" si="221"/>
        <v>429</v>
      </c>
      <c r="Y161" s="18">
        <f t="shared" si="222"/>
        <v>176</v>
      </c>
      <c r="Z161" s="14">
        <f t="shared" si="223"/>
        <v>403</v>
      </c>
      <c r="AA161" s="18">
        <f t="shared" si="224"/>
        <v>176</v>
      </c>
      <c r="AB161" s="4" t="s">
        <v>0</v>
      </c>
    </row>
    <row r="162" spans="1:28">
      <c r="A162" s="9" t="s">
        <v>21</v>
      </c>
      <c r="B162" s="24"/>
      <c r="C162" s="26"/>
      <c r="D162" s="29">
        <f t="shared" si="162"/>
        <v>429</v>
      </c>
      <c r="E162" s="29">
        <f t="shared" ref="E162" si="246">E161</f>
        <v>545</v>
      </c>
      <c r="F162" s="29">
        <f t="shared" si="164"/>
        <v>455</v>
      </c>
      <c r="G162" s="29">
        <f t="shared" si="205"/>
        <v>574</v>
      </c>
      <c r="H162" s="4" t="s">
        <v>0</v>
      </c>
      <c r="I162" s="16" t="str">
        <f t="shared" si="207"/>
        <v>02-02</v>
      </c>
      <c r="J162" s="14">
        <f t="shared" si="208"/>
        <v>429</v>
      </c>
      <c r="K162" s="15">
        <f t="shared" si="209"/>
        <v>545</v>
      </c>
      <c r="L162" s="17">
        <f t="shared" si="210"/>
        <v>455</v>
      </c>
      <c r="M162" s="18">
        <f t="shared" si="211"/>
        <v>545</v>
      </c>
      <c r="N162" s="14">
        <f t="shared" si="212"/>
        <v>455</v>
      </c>
      <c r="O162" s="15">
        <f t="shared" si="213"/>
        <v>574</v>
      </c>
      <c r="P162" s="17">
        <f t="shared" si="214"/>
        <v>429</v>
      </c>
      <c r="Q162" s="18">
        <f t="shared" si="215"/>
        <v>574</v>
      </c>
      <c r="R162" s="4" t="s">
        <v>0</v>
      </c>
      <c r="S162" s="16" t="str">
        <f t="shared" si="216"/>
        <v>02-02</v>
      </c>
      <c r="T162" s="14">
        <f t="shared" si="217"/>
        <v>429</v>
      </c>
      <c r="U162" s="18">
        <f t="shared" si="218"/>
        <v>205</v>
      </c>
      <c r="V162" s="14">
        <f t="shared" si="219"/>
        <v>455</v>
      </c>
      <c r="W162" s="18">
        <f t="shared" si="220"/>
        <v>205</v>
      </c>
      <c r="X162" s="14">
        <f t="shared" si="221"/>
        <v>455</v>
      </c>
      <c r="Y162" s="18">
        <f t="shared" si="222"/>
        <v>176</v>
      </c>
      <c r="Z162" s="14">
        <f t="shared" si="223"/>
        <v>429</v>
      </c>
      <c r="AA162" s="18">
        <f t="shared" si="224"/>
        <v>176</v>
      </c>
      <c r="AB162" s="4" t="s">
        <v>0</v>
      </c>
    </row>
    <row r="163" spans="1:28">
      <c r="A163" s="9" t="s">
        <v>20</v>
      </c>
      <c r="B163" s="24"/>
      <c r="C163" s="26"/>
      <c r="D163" s="29">
        <f t="shared" si="162"/>
        <v>455</v>
      </c>
      <c r="E163" s="29">
        <f t="shared" ref="E163" si="247">E162</f>
        <v>545</v>
      </c>
      <c r="F163" s="29">
        <f t="shared" si="164"/>
        <v>481</v>
      </c>
      <c r="G163" s="29">
        <f t="shared" si="205"/>
        <v>574</v>
      </c>
      <c r="H163" s="4" t="s">
        <v>0</v>
      </c>
      <c r="I163" s="16" t="str">
        <f t="shared" si="207"/>
        <v>02-01</v>
      </c>
      <c r="J163" s="14">
        <f t="shared" si="208"/>
        <v>455</v>
      </c>
      <c r="K163" s="15">
        <f t="shared" si="209"/>
        <v>545</v>
      </c>
      <c r="L163" s="17">
        <f t="shared" si="210"/>
        <v>481</v>
      </c>
      <c r="M163" s="18">
        <f t="shared" si="211"/>
        <v>545</v>
      </c>
      <c r="N163" s="14">
        <f t="shared" si="212"/>
        <v>481</v>
      </c>
      <c r="O163" s="15">
        <f t="shared" si="213"/>
        <v>574</v>
      </c>
      <c r="P163" s="17">
        <f t="shared" si="214"/>
        <v>455</v>
      </c>
      <c r="Q163" s="18">
        <f t="shared" si="215"/>
        <v>574</v>
      </c>
      <c r="R163" s="4" t="s">
        <v>0</v>
      </c>
      <c r="S163" s="16" t="str">
        <f t="shared" si="216"/>
        <v>02-01</v>
      </c>
      <c r="T163" s="14">
        <f t="shared" si="217"/>
        <v>455</v>
      </c>
      <c r="U163" s="18">
        <f t="shared" si="218"/>
        <v>205</v>
      </c>
      <c r="V163" s="14">
        <f t="shared" si="219"/>
        <v>481</v>
      </c>
      <c r="W163" s="18">
        <f t="shared" si="220"/>
        <v>205</v>
      </c>
      <c r="X163" s="14">
        <f t="shared" si="221"/>
        <v>481</v>
      </c>
      <c r="Y163" s="18">
        <f t="shared" si="222"/>
        <v>176</v>
      </c>
      <c r="Z163" s="14">
        <f t="shared" si="223"/>
        <v>455</v>
      </c>
      <c r="AA163" s="18">
        <f t="shared" si="224"/>
        <v>176</v>
      </c>
      <c r="AB163" s="4" t="s">
        <v>0</v>
      </c>
    </row>
    <row r="164" spans="1:28">
      <c r="A164" s="9" t="s">
        <v>145</v>
      </c>
      <c r="B164" s="24"/>
      <c r="C164" s="26">
        <v>10</v>
      </c>
      <c r="D164" s="27">
        <v>117</v>
      </c>
      <c r="E164" s="34">
        <f t="shared" ref="E164" si="248">ROUND(E$25+38.5*$C164,0)</f>
        <v>583</v>
      </c>
      <c r="F164" s="31">
        <v>143</v>
      </c>
      <c r="G164" s="34">
        <f t="shared" ref="G164" si="249">ROUND(G$25+38.5*$C164,0)</f>
        <v>612</v>
      </c>
      <c r="H164" s="4" t="s">
        <v>0</v>
      </c>
      <c r="I164" s="16" t="str">
        <f t="shared" si="207"/>
        <v>01-16</v>
      </c>
      <c r="J164" s="14">
        <f t="shared" si="208"/>
        <v>117</v>
      </c>
      <c r="K164" s="15">
        <f t="shared" si="209"/>
        <v>583</v>
      </c>
      <c r="L164" s="17">
        <f t="shared" si="210"/>
        <v>143</v>
      </c>
      <c r="M164" s="18">
        <f t="shared" si="211"/>
        <v>583</v>
      </c>
      <c r="N164" s="14">
        <f t="shared" si="212"/>
        <v>143</v>
      </c>
      <c r="O164" s="15">
        <f t="shared" si="213"/>
        <v>612</v>
      </c>
      <c r="P164" s="17">
        <f t="shared" si="214"/>
        <v>117</v>
      </c>
      <c r="Q164" s="18">
        <f t="shared" si="215"/>
        <v>612</v>
      </c>
      <c r="R164" s="4" t="s">
        <v>0</v>
      </c>
      <c r="S164" s="16" t="str">
        <f t="shared" si="216"/>
        <v>01-16</v>
      </c>
      <c r="T164" s="14">
        <f t="shared" si="217"/>
        <v>117</v>
      </c>
      <c r="U164" s="18">
        <f t="shared" si="218"/>
        <v>167</v>
      </c>
      <c r="V164" s="14">
        <f t="shared" si="219"/>
        <v>143</v>
      </c>
      <c r="W164" s="18">
        <f t="shared" si="220"/>
        <v>167</v>
      </c>
      <c r="X164" s="14">
        <f t="shared" si="221"/>
        <v>143</v>
      </c>
      <c r="Y164" s="18">
        <f t="shared" si="222"/>
        <v>138</v>
      </c>
      <c r="Z164" s="14">
        <f t="shared" si="223"/>
        <v>117</v>
      </c>
      <c r="AA164" s="18">
        <f t="shared" si="224"/>
        <v>138</v>
      </c>
      <c r="AB164" s="4" t="s">
        <v>0</v>
      </c>
    </row>
    <row r="165" spans="1:28">
      <c r="A165" s="9" t="s">
        <v>144</v>
      </c>
      <c r="B165" s="24"/>
      <c r="C165" s="26"/>
      <c r="D165" s="29">
        <f t="shared" si="162"/>
        <v>143</v>
      </c>
      <c r="E165" s="29">
        <f t="shared" ref="E165" si="250">E164</f>
        <v>583</v>
      </c>
      <c r="F165" s="29">
        <f t="shared" si="164"/>
        <v>169</v>
      </c>
      <c r="G165" s="29">
        <f t="shared" si="205"/>
        <v>612</v>
      </c>
      <c r="H165" s="4" t="s">
        <v>0</v>
      </c>
      <c r="I165" s="16" t="str">
        <f t="shared" si="207"/>
        <v>01-15</v>
      </c>
      <c r="J165" s="14">
        <f t="shared" si="208"/>
        <v>143</v>
      </c>
      <c r="K165" s="15">
        <f t="shared" si="209"/>
        <v>583</v>
      </c>
      <c r="L165" s="17">
        <f t="shared" si="210"/>
        <v>169</v>
      </c>
      <c r="M165" s="18">
        <f t="shared" si="211"/>
        <v>583</v>
      </c>
      <c r="N165" s="14">
        <f t="shared" si="212"/>
        <v>169</v>
      </c>
      <c r="O165" s="15">
        <f t="shared" si="213"/>
        <v>612</v>
      </c>
      <c r="P165" s="17">
        <f t="shared" si="214"/>
        <v>143</v>
      </c>
      <c r="Q165" s="18">
        <f t="shared" si="215"/>
        <v>612</v>
      </c>
      <c r="R165" s="4" t="s">
        <v>0</v>
      </c>
      <c r="S165" s="16" t="str">
        <f t="shared" si="216"/>
        <v>01-15</v>
      </c>
      <c r="T165" s="14">
        <f t="shared" si="217"/>
        <v>143</v>
      </c>
      <c r="U165" s="18">
        <f t="shared" si="218"/>
        <v>167</v>
      </c>
      <c r="V165" s="14">
        <f t="shared" si="219"/>
        <v>169</v>
      </c>
      <c r="W165" s="18">
        <f t="shared" si="220"/>
        <v>167</v>
      </c>
      <c r="X165" s="14">
        <f t="shared" si="221"/>
        <v>169</v>
      </c>
      <c r="Y165" s="18">
        <f t="shared" si="222"/>
        <v>138</v>
      </c>
      <c r="Z165" s="14">
        <f t="shared" si="223"/>
        <v>143</v>
      </c>
      <c r="AA165" s="18">
        <f t="shared" si="224"/>
        <v>138</v>
      </c>
      <c r="AB165" s="4" t="s">
        <v>0</v>
      </c>
    </row>
    <row r="166" spans="1:28">
      <c r="A166" s="9" t="s">
        <v>143</v>
      </c>
      <c r="B166" s="24"/>
      <c r="C166" s="26"/>
      <c r="D166" s="29">
        <f t="shared" si="162"/>
        <v>169</v>
      </c>
      <c r="E166" s="29">
        <f t="shared" ref="E166" si="251">E165</f>
        <v>583</v>
      </c>
      <c r="F166" s="29">
        <f t="shared" si="164"/>
        <v>195</v>
      </c>
      <c r="G166" s="29">
        <f t="shared" si="205"/>
        <v>612</v>
      </c>
      <c r="H166" s="4" t="s">
        <v>0</v>
      </c>
      <c r="I166" s="16" t="str">
        <f t="shared" si="207"/>
        <v>01-13</v>
      </c>
      <c r="J166" s="14">
        <f t="shared" si="208"/>
        <v>169</v>
      </c>
      <c r="K166" s="15">
        <f t="shared" si="209"/>
        <v>583</v>
      </c>
      <c r="L166" s="17">
        <f t="shared" si="210"/>
        <v>195</v>
      </c>
      <c r="M166" s="18">
        <f t="shared" si="211"/>
        <v>583</v>
      </c>
      <c r="N166" s="14">
        <f t="shared" si="212"/>
        <v>195</v>
      </c>
      <c r="O166" s="15">
        <f t="shared" si="213"/>
        <v>612</v>
      </c>
      <c r="P166" s="17">
        <f t="shared" si="214"/>
        <v>169</v>
      </c>
      <c r="Q166" s="18">
        <f t="shared" si="215"/>
        <v>612</v>
      </c>
      <c r="R166" s="4" t="s">
        <v>0</v>
      </c>
      <c r="S166" s="16" t="str">
        <f t="shared" si="216"/>
        <v>01-13</v>
      </c>
      <c r="T166" s="14">
        <f t="shared" si="217"/>
        <v>169</v>
      </c>
      <c r="U166" s="18">
        <f t="shared" si="218"/>
        <v>167</v>
      </c>
      <c r="V166" s="14">
        <f t="shared" si="219"/>
        <v>195</v>
      </c>
      <c r="W166" s="18">
        <f t="shared" si="220"/>
        <v>167</v>
      </c>
      <c r="X166" s="14">
        <f t="shared" si="221"/>
        <v>195</v>
      </c>
      <c r="Y166" s="18">
        <f t="shared" si="222"/>
        <v>138</v>
      </c>
      <c r="Z166" s="14">
        <f t="shared" si="223"/>
        <v>169</v>
      </c>
      <c r="AA166" s="18">
        <f t="shared" si="224"/>
        <v>138</v>
      </c>
      <c r="AB166" s="4" t="s">
        <v>0</v>
      </c>
    </row>
    <row r="167" spans="1:28">
      <c r="A167" s="9" t="s">
        <v>11</v>
      </c>
      <c r="B167" s="24"/>
      <c r="C167" s="26"/>
      <c r="D167" s="29">
        <f t="shared" ref="D167:D176" si="252">D153</f>
        <v>195</v>
      </c>
      <c r="E167" s="29">
        <f t="shared" ref="E167" si="253">E166</f>
        <v>583</v>
      </c>
      <c r="F167" s="29">
        <f t="shared" ref="F167:F176" si="254">F153</f>
        <v>221</v>
      </c>
      <c r="G167" s="29">
        <f t="shared" si="205"/>
        <v>612</v>
      </c>
      <c r="H167" s="4" t="s">
        <v>0</v>
      </c>
      <c r="I167" s="16" t="str">
        <f t="shared" si="207"/>
        <v>01-12</v>
      </c>
      <c r="J167" s="14">
        <f t="shared" si="208"/>
        <v>195</v>
      </c>
      <c r="K167" s="15">
        <f t="shared" si="209"/>
        <v>583</v>
      </c>
      <c r="L167" s="17">
        <f t="shared" si="210"/>
        <v>221</v>
      </c>
      <c r="M167" s="18">
        <f t="shared" si="211"/>
        <v>583</v>
      </c>
      <c r="N167" s="14">
        <f t="shared" si="212"/>
        <v>221</v>
      </c>
      <c r="O167" s="15">
        <f t="shared" si="213"/>
        <v>612</v>
      </c>
      <c r="P167" s="17">
        <f t="shared" si="214"/>
        <v>195</v>
      </c>
      <c r="Q167" s="18">
        <f t="shared" si="215"/>
        <v>612</v>
      </c>
      <c r="R167" s="4" t="s">
        <v>0</v>
      </c>
      <c r="S167" s="16" t="str">
        <f t="shared" si="216"/>
        <v>01-12</v>
      </c>
      <c r="T167" s="14">
        <f t="shared" si="217"/>
        <v>195</v>
      </c>
      <c r="U167" s="18">
        <f t="shared" si="218"/>
        <v>167</v>
      </c>
      <c r="V167" s="14">
        <f t="shared" si="219"/>
        <v>221</v>
      </c>
      <c r="W167" s="18">
        <f t="shared" si="220"/>
        <v>167</v>
      </c>
      <c r="X167" s="14">
        <f t="shared" si="221"/>
        <v>221</v>
      </c>
      <c r="Y167" s="18">
        <f t="shared" si="222"/>
        <v>138</v>
      </c>
      <c r="Z167" s="14">
        <f t="shared" si="223"/>
        <v>195</v>
      </c>
      <c r="AA167" s="18">
        <f t="shared" si="224"/>
        <v>138</v>
      </c>
      <c r="AB167" s="4" t="s">
        <v>0</v>
      </c>
    </row>
    <row r="168" spans="1:28">
      <c r="A168" s="9" t="s">
        <v>10</v>
      </c>
      <c r="B168" s="24"/>
      <c r="C168" s="26"/>
      <c r="D168" s="29">
        <f t="shared" si="252"/>
        <v>221</v>
      </c>
      <c r="E168" s="29">
        <f t="shared" ref="E168" si="255">E167</f>
        <v>583</v>
      </c>
      <c r="F168" s="29">
        <f t="shared" si="254"/>
        <v>247</v>
      </c>
      <c r="G168" s="29">
        <f t="shared" si="205"/>
        <v>612</v>
      </c>
      <c r="H168" s="4" t="s">
        <v>0</v>
      </c>
      <c r="I168" s="16" t="str">
        <f t="shared" si="207"/>
        <v>01-11</v>
      </c>
      <c r="J168" s="14">
        <f t="shared" si="208"/>
        <v>221</v>
      </c>
      <c r="K168" s="15">
        <f t="shared" si="209"/>
        <v>583</v>
      </c>
      <c r="L168" s="17">
        <f t="shared" si="210"/>
        <v>247</v>
      </c>
      <c r="M168" s="18">
        <f t="shared" si="211"/>
        <v>583</v>
      </c>
      <c r="N168" s="14">
        <f t="shared" si="212"/>
        <v>247</v>
      </c>
      <c r="O168" s="15">
        <f t="shared" si="213"/>
        <v>612</v>
      </c>
      <c r="P168" s="17">
        <f t="shared" si="214"/>
        <v>221</v>
      </c>
      <c r="Q168" s="18">
        <f t="shared" si="215"/>
        <v>612</v>
      </c>
      <c r="R168" s="4" t="s">
        <v>0</v>
      </c>
      <c r="S168" s="16" t="str">
        <f t="shared" si="216"/>
        <v>01-11</v>
      </c>
      <c r="T168" s="14">
        <f t="shared" si="217"/>
        <v>221</v>
      </c>
      <c r="U168" s="18">
        <f t="shared" si="218"/>
        <v>167</v>
      </c>
      <c r="V168" s="14">
        <f t="shared" si="219"/>
        <v>247</v>
      </c>
      <c r="W168" s="18">
        <f t="shared" si="220"/>
        <v>167</v>
      </c>
      <c r="X168" s="14">
        <f t="shared" si="221"/>
        <v>247</v>
      </c>
      <c r="Y168" s="18">
        <f t="shared" si="222"/>
        <v>138</v>
      </c>
      <c r="Z168" s="14">
        <f t="shared" si="223"/>
        <v>221</v>
      </c>
      <c r="AA168" s="18">
        <f t="shared" si="224"/>
        <v>138</v>
      </c>
      <c r="AB168" s="4" t="s">
        <v>0</v>
      </c>
    </row>
    <row r="169" spans="1:28">
      <c r="A169" s="9" t="s">
        <v>9</v>
      </c>
      <c r="B169" s="24"/>
      <c r="C169" s="26"/>
      <c r="D169" s="29">
        <f t="shared" si="252"/>
        <v>247</v>
      </c>
      <c r="E169" s="29">
        <f t="shared" ref="E169" si="256">E168</f>
        <v>583</v>
      </c>
      <c r="F169" s="29">
        <f t="shared" si="254"/>
        <v>273</v>
      </c>
      <c r="G169" s="29">
        <f t="shared" si="205"/>
        <v>612</v>
      </c>
      <c r="H169" s="4" t="s">
        <v>0</v>
      </c>
      <c r="I169" s="16" t="str">
        <f t="shared" si="207"/>
        <v>01-10</v>
      </c>
      <c r="J169" s="14">
        <f t="shared" si="208"/>
        <v>247</v>
      </c>
      <c r="K169" s="15">
        <f t="shared" si="209"/>
        <v>583</v>
      </c>
      <c r="L169" s="17">
        <f t="shared" si="210"/>
        <v>273</v>
      </c>
      <c r="M169" s="18">
        <f t="shared" si="211"/>
        <v>583</v>
      </c>
      <c r="N169" s="14">
        <f t="shared" si="212"/>
        <v>273</v>
      </c>
      <c r="O169" s="15">
        <f t="shared" si="213"/>
        <v>612</v>
      </c>
      <c r="P169" s="17">
        <f t="shared" si="214"/>
        <v>247</v>
      </c>
      <c r="Q169" s="18">
        <f t="shared" si="215"/>
        <v>612</v>
      </c>
      <c r="R169" s="4" t="s">
        <v>0</v>
      </c>
      <c r="S169" s="16" t="str">
        <f t="shared" si="216"/>
        <v>01-10</v>
      </c>
      <c r="T169" s="14">
        <f t="shared" si="217"/>
        <v>247</v>
      </c>
      <c r="U169" s="18">
        <f t="shared" si="218"/>
        <v>167</v>
      </c>
      <c r="V169" s="14">
        <f t="shared" si="219"/>
        <v>273</v>
      </c>
      <c r="W169" s="18">
        <f t="shared" si="220"/>
        <v>167</v>
      </c>
      <c r="X169" s="14">
        <f t="shared" si="221"/>
        <v>273</v>
      </c>
      <c r="Y169" s="18">
        <f t="shared" si="222"/>
        <v>138</v>
      </c>
      <c r="Z169" s="14">
        <f t="shared" si="223"/>
        <v>247</v>
      </c>
      <c r="AA169" s="18">
        <f t="shared" si="224"/>
        <v>138</v>
      </c>
      <c r="AB169" s="4" t="s">
        <v>0</v>
      </c>
    </row>
    <row r="170" spans="1:28">
      <c r="A170" s="9" t="s">
        <v>8</v>
      </c>
      <c r="B170" s="24"/>
      <c r="C170" s="26"/>
      <c r="D170" s="29">
        <f t="shared" si="252"/>
        <v>273</v>
      </c>
      <c r="E170" s="29">
        <f t="shared" ref="E170" si="257">E169</f>
        <v>583</v>
      </c>
      <c r="F170" s="29">
        <f t="shared" si="254"/>
        <v>299</v>
      </c>
      <c r="G170" s="29">
        <f t="shared" si="205"/>
        <v>612</v>
      </c>
      <c r="H170" s="4" t="s">
        <v>0</v>
      </c>
      <c r="I170" s="16" t="str">
        <f t="shared" si="207"/>
        <v>01-08</v>
      </c>
      <c r="J170" s="14">
        <f t="shared" si="208"/>
        <v>273</v>
      </c>
      <c r="K170" s="15">
        <f t="shared" si="209"/>
        <v>583</v>
      </c>
      <c r="L170" s="17">
        <f t="shared" si="210"/>
        <v>299</v>
      </c>
      <c r="M170" s="18">
        <f t="shared" si="211"/>
        <v>583</v>
      </c>
      <c r="N170" s="14">
        <f t="shared" si="212"/>
        <v>299</v>
      </c>
      <c r="O170" s="15">
        <f t="shared" si="213"/>
        <v>612</v>
      </c>
      <c r="P170" s="17">
        <f t="shared" si="214"/>
        <v>273</v>
      </c>
      <c r="Q170" s="18">
        <f t="shared" si="215"/>
        <v>612</v>
      </c>
      <c r="R170" s="4" t="s">
        <v>0</v>
      </c>
      <c r="S170" s="16" t="str">
        <f t="shared" si="216"/>
        <v>01-08</v>
      </c>
      <c r="T170" s="14">
        <f t="shared" si="217"/>
        <v>273</v>
      </c>
      <c r="U170" s="18">
        <f t="shared" si="218"/>
        <v>167</v>
      </c>
      <c r="V170" s="14">
        <f t="shared" si="219"/>
        <v>299</v>
      </c>
      <c r="W170" s="18">
        <f t="shared" si="220"/>
        <v>167</v>
      </c>
      <c r="X170" s="14">
        <f t="shared" si="221"/>
        <v>299</v>
      </c>
      <c r="Y170" s="18">
        <f t="shared" si="222"/>
        <v>138</v>
      </c>
      <c r="Z170" s="14">
        <f t="shared" si="223"/>
        <v>273</v>
      </c>
      <c r="AA170" s="18">
        <f t="shared" si="224"/>
        <v>138</v>
      </c>
      <c r="AB170" s="4" t="s">
        <v>0</v>
      </c>
    </row>
    <row r="171" spans="1:28">
      <c r="A171" s="9" t="s">
        <v>7</v>
      </c>
      <c r="B171" s="24"/>
      <c r="C171" s="26"/>
      <c r="D171" s="29">
        <f t="shared" si="252"/>
        <v>299</v>
      </c>
      <c r="E171" s="29">
        <f t="shared" ref="E171" si="258">E170</f>
        <v>583</v>
      </c>
      <c r="F171" s="29">
        <f t="shared" si="254"/>
        <v>325</v>
      </c>
      <c r="G171" s="29">
        <f t="shared" si="205"/>
        <v>612</v>
      </c>
      <c r="H171" s="4" t="s">
        <v>0</v>
      </c>
      <c r="I171" s="16" t="str">
        <f t="shared" si="207"/>
        <v>01-07</v>
      </c>
      <c r="J171" s="14">
        <f t="shared" si="208"/>
        <v>299</v>
      </c>
      <c r="K171" s="15">
        <f t="shared" si="209"/>
        <v>583</v>
      </c>
      <c r="L171" s="17">
        <f t="shared" si="210"/>
        <v>325</v>
      </c>
      <c r="M171" s="18">
        <f t="shared" si="211"/>
        <v>583</v>
      </c>
      <c r="N171" s="14">
        <f t="shared" si="212"/>
        <v>325</v>
      </c>
      <c r="O171" s="15">
        <f t="shared" si="213"/>
        <v>612</v>
      </c>
      <c r="P171" s="17">
        <f t="shared" si="214"/>
        <v>299</v>
      </c>
      <c r="Q171" s="18">
        <f t="shared" si="215"/>
        <v>612</v>
      </c>
      <c r="R171" s="4" t="s">
        <v>0</v>
      </c>
      <c r="S171" s="16" t="str">
        <f t="shared" si="216"/>
        <v>01-07</v>
      </c>
      <c r="T171" s="14">
        <f t="shared" si="217"/>
        <v>299</v>
      </c>
      <c r="U171" s="18">
        <f t="shared" si="218"/>
        <v>167</v>
      </c>
      <c r="V171" s="14">
        <f t="shared" si="219"/>
        <v>325</v>
      </c>
      <c r="W171" s="18">
        <f t="shared" si="220"/>
        <v>167</v>
      </c>
      <c r="X171" s="14">
        <f t="shared" si="221"/>
        <v>325</v>
      </c>
      <c r="Y171" s="18">
        <f t="shared" si="222"/>
        <v>138</v>
      </c>
      <c r="Z171" s="14">
        <f t="shared" si="223"/>
        <v>299</v>
      </c>
      <c r="AA171" s="18">
        <f t="shared" si="224"/>
        <v>138</v>
      </c>
      <c r="AB171" s="4" t="s">
        <v>0</v>
      </c>
    </row>
    <row r="172" spans="1:28">
      <c r="A172" s="9" t="s">
        <v>6</v>
      </c>
      <c r="B172" s="24"/>
      <c r="C172" s="26"/>
      <c r="D172" s="29">
        <f t="shared" si="252"/>
        <v>325</v>
      </c>
      <c r="E172" s="29">
        <f t="shared" ref="E172" si="259">E171</f>
        <v>583</v>
      </c>
      <c r="F172" s="29">
        <f t="shared" si="254"/>
        <v>351</v>
      </c>
      <c r="G172" s="29">
        <f t="shared" si="205"/>
        <v>612</v>
      </c>
      <c r="H172" s="4" t="s">
        <v>0</v>
      </c>
      <c r="I172" s="16" t="str">
        <f t="shared" si="207"/>
        <v>01-06</v>
      </c>
      <c r="J172" s="14">
        <f t="shared" si="208"/>
        <v>325</v>
      </c>
      <c r="K172" s="15">
        <f t="shared" si="209"/>
        <v>583</v>
      </c>
      <c r="L172" s="17">
        <f t="shared" si="210"/>
        <v>351</v>
      </c>
      <c r="M172" s="18">
        <f t="shared" si="211"/>
        <v>583</v>
      </c>
      <c r="N172" s="14">
        <f t="shared" si="212"/>
        <v>351</v>
      </c>
      <c r="O172" s="15">
        <f t="shared" si="213"/>
        <v>612</v>
      </c>
      <c r="P172" s="17">
        <f t="shared" si="214"/>
        <v>325</v>
      </c>
      <c r="Q172" s="18">
        <f t="shared" si="215"/>
        <v>612</v>
      </c>
      <c r="R172" s="4" t="s">
        <v>0</v>
      </c>
      <c r="S172" s="16" t="str">
        <f t="shared" si="216"/>
        <v>01-06</v>
      </c>
      <c r="T172" s="14">
        <f t="shared" si="217"/>
        <v>325</v>
      </c>
      <c r="U172" s="18">
        <f t="shared" si="218"/>
        <v>167</v>
      </c>
      <c r="V172" s="14">
        <f t="shared" si="219"/>
        <v>351</v>
      </c>
      <c r="W172" s="18">
        <f t="shared" si="220"/>
        <v>167</v>
      </c>
      <c r="X172" s="14">
        <f t="shared" si="221"/>
        <v>351</v>
      </c>
      <c r="Y172" s="18">
        <f t="shared" si="222"/>
        <v>138</v>
      </c>
      <c r="Z172" s="14">
        <f t="shared" si="223"/>
        <v>325</v>
      </c>
      <c r="AA172" s="18">
        <f t="shared" si="224"/>
        <v>138</v>
      </c>
      <c r="AB172" s="4" t="s">
        <v>0</v>
      </c>
    </row>
    <row r="173" spans="1:28">
      <c r="A173" s="9" t="s">
        <v>5</v>
      </c>
      <c r="B173" s="24"/>
      <c r="C173" s="26"/>
      <c r="D173" s="29">
        <f t="shared" si="252"/>
        <v>351</v>
      </c>
      <c r="E173" s="29">
        <f t="shared" ref="E173" si="260">E172</f>
        <v>583</v>
      </c>
      <c r="F173" s="29">
        <f t="shared" si="254"/>
        <v>377</v>
      </c>
      <c r="G173" s="29">
        <f t="shared" si="205"/>
        <v>612</v>
      </c>
      <c r="H173" s="4" t="s">
        <v>0</v>
      </c>
      <c r="I173" s="16" t="str">
        <f t="shared" si="207"/>
        <v>01-05</v>
      </c>
      <c r="J173" s="14">
        <f t="shared" si="208"/>
        <v>351</v>
      </c>
      <c r="K173" s="15">
        <f t="shared" si="209"/>
        <v>583</v>
      </c>
      <c r="L173" s="17">
        <f t="shared" si="210"/>
        <v>377</v>
      </c>
      <c r="M173" s="18">
        <f t="shared" si="211"/>
        <v>583</v>
      </c>
      <c r="N173" s="14">
        <f t="shared" si="212"/>
        <v>377</v>
      </c>
      <c r="O173" s="15">
        <f t="shared" si="213"/>
        <v>612</v>
      </c>
      <c r="P173" s="17">
        <f t="shared" si="214"/>
        <v>351</v>
      </c>
      <c r="Q173" s="18">
        <f t="shared" si="215"/>
        <v>612</v>
      </c>
      <c r="R173" s="4" t="s">
        <v>0</v>
      </c>
      <c r="S173" s="16" t="str">
        <f t="shared" si="216"/>
        <v>01-05</v>
      </c>
      <c r="T173" s="14">
        <f t="shared" si="217"/>
        <v>351</v>
      </c>
      <c r="U173" s="18">
        <f t="shared" si="218"/>
        <v>167</v>
      </c>
      <c r="V173" s="14">
        <f t="shared" si="219"/>
        <v>377</v>
      </c>
      <c r="W173" s="18">
        <f t="shared" si="220"/>
        <v>167</v>
      </c>
      <c r="X173" s="14">
        <f t="shared" si="221"/>
        <v>377</v>
      </c>
      <c r="Y173" s="18">
        <f t="shared" si="222"/>
        <v>138</v>
      </c>
      <c r="Z173" s="14">
        <f t="shared" si="223"/>
        <v>351</v>
      </c>
      <c r="AA173" s="18">
        <f t="shared" si="224"/>
        <v>138</v>
      </c>
      <c r="AB173" s="4" t="s">
        <v>0</v>
      </c>
    </row>
    <row r="174" spans="1:28">
      <c r="A174" s="9" t="s">
        <v>4</v>
      </c>
      <c r="B174" s="24"/>
      <c r="C174" s="26"/>
      <c r="D174" s="29">
        <f t="shared" si="252"/>
        <v>377</v>
      </c>
      <c r="E174" s="29">
        <f t="shared" ref="E174" si="261">E173</f>
        <v>583</v>
      </c>
      <c r="F174" s="29">
        <f t="shared" si="254"/>
        <v>403</v>
      </c>
      <c r="G174" s="29">
        <f t="shared" si="205"/>
        <v>612</v>
      </c>
      <c r="H174" s="4" t="s">
        <v>0</v>
      </c>
      <c r="I174" s="16" t="str">
        <f t="shared" si="207"/>
        <v>01-03</v>
      </c>
      <c r="J174" s="14">
        <f t="shared" si="208"/>
        <v>377</v>
      </c>
      <c r="K174" s="15">
        <f t="shared" si="209"/>
        <v>583</v>
      </c>
      <c r="L174" s="17">
        <f t="shared" si="210"/>
        <v>403</v>
      </c>
      <c r="M174" s="18">
        <f t="shared" si="211"/>
        <v>583</v>
      </c>
      <c r="N174" s="14">
        <f t="shared" si="212"/>
        <v>403</v>
      </c>
      <c r="O174" s="15">
        <f t="shared" si="213"/>
        <v>612</v>
      </c>
      <c r="P174" s="17">
        <f t="shared" si="214"/>
        <v>377</v>
      </c>
      <c r="Q174" s="18">
        <f t="shared" si="215"/>
        <v>612</v>
      </c>
      <c r="R174" s="4" t="s">
        <v>0</v>
      </c>
      <c r="S174" s="16" t="str">
        <f t="shared" si="216"/>
        <v>01-03</v>
      </c>
      <c r="T174" s="14">
        <f t="shared" si="217"/>
        <v>377</v>
      </c>
      <c r="U174" s="18">
        <f t="shared" si="218"/>
        <v>167</v>
      </c>
      <c r="V174" s="14">
        <f t="shared" si="219"/>
        <v>403</v>
      </c>
      <c r="W174" s="18">
        <f t="shared" si="220"/>
        <v>167</v>
      </c>
      <c r="X174" s="14">
        <f t="shared" si="221"/>
        <v>403</v>
      </c>
      <c r="Y174" s="18">
        <f t="shared" si="222"/>
        <v>138</v>
      </c>
      <c r="Z174" s="14">
        <f t="shared" si="223"/>
        <v>377</v>
      </c>
      <c r="AA174" s="18">
        <f t="shared" si="224"/>
        <v>138</v>
      </c>
      <c r="AB174" s="4" t="s">
        <v>0</v>
      </c>
    </row>
    <row r="175" spans="1:28">
      <c r="A175" s="9" t="s">
        <v>142</v>
      </c>
      <c r="B175" s="24"/>
      <c r="C175" s="26"/>
      <c r="D175" s="29">
        <f t="shared" si="252"/>
        <v>403</v>
      </c>
      <c r="E175" s="29">
        <f t="shared" ref="E175" si="262">E174</f>
        <v>583</v>
      </c>
      <c r="F175" s="29">
        <f t="shared" si="254"/>
        <v>429</v>
      </c>
      <c r="G175" s="29">
        <f t="shared" si="205"/>
        <v>612</v>
      </c>
      <c r="H175" s="4" t="s">
        <v>0</v>
      </c>
      <c r="I175" s="16" t="str">
        <f t="shared" si="207"/>
        <v>01-02</v>
      </c>
      <c r="J175" s="14">
        <f t="shared" si="208"/>
        <v>403</v>
      </c>
      <c r="K175" s="15">
        <f t="shared" si="209"/>
        <v>583</v>
      </c>
      <c r="L175" s="17">
        <f t="shared" si="210"/>
        <v>429</v>
      </c>
      <c r="M175" s="18">
        <f t="shared" si="211"/>
        <v>583</v>
      </c>
      <c r="N175" s="14">
        <f t="shared" si="212"/>
        <v>429</v>
      </c>
      <c r="O175" s="15">
        <f t="shared" si="213"/>
        <v>612</v>
      </c>
      <c r="P175" s="17">
        <f t="shared" si="214"/>
        <v>403</v>
      </c>
      <c r="Q175" s="18">
        <f t="shared" si="215"/>
        <v>612</v>
      </c>
      <c r="R175" s="4" t="s">
        <v>0</v>
      </c>
      <c r="S175" s="16" t="str">
        <f t="shared" si="216"/>
        <v>01-02</v>
      </c>
      <c r="T175" s="14">
        <f t="shared" si="217"/>
        <v>403</v>
      </c>
      <c r="U175" s="18">
        <f t="shared" si="218"/>
        <v>167</v>
      </c>
      <c r="V175" s="14">
        <f t="shared" si="219"/>
        <v>429</v>
      </c>
      <c r="W175" s="18">
        <f t="shared" si="220"/>
        <v>167</v>
      </c>
      <c r="X175" s="14">
        <f t="shared" si="221"/>
        <v>429</v>
      </c>
      <c r="Y175" s="18">
        <f t="shared" si="222"/>
        <v>138</v>
      </c>
      <c r="Z175" s="14">
        <f t="shared" si="223"/>
        <v>403</v>
      </c>
      <c r="AA175" s="18">
        <f t="shared" si="224"/>
        <v>138</v>
      </c>
      <c r="AB175" s="4" t="s">
        <v>0</v>
      </c>
    </row>
    <row r="176" spans="1:28">
      <c r="A176" s="9" t="s">
        <v>141</v>
      </c>
      <c r="B176" s="24"/>
      <c r="C176" s="26"/>
      <c r="D176" s="29">
        <f t="shared" si="252"/>
        <v>429</v>
      </c>
      <c r="E176" s="29">
        <f t="shared" ref="E176" si="263">E175</f>
        <v>583</v>
      </c>
      <c r="F176" s="29">
        <f t="shared" si="254"/>
        <v>455</v>
      </c>
      <c r="G176" s="29">
        <f t="shared" si="205"/>
        <v>612</v>
      </c>
      <c r="H176" s="4" t="s">
        <v>0</v>
      </c>
      <c r="I176" s="16" t="str">
        <f t="shared" si="0"/>
        <v>01-01</v>
      </c>
      <c r="J176" s="14">
        <f t="shared" si="3"/>
        <v>429</v>
      </c>
      <c r="K176" s="15">
        <f t="shared" si="3"/>
        <v>583</v>
      </c>
      <c r="L176" s="17">
        <f t="shared" si="4"/>
        <v>455</v>
      </c>
      <c r="M176" s="18">
        <f t="shared" si="5"/>
        <v>583</v>
      </c>
      <c r="N176" s="14">
        <f t="shared" si="6"/>
        <v>455</v>
      </c>
      <c r="O176" s="15">
        <f t="shared" si="6"/>
        <v>612</v>
      </c>
      <c r="P176" s="17">
        <f t="shared" si="7"/>
        <v>429</v>
      </c>
      <c r="Q176" s="18">
        <f t="shared" si="8"/>
        <v>612</v>
      </c>
      <c r="R176" s="4" t="s">
        <v>0</v>
      </c>
      <c r="S176" s="16" t="str">
        <f t="shared" si="9"/>
        <v>01-01</v>
      </c>
      <c r="T176" s="14">
        <f t="shared" si="10"/>
        <v>429</v>
      </c>
      <c r="U176" s="18">
        <f t="shared" si="11"/>
        <v>167</v>
      </c>
      <c r="V176" s="14">
        <f t="shared" si="1"/>
        <v>455</v>
      </c>
      <c r="W176" s="18">
        <f t="shared" si="12"/>
        <v>167</v>
      </c>
      <c r="X176" s="14">
        <f t="shared" si="1"/>
        <v>455</v>
      </c>
      <c r="Y176" s="18">
        <f t="shared" si="13"/>
        <v>138</v>
      </c>
      <c r="Z176" s="14">
        <f t="shared" si="1"/>
        <v>429</v>
      </c>
      <c r="AA176" s="18">
        <f t="shared" si="14"/>
        <v>138</v>
      </c>
      <c r="AB176" s="4" t="s">
        <v>0</v>
      </c>
    </row>
  </sheetData>
  <autoFilter ref="A10:AB176" xr:uid="{00000000-0001-0000-0000-000000000000}"/>
  <mergeCells count="2">
    <mergeCell ref="D3:G3"/>
    <mergeCell ref="D4:G4"/>
  </mergeCells>
  <phoneticPr fontId="1"/>
  <hyperlinks>
    <hyperlink ref="N4" r:id="rId1" xr:uid="{1A6273B7-F671-41DC-BE01-EA4031E623E7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8AB1-9D1A-472C-9D5E-5FD1DB6307E3}">
  <sheetPr codeName="Sheet7">
    <pageSetUpPr fitToPage="1"/>
  </sheetPr>
  <dimension ref="A1:AB307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SEC_11_3_親B.json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SEC_11_3_親B.png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403</v>
      </c>
      <c r="B11" s="30" t="s">
        <v>698</v>
      </c>
      <c r="C11" s="26"/>
      <c r="D11" s="27">
        <v>62</v>
      </c>
      <c r="E11" s="31">
        <v>81</v>
      </c>
      <c r="F11" s="31">
        <v>78</v>
      </c>
      <c r="G11" s="31">
        <v>97</v>
      </c>
      <c r="H11" s="4" t="s">
        <v>0</v>
      </c>
      <c r="I11" s="16" t="str">
        <f t="shared" ref="I11:I237" si="0">A11</f>
        <v>23-28</v>
      </c>
      <c r="J11" s="14">
        <f>IF(D11&lt;&gt;"",D11,0)</f>
        <v>62</v>
      </c>
      <c r="K11" s="15">
        <f>IF(E11&lt;&gt;"",E11,0)</f>
        <v>81</v>
      </c>
      <c r="L11" s="17">
        <f>N11</f>
        <v>78</v>
      </c>
      <c r="M11" s="18">
        <f>K11</f>
        <v>81</v>
      </c>
      <c r="N11" s="14">
        <f>IF(F11&lt;&gt;"",F11,0)</f>
        <v>78</v>
      </c>
      <c r="O11" s="15">
        <f>IF(G11&lt;&gt;"",G11,0)</f>
        <v>97</v>
      </c>
      <c r="P11" s="17">
        <f>J11</f>
        <v>62</v>
      </c>
      <c r="Q11" s="18">
        <f>O11</f>
        <v>97</v>
      </c>
      <c r="R11" s="4" t="s">
        <v>0</v>
      </c>
      <c r="S11" s="16" t="str">
        <f>I11</f>
        <v>23-28</v>
      </c>
      <c r="T11" s="14">
        <f>IF(J11&lt;&gt;"",J11,"")</f>
        <v>62</v>
      </c>
      <c r="U11" s="18">
        <f>IF(K11&lt;&gt;"",U$6-K11,"")</f>
        <v>669</v>
      </c>
      <c r="V11" s="14">
        <f t="shared" ref="V11:Z189" si="1">IF(L11&lt;&gt;"",L11,"")</f>
        <v>78</v>
      </c>
      <c r="W11" s="18">
        <f>IF(M11&lt;&gt;"",W$6-M11,"")</f>
        <v>669</v>
      </c>
      <c r="X11" s="14">
        <f t="shared" si="1"/>
        <v>78</v>
      </c>
      <c r="Y11" s="18">
        <f>IF(O11&lt;&gt;"",Y$6-O11,"")</f>
        <v>653</v>
      </c>
      <c r="Z11" s="14">
        <f t="shared" si="1"/>
        <v>62</v>
      </c>
      <c r="AA11" s="18">
        <f>IF(Q11&lt;&gt;"",AA$6-Q11,"")</f>
        <v>653</v>
      </c>
      <c r="AB11" s="4" t="s">
        <v>0</v>
      </c>
    </row>
    <row r="12" spans="1:28">
      <c r="A12" s="9" t="s">
        <v>402</v>
      </c>
      <c r="B12" s="24"/>
      <c r="C12" s="26">
        <v>1</v>
      </c>
      <c r="D12" s="28">
        <f>ROUND(D$11+16.3*$C12, 0)</f>
        <v>78</v>
      </c>
      <c r="E12" s="29">
        <f t="shared" ref="E12:G12" si="2">E11</f>
        <v>81</v>
      </c>
      <c r="F12" s="28">
        <f>ROUND(F$11+16.3*$C12, 0)</f>
        <v>94</v>
      </c>
      <c r="G12" s="29">
        <f t="shared" si="2"/>
        <v>97</v>
      </c>
      <c r="H12" s="4" t="s">
        <v>0</v>
      </c>
      <c r="I12" s="16" t="str">
        <f t="shared" si="0"/>
        <v>23-27</v>
      </c>
      <c r="J12" s="14">
        <f t="shared" ref="J12:K238" si="3">IF(D12&lt;&gt;"",D12,0)</f>
        <v>78</v>
      </c>
      <c r="K12" s="15">
        <f t="shared" si="3"/>
        <v>81</v>
      </c>
      <c r="L12" s="17">
        <f t="shared" ref="L12:L238" si="4">N12</f>
        <v>94</v>
      </c>
      <c r="M12" s="18">
        <f t="shared" ref="M12:M238" si="5">K12</f>
        <v>81</v>
      </c>
      <c r="N12" s="14">
        <f t="shared" ref="N12:O238" si="6">IF(F12&lt;&gt;"",F12,0)</f>
        <v>94</v>
      </c>
      <c r="O12" s="15">
        <f t="shared" si="6"/>
        <v>97</v>
      </c>
      <c r="P12" s="17">
        <f t="shared" ref="P12:P238" si="7">J12</f>
        <v>78</v>
      </c>
      <c r="Q12" s="18">
        <f t="shared" ref="Q12:Q238" si="8">O12</f>
        <v>97</v>
      </c>
      <c r="R12" s="4" t="s">
        <v>0</v>
      </c>
      <c r="S12" s="16" t="str">
        <f t="shared" ref="S12:S238" si="9">I12</f>
        <v>23-27</v>
      </c>
      <c r="T12" s="14">
        <f t="shared" ref="T12:T238" si="10">IF(J12&lt;&gt;"",J12,"")</f>
        <v>78</v>
      </c>
      <c r="U12" s="18">
        <f t="shared" ref="U12:U238" si="11">IF(K12&lt;&gt;"",U$6-K12,"")</f>
        <v>669</v>
      </c>
      <c r="V12" s="14">
        <f t="shared" si="1"/>
        <v>94</v>
      </c>
      <c r="W12" s="18">
        <f t="shared" ref="W12:W238" si="12">IF(M12&lt;&gt;"",W$6-M12,"")</f>
        <v>669</v>
      </c>
      <c r="X12" s="14">
        <f t="shared" si="1"/>
        <v>94</v>
      </c>
      <c r="Y12" s="18">
        <f t="shared" ref="Y12:Y238" si="13">IF(O12&lt;&gt;"",Y$6-O12,"")</f>
        <v>653</v>
      </c>
      <c r="Z12" s="14">
        <f t="shared" si="1"/>
        <v>78</v>
      </c>
      <c r="AA12" s="18">
        <f t="shared" ref="AA12:AA238" si="14">IF(Q12&lt;&gt;"",AA$6-Q12,"")</f>
        <v>653</v>
      </c>
      <c r="AB12" s="4" t="s">
        <v>0</v>
      </c>
    </row>
    <row r="13" spans="1:28">
      <c r="A13" s="9" t="s">
        <v>401</v>
      </c>
      <c r="B13" s="24"/>
      <c r="C13" s="26">
        <v>2</v>
      </c>
      <c r="D13" s="28">
        <f t="shared" ref="D13:D21" si="15">ROUND(D$11+16.3*$C13, 0)</f>
        <v>95</v>
      </c>
      <c r="E13" s="29">
        <f t="shared" ref="E13" si="16">E12</f>
        <v>81</v>
      </c>
      <c r="F13" s="28">
        <f t="shared" ref="F13:F21" si="17">ROUND(F$11+16.3*$C13, 0)</f>
        <v>111</v>
      </c>
      <c r="G13" s="29">
        <f t="shared" ref="G13" si="18">G12</f>
        <v>97</v>
      </c>
      <c r="H13" s="4" t="s">
        <v>0</v>
      </c>
      <c r="I13" s="16" t="str">
        <f t="shared" ref="I13:I76" si="19">A13</f>
        <v>23-26</v>
      </c>
      <c r="J13" s="14">
        <f t="shared" ref="J13:J76" si="20">IF(D13&lt;&gt;"",D13,0)</f>
        <v>95</v>
      </c>
      <c r="K13" s="15">
        <f t="shared" ref="K13:K76" si="21">IF(E13&lt;&gt;"",E13,0)</f>
        <v>81</v>
      </c>
      <c r="L13" s="17">
        <f t="shared" ref="L13:L76" si="22">N13</f>
        <v>111</v>
      </c>
      <c r="M13" s="18">
        <f t="shared" ref="M13:M76" si="23">K13</f>
        <v>81</v>
      </c>
      <c r="N13" s="14">
        <f t="shared" ref="N13:N76" si="24">IF(F13&lt;&gt;"",F13,0)</f>
        <v>111</v>
      </c>
      <c r="O13" s="15">
        <f t="shared" ref="O13:O76" si="25">IF(G13&lt;&gt;"",G13,0)</f>
        <v>97</v>
      </c>
      <c r="P13" s="17">
        <f t="shared" ref="P13:P76" si="26">J13</f>
        <v>95</v>
      </c>
      <c r="Q13" s="18">
        <f t="shared" ref="Q13:Q76" si="27">O13</f>
        <v>97</v>
      </c>
      <c r="R13" s="4" t="s">
        <v>0</v>
      </c>
      <c r="S13" s="16" t="str">
        <f t="shared" ref="S13:S76" si="28">I13</f>
        <v>23-26</v>
      </c>
      <c r="T13" s="14">
        <f t="shared" ref="T13:T76" si="29">IF(J13&lt;&gt;"",J13,"")</f>
        <v>95</v>
      </c>
      <c r="U13" s="18">
        <f t="shared" ref="U13:U76" si="30">IF(K13&lt;&gt;"",U$6-K13,"")</f>
        <v>669</v>
      </c>
      <c r="V13" s="14">
        <f t="shared" ref="V13:V76" si="31">IF(L13&lt;&gt;"",L13,"")</f>
        <v>111</v>
      </c>
      <c r="W13" s="18">
        <f t="shared" ref="W13:W76" si="32">IF(M13&lt;&gt;"",W$6-M13,"")</f>
        <v>669</v>
      </c>
      <c r="X13" s="14">
        <f t="shared" ref="X13:X76" si="33">IF(N13&lt;&gt;"",N13,"")</f>
        <v>111</v>
      </c>
      <c r="Y13" s="18">
        <f t="shared" ref="Y13:Y76" si="34">IF(O13&lt;&gt;"",Y$6-O13,"")</f>
        <v>653</v>
      </c>
      <c r="Z13" s="14">
        <f t="shared" ref="Z13:Z76" si="35">IF(P13&lt;&gt;"",P13,"")</f>
        <v>95</v>
      </c>
      <c r="AA13" s="18">
        <f t="shared" ref="AA13:AA76" si="36">IF(Q13&lt;&gt;"",AA$6-Q13,"")</f>
        <v>653</v>
      </c>
      <c r="AB13" s="4" t="s">
        <v>0</v>
      </c>
    </row>
    <row r="14" spans="1:28">
      <c r="A14" s="9" t="s">
        <v>400</v>
      </c>
      <c r="B14" s="24"/>
      <c r="C14" s="26">
        <v>3</v>
      </c>
      <c r="D14" s="28">
        <f t="shared" si="15"/>
        <v>111</v>
      </c>
      <c r="E14" s="29">
        <f t="shared" ref="E14" si="37">E13</f>
        <v>81</v>
      </c>
      <c r="F14" s="28">
        <f t="shared" si="17"/>
        <v>127</v>
      </c>
      <c r="G14" s="29">
        <f t="shared" ref="G14" si="38">G13</f>
        <v>97</v>
      </c>
      <c r="H14" s="4" t="s">
        <v>0</v>
      </c>
      <c r="I14" s="16" t="str">
        <f t="shared" si="19"/>
        <v>23-25</v>
      </c>
      <c r="J14" s="14">
        <f t="shared" si="20"/>
        <v>111</v>
      </c>
      <c r="K14" s="15">
        <f t="shared" si="21"/>
        <v>81</v>
      </c>
      <c r="L14" s="17">
        <f t="shared" si="22"/>
        <v>127</v>
      </c>
      <c r="M14" s="18">
        <f t="shared" si="23"/>
        <v>81</v>
      </c>
      <c r="N14" s="14">
        <f t="shared" si="24"/>
        <v>127</v>
      </c>
      <c r="O14" s="15">
        <f t="shared" si="25"/>
        <v>97</v>
      </c>
      <c r="P14" s="17">
        <f t="shared" si="26"/>
        <v>111</v>
      </c>
      <c r="Q14" s="18">
        <f t="shared" si="27"/>
        <v>97</v>
      </c>
      <c r="R14" s="4" t="s">
        <v>0</v>
      </c>
      <c r="S14" s="16" t="str">
        <f t="shared" si="28"/>
        <v>23-25</v>
      </c>
      <c r="T14" s="14">
        <f t="shared" si="29"/>
        <v>111</v>
      </c>
      <c r="U14" s="18">
        <f t="shared" si="30"/>
        <v>669</v>
      </c>
      <c r="V14" s="14">
        <f t="shared" si="31"/>
        <v>127</v>
      </c>
      <c r="W14" s="18">
        <f t="shared" si="32"/>
        <v>669</v>
      </c>
      <c r="X14" s="14">
        <f t="shared" si="33"/>
        <v>127</v>
      </c>
      <c r="Y14" s="18">
        <f t="shared" si="34"/>
        <v>653</v>
      </c>
      <c r="Z14" s="14">
        <f t="shared" si="35"/>
        <v>111</v>
      </c>
      <c r="AA14" s="18">
        <f t="shared" si="36"/>
        <v>653</v>
      </c>
      <c r="AB14" s="4" t="s">
        <v>0</v>
      </c>
    </row>
    <row r="15" spans="1:28">
      <c r="A15" s="9" t="s">
        <v>399</v>
      </c>
      <c r="B15" s="24"/>
      <c r="C15" s="26">
        <v>4</v>
      </c>
      <c r="D15" s="28">
        <f t="shared" si="15"/>
        <v>127</v>
      </c>
      <c r="E15" s="29">
        <f t="shared" ref="E15" si="39">E14</f>
        <v>81</v>
      </c>
      <c r="F15" s="28">
        <f t="shared" si="17"/>
        <v>143</v>
      </c>
      <c r="G15" s="29">
        <f t="shared" ref="G15" si="40">G14</f>
        <v>97</v>
      </c>
      <c r="H15" s="4" t="s">
        <v>0</v>
      </c>
      <c r="I15" s="16" t="str">
        <f t="shared" si="19"/>
        <v>23-23</v>
      </c>
      <c r="J15" s="14">
        <f t="shared" si="20"/>
        <v>127</v>
      </c>
      <c r="K15" s="15">
        <f t="shared" si="21"/>
        <v>81</v>
      </c>
      <c r="L15" s="17">
        <f t="shared" si="22"/>
        <v>143</v>
      </c>
      <c r="M15" s="18">
        <f t="shared" si="23"/>
        <v>81</v>
      </c>
      <c r="N15" s="14">
        <f t="shared" si="24"/>
        <v>143</v>
      </c>
      <c r="O15" s="15">
        <f t="shared" si="25"/>
        <v>97</v>
      </c>
      <c r="P15" s="17">
        <f t="shared" si="26"/>
        <v>127</v>
      </c>
      <c r="Q15" s="18">
        <f t="shared" si="27"/>
        <v>97</v>
      </c>
      <c r="R15" s="4" t="s">
        <v>0</v>
      </c>
      <c r="S15" s="16" t="str">
        <f t="shared" si="28"/>
        <v>23-23</v>
      </c>
      <c r="T15" s="14">
        <f t="shared" si="29"/>
        <v>127</v>
      </c>
      <c r="U15" s="18">
        <f t="shared" si="30"/>
        <v>669</v>
      </c>
      <c r="V15" s="14">
        <f t="shared" si="31"/>
        <v>143</v>
      </c>
      <c r="W15" s="18">
        <f t="shared" si="32"/>
        <v>669</v>
      </c>
      <c r="X15" s="14">
        <f t="shared" si="33"/>
        <v>143</v>
      </c>
      <c r="Y15" s="18">
        <f t="shared" si="34"/>
        <v>653</v>
      </c>
      <c r="Z15" s="14">
        <f t="shared" si="35"/>
        <v>127</v>
      </c>
      <c r="AA15" s="18">
        <f t="shared" si="36"/>
        <v>653</v>
      </c>
      <c r="AB15" s="4" t="s">
        <v>0</v>
      </c>
    </row>
    <row r="16" spans="1:28">
      <c r="A16" s="9" t="s">
        <v>398</v>
      </c>
      <c r="B16" s="24"/>
      <c r="C16" s="26">
        <v>5</v>
      </c>
      <c r="D16" s="28">
        <f t="shared" si="15"/>
        <v>144</v>
      </c>
      <c r="E16" s="29">
        <f t="shared" ref="E16" si="41">E15</f>
        <v>81</v>
      </c>
      <c r="F16" s="28">
        <f t="shared" si="17"/>
        <v>160</v>
      </c>
      <c r="G16" s="29">
        <f t="shared" ref="G16" si="42">G15</f>
        <v>97</v>
      </c>
      <c r="H16" s="4" t="s">
        <v>0</v>
      </c>
      <c r="I16" s="16" t="str">
        <f t="shared" si="19"/>
        <v>23-22</v>
      </c>
      <c r="J16" s="14">
        <f t="shared" si="20"/>
        <v>144</v>
      </c>
      <c r="K16" s="15">
        <f t="shared" si="21"/>
        <v>81</v>
      </c>
      <c r="L16" s="17">
        <f t="shared" si="22"/>
        <v>160</v>
      </c>
      <c r="M16" s="18">
        <f t="shared" si="23"/>
        <v>81</v>
      </c>
      <c r="N16" s="14">
        <f t="shared" si="24"/>
        <v>160</v>
      </c>
      <c r="O16" s="15">
        <f t="shared" si="25"/>
        <v>97</v>
      </c>
      <c r="P16" s="17">
        <f t="shared" si="26"/>
        <v>144</v>
      </c>
      <c r="Q16" s="18">
        <f t="shared" si="27"/>
        <v>97</v>
      </c>
      <c r="R16" s="4" t="s">
        <v>0</v>
      </c>
      <c r="S16" s="16" t="str">
        <f t="shared" si="28"/>
        <v>23-22</v>
      </c>
      <c r="T16" s="14">
        <f t="shared" si="29"/>
        <v>144</v>
      </c>
      <c r="U16" s="18">
        <f t="shared" si="30"/>
        <v>669</v>
      </c>
      <c r="V16" s="14">
        <f t="shared" si="31"/>
        <v>160</v>
      </c>
      <c r="W16" s="18">
        <f t="shared" si="32"/>
        <v>669</v>
      </c>
      <c r="X16" s="14">
        <f t="shared" si="33"/>
        <v>160</v>
      </c>
      <c r="Y16" s="18">
        <f t="shared" si="34"/>
        <v>653</v>
      </c>
      <c r="Z16" s="14">
        <f t="shared" si="35"/>
        <v>144</v>
      </c>
      <c r="AA16" s="18">
        <f t="shared" si="36"/>
        <v>653</v>
      </c>
      <c r="AB16" s="4" t="s">
        <v>0</v>
      </c>
    </row>
    <row r="17" spans="1:28">
      <c r="A17" s="9" t="s">
        <v>397</v>
      </c>
      <c r="B17" s="24"/>
      <c r="C17" s="26">
        <v>6</v>
      </c>
      <c r="D17" s="28">
        <f t="shared" si="15"/>
        <v>160</v>
      </c>
      <c r="E17" s="29">
        <f t="shared" ref="E17" si="43">E16</f>
        <v>81</v>
      </c>
      <c r="F17" s="28">
        <f t="shared" si="17"/>
        <v>176</v>
      </c>
      <c r="G17" s="29">
        <f t="shared" ref="G17" si="44">G16</f>
        <v>97</v>
      </c>
      <c r="H17" s="4" t="s">
        <v>0</v>
      </c>
      <c r="I17" s="16" t="str">
        <f t="shared" si="19"/>
        <v>23-21</v>
      </c>
      <c r="J17" s="14">
        <f t="shared" si="20"/>
        <v>160</v>
      </c>
      <c r="K17" s="15">
        <f t="shared" si="21"/>
        <v>81</v>
      </c>
      <c r="L17" s="17">
        <f t="shared" si="22"/>
        <v>176</v>
      </c>
      <c r="M17" s="18">
        <f t="shared" si="23"/>
        <v>81</v>
      </c>
      <c r="N17" s="14">
        <f t="shared" si="24"/>
        <v>176</v>
      </c>
      <c r="O17" s="15">
        <f t="shared" si="25"/>
        <v>97</v>
      </c>
      <c r="P17" s="17">
        <f t="shared" si="26"/>
        <v>160</v>
      </c>
      <c r="Q17" s="18">
        <f t="shared" si="27"/>
        <v>97</v>
      </c>
      <c r="R17" s="4" t="s">
        <v>0</v>
      </c>
      <c r="S17" s="16" t="str">
        <f t="shared" si="28"/>
        <v>23-21</v>
      </c>
      <c r="T17" s="14">
        <f t="shared" si="29"/>
        <v>160</v>
      </c>
      <c r="U17" s="18">
        <f t="shared" si="30"/>
        <v>669</v>
      </c>
      <c r="V17" s="14">
        <f t="shared" si="31"/>
        <v>176</v>
      </c>
      <c r="W17" s="18">
        <f t="shared" si="32"/>
        <v>669</v>
      </c>
      <c r="X17" s="14">
        <f t="shared" si="33"/>
        <v>176</v>
      </c>
      <c r="Y17" s="18">
        <f t="shared" si="34"/>
        <v>653</v>
      </c>
      <c r="Z17" s="14">
        <f t="shared" si="35"/>
        <v>160</v>
      </c>
      <c r="AA17" s="18">
        <f t="shared" si="36"/>
        <v>653</v>
      </c>
      <c r="AB17" s="4" t="s">
        <v>0</v>
      </c>
    </row>
    <row r="18" spans="1:28">
      <c r="A18" s="9" t="s">
        <v>396</v>
      </c>
      <c r="B18" s="24"/>
      <c r="C18" s="26">
        <v>7</v>
      </c>
      <c r="D18" s="28">
        <f t="shared" si="15"/>
        <v>176</v>
      </c>
      <c r="E18" s="29">
        <f t="shared" ref="E18" si="45">E17</f>
        <v>81</v>
      </c>
      <c r="F18" s="28">
        <f t="shared" si="17"/>
        <v>192</v>
      </c>
      <c r="G18" s="29">
        <f t="shared" ref="G18" si="46">G17</f>
        <v>97</v>
      </c>
      <c r="H18" s="4" t="s">
        <v>0</v>
      </c>
      <c r="I18" s="16" t="str">
        <f t="shared" si="19"/>
        <v>23-20</v>
      </c>
      <c r="J18" s="14">
        <f t="shared" si="20"/>
        <v>176</v>
      </c>
      <c r="K18" s="15">
        <f t="shared" si="21"/>
        <v>81</v>
      </c>
      <c r="L18" s="17">
        <f t="shared" si="22"/>
        <v>192</v>
      </c>
      <c r="M18" s="18">
        <f t="shared" si="23"/>
        <v>81</v>
      </c>
      <c r="N18" s="14">
        <f t="shared" si="24"/>
        <v>192</v>
      </c>
      <c r="O18" s="15">
        <f t="shared" si="25"/>
        <v>97</v>
      </c>
      <c r="P18" s="17">
        <f t="shared" si="26"/>
        <v>176</v>
      </c>
      <c r="Q18" s="18">
        <f t="shared" si="27"/>
        <v>97</v>
      </c>
      <c r="R18" s="4" t="s">
        <v>0</v>
      </c>
      <c r="S18" s="16" t="str">
        <f t="shared" si="28"/>
        <v>23-20</v>
      </c>
      <c r="T18" s="14">
        <f t="shared" si="29"/>
        <v>176</v>
      </c>
      <c r="U18" s="18">
        <f t="shared" si="30"/>
        <v>669</v>
      </c>
      <c r="V18" s="14">
        <f t="shared" si="31"/>
        <v>192</v>
      </c>
      <c r="W18" s="18">
        <f t="shared" si="32"/>
        <v>669</v>
      </c>
      <c r="X18" s="14">
        <f t="shared" si="33"/>
        <v>192</v>
      </c>
      <c r="Y18" s="18">
        <f t="shared" si="34"/>
        <v>653</v>
      </c>
      <c r="Z18" s="14">
        <f t="shared" si="35"/>
        <v>176</v>
      </c>
      <c r="AA18" s="18">
        <f t="shared" si="36"/>
        <v>653</v>
      </c>
      <c r="AB18" s="4" t="s">
        <v>0</v>
      </c>
    </row>
    <row r="19" spans="1:28">
      <c r="A19" s="9" t="s">
        <v>395</v>
      </c>
      <c r="B19" s="24"/>
      <c r="C19" s="26">
        <v>8</v>
      </c>
      <c r="D19" s="28">
        <f t="shared" si="15"/>
        <v>192</v>
      </c>
      <c r="E19" s="29">
        <f t="shared" ref="E19" si="47">E18</f>
        <v>81</v>
      </c>
      <c r="F19" s="28">
        <f t="shared" si="17"/>
        <v>208</v>
      </c>
      <c r="G19" s="29">
        <f t="shared" ref="G19" si="48">G18</f>
        <v>97</v>
      </c>
      <c r="H19" s="4" t="s">
        <v>0</v>
      </c>
      <c r="I19" s="16" t="str">
        <f t="shared" si="19"/>
        <v>23-18</v>
      </c>
      <c r="J19" s="14">
        <f t="shared" si="20"/>
        <v>192</v>
      </c>
      <c r="K19" s="15">
        <f t="shared" si="21"/>
        <v>81</v>
      </c>
      <c r="L19" s="17">
        <f t="shared" si="22"/>
        <v>208</v>
      </c>
      <c r="M19" s="18">
        <f t="shared" si="23"/>
        <v>81</v>
      </c>
      <c r="N19" s="14">
        <f t="shared" si="24"/>
        <v>208</v>
      </c>
      <c r="O19" s="15">
        <f t="shared" si="25"/>
        <v>97</v>
      </c>
      <c r="P19" s="17">
        <f t="shared" si="26"/>
        <v>192</v>
      </c>
      <c r="Q19" s="18">
        <f t="shared" si="27"/>
        <v>97</v>
      </c>
      <c r="R19" s="4" t="s">
        <v>0</v>
      </c>
      <c r="S19" s="16" t="str">
        <f t="shared" si="28"/>
        <v>23-18</v>
      </c>
      <c r="T19" s="14">
        <f t="shared" si="29"/>
        <v>192</v>
      </c>
      <c r="U19" s="18">
        <f t="shared" si="30"/>
        <v>669</v>
      </c>
      <c r="V19" s="14">
        <f t="shared" si="31"/>
        <v>208</v>
      </c>
      <c r="W19" s="18">
        <f t="shared" si="32"/>
        <v>669</v>
      </c>
      <c r="X19" s="14">
        <f t="shared" si="33"/>
        <v>208</v>
      </c>
      <c r="Y19" s="18">
        <f t="shared" si="34"/>
        <v>653</v>
      </c>
      <c r="Z19" s="14">
        <f t="shared" si="35"/>
        <v>192</v>
      </c>
      <c r="AA19" s="18">
        <f t="shared" si="36"/>
        <v>653</v>
      </c>
      <c r="AB19" s="4" t="s">
        <v>0</v>
      </c>
    </row>
    <row r="20" spans="1:28">
      <c r="A20" s="9" t="s">
        <v>394</v>
      </c>
      <c r="B20" s="24"/>
      <c r="C20" s="26">
        <v>9</v>
      </c>
      <c r="D20" s="28">
        <f t="shared" si="15"/>
        <v>209</v>
      </c>
      <c r="E20" s="29">
        <f t="shared" ref="E20" si="49">E19</f>
        <v>81</v>
      </c>
      <c r="F20" s="28">
        <f t="shared" si="17"/>
        <v>225</v>
      </c>
      <c r="G20" s="29">
        <f t="shared" ref="G20" si="50">G19</f>
        <v>97</v>
      </c>
      <c r="H20" s="4" t="s">
        <v>0</v>
      </c>
      <c r="I20" s="16" t="str">
        <f t="shared" si="19"/>
        <v>23-17</v>
      </c>
      <c r="J20" s="14">
        <f t="shared" si="20"/>
        <v>209</v>
      </c>
      <c r="K20" s="15">
        <f t="shared" si="21"/>
        <v>81</v>
      </c>
      <c r="L20" s="17">
        <f t="shared" si="22"/>
        <v>225</v>
      </c>
      <c r="M20" s="18">
        <f t="shared" si="23"/>
        <v>81</v>
      </c>
      <c r="N20" s="14">
        <f t="shared" si="24"/>
        <v>225</v>
      </c>
      <c r="O20" s="15">
        <f t="shared" si="25"/>
        <v>97</v>
      </c>
      <c r="P20" s="17">
        <f t="shared" si="26"/>
        <v>209</v>
      </c>
      <c r="Q20" s="18">
        <f t="shared" si="27"/>
        <v>97</v>
      </c>
      <c r="R20" s="4" t="s">
        <v>0</v>
      </c>
      <c r="S20" s="16" t="str">
        <f t="shared" si="28"/>
        <v>23-17</v>
      </c>
      <c r="T20" s="14">
        <f t="shared" si="29"/>
        <v>209</v>
      </c>
      <c r="U20" s="18">
        <f t="shared" si="30"/>
        <v>669</v>
      </c>
      <c r="V20" s="14">
        <f t="shared" si="31"/>
        <v>225</v>
      </c>
      <c r="W20" s="18">
        <f t="shared" si="32"/>
        <v>669</v>
      </c>
      <c r="X20" s="14">
        <f t="shared" si="33"/>
        <v>225</v>
      </c>
      <c r="Y20" s="18">
        <f t="shared" si="34"/>
        <v>653</v>
      </c>
      <c r="Z20" s="14">
        <f t="shared" si="35"/>
        <v>209</v>
      </c>
      <c r="AA20" s="18">
        <f t="shared" si="36"/>
        <v>653</v>
      </c>
      <c r="AB20" s="4" t="s">
        <v>0</v>
      </c>
    </row>
    <row r="21" spans="1:28">
      <c r="A21" s="9" t="s">
        <v>393</v>
      </c>
      <c r="B21" s="24"/>
      <c r="C21" s="26">
        <v>10</v>
      </c>
      <c r="D21" s="28">
        <f t="shared" si="15"/>
        <v>225</v>
      </c>
      <c r="E21" s="29">
        <f t="shared" ref="E21" si="51">E20</f>
        <v>81</v>
      </c>
      <c r="F21" s="28">
        <f t="shared" si="17"/>
        <v>241</v>
      </c>
      <c r="G21" s="29">
        <f t="shared" ref="G21" si="52">G20</f>
        <v>97</v>
      </c>
      <c r="H21" s="4" t="s">
        <v>0</v>
      </c>
      <c r="I21" s="16" t="str">
        <f t="shared" si="19"/>
        <v>23-16</v>
      </c>
      <c r="J21" s="14">
        <f t="shared" si="20"/>
        <v>225</v>
      </c>
      <c r="K21" s="15">
        <f t="shared" si="21"/>
        <v>81</v>
      </c>
      <c r="L21" s="17">
        <f t="shared" si="22"/>
        <v>241</v>
      </c>
      <c r="M21" s="18">
        <f t="shared" si="23"/>
        <v>81</v>
      </c>
      <c r="N21" s="14">
        <f t="shared" si="24"/>
        <v>241</v>
      </c>
      <c r="O21" s="15">
        <f t="shared" si="25"/>
        <v>97</v>
      </c>
      <c r="P21" s="17">
        <f t="shared" si="26"/>
        <v>225</v>
      </c>
      <c r="Q21" s="18">
        <f t="shared" si="27"/>
        <v>97</v>
      </c>
      <c r="R21" s="4" t="s">
        <v>0</v>
      </c>
      <c r="S21" s="16" t="str">
        <f t="shared" si="28"/>
        <v>23-16</v>
      </c>
      <c r="T21" s="14">
        <f t="shared" si="29"/>
        <v>225</v>
      </c>
      <c r="U21" s="18">
        <f t="shared" si="30"/>
        <v>669</v>
      </c>
      <c r="V21" s="14">
        <f t="shared" si="31"/>
        <v>241</v>
      </c>
      <c r="W21" s="18">
        <f t="shared" si="32"/>
        <v>669</v>
      </c>
      <c r="X21" s="14">
        <f t="shared" si="33"/>
        <v>241</v>
      </c>
      <c r="Y21" s="18">
        <f t="shared" si="34"/>
        <v>653</v>
      </c>
      <c r="Z21" s="14">
        <f t="shared" si="35"/>
        <v>225</v>
      </c>
      <c r="AA21" s="18">
        <f t="shared" si="36"/>
        <v>653</v>
      </c>
      <c r="AB21" s="4" t="s">
        <v>0</v>
      </c>
    </row>
    <row r="22" spans="1:28">
      <c r="A22" s="9" t="s">
        <v>392</v>
      </c>
      <c r="B22" s="24"/>
      <c r="C22" s="26"/>
      <c r="D22" s="27">
        <v>266</v>
      </c>
      <c r="E22" s="31">
        <v>81</v>
      </c>
      <c r="F22" s="31">
        <v>282</v>
      </c>
      <c r="G22" s="31">
        <v>97</v>
      </c>
      <c r="H22" s="4" t="s">
        <v>0</v>
      </c>
      <c r="I22" s="16" t="str">
        <f t="shared" si="19"/>
        <v>23-15</v>
      </c>
      <c r="J22" s="14">
        <f t="shared" si="20"/>
        <v>266</v>
      </c>
      <c r="K22" s="15">
        <f t="shared" si="21"/>
        <v>81</v>
      </c>
      <c r="L22" s="17">
        <f t="shared" si="22"/>
        <v>282</v>
      </c>
      <c r="M22" s="18">
        <f t="shared" si="23"/>
        <v>81</v>
      </c>
      <c r="N22" s="14">
        <f t="shared" si="24"/>
        <v>282</v>
      </c>
      <c r="O22" s="15">
        <f t="shared" si="25"/>
        <v>97</v>
      </c>
      <c r="P22" s="17">
        <f t="shared" si="26"/>
        <v>266</v>
      </c>
      <c r="Q22" s="18">
        <f t="shared" si="27"/>
        <v>97</v>
      </c>
      <c r="R22" s="4" t="s">
        <v>0</v>
      </c>
      <c r="S22" s="16" t="str">
        <f t="shared" si="28"/>
        <v>23-15</v>
      </c>
      <c r="T22" s="14">
        <f t="shared" si="29"/>
        <v>266</v>
      </c>
      <c r="U22" s="18">
        <f t="shared" si="30"/>
        <v>669</v>
      </c>
      <c r="V22" s="14">
        <f t="shared" si="31"/>
        <v>282</v>
      </c>
      <c r="W22" s="18">
        <f t="shared" si="32"/>
        <v>669</v>
      </c>
      <c r="X22" s="14">
        <f t="shared" si="33"/>
        <v>282</v>
      </c>
      <c r="Y22" s="18">
        <f t="shared" si="34"/>
        <v>653</v>
      </c>
      <c r="Z22" s="14">
        <f t="shared" si="35"/>
        <v>266</v>
      </c>
      <c r="AA22" s="18">
        <f t="shared" si="36"/>
        <v>653</v>
      </c>
      <c r="AB22" s="4" t="s">
        <v>0</v>
      </c>
    </row>
    <row r="23" spans="1:28">
      <c r="A23" s="9" t="s">
        <v>391</v>
      </c>
      <c r="B23" s="24"/>
      <c r="C23" s="26">
        <v>1</v>
      </c>
      <c r="D23" s="28">
        <f>ROUND(D$22+16.3*$C23, 0)</f>
        <v>282</v>
      </c>
      <c r="E23" s="29">
        <f t="shared" ref="E23" si="53">E22</f>
        <v>81</v>
      </c>
      <c r="F23" s="28">
        <f>ROUND(F$22+16.3*$C23, 0)</f>
        <v>298</v>
      </c>
      <c r="G23" s="29">
        <f t="shared" ref="G23:G33" si="54">G22</f>
        <v>97</v>
      </c>
      <c r="H23" s="4" t="s">
        <v>0</v>
      </c>
      <c r="I23" s="16" t="str">
        <f t="shared" si="19"/>
        <v>23-13</v>
      </c>
      <c r="J23" s="14">
        <f t="shared" si="20"/>
        <v>282</v>
      </c>
      <c r="K23" s="15">
        <f t="shared" si="21"/>
        <v>81</v>
      </c>
      <c r="L23" s="17">
        <f t="shared" si="22"/>
        <v>298</v>
      </c>
      <c r="M23" s="18">
        <f t="shared" si="23"/>
        <v>81</v>
      </c>
      <c r="N23" s="14">
        <f t="shared" si="24"/>
        <v>298</v>
      </c>
      <c r="O23" s="15">
        <f t="shared" si="25"/>
        <v>97</v>
      </c>
      <c r="P23" s="17">
        <f t="shared" si="26"/>
        <v>282</v>
      </c>
      <c r="Q23" s="18">
        <f t="shared" si="27"/>
        <v>97</v>
      </c>
      <c r="R23" s="4" t="s">
        <v>0</v>
      </c>
      <c r="S23" s="16" t="str">
        <f t="shared" si="28"/>
        <v>23-13</v>
      </c>
      <c r="T23" s="14">
        <f t="shared" si="29"/>
        <v>282</v>
      </c>
      <c r="U23" s="18">
        <f t="shared" si="30"/>
        <v>669</v>
      </c>
      <c r="V23" s="14">
        <f t="shared" si="31"/>
        <v>298</v>
      </c>
      <c r="W23" s="18">
        <f t="shared" si="32"/>
        <v>669</v>
      </c>
      <c r="X23" s="14">
        <f t="shared" si="33"/>
        <v>298</v>
      </c>
      <c r="Y23" s="18">
        <f t="shared" si="34"/>
        <v>653</v>
      </c>
      <c r="Z23" s="14">
        <f t="shared" si="35"/>
        <v>282</v>
      </c>
      <c r="AA23" s="18">
        <f t="shared" si="36"/>
        <v>653</v>
      </c>
      <c r="AB23" s="4" t="s">
        <v>0</v>
      </c>
    </row>
    <row r="24" spans="1:28">
      <c r="A24" s="9" t="s">
        <v>390</v>
      </c>
      <c r="B24" s="24"/>
      <c r="C24" s="26">
        <v>2</v>
      </c>
      <c r="D24" s="28">
        <f t="shared" ref="D24:D33" si="55">ROUND(D$22+16.3*$C24, 0)</f>
        <v>299</v>
      </c>
      <c r="E24" s="29">
        <f t="shared" ref="E24" si="56">E23</f>
        <v>81</v>
      </c>
      <c r="F24" s="28">
        <f t="shared" ref="F24:F33" si="57">ROUND(F$22+16.3*$C24, 0)</f>
        <v>315</v>
      </c>
      <c r="G24" s="29">
        <f t="shared" si="54"/>
        <v>97</v>
      </c>
      <c r="H24" s="4" t="s">
        <v>0</v>
      </c>
      <c r="I24" s="16" t="str">
        <f t="shared" si="19"/>
        <v>23-12</v>
      </c>
      <c r="J24" s="14">
        <f t="shared" si="20"/>
        <v>299</v>
      </c>
      <c r="K24" s="15">
        <f t="shared" si="21"/>
        <v>81</v>
      </c>
      <c r="L24" s="17">
        <f t="shared" si="22"/>
        <v>315</v>
      </c>
      <c r="M24" s="18">
        <f t="shared" si="23"/>
        <v>81</v>
      </c>
      <c r="N24" s="14">
        <f t="shared" si="24"/>
        <v>315</v>
      </c>
      <c r="O24" s="15">
        <f t="shared" si="25"/>
        <v>97</v>
      </c>
      <c r="P24" s="17">
        <f t="shared" si="26"/>
        <v>299</v>
      </c>
      <c r="Q24" s="18">
        <f t="shared" si="27"/>
        <v>97</v>
      </c>
      <c r="R24" s="4" t="s">
        <v>0</v>
      </c>
      <c r="S24" s="16" t="str">
        <f t="shared" si="28"/>
        <v>23-12</v>
      </c>
      <c r="T24" s="14">
        <f t="shared" si="29"/>
        <v>299</v>
      </c>
      <c r="U24" s="18">
        <f t="shared" si="30"/>
        <v>669</v>
      </c>
      <c r="V24" s="14">
        <f t="shared" si="31"/>
        <v>315</v>
      </c>
      <c r="W24" s="18">
        <f t="shared" si="32"/>
        <v>669</v>
      </c>
      <c r="X24" s="14">
        <f t="shared" si="33"/>
        <v>315</v>
      </c>
      <c r="Y24" s="18">
        <f t="shared" si="34"/>
        <v>653</v>
      </c>
      <c r="Z24" s="14">
        <f t="shared" si="35"/>
        <v>299</v>
      </c>
      <c r="AA24" s="18">
        <f t="shared" si="36"/>
        <v>653</v>
      </c>
      <c r="AB24" s="4" t="s">
        <v>0</v>
      </c>
    </row>
    <row r="25" spans="1:28">
      <c r="A25" s="9" t="s">
        <v>389</v>
      </c>
      <c r="B25" s="24"/>
      <c r="C25" s="26">
        <v>3</v>
      </c>
      <c r="D25" s="28">
        <f t="shared" si="55"/>
        <v>315</v>
      </c>
      <c r="E25" s="29">
        <f t="shared" ref="E25" si="58">E24</f>
        <v>81</v>
      </c>
      <c r="F25" s="28">
        <f t="shared" si="57"/>
        <v>331</v>
      </c>
      <c r="G25" s="29">
        <f t="shared" si="54"/>
        <v>97</v>
      </c>
      <c r="H25" s="4" t="s">
        <v>0</v>
      </c>
      <c r="I25" s="16" t="str">
        <f t="shared" si="19"/>
        <v>23-11</v>
      </c>
      <c r="J25" s="14">
        <f t="shared" si="20"/>
        <v>315</v>
      </c>
      <c r="K25" s="15">
        <f t="shared" si="21"/>
        <v>81</v>
      </c>
      <c r="L25" s="17">
        <f t="shared" si="22"/>
        <v>331</v>
      </c>
      <c r="M25" s="18">
        <f t="shared" si="23"/>
        <v>81</v>
      </c>
      <c r="N25" s="14">
        <f t="shared" si="24"/>
        <v>331</v>
      </c>
      <c r="O25" s="15">
        <f t="shared" si="25"/>
        <v>97</v>
      </c>
      <c r="P25" s="17">
        <f t="shared" si="26"/>
        <v>315</v>
      </c>
      <c r="Q25" s="18">
        <f t="shared" si="27"/>
        <v>97</v>
      </c>
      <c r="R25" s="4" t="s">
        <v>0</v>
      </c>
      <c r="S25" s="16" t="str">
        <f t="shared" si="28"/>
        <v>23-11</v>
      </c>
      <c r="T25" s="14">
        <f t="shared" si="29"/>
        <v>315</v>
      </c>
      <c r="U25" s="18">
        <f t="shared" si="30"/>
        <v>669</v>
      </c>
      <c r="V25" s="14">
        <f t="shared" si="31"/>
        <v>331</v>
      </c>
      <c r="W25" s="18">
        <f t="shared" si="32"/>
        <v>669</v>
      </c>
      <c r="X25" s="14">
        <f t="shared" si="33"/>
        <v>331</v>
      </c>
      <c r="Y25" s="18">
        <f t="shared" si="34"/>
        <v>653</v>
      </c>
      <c r="Z25" s="14">
        <f t="shared" si="35"/>
        <v>315</v>
      </c>
      <c r="AA25" s="18">
        <f t="shared" si="36"/>
        <v>653</v>
      </c>
      <c r="AB25" s="4" t="s">
        <v>0</v>
      </c>
    </row>
    <row r="26" spans="1:28">
      <c r="A26" s="9" t="s">
        <v>406</v>
      </c>
      <c r="B26" s="24"/>
      <c r="C26" s="26">
        <v>4</v>
      </c>
      <c r="D26" s="28">
        <f t="shared" si="55"/>
        <v>331</v>
      </c>
      <c r="E26" s="29">
        <f t="shared" ref="E26" si="59">E25</f>
        <v>81</v>
      </c>
      <c r="F26" s="28">
        <f t="shared" si="57"/>
        <v>347</v>
      </c>
      <c r="G26" s="29">
        <f t="shared" si="54"/>
        <v>97</v>
      </c>
      <c r="H26" s="4" t="s">
        <v>0</v>
      </c>
      <c r="I26" s="16" t="str">
        <f t="shared" si="19"/>
        <v>23-10</v>
      </c>
      <c r="J26" s="14">
        <f t="shared" si="20"/>
        <v>331</v>
      </c>
      <c r="K26" s="15">
        <f t="shared" si="21"/>
        <v>81</v>
      </c>
      <c r="L26" s="17">
        <f t="shared" si="22"/>
        <v>347</v>
      </c>
      <c r="M26" s="18">
        <f t="shared" si="23"/>
        <v>81</v>
      </c>
      <c r="N26" s="14">
        <f t="shared" si="24"/>
        <v>347</v>
      </c>
      <c r="O26" s="15">
        <f t="shared" si="25"/>
        <v>97</v>
      </c>
      <c r="P26" s="17">
        <f t="shared" si="26"/>
        <v>331</v>
      </c>
      <c r="Q26" s="18">
        <f t="shared" si="27"/>
        <v>97</v>
      </c>
      <c r="R26" s="4" t="s">
        <v>0</v>
      </c>
      <c r="S26" s="16" t="str">
        <f t="shared" si="28"/>
        <v>23-10</v>
      </c>
      <c r="T26" s="14">
        <f t="shared" si="29"/>
        <v>331</v>
      </c>
      <c r="U26" s="18">
        <f t="shared" si="30"/>
        <v>669</v>
      </c>
      <c r="V26" s="14">
        <f t="shared" si="31"/>
        <v>347</v>
      </c>
      <c r="W26" s="18">
        <f t="shared" si="32"/>
        <v>669</v>
      </c>
      <c r="X26" s="14">
        <f t="shared" si="33"/>
        <v>347</v>
      </c>
      <c r="Y26" s="18">
        <f t="shared" si="34"/>
        <v>653</v>
      </c>
      <c r="Z26" s="14">
        <f t="shared" si="35"/>
        <v>331</v>
      </c>
      <c r="AA26" s="18">
        <f t="shared" si="36"/>
        <v>653</v>
      </c>
      <c r="AB26" s="4" t="s">
        <v>0</v>
      </c>
    </row>
    <row r="27" spans="1:28">
      <c r="A27" s="9" t="s">
        <v>388</v>
      </c>
      <c r="B27" s="24"/>
      <c r="C27" s="26">
        <v>5</v>
      </c>
      <c r="D27" s="28">
        <f t="shared" si="55"/>
        <v>348</v>
      </c>
      <c r="E27" s="29">
        <f t="shared" ref="E27" si="60">E26</f>
        <v>81</v>
      </c>
      <c r="F27" s="28">
        <f t="shared" si="57"/>
        <v>364</v>
      </c>
      <c r="G27" s="29">
        <f t="shared" si="54"/>
        <v>97</v>
      </c>
      <c r="H27" s="4" t="s">
        <v>0</v>
      </c>
      <c r="I27" s="16" t="str">
        <f t="shared" si="19"/>
        <v>23-08</v>
      </c>
      <c r="J27" s="14">
        <f t="shared" si="20"/>
        <v>348</v>
      </c>
      <c r="K27" s="15">
        <f t="shared" si="21"/>
        <v>81</v>
      </c>
      <c r="L27" s="17">
        <f t="shared" si="22"/>
        <v>364</v>
      </c>
      <c r="M27" s="18">
        <f t="shared" si="23"/>
        <v>81</v>
      </c>
      <c r="N27" s="14">
        <f t="shared" si="24"/>
        <v>364</v>
      </c>
      <c r="O27" s="15">
        <f t="shared" si="25"/>
        <v>97</v>
      </c>
      <c r="P27" s="17">
        <f t="shared" si="26"/>
        <v>348</v>
      </c>
      <c r="Q27" s="18">
        <f t="shared" si="27"/>
        <v>97</v>
      </c>
      <c r="R27" s="4" t="s">
        <v>0</v>
      </c>
      <c r="S27" s="16" t="str">
        <f t="shared" si="28"/>
        <v>23-08</v>
      </c>
      <c r="T27" s="14">
        <f t="shared" si="29"/>
        <v>348</v>
      </c>
      <c r="U27" s="18">
        <f t="shared" si="30"/>
        <v>669</v>
      </c>
      <c r="V27" s="14">
        <f t="shared" si="31"/>
        <v>364</v>
      </c>
      <c r="W27" s="18">
        <f t="shared" si="32"/>
        <v>669</v>
      </c>
      <c r="X27" s="14">
        <f t="shared" si="33"/>
        <v>364</v>
      </c>
      <c r="Y27" s="18">
        <f t="shared" si="34"/>
        <v>653</v>
      </c>
      <c r="Z27" s="14">
        <f t="shared" si="35"/>
        <v>348</v>
      </c>
      <c r="AA27" s="18">
        <f t="shared" si="36"/>
        <v>653</v>
      </c>
      <c r="AB27" s="4" t="s">
        <v>0</v>
      </c>
    </row>
    <row r="28" spans="1:28">
      <c r="A28" s="9" t="s">
        <v>387</v>
      </c>
      <c r="B28" s="24"/>
      <c r="C28" s="26">
        <v>6</v>
      </c>
      <c r="D28" s="28">
        <f t="shared" si="55"/>
        <v>364</v>
      </c>
      <c r="E28" s="29">
        <f t="shared" ref="E28" si="61">E27</f>
        <v>81</v>
      </c>
      <c r="F28" s="28">
        <f t="shared" si="57"/>
        <v>380</v>
      </c>
      <c r="G28" s="29">
        <f t="shared" si="54"/>
        <v>97</v>
      </c>
      <c r="H28" s="4" t="s">
        <v>0</v>
      </c>
      <c r="I28" s="16" t="str">
        <f t="shared" si="19"/>
        <v>23-07</v>
      </c>
      <c r="J28" s="14">
        <f t="shared" si="20"/>
        <v>364</v>
      </c>
      <c r="K28" s="15">
        <f t="shared" si="21"/>
        <v>81</v>
      </c>
      <c r="L28" s="17">
        <f t="shared" si="22"/>
        <v>380</v>
      </c>
      <c r="M28" s="18">
        <f t="shared" si="23"/>
        <v>81</v>
      </c>
      <c r="N28" s="14">
        <f t="shared" si="24"/>
        <v>380</v>
      </c>
      <c r="O28" s="15">
        <f t="shared" si="25"/>
        <v>97</v>
      </c>
      <c r="P28" s="17">
        <f t="shared" si="26"/>
        <v>364</v>
      </c>
      <c r="Q28" s="18">
        <f t="shared" si="27"/>
        <v>97</v>
      </c>
      <c r="R28" s="4" t="s">
        <v>0</v>
      </c>
      <c r="S28" s="16" t="str">
        <f t="shared" si="28"/>
        <v>23-07</v>
      </c>
      <c r="T28" s="14">
        <f t="shared" si="29"/>
        <v>364</v>
      </c>
      <c r="U28" s="18">
        <f t="shared" si="30"/>
        <v>669</v>
      </c>
      <c r="V28" s="14">
        <f t="shared" si="31"/>
        <v>380</v>
      </c>
      <c r="W28" s="18">
        <f t="shared" si="32"/>
        <v>669</v>
      </c>
      <c r="X28" s="14">
        <f t="shared" si="33"/>
        <v>380</v>
      </c>
      <c r="Y28" s="18">
        <f t="shared" si="34"/>
        <v>653</v>
      </c>
      <c r="Z28" s="14">
        <f t="shared" si="35"/>
        <v>364</v>
      </c>
      <c r="AA28" s="18">
        <f t="shared" si="36"/>
        <v>653</v>
      </c>
      <c r="AB28" s="4" t="s">
        <v>0</v>
      </c>
    </row>
    <row r="29" spans="1:28">
      <c r="A29" s="9" t="s">
        <v>386</v>
      </c>
      <c r="B29" s="24"/>
      <c r="C29" s="26">
        <v>7</v>
      </c>
      <c r="D29" s="28">
        <f t="shared" si="55"/>
        <v>380</v>
      </c>
      <c r="E29" s="29">
        <f t="shared" ref="E29" si="62">E28</f>
        <v>81</v>
      </c>
      <c r="F29" s="28">
        <f t="shared" si="57"/>
        <v>396</v>
      </c>
      <c r="G29" s="29">
        <f t="shared" si="54"/>
        <v>97</v>
      </c>
      <c r="H29" s="4" t="s">
        <v>0</v>
      </c>
      <c r="I29" s="16" t="str">
        <f t="shared" si="19"/>
        <v>23-06</v>
      </c>
      <c r="J29" s="14">
        <f t="shared" si="20"/>
        <v>380</v>
      </c>
      <c r="K29" s="15">
        <f t="shared" si="21"/>
        <v>81</v>
      </c>
      <c r="L29" s="17">
        <f t="shared" si="22"/>
        <v>396</v>
      </c>
      <c r="M29" s="18">
        <f t="shared" si="23"/>
        <v>81</v>
      </c>
      <c r="N29" s="14">
        <f t="shared" si="24"/>
        <v>396</v>
      </c>
      <c r="O29" s="15">
        <f t="shared" si="25"/>
        <v>97</v>
      </c>
      <c r="P29" s="17">
        <f t="shared" si="26"/>
        <v>380</v>
      </c>
      <c r="Q29" s="18">
        <f t="shared" si="27"/>
        <v>97</v>
      </c>
      <c r="R29" s="4" t="s">
        <v>0</v>
      </c>
      <c r="S29" s="16" t="str">
        <f t="shared" si="28"/>
        <v>23-06</v>
      </c>
      <c r="T29" s="14">
        <f t="shared" si="29"/>
        <v>380</v>
      </c>
      <c r="U29" s="18">
        <f t="shared" si="30"/>
        <v>669</v>
      </c>
      <c r="V29" s="14">
        <f t="shared" si="31"/>
        <v>396</v>
      </c>
      <c r="W29" s="18">
        <f t="shared" si="32"/>
        <v>669</v>
      </c>
      <c r="X29" s="14">
        <f t="shared" si="33"/>
        <v>396</v>
      </c>
      <c r="Y29" s="18">
        <f t="shared" si="34"/>
        <v>653</v>
      </c>
      <c r="Z29" s="14">
        <f t="shared" si="35"/>
        <v>380</v>
      </c>
      <c r="AA29" s="18">
        <f t="shared" si="36"/>
        <v>653</v>
      </c>
      <c r="AB29" s="4" t="s">
        <v>0</v>
      </c>
    </row>
    <row r="30" spans="1:28">
      <c r="A30" s="9" t="s">
        <v>385</v>
      </c>
      <c r="B30" s="24"/>
      <c r="C30" s="26">
        <v>8</v>
      </c>
      <c r="D30" s="28">
        <f t="shared" si="55"/>
        <v>396</v>
      </c>
      <c r="E30" s="29">
        <f t="shared" ref="E30" si="63">E29</f>
        <v>81</v>
      </c>
      <c r="F30" s="28">
        <f t="shared" si="57"/>
        <v>412</v>
      </c>
      <c r="G30" s="29">
        <f t="shared" si="54"/>
        <v>97</v>
      </c>
      <c r="H30" s="4" t="s">
        <v>0</v>
      </c>
      <c r="I30" s="16" t="str">
        <f t="shared" si="19"/>
        <v>23-05</v>
      </c>
      <c r="J30" s="14">
        <f t="shared" si="20"/>
        <v>396</v>
      </c>
      <c r="K30" s="15">
        <f t="shared" si="21"/>
        <v>81</v>
      </c>
      <c r="L30" s="17">
        <f t="shared" si="22"/>
        <v>412</v>
      </c>
      <c r="M30" s="18">
        <f t="shared" si="23"/>
        <v>81</v>
      </c>
      <c r="N30" s="14">
        <f t="shared" si="24"/>
        <v>412</v>
      </c>
      <c r="O30" s="15">
        <f t="shared" si="25"/>
        <v>97</v>
      </c>
      <c r="P30" s="17">
        <f t="shared" si="26"/>
        <v>396</v>
      </c>
      <c r="Q30" s="18">
        <f t="shared" si="27"/>
        <v>97</v>
      </c>
      <c r="R30" s="4" t="s">
        <v>0</v>
      </c>
      <c r="S30" s="16" t="str">
        <f t="shared" si="28"/>
        <v>23-05</v>
      </c>
      <c r="T30" s="14">
        <f t="shared" si="29"/>
        <v>396</v>
      </c>
      <c r="U30" s="18">
        <f t="shared" si="30"/>
        <v>669</v>
      </c>
      <c r="V30" s="14">
        <f t="shared" si="31"/>
        <v>412</v>
      </c>
      <c r="W30" s="18">
        <f t="shared" si="32"/>
        <v>669</v>
      </c>
      <c r="X30" s="14">
        <f t="shared" si="33"/>
        <v>412</v>
      </c>
      <c r="Y30" s="18">
        <f t="shared" si="34"/>
        <v>653</v>
      </c>
      <c r="Z30" s="14">
        <f t="shared" si="35"/>
        <v>396</v>
      </c>
      <c r="AA30" s="18">
        <f t="shared" si="36"/>
        <v>653</v>
      </c>
      <c r="AB30" s="4" t="s">
        <v>0</v>
      </c>
    </row>
    <row r="31" spans="1:28">
      <c r="A31" s="9" t="s">
        <v>384</v>
      </c>
      <c r="B31" s="24"/>
      <c r="C31" s="26">
        <v>9</v>
      </c>
      <c r="D31" s="28">
        <f t="shared" si="55"/>
        <v>413</v>
      </c>
      <c r="E31" s="29">
        <f t="shared" ref="E31" si="64">E30</f>
        <v>81</v>
      </c>
      <c r="F31" s="28">
        <f t="shared" si="57"/>
        <v>429</v>
      </c>
      <c r="G31" s="29">
        <f t="shared" si="54"/>
        <v>97</v>
      </c>
      <c r="H31" s="4" t="s">
        <v>0</v>
      </c>
      <c r="I31" s="16" t="str">
        <f t="shared" si="19"/>
        <v>23-03</v>
      </c>
      <c r="J31" s="14">
        <f t="shared" si="20"/>
        <v>413</v>
      </c>
      <c r="K31" s="15">
        <f t="shared" si="21"/>
        <v>81</v>
      </c>
      <c r="L31" s="17">
        <f t="shared" si="22"/>
        <v>429</v>
      </c>
      <c r="M31" s="18">
        <f t="shared" si="23"/>
        <v>81</v>
      </c>
      <c r="N31" s="14">
        <f t="shared" si="24"/>
        <v>429</v>
      </c>
      <c r="O31" s="15">
        <f t="shared" si="25"/>
        <v>97</v>
      </c>
      <c r="P31" s="17">
        <f t="shared" si="26"/>
        <v>413</v>
      </c>
      <c r="Q31" s="18">
        <f t="shared" si="27"/>
        <v>97</v>
      </c>
      <c r="R31" s="4" t="s">
        <v>0</v>
      </c>
      <c r="S31" s="16" t="str">
        <f t="shared" si="28"/>
        <v>23-03</v>
      </c>
      <c r="T31" s="14">
        <f t="shared" si="29"/>
        <v>413</v>
      </c>
      <c r="U31" s="18">
        <f t="shared" si="30"/>
        <v>669</v>
      </c>
      <c r="V31" s="14">
        <f t="shared" si="31"/>
        <v>429</v>
      </c>
      <c r="W31" s="18">
        <f t="shared" si="32"/>
        <v>669</v>
      </c>
      <c r="X31" s="14">
        <f t="shared" si="33"/>
        <v>429</v>
      </c>
      <c r="Y31" s="18">
        <f t="shared" si="34"/>
        <v>653</v>
      </c>
      <c r="Z31" s="14">
        <f t="shared" si="35"/>
        <v>413</v>
      </c>
      <c r="AA31" s="18">
        <f t="shared" si="36"/>
        <v>653</v>
      </c>
      <c r="AB31" s="4" t="s">
        <v>0</v>
      </c>
    </row>
    <row r="32" spans="1:28">
      <c r="A32" s="9" t="s">
        <v>383</v>
      </c>
      <c r="B32" s="24"/>
      <c r="C32" s="26">
        <v>10</v>
      </c>
      <c r="D32" s="28">
        <f t="shared" si="55"/>
        <v>429</v>
      </c>
      <c r="E32" s="29">
        <f t="shared" ref="E32" si="65">E31</f>
        <v>81</v>
      </c>
      <c r="F32" s="28">
        <f t="shared" si="57"/>
        <v>445</v>
      </c>
      <c r="G32" s="29">
        <f t="shared" si="54"/>
        <v>97</v>
      </c>
      <c r="H32" s="4" t="s">
        <v>0</v>
      </c>
      <c r="I32" s="16" t="str">
        <f t="shared" si="19"/>
        <v>23-02</v>
      </c>
      <c r="J32" s="14">
        <f t="shared" si="20"/>
        <v>429</v>
      </c>
      <c r="K32" s="15">
        <f t="shared" si="21"/>
        <v>81</v>
      </c>
      <c r="L32" s="17">
        <f t="shared" si="22"/>
        <v>445</v>
      </c>
      <c r="M32" s="18">
        <f t="shared" si="23"/>
        <v>81</v>
      </c>
      <c r="N32" s="14">
        <f t="shared" si="24"/>
        <v>445</v>
      </c>
      <c r="O32" s="15">
        <f t="shared" si="25"/>
        <v>97</v>
      </c>
      <c r="P32" s="17">
        <f t="shared" si="26"/>
        <v>429</v>
      </c>
      <c r="Q32" s="18">
        <f t="shared" si="27"/>
        <v>97</v>
      </c>
      <c r="R32" s="4" t="s">
        <v>0</v>
      </c>
      <c r="S32" s="16" t="str">
        <f t="shared" si="28"/>
        <v>23-02</v>
      </c>
      <c r="T32" s="14">
        <f t="shared" si="29"/>
        <v>429</v>
      </c>
      <c r="U32" s="18">
        <f t="shared" si="30"/>
        <v>669</v>
      </c>
      <c r="V32" s="14">
        <f t="shared" si="31"/>
        <v>445</v>
      </c>
      <c r="W32" s="18">
        <f t="shared" si="32"/>
        <v>669</v>
      </c>
      <c r="X32" s="14">
        <f t="shared" si="33"/>
        <v>445</v>
      </c>
      <c r="Y32" s="18">
        <f t="shared" si="34"/>
        <v>653</v>
      </c>
      <c r="Z32" s="14">
        <f t="shared" si="35"/>
        <v>429</v>
      </c>
      <c r="AA32" s="18">
        <f t="shared" si="36"/>
        <v>653</v>
      </c>
      <c r="AB32" s="4" t="s">
        <v>0</v>
      </c>
    </row>
    <row r="33" spans="1:28">
      <c r="A33" s="9" t="s">
        <v>382</v>
      </c>
      <c r="B33" s="24"/>
      <c r="C33" s="26">
        <v>11</v>
      </c>
      <c r="D33" s="28">
        <f t="shared" si="55"/>
        <v>445</v>
      </c>
      <c r="E33" s="29">
        <f t="shared" ref="E33:G35" si="66">E32</f>
        <v>81</v>
      </c>
      <c r="F33" s="28">
        <f t="shared" si="57"/>
        <v>461</v>
      </c>
      <c r="G33" s="29">
        <f t="shared" si="54"/>
        <v>97</v>
      </c>
      <c r="H33" s="4" t="s">
        <v>0</v>
      </c>
      <c r="I33" s="16" t="str">
        <f t="shared" si="19"/>
        <v>23-01</v>
      </c>
      <c r="J33" s="14">
        <f t="shared" si="20"/>
        <v>445</v>
      </c>
      <c r="K33" s="15">
        <f t="shared" si="21"/>
        <v>81</v>
      </c>
      <c r="L33" s="17">
        <f t="shared" si="22"/>
        <v>461</v>
      </c>
      <c r="M33" s="18">
        <f t="shared" si="23"/>
        <v>81</v>
      </c>
      <c r="N33" s="14">
        <f t="shared" si="24"/>
        <v>461</v>
      </c>
      <c r="O33" s="15">
        <f t="shared" si="25"/>
        <v>97</v>
      </c>
      <c r="P33" s="17">
        <f t="shared" si="26"/>
        <v>445</v>
      </c>
      <c r="Q33" s="18">
        <f t="shared" si="27"/>
        <v>97</v>
      </c>
      <c r="R33" s="4" t="s">
        <v>0</v>
      </c>
      <c r="S33" s="16" t="str">
        <f t="shared" si="28"/>
        <v>23-01</v>
      </c>
      <c r="T33" s="14">
        <f t="shared" si="29"/>
        <v>445</v>
      </c>
      <c r="U33" s="18">
        <f t="shared" si="30"/>
        <v>669</v>
      </c>
      <c r="V33" s="14">
        <f t="shared" si="31"/>
        <v>461</v>
      </c>
      <c r="W33" s="18">
        <f t="shared" si="32"/>
        <v>669</v>
      </c>
      <c r="X33" s="14">
        <f t="shared" si="33"/>
        <v>461</v>
      </c>
      <c r="Y33" s="18">
        <f t="shared" si="34"/>
        <v>653</v>
      </c>
      <c r="Z33" s="14">
        <f t="shared" si="35"/>
        <v>445</v>
      </c>
      <c r="AA33" s="18">
        <f t="shared" si="36"/>
        <v>653</v>
      </c>
      <c r="AB33" s="4" t="s">
        <v>0</v>
      </c>
    </row>
    <row r="34" spans="1:28">
      <c r="A34" s="9" t="s">
        <v>379</v>
      </c>
      <c r="B34" s="24"/>
      <c r="C34" s="26">
        <v>1</v>
      </c>
      <c r="D34" s="25">
        <f>D11</f>
        <v>62</v>
      </c>
      <c r="E34" s="28">
        <f>ROUND(E$11+21.8*$C34, 0)</f>
        <v>103</v>
      </c>
      <c r="F34" s="25">
        <f>F11</f>
        <v>78</v>
      </c>
      <c r="G34" s="28">
        <f>ROUND(G$11+21.8*$C34, 0)</f>
        <v>119</v>
      </c>
      <c r="H34" s="4" t="s">
        <v>0</v>
      </c>
      <c r="I34" s="16" t="str">
        <f t="shared" si="19"/>
        <v>22-28</v>
      </c>
      <c r="J34" s="14">
        <f t="shared" si="20"/>
        <v>62</v>
      </c>
      <c r="K34" s="15">
        <f t="shared" si="21"/>
        <v>103</v>
      </c>
      <c r="L34" s="17">
        <f t="shared" si="22"/>
        <v>78</v>
      </c>
      <c r="M34" s="18">
        <f t="shared" si="23"/>
        <v>103</v>
      </c>
      <c r="N34" s="14">
        <f t="shared" si="24"/>
        <v>78</v>
      </c>
      <c r="O34" s="15">
        <f t="shared" si="25"/>
        <v>119</v>
      </c>
      <c r="P34" s="17">
        <f t="shared" si="26"/>
        <v>62</v>
      </c>
      <c r="Q34" s="18">
        <f t="shared" si="27"/>
        <v>119</v>
      </c>
      <c r="R34" s="4" t="s">
        <v>0</v>
      </c>
      <c r="S34" s="16" t="str">
        <f t="shared" si="28"/>
        <v>22-28</v>
      </c>
      <c r="T34" s="14">
        <f t="shared" si="29"/>
        <v>62</v>
      </c>
      <c r="U34" s="18">
        <f t="shared" si="30"/>
        <v>647</v>
      </c>
      <c r="V34" s="14">
        <f t="shared" si="31"/>
        <v>78</v>
      </c>
      <c r="W34" s="18">
        <f t="shared" si="32"/>
        <v>647</v>
      </c>
      <c r="X34" s="14">
        <f t="shared" si="33"/>
        <v>78</v>
      </c>
      <c r="Y34" s="18">
        <f t="shared" si="34"/>
        <v>631</v>
      </c>
      <c r="Z34" s="14">
        <f t="shared" si="35"/>
        <v>62</v>
      </c>
      <c r="AA34" s="18">
        <f t="shared" si="36"/>
        <v>631</v>
      </c>
      <c r="AB34" s="4" t="s">
        <v>0</v>
      </c>
    </row>
    <row r="35" spans="1:28">
      <c r="A35" s="9" t="s">
        <v>378</v>
      </c>
      <c r="B35" s="24"/>
      <c r="C35" s="26"/>
      <c r="D35" s="25">
        <f>D12</f>
        <v>78</v>
      </c>
      <c r="E35" s="29">
        <f t="shared" si="66"/>
        <v>103</v>
      </c>
      <c r="F35" s="25">
        <f>F12</f>
        <v>94</v>
      </c>
      <c r="G35" s="29">
        <f t="shared" si="66"/>
        <v>119</v>
      </c>
      <c r="H35" s="4" t="s">
        <v>0</v>
      </c>
      <c r="I35" s="16" t="str">
        <f t="shared" si="19"/>
        <v>22-27</v>
      </c>
      <c r="J35" s="14">
        <f t="shared" si="20"/>
        <v>78</v>
      </c>
      <c r="K35" s="15">
        <f t="shared" si="21"/>
        <v>103</v>
      </c>
      <c r="L35" s="17">
        <f t="shared" si="22"/>
        <v>94</v>
      </c>
      <c r="M35" s="18">
        <f t="shared" si="23"/>
        <v>103</v>
      </c>
      <c r="N35" s="14">
        <f t="shared" si="24"/>
        <v>94</v>
      </c>
      <c r="O35" s="15">
        <f t="shared" si="25"/>
        <v>119</v>
      </c>
      <c r="P35" s="17">
        <f t="shared" si="26"/>
        <v>78</v>
      </c>
      <c r="Q35" s="18">
        <f t="shared" si="27"/>
        <v>119</v>
      </c>
      <c r="R35" s="4" t="s">
        <v>0</v>
      </c>
      <c r="S35" s="16" t="str">
        <f t="shared" si="28"/>
        <v>22-27</v>
      </c>
      <c r="T35" s="14">
        <f t="shared" si="29"/>
        <v>78</v>
      </c>
      <c r="U35" s="18">
        <f t="shared" si="30"/>
        <v>647</v>
      </c>
      <c r="V35" s="14">
        <f t="shared" si="31"/>
        <v>94</v>
      </c>
      <c r="W35" s="18">
        <f t="shared" si="32"/>
        <v>647</v>
      </c>
      <c r="X35" s="14">
        <f t="shared" si="33"/>
        <v>94</v>
      </c>
      <c r="Y35" s="18">
        <f t="shared" si="34"/>
        <v>631</v>
      </c>
      <c r="Z35" s="14">
        <f t="shared" si="35"/>
        <v>78</v>
      </c>
      <c r="AA35" s="18">
        <f t="shared" si="36"/>
        <v>631</v>
      </c>
      <c r="AB35" s="4" t="s">
        <v>0</v>
      </c>
    </row>
    <row r="36" spans="1:28">
      <c r="A36" s="9" t="s">
        <v>377</v>
      </c>
      <c r="B36" s="24"/>
      <c r="C36" s="26"/>
      <c r="D36" s="25">
        <f t="shared" ref="D36:D99" si="67">D13</f>
        <v>95</v>
      </c>
      <c r="E36" s="29">
        <f t="shared" ref="E36" si="68">E35</f>
        <v>103</v>
      </c>
      <c r="F36" s="25">
        <f t="shared" ref="F36:F99" si="69">F13</f>
        <v>111</v>
      </c>
      <c r="G36" s="29">
        <f t="shared" ref="G36" si="70">G35</f>
        <v>119</v>
      </c>
      <c r="H36" s="4" t="s">
        <v>0</v>
      </c>
      <c r="I36" s="16" t="str">
        <f t="shared" si="19"/>
        <v>22-26</v>
      </c>
      <c r="J36" s="14">
        <f t="shared" si="20"/>
        <v>95</v>
      </c>
      <c r="K36" s="15">
        <f t="shared" si="21"/>
        <v>103</v>
      </c>
      <c r="L36" s="17">
        <f t="shared" si="22"/>
        <v>111</v>
      </c>
      <c r="M36" s="18">
        <f t="shared" si="23"/>
        <v>103</v>
      </c>
      <c r="N36" s="14">
        <f t="shared" si="24"/>
        <v>111</v>
      </c>
      <c r="O36" s="15">
        <f t="shared" si="25"/>
        <v>119</v>
      </c>
      <c r="P36" s="17">
        <f t="shared" si="26"/>
        <v>95</v>
      </c>
      <c r="Q36" s="18">
        <f t="shared" si="27"/>
        <v>119</v>
      </c>
      <c r="R36" s="4" t="s">
        <v>0</v>
      </c>
      <c r="S36" s="16" t="str">
        <f t="shared" si="28"/>
        <v>22-26</v>
      </c>
      <c r="T36" s="14">
        <f t="shared" si="29"/>
        <v>95</v>
      </c>
      <c r="U36" s="18">
        <f t="shared" si="30"/>
        <v>647</v>
      </c>
      <c r="V36" s="14">
        <f t="shared" si="31"/>
        <v>111</v>
      </c>
      <c r="W36" s="18">
        <f t="shared" si="32"/>
        <v>647</v>
      </c>
      <c r="X36" s="14">
        <f t="shared" si="33"/>
        <v>111</v>
      </c>
      <c r="Y36" s="18">
        <f t="shared" si="34"/>
        <v>631</v>
      </c>
      <c r="Z36" s="14">
        <f t="shared" si="35"/>
        <v>95</v>
      </c>
      <c r="AA36" s="18">
        <f t="shared" si="36"/>
        <v>631</v>
      </c>
      <c r="AB36" s="4" t="s">
        <v>0</v>
      </c>
    </row>
    <row r="37" spans="1:28">
      <c r="A37" s="9" t="s">
        <v>376</v>
      </c>
      <c r="B37" s="24"/>
      <c r="C37" s="26"/>
      <c r="D37" s="25">
        <f t="shared" si="67"/>
        <v>111</v>
      </c>
      <c r="E37" s="29">
        <f t="shared" ref="E37" si="71">E36</f>
        <v>103</v>
      </c>
      <c r="F37" s="25">
        <f t="shared" si="69"/>
        <v>127</v>
      </c>
      <c r="G37" s="29">
        <f t="shared" ref="G37" si="72">G36</f>
        <v>119</v>
      </c>
      <c r="H37" s="4" t="s">
        <v>0</v>
      </c>
      <c r="I37" s="16" t="str">
        <f t="shared" si="19"/>
        <v>22-25</v>
      </c>
      <c r="J37" s="14">
        <f t="shared" si="20"/>
        <v>111</v>
      </c>
      <c r="K37" s="15">
        <f t="shared" si="21"/>
        <v>103</v>
      </c>
      <c r="L37" s="17">
        <f t="shared" si="22"/>
        <v>127</v>
      </c>
      <c r="M37" s="18">
        <f t="shared" si="23"/>
        <v>103</v>
      </c>
      <c r="N37" s="14">
        <f t="shared" si="24"/>
        <v>127</v>
      </c>
      <c r="O37" s="15">
        <f t="shared" si="25"/>
        <v>119</v>
      </c>
      <c r="P37" s="17">
        <f t="shared" si="26"/>
        <v>111</v>
      </c>
      <c r="Q37" s="18">
        <f t="shared" si="27"/>
        <v>119</v>
      </c>
      <c r="R37" s="4" t="s">
        <v>0</v>
      </c>
      <c r="S37" s="16" t="str">
        <f t="shared" si="28"/>
        <v>22-25</v>
      </c>
      <c r="T37" s="14">
        <f t="shared" si="29"/>
        <v>111</v>
      </c>
      <c r="U37" s="18">
        <f t="shared" si="30"/>
        <v>647</v>
      </c>
      <c r="V37" s="14">
        <f t="shared" si="31"/>
        <v>127</v>
      </c>
      <c r="W37" s="18">
        <f t="shared" si="32"/>
        <v>647</v>
      </c>
      <c r="X37" s="14">
        <f t="shared" si="33"/>
        <v>127</v>
      </c>
      <c r="Y37" s="18">
        <f t="shared" si="34"/>
        <v>631</v>
      </c>
      <c r="Z37" s="14">
        <f t="shared" si="35"/>
        <v>111</v>
      </c>
      <c r="AA37" s="18">
        <f t="shared" si="36"/>
        <v>631</v>
      </c>
      <c r="AB37" s="4" t="s">
        <v>0</v>
      </c>
    </row>
    <row r="38" spans="1:28">
      <c r="A38" s="9" t="s">
        <v>375</v>
      </c>
      <c r="B38" s="24"/>
      <c r="C38" s="26"/>
      <c r="D38" s="25">
        <f t="shared" si="67"/>
        <v>127</v>
      </c>
      <c r="E38" s="29">
        <f t="shared" ref="E38" si="73">E37</f>
        <v>103</v>
      </c>
      <c r="F38" s="25">
        <f t="shared" si="69"/>
        <v>143</v>
      </c>
      <c r="G38" s="29">
        <f t="shared" ref="G38" si="74">G37</f>
        <v>119</v>
      </c>
      <c r="H38" s="4" t="s">
        <v>0</v>
      </c>
      <c r="I38" s="16" t="str">
        <f t="shared" si="19"/>
        <v>22-23</v>
      </c>
      <c r="J38" s="14">
        <f t="shared" si="20"/>
        <v>127</v>
      </c>
      <c r="K38" s="15">
        <f t="shared" si="21"/>
        <v>103</v>
      </c>
      <c r="L38" s="17">
        <f t="shared" si="22"/>
        <v>143</v>
      </c>
      <c r="M38" s="18">
        <f t="shared" si="23"/>
        <v>103</v>
      </c>
      <c r="N38" s="14">
        <f t="shared" si="24"/>
        <v>143</v>
      </c>
      <c r="O38" s="15">
        <f t="shared" si="25"/>
        <v>119</v>
      </c>
      <c r="P38" s="17">
        <f t="shared" si="26"/>
        <v>127</v>
      </c>
      <c r="Q38" s="18">
        <f t="shared" si="27"/>
        <v>119</v>
      </c>
      <c r="R38" s="4" t="s">
        <v>0</v>
      </c>
      <c r="S38" s="16" t="str">
        <f t="shared" si="28"/>
        <v>22-23</v>
      </c>
      <c r="T38" s="14">
        <f t="shared" si="29"/>
        <v>127</v>
      </c>
      <c r="U38" s="18">
        <f t="shared" si="30"/>
        <v>647</v>
      </c>
      <c r="V38" s="14">
        <f t="shared" si="31"/>
        <v>143</v>
      </c>
      <c r="W38" s="18">
        <f t="shared" si="32"/>
        <v>647</v>
      </c>
      <c r="X38" s="14">
        <f t="shared" si="33"/>
        <v>143</v>
      </c>
      <c r="Y38" s="18">
        <f t="shared" si="34"/>
        <v>631</v>
      </c>
      <c r="Z38" s="14">
        <f t="shared" si="35"/>
        <v>127</v>
      </c>
      <c r="AA38" s="18">
        <f t="shared" si="36"/>
        <v>631</v>
      </c>
      <c r="AB38" s="4" t="s">
        <v>0</v>
      </c>
    </row>
    <row r="39" spans="1:28">
      <c r="A39" s="9" t="s">
        <v>374</v>
      </c>
      <c r="B39" s="24"/>
      <c r="C39" s="26"/>
      <c r="D39" s="25">
        <f t="shared" si="67"/>
        <v>144</v>
      </c>
      <c r="E39" s="29">
        <f t="shared" ref="E39" si="75">E38</f>
        <v>103</v>
      </c>
      <c r="F39" s="25">
        <f t="shared" si="69"/>
        <v>160</v>
      </c>
      <c r="G39" s="29">
        <f t="shared" ref="G39" si="76">G38</f>
        <v>119</v>
      </c>
      <c r="H39" s="4" t="s">
        <v>0</v>
      </c>
      <c r="I39" s="16" t="str">
        <f t="shared" si="19"/>
        <v>22-22</v>
      </c>
      <c r="J39" s="14">
        <f t="shared" si="20"/>
        <v>144</v>
      </c>
      <c r="K39" s="15">
        <f t="shared" si="21"/>
        <v>103</v>
      </c>
      <c r="L39" s="17">
        <f t="shared" si="22"/>
        <v>160</v>
      </c>
      <c r="M39" s="18">
        <f t="shared" si="23"/>
        <v>103</v>
      </c>
      <c r="N39" s="14">
        <f t="shared" si="24"/>
        <v>160</v>
      </c>
      <c r="O39" s="15">
        <f t="shared" si="25"/>
        <v>119</v>
      </c>
      <c r="P39" s="17">
        <f t="shared" si="26"/>
        <v>144</v>
      </c>
      <c r="Q39" s="18">
        <f t="shared" si="27"/>
        <v>119</v>
      </c>
      <c r="R39" s="4" t="s">
        <v>0</v>
      </c>
      <c r="S39" s="16" t="str">
        <f t="shared" si="28"/>
        <v>22-22</v>
      </c>
      <c r="T39" s="14">
        <f t="shared" si="29"/>
        <v>144</v>
      </c>
      <c r="U39" s="18">
        <f t="shared" si="30"/>
        <v>647</v>
      </c>
      <c r="V39" s="14">
        <f t="shared" si="31"/>
        <v>160</v>
      </c>
      <c r="W39" s="18">
        <f t="shared" si="32"/>
        <v>647</v>
      </c>
      <c r="X39" s="14">
        <f t="shared" si="33"/>
        <v>160</v>
      </c>
      <c r="Y39" s="18">
        <f t="shared" si="34"/>
        <v>631</v>
      </c>
      <c r="Z39" s="14">
        <f t="shared" si="35"/>
        <v>144</v>
      </c>
      <c r="AA39" s="18">
        <f t="shared" si="36"/>
        <v>631</v>
      </c>
      <c r="AB39" s="4" t="s">
        <v>0</v>
      </c>
    </row>
    <row r="40" spans="1:28">
      <c r="A40" s="9" t="s">
        <v>373</v>
      </c>
      <c r="B40" s="24"/>
      <c r="C40" s="26"/>
      <c r="D40" s="25">
        <f t="shared" si="67"/>
        <v>160</v>
      </c>
      <c r="E40" s="29">
        <f t="shared" ref="E40" si="77">E39</f>
        <v>103</v>
      </c>
      <c r="F40" s="25">
        <f t="shared" si="69"/>
        <v>176</v>
      </c>
      <c r="G40" s="29">
        <f t="shared" ref="G40" si="78">G39</f>
        <v>119</v>
      </c>
      <c r="H40" s="4" t="s">
        <v>0</v>
      </c>
      <c r="I40" s="16" t="str">
        <f t="shared" si="19"/>
        <v>22-21</v>
      </c>
      <c r="J40" s="14">
        <f t="shared" si="20"/>
        <v>160</v>
      </c>
      <c r="K40" s="15">
        <f t="shared" si="21"/>
        <v>103</v>
      </c>
      <c r="L40" s="17">
        <f t="shared" si="22"/>
        <v>176</v>
      </c>
      <c r="M40" s="18">
        <f t="shared" si="23"/>
        <v>103</v>
      </c>
      <c r="N40" s="14">
        <f t="shared" si="24"/>
        <v>176</v>
      </c>
      <c r="O40" s="15">
        <f t="shared" si="25"/>
        <v>119</v>
      </c>
      <c r="P40" s="17">
        <f t="shared" si="26"/>
        <v>160</v>
      </c>
      <c r="Q40" s="18">
        <f t="shared" si="27"/>
        <v>119</v>
      </c>
      <c r="R40" s="4" t="s">
        <v>0</v>
      </c>
      <c r="S40" s="16" t="str">
        <f t="shared" si="28"/>
        <v>22-21</v>
      </c>
      <c r="T40" s="14">
        <f t="shared" si="29"/>
        <v>160</v>
      </c>
      <c r="U40" s="18">
        <f t="shared" si="30"/>
        <v>647</v>
      </c>
      <c r="V40" s="14">
        <f t="shared" si="31"/>
        <v>176</v>
      </c>
      <c r="W40" s="18">
        <f t="shared" si="32"/>
        <v>647</v>
      </c>
      <c r="X40" s="14">
        <f t="shared" si="33"/>
        <v>176</v>
      </c>
      <c r="Y40" s="18">
        <f t="shared" si="34"/>
        <v>631</v>
      </c>
      <c r="Z40" s="14">
        <f t="shared" si="35"/>
        <v>160</v>
      </c>
      <c r="AA40" s="18">
        <f t="shared" si="36"/>
        <v>631</v>
      </c>
      <c r="AB40" s="4" t="s">
        <v>0</v>
      </c>
    </row>
    <row r="41" spans="1:28">
      <c r="A41" s="9" t="s">
        <v>372</v>
      </c>
      <c r="B41" s="24"/>
      <c r="C41" s="26"/>
      <c r="D41" s="25">
        <f t="shared" si="67"/>
        <v>176</v>
      </c>
      <c r="E41" s="29">
        <f t="shared" ref="E41" si="79">E40</f>
        <v>103</v>
      </c>
      <c r="F41" s="25">
        <f t="shared" si="69"/>
        <v>192</v>
      </c>
      <c r="G41" s="29">
        <f t="shared" ref="G41" si="80">G40</f>
        <v>119</v>
      </c>
      <c r="H41" s="4" t="s">
        <v>0</v>
      </c>
      <c r="I41" s="16" t="str">
        <f t="shared" si="19"/>
        <v>22-20</v>
      </c>
      <c r="J41" s="14">
        <f t="shared" si="20"/>
        <v>176</v>
      </c>
      <c r="K41" s="15">
        <f t="shared" si="21"/>
        <v>103</v>
      </c>
      <c r="L41" s="17">
        <f t="shared" si="22"/>
        <v>192</v>
      </c>
      <c r="M41" s="18">
        <f t="shared" si="23"/>
        <v>103</v>
      </c>
      <c r="N41" s="14">
        <f t="shared" si="24"/>
        <v>192</v>
      </c>
      <c r="O41" s="15">
        <f t="shared" si="25"/>
        <v>119</v>
      </c>
      <c r="P41" s="17">
        <f t="shared" si="26"/>
        <v>176</v>
      </c>
      <c r="Q41" s="18">
        <f t="shared" si="27"/>
        <v>119</v>
      </c>
      <c r="R41" s="4" t="s">
        <v>0</v>
      </c>
      <c r="S41" s="16" t="str">
        <f t="shared" si="28"/>
        <v>22-20</v>
      </c>
      <c r="T41" s="14">
        <f t="shared" si="29"/>
        <v>176</v>
      </c>
      <c r="U41" s="18">
        <f t="shared" si="30"/>
        <v>647</v>
      </c>
      <c r="V41" s="14">
        <f t="shared" si="31"/>
        <v>192</v>
      </c>
      <c r="W41" s="18">
        <f t="shared" si="32"/>
        <v>647</v>
      </c>
      <c r="X41" s="14">
        <f t="shared" si="33"/>
        <v>192</v>
      </c>
      <c r="Y41" s="18">
        <f t="shared" si="34"/>
        <v>631</v>
      </c>
      <c r="Z41" s="14">
        <f t="shared" si="35"/>
        <v>176</v>
      </c>
      <c r="AA41" s="18">
        <f t="shared" si="36"/>
        <v>631</v>
      </c>
      <c r="AB41" s="4" t="s">
        <v>0</v>
      </c>
    </row>
    <row r="42" spans="1:28">
      <c r="A42" s="9" t="s">
        <v>371</v>
      </c>
      <c r="B42" s="24"/>
      <c r="C42" s="26"/>
      <c r="D42" s="25">
        <f t="shared" si="67"/>
        <v>192</v>
      </c>
      <c r="E42" s="29">
        <f t="shared" ref="E42" si="81">E41</f>
        <v>103</v>
      </c>
      <c r="F42" s="25">
        <f t="shared" si="69"/>
        <v>208</v>
      </c>
      <c r="G42" s="29">
        <f t="shared" ref="G42" si="82">G41</f>
        <v>119</v>
      </c>
      <c r="H42" s="4" t="s">
        <v>0</v>
      </c>
      <c r="I42" s="16" t="str">
        <f t="shared" si="19"/>
        <v>22-18</v>
      </c>
      <c r="J42" s="14">
        <f t="shared" si="20"/>
        <v>192</v>
      </c>
      <c r="K42" s="15">
        <f t="shared" si="21"/>
        <v>103</v>
      </c>
      <c r="L42" s="17">
        <f t="shared" si="22"/>
        <v>208</v>
      </c>
      <c r="M42" s="18">
        <f t="shared" si="23"/>
        <v>103</v>
      </c>
      <c r="N42" s="14">
        <f t="shared" si="24"/>
        <v>208</v>
      </c>
      <c r="O42" s="15">
        <f t="shared" si="25"/>
        <v>119</v>
      </c>
      <c r="P42" s="17">
        <f t="shared" si="26"/>
        <v>192</v>
      </c>
      <c r="Q42" s="18">
        <f t="shared" si="27"/>
        <v>119</v>
      </c>
      <c r="R42" s="4" t="s">
        <v>0</v>
      </c>
      <c r="S42" s="16" t="str">
        <f t="shared" si="28"/>
        <v>22-18</v>
      </c>
      <c r="T42" s="14">
        <f t="shared" si="29"/>
        <v>192</v>
      </c>
      <c r="U42" s="18">
        <f t="shared" si="30"/>
        <v>647</v>
      </c>
      <c r="V42" s="14">
        <f t="shared" si="31"/>
        <v>208</v>
      </c>
      <c r="W42" s="18">
        <f t="shared" si="32"/>
        <v>647</v>
      </c>
      <c r="X42" s="14">
        <f t="shared" si="33"/>
        <v>208</v>
      </c>
      <c r="Y42" s="18">
        <f t="shared" si="34"/>
        <v>631</v>
      </c>
      <c r="Z42" s="14">
        <f t="shared" si="35"/>
        <v>192</v>
      </c>
      <c r="AA42" s="18">
        <f t="shared" si="36"/>
        <v>631</v>
      </c>
      <c r="AB42" s="4" t="s">
        <v>0</v>
      </c>
    </row>
    <row r="43" spans="1:28">
      <c r="A43" s="9" t="s">
        <v>370</v>
      </c>
      <c r="B43" s="24"/>
      <c r="C43" s="26"/>
      <c r="D43" s="25">
        <f t="shared" si="67"/>
        <v>209</v>
      </c>
      <c r="E43" s="29">
        <f t="shared" ref="E43" si="83">E42</f>
        <v>103</v>
      </c>
      <c r="F43" s="25">
        <f t="shared" si="69"/>
        <v>225</v>
      </c>
      <c r="G43" s="29">
        <f t="shared" ref="G43" si="84">G42</f>
        <v>119</v>
      </c>
      <c r="H43" s="4" t="s">
        <v>0</v>
      </c>
      <c r="I43" s="16" t="str">
        <f t="shared" si="19"/>
        <v>22-17</v>
      </c>
      <c r="J43" s="14">
        <f t="shared" si="20"/>
        <v>209</v>
      </c>
      <c r="K43" s="15">
        <f t="shared" si="21"/>
        <v>103</v>
      </c>
      <c r="L43" s="17">
        <f t="shared" si="22"/>
        <v>225</v>
      </c>
      <c r="M43" s="18">
        <f t="shared" si="23"/>
        <v>103</v>
      </c>
      <c r="N43" s="14">
        <f t="shared" si="24"/>
        <v>225</v>
      </c>
      <c r="O43" s="15">
        <f t="shared" si="25"/>
        <v>119</v>
      </c>
      <c r="P43" s="17">
        <f t="shared" si="26"/>
        <v>209</v>
      </c>
      <c r="Q43" s="18">
        <f t="shared" si="27"/>
        <v>119</v>
      </c>
      <c r="R43" s="4" t="s">
        <v>0</v>
      </c>
      <c r="S43" s="16" t="str">
        <f t="shared" si="28"/>
        <v>22-17</v>
      </c>
      <c r="T43" s="14">
        <f t="shared" si="29"/>
        <v>209</v>
      </c>
      <c r="U43" s="18">
        <f t="shared" si="30"/>
        <v>647</v>
      </c>
      <c r="V43" s="14">
        <f t="shared" si="31"/>
        <v>225</v>
      </c>
      <c r="W43" s="18">
        <f t="shared" si="32"/>
        <v>647</v>
      </c>
      <c r="X43" s="14">
        <f t="shared" si="33"/>
        <v>225</v>
      </c>
      <c r="Y43" s="18">
        <f t="shared" si="34"/>
        <v>631</v>
      </c>
      <c r="Z43" s="14">
        <f t="shared" si="35"/>
        <v>209</v>
      </c>
      <c r="AA43" s="18">
        <f t="shared" si="36"/>
        <v>631</v>
      </c>
      <c r="AB43" s="4" t="s">
        <v>0</v>
      </c>
    </row>
    <row r="44" spans="1:28">
      <c r="A44" s="9" t="s">
        <v>369</v>
      </c>
      <c r="B44" s="24"/>
      <c r="C44" s="26"/>
      <c r="D44" s="25">
        <f t="shared" si="67"/>
        <v>225</v>
      </c>
      <c r="E44" s="29">
        <f t="shared" ref="E44" si="85">E43</f>
        <v>103</v>
      </c>
      <c r="F44" s="25">
        <f t="shared" si="69"/>
        <v>241</v>
      </c>
      <c r="G44" s="29">
        <f t="shared" ref="G44" si="86">G43</f>
        <v>119</v>
      </c>
      <c r="H44" s="4" t="s">
        <v>0</v>
      </c>
      <c r="I44" s="16" t="str">
        <f t="shared" si="19"/>
        <v>22-16</v>
      </c>
      <c r="J44" s="14">
        <f t="shared" si="20"/>
        <v>225</v>
      </c>
      <c r="K44" s="15">
        <f t="shared" si="21"/>
        <v>103</v>
      </c>
      <c r="L44" s="17">
        <f t="shared" si="22"/>
        <v>241</v>
      </c>
      <c r="M44" s="18">
        <f t="shared" si="23"/>
        <v>103</v>
      </c>
      <c r="N44" s="14">
        <f t="shared" si="24"/>
        <v>241</v>
      </c>
      <c r="O44" s="15">
        <f t="shared" si="25"/>
        <v>119</v>
      </c>
      <c r="P44" s="17">
        <f t="shared" si="26"/>
        <v>225</v>
      </c>
      <c r="Q44" s="18">
        <f t="shared" si="27"/>
        <v>119</v>
      </c>
      <c r="R44" s="4" t="s">
        <v>0</v>
      </c>
      <c r="S44" s="16" t="str">
        <f t="shared" si="28"/>
        <v>22-16</v>
      </c>
      <c r="T44" s="14">
        <f t="shared" si="29"/>
        <v>225</v>
      </c>
      <c r="U44" s="18">
        <f t="shared" si="30"/>
        <v>647</v>
      </c>
      <c r="V44" s="14">
        <f t="shared" si="31"/>
        <v>241</v>
      </c>
      <c r="W44" s="18">
        <f t="shared" si="32"/>
        <v>647</v>
      </c>
      <c r="X44" s="14">
        <f t="shared" si="33"/>
        <v>241</v>
      </c>
      <c r="Y44" s="18">
        <f t="shared" si="34"/>
        <v>631</v>
      </c>
      <c r="Z44" s="14">
        <f t="shared" si="35"/>
        <v>225</v>
      </c>
      <c r="AA44" s="18">
        <f t="shared" si="36"/>
        <v>631</v>
      </c>
      <c r="AB44" s="4" t="s">
        <v>0</v>
      </c>
    </row>
    <row r="45" spans="1:28">
      <c r="A45" s="9" t="s">
        <v>368</v>
      </c>
      <c r="B45" s="24"/>
      <c r="C45" s="26"/>
      <c r="D45" s="25">
        <f t="shared" si="67"/>
        <v>266</v>
      </c>
      <c r="E45" s="29">
        <f t="shared" ref="E45" si="87">E44</f>
        <v>103</v>
      </c>
      <c r="F45" s="25">
        <f t="shared" si="69"/>
        <v>282</v>
      </c>
      <c r="G45" s="29">
        <f t="shared" ref="G45" si="88">G44</f>
        <v>119</v>
      </c>
      <c r="H45" s="4" t="s">
        <v>0</v>
      </c>
      <c r="I45" s="16" t="str">
        <f t="shared" si="19"/>
        <v>22-15</v>
      </c>
      <c r="J45" s="14">
        <f t="shared" si="20"/>
        <v>266</v>
      </c>
      <c r="K45" s="15">
        <f t="shared" si="21"/>
        <v>103</v>
      </c>
      <c r="L45" s="17">
        <f t="shared" si="22"/>
        <v>282</v>
      </c>
      <c r="M45" s="18">
        <f t="shared" si="23"/>
        <v>103</v>
      </c>
      <c r="N45" s="14">
        <f t="shared" si="24"/>
        <v>282</v>
      </c>
      <c r="O45" s="15">
        <f t="shared" si="25"/>
        <v>119</v>
      </c>
      <c r="P45" s="17">
        <f t="shared" si="26"/>
        <v>266</v>
      </c>
      <c r="Q45" s="18">
        <f t="shared" si="27"/>
        <v>119</v>
      </c>
      <c r="R45" s="4" t="s">
        <v>0</v>
      </c>
      <c r="S45" s="16" t="str">
        <f t="shared" si="28"/>
        <v>22-15</v>
      </c>
      <c r="T45" s="14">
        <f t="shared" si="29"/>
        <v>266</v>
      </c>
      <c r="U45" s="18">
        <f t="shared" si="30"/>
        <v>647</v>
      </c>
      <c r="V45" s="14">
        <f t="shared" si="31"/>
        <v>282</v>
      </c>
      <c r="W45" s="18">
        <f t="shared" si="32"/>
        <v>647</v>
      </c>
      <c r="X45" s="14">
        <f t="shared" si="33"/>
        <v>282</v>
      </c>
      <c r="Y45" s="18">
        <f t="shared" si="34"/>
        <v>631</v>
      </c>
      <c r="Z45" s="14">
        <f t="shared" si="35"/>
        <v>266</v>
      </c>
      <c r="AA45" s="18">
        <f t="shared" si="36"/>
        <v>631</v>
      </c>
      <c r="AB45" s="4" t="s">
        <v>0</v>
      </c>
    </row>
    <row r="46" spans="1:28">
      <c r="A46" s="9" t="s">
        <v>367</v>
      </c>
      <c r="B46" s="24"/>
      <c r="C46" s="26"/>
      <c r="D46" s="25">
        <f t="shared" si="67"/>
        <v>282</v>
      </c>
      <c r="E46" s="29">
        <f t="shared" ref="E46" si="89">E45</f>
        <v>103</v>
      </c>
      <c r="F46" s="25">
        <f t="shared" si="69"/>
        <v>298</v>
      </c>
      <c r="G46" s="29">
        <f t="shared" ref="G46" si="90">G45</f>
        <v>119</v>
      </c>
      <c r="H46" s="4" t="s">
        <v>0</v>
      </c>
      <c r="I46" s="16" t="str">
        <f t="shared" si="19"/>
        <v>22-13</v>
      </c>
      <c r="J46" s="14">
        <f t="shared" si="20"/>
        <v>282</v>
      </c>
      <c r="K46" s="15">
        <f t="shared" si="21"/>
        <v>103</v>
      </c>
      <c r="L46" s="17">
        <f t="shared" si="22"/>
        <v>298</v>
      </c>
      <c r="M46" s="18">
        <f t="shared" si="23"/>
        <v>103</v>
      </c>
      <c r="N46" s="14">
        <f t="shared" si="24"/>
        <v>298</v>
      </c>
      <c r="O46" s="15">
        <f t="shared" si="25"/>
        <v>119</v>
      </c>
      <c r="P46" s="17">
        <f t="shared" si="26"/>
        <v>282</v>
      </c>
      <c r="Q46" s="18">
        <f t="shared" si="27"/>
        <v>119</v>
      </c>
      <c r="R46" s="4" t="s">
        <v>0</v>
      </c>
      <c r="S46" s="16" t="str">
        <f t="shared" si="28"/>
        <v>22-13</v>
      </c>
      <c r="T46" s="14">
        <f t="shared" si="29"/>
        <v>282</v>
      </c>
      <c r="U46" s="18">
        <f t="shared" si="30"/>
        <v>647</v>
      </c>
      <c r="V46" s="14">
        <f t="shared" si="31"/>
        <v>298</v>
      </c>
      <c r="W46" s="18">
        <f t="shared" si="32"/>
        <v>647</v>
      </c>
      <c r="X46" s="14">
        <f t="shared" si="33"/>
        <v>298</v>
      </c>
      <c r="Y46" s="18">
        <f t="shared" si="34"/>
        <v>631</v>
      </c>
      <c r="Z46" s="14">
        <f t="shared" si="35"/>
        <v>282</v>
      </c>
      <c r="AA46" s="18">
        <f t="shared" si="36"/>
        <v>631</v>
      </c>
      <c r="AB46" s="4" t="s">
        <v>0</v>
      </c>
    </row>
    <row r="47" spans="1:28">
      <c r="A47" s="9" t="s">
        <v>366</v>
      </c>
      <c r="B47" s="24"/>
      <c r="C47" s="26"/>
      <c r="D47" s="25">
        <f t="shared" si="67"/>
        <v>299</v>
      </c>
      <c r="E47" s="29">
        <f t="shared" ref="E47" si="91">E46</f>
        <v>103</v>
      </c>
      <c r="F47" s="25">
        <f t="shared" si="69"/>
        <v>315</v>
      </c>
      <c r="G47" s="29">
        <f t="shared" ref="G47" si="92">G46</f>
        <v>119</v>
      </c>
      <c r="H47" s="4" t="s">
        <v>0</v>
      </c>
      <c r="I47" s="16" t="str">
        <f t="shared" si="19"/>
        <v>22-12</v>
      </c>
      <c r="J47" s="14">
        <f t="shared" si="20"/>
        <v>299</v>
      </c>
      <c r="K47" s="15">
        <f t="shared" si="21"/>
        <v>103</v>
      </c>
      <c r="L47" s="17">
        <f t="shared" si="22"/>
        <v>315</v>
      </c>
      <c r="M47" s="18">
        <f t="shared" si="23"/>
        <v>103</v>
      </c>
      <c r="N47" s="14">
        <f t="shared" si="24"/>
        <v>315</v>
      </c>
      <c r="O47" s="15">
        <f t="shared" si="25"/>
        <v>119</v>
      </c>
      <c r="P47" s="17">
        <f t="shared" si="26"/>
        <v>299</v>
      </c>
      <c r="Q47" s="18">
        <f t="shared" si="27"/>
        <v>119</v>
      </c>
      <c r="R47" s="4" t="s">
        <v>0</v>
      </c>
      <c r="S47" s="16" t="str">
        <f t="shared" si="28"/>
        <v>22-12</v>
      </c>
      <c r="T47" s="14">
        <f t="shared" si="29"/>
        <v>299</v>
      </c>
      <c r="U47" s="18">
        <f t="shared" si="30"/>
        <v>647</v>
      </c>
      <c r="V47" s="14">
        <f t="shared" si="31"/>
        <v>315</v>
      </c>
      <c r="W47" s="18">
        <f t="shared" si="32"/>
        <v>647</v>
      </c>
      <c r="X47" s="14">
        <f t="shared" si="33"/>
        <v>315</v>
      </c>
      <c r="Y47" s="18">
        <f t="shared" si="34"/>
        <v>631</v>
      </c>
      <c r="Z47" s="14">
        <f t="shared" si="35"/>
        <v>299</v>
      </c>
      <c r="AA47" s="18">
        <f t="shared" si="36"/>
        <v>631</v>
      </c>
      <c r="AB47" s="4" t="s">
        <v>0</v>
      </c>
    </row>
    <row r="48" spans="1:28">
      <c r="A48" s="9" t="s">
        <v>365</v>
      </c>
      <c r="B48" s="24"/>
      <c r="C48" s="26"/>
      <c r="D48" s="25">
        <f t="shared" si="67"/>
        <v>315</v>
      </c>
      <c r="E48" s="29">
        <f t="shared" ref="E48" si="93">E47</f>
        <v>103</v>
      </c>
      <c r="F48" s="25">
        <f t="shared" si="69"/>
        <v>331</v>
      </c>
      <c r="G48" s="29">
        <f t="shared" ref="G48" si="94">G47</f>
        <v>119</v>
      </c>
      <c r="H48" s="4" t="s">
        <v>0</v>
      </c>
      <c r="I48" s="16" t="str">
        <f t="shared" si="19"/>
        <v>22-11</v>
      </c>
      <c r="J48" s="14">
        <f t="shared" si="20"/>
        <v>315</v>
      </c>
      <c r="K48" s="15">
        <f t="shared" si="21"/>
        <v>103</v>
      </c>
      <c r="L48" s="17">
        <f t="shared" si="22"/>
        <v>331</v>
      </c>
      <c r="M48" s="18">
        <f t="shared" si="23"/>
        <v>103</v>
      </c>
      <c r="N48" s="14">
        <f t="shared" si="24"/>
        <v>331</v>
      </c>
      <c r="O48" s="15">
        <f t="shared" si="25"/>
        <v>119</v>
      </c>
      <c r="P48" s="17">
        <f t="shared" si="26"/>
        <v>315</v>
      </c>
      <c r="Q48" s="18">
        <f t="shared" si="27"/>
        <v>119</v>
      </c>
      <c r="R48" s="4" t="s">
        <v>0</v>
      </c>
      <c r="S48" s="16" t="str">
        <f t="shared" si="28"/>
        <v>22-11</v>
      </c>
      <c r="T48" s="14">
        <f t="shared" si="29"/>
        <v>315</v>
      </c>
      <c r="U48" s="18">
        <f t="shared" si="30"/>
        <v>647</v>
      </c>
      <c r="V48" s="14">
        <f t="shared" si="31"/>
        <v>331</v>
      </c>
      <c r="W48" s="18">
        <f t="shared" si="32"/>
        <v>647</v>
      </c>
      <c r="X48" s="14">
        <f t="shared" si="33"/>
        <v>331</v>
      </c>
      <c r="Y48" s="18">
        <f t="shared" si="34"/>
        <v>631</v>
      </c>
      <c r="Z48" s="14">
        <f t="shared" si="35"/>
        <v>315</v>
      </c>
      <c r="AA48" s="18">
        <f t="shared" si="36"/>
        <v>631</v>
      </c>
      <c r="AB48" s="4" t="s">
        <v>0</v>
      </c>
    </row>
    <row r="49" spans="1:28">
      <c r="A49" s="9" t="s">
        <v>364</v>
      </c>
      <c r="B49" s="24"/>
      <c r="C49" s="26"/>
      <c r="D49" s="25">
        <f t="shared" si="67"/>
        <v>331</v>
      </c>
      <c r="E49" s="29">
        <f t="shared" ref="E49" si="95">E48</f>
        <v>103</v>
      </c>
      <c r="F49" s="25">
        <f t="shared" si="69"/>
        <v>347</v>
      </c>
      <c r="G49" s="29">
        <f t="shared" ref="G49" si="96">G48</f>
        <v>119</v>
      </c>
      <c r="H49" s="4" t="s">
        <v>0</v>
      </c>
      <c r="I49" s="16" t="str">
        <f t="shared" si="19"/>
        <v>22-10</v>
      </c>
      <c r="J49" s="14">
        <f t="shared" si="20"/>
        <v>331</v>
      </c>
      <c r="K49" s="15">
        <f t="shared" si="21"/>
        <v>103</v>
      </c>
      <c r="L49" s="17">
        <f t="shared" si="22"/>
        <v>347</v>
      </c>
      <c r="M49" s="18">
        <f t="shared" si="23"/>
        <v>103</v>
      </c>
      <c r="N49" s="14">
        <f t="shared" si="24"/>
        <v>347</v>
      </c>
      <c r="O49" s="15">
        <f t="shared" si="25"/>
        <v>119</v>
      </c>
      <c r="P49" s="17">
        <f t="shared" si="26"/>
        <v>331</v>
      </c>
      <c r="Q49" s="18">
        <f t="shared" si="27"/>
        <v>119</v>
      </c>
      <c r="R49" s="4" t="s">
        <v>0</v>
      </c>
      <c r="S49" s="16" t="str">
        <f t="shared" si="28"/>
        <v>22-10</v>
      </c>
      <c r="T49" s="14">
        <f t="shared" si="29"/>
        <v>331</v>
      </c>
      <c r="U49" s="18">
        <f t="shared" si="30"/>
        <v>647</v>
      </c>
      <c r="V49" s="14">
        <f t="shared" si="31"/>
        <v>347</v>
      </c>
      <c r="W49" s="18">
        <f t="shared" si="32"/>
        <v>647</v>
      </c>
      <c r="X49" s="14">
        <f t="shared" si="33"/>
        <v>347</v>
      </c>
      <c r="Y49" s="18">
        <f t="shared" si="34"/>
        <v>631</v>
      </c>
      <c r="Z49" s="14">
        <f t="shared" si="35"/>
        <v>331</v>
      </c>
      <c r="AA49" s="18">
        <f t="shared" si="36"/>
        <v>631</v>
      </c>
      <c r="AB49" s="4" t="s">
        <v>0</v>
      </c>
    </row>
    <row r="50" spans="1:28">
      <c r="A50" s="9" t="s">
        <v>363</v>
      </c>
      <c r="B50" s="24"/>
      <c r="C50" s="26"/>
      <c r="D50" s="25">
        <f t="shared" si="67"/>
        <v>348</v>
      </c>
      <c r="E50" s="29">
        <f t="shared" ref="E50" si="97">E49</f>
        <v>103</v>
      </c>
      <c r="F50" s="25">
        <f t="shared" si="69"/>
        <v>364</v>
      </c>
      <c r="G50" s="29">
        <f t="shared" ref="G50" si="98">G49</f>
        <v>119</v>
      </c>
      <c r="H50" s="4" t="s">
        <v>0</v>
      </c>
      <c r="I50" s="16" t="str">
        <f t="shared" si="19"/>
        <v>22-08</v>
      </c>
      <c r="J50" s="14">
        <f t="shared" si="20"/>
        <v>348</v>
      </c>
      <c r="K50" s="15">
        <f t="shared" si="21"/>
        <v>103</v>
      </c>
      <c r="L50" s="17">
        <f t="shared" si="22"/>
        <v>364</v>
      </c>
      <c r="M50" s="18">
        <f t="shared" si="23"/>
        <v>103</v>
      </c>
      <c r="N50" s="14">
        <f t="shared" si="24"/>
        <v>364</v>
      </c>
      <c r="O50" s="15">
        <f t="shared" si="25"/>
        <v>119</v>
      </c>
      <c r="P50" s="17">
        <f t="shared" si="26"/>
        <v>348</v>
      </c>
      <c r="Q50" s="18">
        <f t="shared" si="27"/>
        <v>119</v>
      </c>
      <c r="R50" s="4" t="s">
        <v>0</v>
      </c>
      <c r="S50" s="16" t="str">
        <f t="shared" si="28"/>
        <v>22-08</v>
      </c>
      <c r="T50" s="14">
        <f t="shared" si="29"/>
        <v>348</v>
      </c>
      <c r="U50" s="18">
        <f t="shared" si="30"/>
        <v>647</v>
      </c>
      <c r="V50" s="14">
        <f t="shared" si="31"/>
        <v>364</v>
      </c>
      <c r="W50" s="18">
        <f t="shared" si="32"/>
        <v>647</v>
      </c>
      <c r="X50" s="14">
        <f t="shared" si="33"/>
        <v>364</v>
      </c>
      <c r="Y50" s="18">
        <f t="shared" si="34"/>
        <v>631</v>
      </c>
      <c r="Z50" s="14">
        <f t="shared" si="35"/>
        <v>348</v>
      </c>
      <c r="AA50" s="18">
        <f t="shared" si="36"/>
        <v>631</v>
      </c>
      <c r="AB50" s="4" t="s">
        <v>0</v>
      </c>
    </row>
    <row r="51" spans="1:28">
      <c r="A51" s="9" t="s">
        <v>362</v>
      </c>
      <c r="B51" s="24"/>
      <c r="C51" s="26"/>
      <c r="D51" s="25">
        <f t="shared" si="67"/>
        <v>364</v>
      </c>
      <c r="E51" s="29">
        <f t="shared" ref="E51" si="99">E50</f>
        <v>103</v>
      </c>
      <c r="F51" s="25">
        <f t="shared" si="69"/>
        <v>380</v>
      </c>
      <c r="G51" s="29">
        <f t="shared" ref="G51" si="100">G50</f>
        <v>119</v>
      </c>
      <c r="H51" s="4" t="s">
        <v>0</v>
      </c>
      <c r="I51" s="16" t="str">
        <f t="shared" si="19"/>
        <v>22-07</v>
      </c>
      <c r="J51" s="14">
        <f t="shared" si="20"/>
        <v>364</v>
      </c>
      <c r="K51" s="15">
        <f t="shared" si="21"/>
        <v>103</v>
      </c>
      <c r="L51" s="17">
        <f t="shared" si="22"/>
        <v>380</v>
      </c>
      <c r="M51" s="18">
        <f t="shared" si="23"/>
        <v>103</v>
      </c>
      <c r="N51" s="14">
        <f t="shared" si="24"/>
        <v>380</v>
      </c>
      <c r="O51" s="15">
        <f t="shared" si="25"/>
        <v>119</v>
      </c>
      <c r="P51" s="17">
        <f t="shared" si="26"/>
        <v>364</v>
      </c>
      <c r="Q51" s="18">
        <f t="shared" si="27"/>
        <v>119</v>
      </c>
      <c r="R51" s="4" t="s">
        <v>0</v>
      </c>
      <c r="S51" s="16" t="str">
        <f t="shared" si="28"/>
        <v>22-07</v>
      </c>
      <c r="T51" s="14">
        <f t="shared" si="29"/>
        <v>364</v>
      </c>
      <c r="U51" s="18">
        <f t="shared" si="30"/>
        <v>647</v>
      </c>
      <c r="V51" s="14">
        <f t="shared" si="31"/>
        <v>380</v>
      </c>
      <c r="W51" s="18">
        <f t="shared" si="32"/>
        <v>647</v>
      </c>
      <c r="X51" s="14">
        <f t="shared" si="33"/>
        <v>380</v>
      </c>
      <c r="Y51" s="18">
        <f t="shared" si="34"/>
        <v>631</v>
      </c>
      <c r="Z51" s="14">
        <f t="shared" si="35"/>
        <v>364</v>
      </c>
      <c r="AA51" s="18">
        <f t="shared" si="36"/>
        <v>631</v>
      </c>
      <c r="AB51" s="4" t="s">
        <v>0</v>
      </c>
    </row>
    <row r="52" spans="1:28">
      <c r="A52" s="9" t="s">
        <v>361</v>
      </c>
      <c r="B52" s="24"/>
      <c r="C52" s="26"/>
      <c r="D52" s="25">
        <f t="shared" si="67"/>
        <v>380</v>
      </c>
      <c r="E52" s="29">
        <f t="shared" ref="E52" si="101">E51</f>
        <v>103</v>
      </c>
      <c r="F52" s="25">
        <f t="shared" si="69"/>
        <v>396</v>
      </c>
      <c r="G52" s="29">
        <f t="shared" ref="G52" si="102">G51</f>
        <v>119</v>
      </c>
      <c r="H52" s="4" t="s">
        <v>0</v>
      </c>
      <c r="I52" s="16" t="str">
        <f t="shared" si="19"/>
        <v>22-06</v>
      </c>
      <c r="J52" s="14">
        <f t="shared" si="20"/>
        <v>380</v>
      </c>
      <c r="K52" s="15">
        <f t="shared" si="21"/>
        <v>103</v>
      </c>
      <c r="L52" s="17">
        <f t="shared" si="22"/>
        <v>396</v>
      </c>
      <c r="M52" s="18">
        <f t="shared" si="23"/>
        <v>103</v>
      </c>
      <c r="N52" s="14">
        <f t="shared" si="24"/>
        <v>396</v>
      </c>
      <c r="O52" s="15">
        <f t="shared" si="25"/>
        <v>119</v>
      </c>
      <c r="P52" s="17">
        <f t="shared" si="26"/>
        <v>380</v>
      </c>
      <c r="Q52" s="18">
        <f t="shared" si="27"/>
        <v>119</v>
      </c>
      <c r="R52" s="4" t="s">
        <v>0</v>
      </c>
      <c r="S52" s="16" t="str">
        <f t="shared" si="28"/>
        <v>22-06</v>
      </c>
      <c r="T52" s="14">
        <f t="shared" si="29"/>
        <v>380</v>
      </c>
      <c r="U52" s="18">
        <f t="shared" si="30"/>
        <v>647</v>
      </c>
      <c r="V52" s="14">
        <f t="shared" si="31"/>
        <v>396</v>
      </c>
      <c r="W52" s="18">
        <f t="shared" si="32"/>
        <v>647</v>
      </c>
      <c r="X52" s="14">
        <f t="shared" si="33"/>
        <v>396</v>
      </c>
      <c r="Y52" s="18">
        <f t="shared" si="34"/>
        <v>631</v>
      </c>
      <c r="Z52" s="14">
        <f t="shared" si="35"/>
        <v>380</v>
      </c>
      <c r="AA52" s="18">
        <f t="shared" si="36"/>
        <v>631</v>
      </c>
      <c r="AB52" s="4" t="s">
        <v>0</v>
      </c>
    </row>
    <row r="53" spans="1:28">
      <c r="A53" s="9" t="s">
        <v>360</v>
      </c>
      <c r="B53" s="24"/>
      <c r="C53" s="26"/>
      <c r="D53" s="25">
        <f t="shared" si="67"/>
        <v>396</v>
      </c>
      <c r="E53" s="29">
        <f t="shared" ref="E53" si="103">E52</f>
        <v>103</v>
      </c>
      <c r="F53" s="25">
        <f t="shared" si="69"/>
        <v>412</v>
      </c>
      <c r="G53" s="29">
        <f t="shared" ref="G53" si="104">G52</f>
        <v>119</v>
      </c>
      <c r="H53" s="4" t="s">
        <v>0</v>
      </c>
      <c r="I53" s="16" t="str">
        <f t="shared" si="19"/>
        <v>22-05</v>
      </c>
      <c r="J53" s="14">
        <f t="shared" si="20"/>
        <v>396</v>
      </c>
      <c r="K53" s="15">
        <f t="shared" si="21"/>
        <v>103</v>
      </c>
      <c r="L53" s="17">
        <f t="shared" si="22"/>
        <v>412</v>
      </c>
      <c r="M53" s="18">
        <f t="shared" si="23"/>
        <v>103</v>
      </c>
      <c r="N53" s="14">
        <f t="shared" si="24"/>
        <v>412</v>
      </c>
      <c r="O53" s="15">
        <f t="shared" si="25"/>
        <v>119</v>
      </c>
      <c r="P53" s="17">
        <f t="shared" si="26"/>
        <v>396</v>
      </c>
      <c r="Q53" s="18">
        <f t="shared" si="27"/>
        <v>119</v>
      </c>
      <c r="R53" s="4" t="s">
        <v>0</v>
      </c>
      <c r="S53" s="16" t="str">
        <f t="shared" si="28"/>
        <v>22-05</v>
      </c>
      <c r="T53" s="14">
        <f t="shared" si="29"/>
        <v>396</v>
      </c>
      <c r="U53" s="18">
        <f t="shared" si="30"/>
        <v>647</v>
      </c>
      <c r="V53" s="14">
        <f t="shared" si="31"/>
        <v>412</v>
      </c>
      <c r="W53" s="18">
        <f t="shared" si="32"/>
        <v>647</v>
      </c>
      <c r="X53" s="14">
        <f t="shared" si="33"/>
        <v>412</v>
      </c>
      <c r="Y53" s="18">
        <f t="shared" si="34"/>
        <v>631</v>
      </c>
      <c r="Z53" s="14">
        <f t="shared" si="35"/>
        <v>396</v>
      </c>
      <c r="AA53" s="18">
        <f t="shared" si="36"/>
        <v>631</v>
      </c>
      <c r="AB53" s="4" t="s">
        <v>0</v>
      </c>
    </row>
    <row r="54" spans="1:28">
      <c r="A54" s="9" t="s">
        <v>359</v>
      </c>
      <c r="B54" s="24"/>
      <c r="C54" s="26"/>
      <c r="D54" s="25">
        <f t="shared" si="67"/>
        <v>413</v>
      </c>
      <c r="E54" s="29">
        <f t="shared" ref="E54" si="105">E53</f>
        <v>103</v>
      </c>
      <c r="F54" s="25">
        <f t="shared" si="69"/>
        <v>429</v>
      </c>
      <c r="G54" s="29">
        <f t="shared" ref="G54" si="106">G53</f>
        <v>119</v>
      </c>
      <c r="H54" s="4" t="s">
        <v>0</v>
      </c>
      <c r="I54" s="16" t="str">
        <f t="shared" si="19"/>
        <v>22-03</v>
      </c>
      <c r="J54" s="14">
        <f t="shared" si="20"/>
        <v>413</v>
      </c>
      <c r="K54" s="15">
        <f t="shared" si="21"/>
        <v>103</v>
      </c>
      <c r="L54" s="17">
        <f t="shared" si="22"/>
        <v>429</v>
      </c>
      <c r="M54" s="18">
        <f t="shared" si="23"/>
        <v>103</v>
      </c>
      <c r="N54" s="14">
        <f t="shared" si="24"/>
        <v>429</v>
      </c>
      <c r="O54" s="15">
        <f t="shared" si="25"/>
        <v>119</v>
      </c>
      <c r="P54" s="17">
        <f t="shared" si="26"/>
        <v>413</v>
      </c>
      <c r="Q54" s="18">
        <f t="shared" si="27"/>
        <v>119</v>
      </c>
      <c r="R54" s="4" t="s">
        <v>0</v>
      </c>
      <c r="S54" s="16" t="str">
        <f t="shared" si="28"/>
        <v>22-03</v>
      </c>
      <c r="T54" s="14">
        <f t="shared" si="29"/>
        <v>413</v>
      </c>
      <c r="U54" s="18">
        <f t="shared" si="30"/>
        <v>647</v>
      </c>
      <c r="V54" s="14">
        <f t="shared" si="31"/>
        <v>429</v>
      </c>
      <c r="W54" s="18">
        <f t="shared" si="32"/>
        <v>647</v>
      </c>
      <c r="X54" s="14">
        <f t="shared" si="33"/>
        <v>429</v>
      </c>
      <c r="Y54" s="18">
        <f t="shared" si="34"/>
        <v>631</v>
      </c>
      <c r="Z54" s="14">
        <f t="shared" si="35"/>
        <v>413</v>
      </c>
      <c r="AA54" s="18">
        <f t="shared" si="36"/>
        <v>631</v>
      </c>
      <c r="AB54" s="4" t="s">
        <v>0</v>
      </c>
    </row>
    <row r="55" spans="1:28">
      <c r="A55" s="9" t="s">
        <v>358</v>
      </c>
      <c r="B55" s="24"/>
      <c r="C55" s="26"/>
      <c r="D55" s="25">
        <f t="shared" si="67"/>
        <v>429</v>
      </c>
      <c r="E55" s="29">
        <f t="shared" ref="E55" si="107">E54</f>
        <v>103</v>
      </c>
      <c r="F55" s="25">
        <f t="shared" si="69"/>
        <v>445</v>
      </c>
      <c r="G55" s="29">
        <f t="shared" ref="G55" si="108">G54</f>
        <v>119</v>
      </c>
      <c r="H55" s="4" t="s">
        <v>0</v>
      </c>
      <c r="I55" s="16" t="str">
        <f t="shared" si="19"/>
        <v>22-02</v>
      </c>
      <c r="J55" s="14">
        <f t="shared" si="20"/>
        <v>429</v>
      </c>
      <c r="K55" s="15">
        <f t="shared" si="21"/>
        <v>103</v>
      </c>
      <c r="L55" s="17">
        <f t="shared" si="22"/>
        <v>445</v>
      </c>
      <c r="M55" s="18">
        <f t="shared" si="23"/>
        <v>103</v>
      </c>
      <c r="N55" s="14">
        <f t="shared" si="24"/>
        <v>445</v>
      </c>
      <c r="O55" s="15">
        <f t="shared" si="25"/>
        <v>119</v>
      </c>
      <c r="P55" s="17">
        <f t="shared" si="26"/>
        <v>429</v>
      </c>
      <c r="Q55" s="18">
        <f t="shared" si="27"/>
        <v>119</v>
      </c>
      <c r="R55" s="4" t="s">
        <v>0</v>
      </c>
      <c r="S55" s="16" t="str">
        <f t="shared" si="28"/>
        <v>22-02</v>
      </c>
      <c r="T55" s="14">
        <f t="shared" si="29"/>
        <v>429</v>
      </c>
      <c r="U55" s="18">
        <f t="shared" si="30"/>
        <v>647</v>
      </c>
      <c r="V55" s="14">
        <f t="shared" si="31"/>
        <v>445</v>
      </c>
      <c r="W55" s="18">
        <f t="shared" si="32"/>
        <v>647</v>
      </c>
      <c r="X55" s="14">
        <f t="shared" si="33"/>
        <v>445</v>
      </c>
      <c r="Y55" s="18">
        <f t="shared" si="34"/>
        <v>631</v>
      </c>
      <c r="Z55" s="14">
        <f t="shared" si="35"/>
        <v>429</v>
      </c>
      <c r="AA55" s="18">
        <f t="shared" si="36"/>
        <v>631</v>
      </c>
      <c r="AB55" s="4" t="s">
        <v>0</v>
      </c>
    </row>
    <row r="56" spans="1:28">
      <c r="A56" s="9" t="s">
        <v>357</v>
      </c>
      <c r="B56" s="24"/>
      <c r="C56" s="26"/>
      <c r="D56" s="25">
        <f t="shared" si="67"/>
        <v>445</v>
      </c>
      <c r="E56" s="29">
        <f t="shared" ref="E56" si="109">E55</f>
        <v>103</v>
      </c>
      <c r="F56" s="25">
        <f t="shared" si="69"/>
        <v>461</v>
      </c>
      <c r="G56" s="29">
        <f t="shared" ref="G56" si="110">G55</f>
        <v>119</v>
      </c>
      <c r="H56" s="4" t="s">
        <v>0</v>
      </c>
      <c r="I56" s="16" t="str">
        <f t="shared" si="19"/>
        <v>22-01</v>
      </c>
      <c r="J56" s="14">
        <f t="shared" si="20"/>
        <v>445</v>
      </c>
      <c r="K56" s="15">
        <f t="shared" si="21"/>
        <v>103</v>
      </c>
      <c r="L56" s="17">
        <f t="shared" si="22"/>
        <v>461</v>
      </c>
      <c r="M56" s="18">
        <f t="shared" si="23"/>
        <v>103</v>
      </c>
      <c r="N56" s="14">
        <f t="shared" si="24"/>
        <v>461</v>
      </c>
      <c r="O56" s="15">
        <f t="shared" si="25"/>
        <v>119</v>
      </c>
      <c r="P56" s="17">
        <f t="shared" si="26"/>
        <v>445</v>
      </c>
      <c r="Q56" s="18">
        <f t="shared" si="27"/>
        <v>119</v>
      </c>
      <c r="R56" s="4" t="s">
        <v>0</v>
      </c>
      <c r="S56" s="16" t="str">
        <f t="shared" si="28"/>
        <v>22-01</v>
      </c>
      <c r="T56" s="14">
        <f t="shared" si="29"/>
        <v>445</v>
      </c>
      <c r="U56" s="18">
        <f t="shared" si="30"/>
        <v>647</v>
      </c>
      <c r="V56" s="14">
        <f t="shared" si="31"/>
        <v>461</v>
      </c>
      <c r="W56" s="18">
        <f t="shared" si="32"/>
        <v>647</v>
      </c>
      <c r="X56" s="14">
        <f t="shared" si="33"/>
        <v>461</v>
      </c>
      <c r="Y56" s="18">
        <f t="shared" si="34"/>
        <v>631</v>
      </c>
      <c r="Z56" s="14">
        <f t="shared" si="35"/>
        <v>445</v>
      </c>
      <c r="AA56" s="18">
        <f t="shared" si="36"/>
        <v>631</v>
      </c>
      <c r="AB56" s="4" t="s">
        <v>0</v>
      </c>
    </row>
    <row r="57" spans="1:28">
      <c r="A57" s="9" t="s">
        <v>355</v>
      </c>
      <c r="B57" s="24"/>
      <c r="C57" s="26">
        <v>2</v>
      </c>
      <c r="D57" s="25">
        <f t="shared" si="67"/>
        <v>62</v>
      </c>
      <c r="E57" s="28">
        <f t="shared" ref="E57" si="111">ROUND(E$11+21.8*$C57, 0)</f>
        <v>125</v>
      </c>
      <c r="F57" s="25">
        <f t="shared" si="69"/>
        <v>78</v>
      </c>
      <c r="G57" s="28">
        <f t="shared" ref="G57" si="112">ROUND(G$11+21.8*$C57, 0)</f>
        <v>141</v>
      </c>
      <c r="H57" s="4" t="s">
        <v>0</v>
      </c>
      <c r="I57" s="16" t="str">
        <f t="shared" si="19"/>
        <v>21-28</v>
      </c>
      <c r="J57" s="14">
        <f t="shared" si="20"/>
        <v>62</v>
      </c>
      <c r="K57" s="15">
        <f t="shared" si="21"/>
        <v>125</v>
      </c>
      <c r="L57" s="17">
        <f t="shared" si="22"/>
        <v>78</v>
      </c>
      <c r="M57" s="18">
        <f t="shared" si="23"/>
        <v>125</v>
      </c>
      <c r="N57" s="14">
        <f t="shared" si="24"/>
        <v>78</v>
      </c>
      <c r="O57" s="15">
        <f t="shared" si="25"/>
        <v>141</v>
      </c>
      <c r="P57" s="17">
        <f t="shared" si="26"/>
        <v>62</v>
      </c>
      <c r="Q57" s="18">
        <f t="shared" si="27"/>
        <v>141</v>
      </c>
      <c r="R57" s="4" t="s">
        <v>0</v>
      </c>
      <c r="S57" s="16" t="str">
        <f t="shared" si="28"/>
        <v>21-28</v>
      </c>
      <c r="T57" s="14">
        <f t="shared" si="29"/>
        <v>62</v>
      </c>
      <c r="U57" s="18">
        <f t="shared" si="30"/>
        <v>625</v>
      </c>
      <c r="V57" s="14">
        <f t="shared" si="31"/>
        <v>78</v>
      </c>
      <c r="W57" s="18">
        <f t="shared" si="32"/>
        <v>625</v>
      </c>
      <c r="X57" s="14">
        <f t="shared" si="33"/>
        <v>78</v>
      </c>
      <c r="Y57" s="18">
        <f t="shared" si="34"/>
        <v>609</v>
      </c>
      <c r="Z57" s="14">
        <f t="shared" si="35"/>
        <v>62</v>
      </c>
      <c r="AA57" s="18">
        <f t="shared" si="36"/>
        <v>609</v>
      </c>
      <c r="AB57" s="4" t="s">
        <v>0</v>
      </c>
    </row>
    <row r="58" spans="1:28">
      <c r="A58" s="9" t="s">
        <v>354</v>
      </c>
      <c r="B58" s="24"/>
      <c r="C58" s="26"/>
      <c r="D58" s="25">
        <f t="shared" si="67"/>
        <v>78</v>
      </c>
      <c r="E58" s="29">
        <f t="shared" ref="E58" si="113">E57</f>
        <v>125</v>
      </c>
      <c r="F58" s="25">
        <f t="shared" si="69"/>
        <v>94</v>
      </c>
      <c r="G58" s="29">
        <f t="shared" ref="G58:G121" si="114">G57</f>
        <v>141</v>
      </c>
      <c r="H58" s="4" t="s">
        <v>0</v>
      </c>
      <c r="I58" s="16" t="str">
        <f t="shared" si="19"/>
        <v>21-27</v>
      </c>
      <c r="J58" s="14">
        <f t="shared" si="20"/>
        <v>78</v>
      </c>
      <c r="K58" s="15">
        <f t="shared" si="21"/>
        <v>125</v>
      </c>
      <c r="L58" s="17">
        <f t="shared" si="22"/>
        <v>94</v>
      </c>
      <c r="M58" s="18">
        <f t="shared" si="23"/>
        <v>125</v>
      </c>
      <c r="N58" s="14">
        <f t="shared" si="24"/>
        <v>94</v>
      </c>
      <c r="O58" s="15">
        <f t="shared" si="25"/>
        <v>141</v>
      </c>
      <c r="P58" s="17">
        <f t="shared" si="26"/>
        <v>78</v>
      </c>
      <c r="Q58" s="18">
        <f t="shared" si="27"/>
        <v>141</v>
      </c>
      <c r="R58" s="4" t="s">
        <v>0</v>
      </c>
      <c r="S58" s="16" t="str">
        <f t="shared" si="28"/>
        <v>21-27</v>
      </c>
      <c r="T58" s="14">
        <f t="shared" si="29"/>
        <v>78</v>
      </c>
      <c r="U58" s="18">
        <f t="shared" si="30"/>
        <v>625</v>
      </c>
      <c r="V58" s="14">
        <f t="shared" si="31"/>
        <v>94</v>
      </c>
      <c r="W58" s="18">
        <f t="shared" si="32"/>
        <v>625</v>
      </c>
      <c r="X58" s="14">
        <f t="shared" si="33"/>
        <v>94</v>
      </c>
      <c r="Y58" s="18">
        <f t="shared" si="34"/>
        <v>609</v>
      </c>
      <c r="Z58" s="14">
        <f t="shared" si="35"/>
        <v>78</v>
      </c>
      <c r="AA58" s="18">
        <f t="shared" si="36"/>
        <v>609</v>
      </c>
      <c r="AB58" s="4" t="s">
        <v>0</v>
      </c>
    </row>
    <row r="59" spans="1:28">
      <c r="A59" s="9" t="s">
        <v>353</v>
      </c>
      <c r="B59" s="24"/>
      <c r="C59" s="26"/>
      <c r="D59" s="25">
        <f t="shared" si="67"/>
        <v>95</v>
      </c>
      <c r="E59" s="29">
        <f t="shared" ref="E59" si="115">E58</f>
        <v>125</v>
      </c>
      <c r="F59" s="25">
        <f t="shared" si="69"/>
        <v>111</v>
      </c>
      <c r="G59" s="29">
        <f t="shared" si="114"/>
        <v>141</v>
      </c>
      <c r="H59" s="4" t="s">
        <v>0</v>
      </c>
      <c r="I59" s="16" t="str">
        <f t="shared" si="19"/>
        <v>21-26</v>
      </c>
      <c r="J59" s="14">
        <f t="shared" si="20"/>
        <v>95</v>
      </c>
      <c r="K59" s="15">
        <f t="shared" si="21"/>
        <v>125</v>
      </c>
      <c r="L59" s="17">
        <f t="shared" si="22"/>
        <v>111</v>
      </c>
      <c r="M59" s="18">
        <f t="shared" si="23"/>
        <v>125</v>
      </c>
      <c r="N59" s="14">
        <f t="shared" si="24"/>
        <v>111</v>
      </c>
      <c r="O59" s="15">
        <f t="shared" si="25"/>
        <v>141</v>
      </c>
      <c r="P59" s="17">
        <f t="shared" si="26"/>
        <v>95</v>
      </c>
      <c r="Q59" s="18">
        <f t="shared" si="27"/>
        <v>141</v>
      </c>
      <c r="R59" s="4" t="s">
        <v>0</v>
      </c>
      <c r="S59" s="16" t="str">
        <f t="shared" si="28"/>
        <v>21-26</v>
      </c>
      <c r="T59" s="14">
        <f t="shared" si="29"/>
        <v>95</v>
      </c>
      <c r="U59" s="18">
        <f t="shared" si="30"/>
        <v>625</v>
      </c>
      <c r="V59" s="14">
        <f t="shared" si="31"/>
        <v>111</v>
      </c>
      <c r="W59" s="18">
        <f t="shared" si="32"/>
        <v>625</v>
      </c>
      <c r="X59" s="14">
        <f t="shared" si="33"/>
        <v>111</v>
      </c>
      <c r="Y59" s="18">
        <f t="shared" si="34"/>
        <v>609</v>
      </c>
      <c r="Z59" s="14">
        <f t="shared" si="35"/>
        <v>95</v>
      </c>
      <c r="AA59" s="18">
        <f t="shared" si="36"/>
        <v>609</v>
      </c>
      <c r="AB59" s="4" t="s">
        <v>0</v>
      </c>
    </row>
    <row r="60" spans="1:28">
      <c r="A60" s="9" t="s">
        <v>352</v>
      </c>
      <c r="B60" s="24"/>
      <c r="C60" s="26"/>
      <c r="D60" s="25">
        <f t="shared" si="67"/>
        <v>111</v>
      </c>
      <c r="E60" s="29">
        <f t="shared" ref="E60" si="116">E59</f>
        <v>125</v>
      </c>
      <c r="F60" s="25">
        <f t="shared" si="69"/>
        <v>127</v>
      </c>
      <c r="G60" s="29">
        <f t="shared" si="114"/>
        <v>141</v>
      </c>
      <c r="H60" s="4" t="s">
        <v>0</v>
      </c>
      <c r="I60" s="16" t="str">
        <f t="shared" si="19"/>
        <v>21-25</v>
      </c>
      <c r="J60" s="14">
        <f t="shared" si="20"/>
        <v>111</v>
      </c>
      <c r="K60" s="15">
        <f t="shared" si="21"/>
        <v>125</v>
      </c>
      <c r="L60" s="17">
        <f t="shared" si="22"/>
        <v>127</v>
      </c>
      <c r="M60" s="18">
        <f t="shared" si="23"/>
        <v>125</v>
      </c>
      <c r="N60" s="14">
        <f t="shared" si="24"/>
        <v>127</v>
      </c>
      <c r="O60" s="15">
        <f t="shared" si="25"/>
        <v>141</v>
      </c>
      <c r="P60" s="17">
        <f t="shared" si="26"/>
        <v>111</v>
      </c>
      <c r="Q60" s="18">
        <f t="shared" si="27"/>
        <v>141</v>
      </c>
      <c r="R60" s="4" t="s">
        <v>0</v>
      </c>
      <c r="S60" s="16" t="str">
        <f t="shared" si="28"/>
        <v>21-25</v>
      </c>
      <c r="T60" s="14">
        <f t="shared" si="29"/>
        <v>111</v>
      </c>
      <c r="U60" s="18">
        <f t="shared" si="30"/>
        <v>625</v>
      </c>
      <c r="V60" s="14">
        <f t="shared" si="31"/>
        <v>127</v>
      </c>
      <c r="W60" s="18">
        <f t="shared" si="32"/>
        <v>625</v>
      </c>
      <c r="X60" s="14">
        <f t="shared" si="33"/>
        <v>127</v>
      </c>
      <c r="Y60" s="18">
        <f t="shared" si="34"/>
        <v>609</v>
      </c>
      <c r="Z60" s="14">
        <f t="shared" si="35"/>
        <v>111</v>
      </c>
      <c r="AA60" s="18">
        <f t="shared" si="36"/>
        <v>609</v>
      </c>
      <c r="AB60" s="4" t="s">
        <v>0</v>
      </c>
    </row>
    <row r="61" spans="1:28">
      <c r="A61" s="9" t="s">
        <v>351</v>
      </c>
      <c r="B61" s="24"/>
      <c r="C61" s="26"/>
      <c r="D61" s="25">
        <f t="shared" si="67"/>
        <v>127</v>
      </c>
      <c r="E61" s="29">
        <f t="shared" ref="E61" si="117">E60</f>
        <v>125</v>
      </c>
      <c r="F61" s="25">
        <f t="shared" si="69"/>
        <v>143</v>
      </c>
      <c r="G61" s="29">
        <f t="shared" si="114"/>
        <v>141</v>
      </c>
      <c r="H61" s="4" t="s">
        <v>0</v>
      </c>
      <c r="I61" s="16" t="str">
        <f t="shared" si="19"/>
        <v>21-23</v>
      </c>
      <c r="J61" s="14">
        <f t="shared" si="20"/>
        <v>127</v>
      </c>
      <c r="K61" s="15">
        <f t="shared" si="21"/>
        <v>125</v>
      </c>
      <c r="L61" s="17">
        <f t="shared" si="22"/>
        <v>143</v>
      </c>
      <c r="M61" s="18">
        <f t="shared" si="23"/>
        <v>125</v>
      </c>
      <c r="N61" s="14">
        <f t="shared" si="24"/>
        <v>143</v>
      </c>
      <c r="O61" s="15">
        <f t="shared" si="25"/>
        <v>141</v>
      </c>
      <c r="P61" s="17">
        <f t="shared" si="26"/>
        <v>127</v>
      </c>
      <c r="Q61" s="18">
        <f t="shared" si="27"/>
        <v>141</v>
      </c>
      <c r="R61" s="4" t="s">
        <v>0</v>
      </c>
      <c r="S61" s="16" t="str">
        <f t="shared" si="28"/>
        <v>21-23</v>
      </c>
      <c r="T61" s="14">
        <f t="shared" si="29"/>
        <v>127</v>
      </c>
      <c r="U61" s="18">
        <f t="shared" si="30"/>
        <v>625</v>
      </c>
      <c r="V61" s="14">
        <f t="shared" si="31"/>
        <v>143</v>
      </c>
      <c r="W61" s="18">
        <f t="shared" si="32"/>
        <v>625</v>
      </c>
      <c r="X61" s="14">
        <f t="shared" si="33"/>
        <v>143</v>
      </c>
      <c r="Y61" s="18">
        <f t="shared" si="34"/>
        <v>609</v>
      </c>
      <c r="Z61" s="14">
        <f t="shared" si="35"/>
        <v>127</v>
      </c>
      <c r="AA61" s="18">
        <f t="shared" si="36"/>
        <v>609</v>
      </c>
      <c r="AB61" s="4" t="s">
        <v>0</v>
      </c>
    </row>
    <row r="62" spans="1:28">
      <c r="A62" s="9" t="s">
        <v>350</v>
      </c>
      <c r="B62" s="24"/>
      <c r="C62" s="26"/>
      <c r="D62" s="25">
        <f t="shared" si="67"/>
        <v>144</v>
      </c>
      <c r="E62" s="29">
        <f t="shared" ref="E62" si="118">E61</f>
        <v>125</v>
      </c>
      <c r="F62" s="25">
        <f t="shared" si="69"/>
        <v>160</v>
      </c>
      <c r="G62" s="29">
        <f t="shared" si="114"/>
        <v>141</v>
      </c>
      <c r="H62" s="4" t="s">
        <v>0</v>
      </c>
      <c r="I62" s="16" t="str">
        <f t="shared" si="19"/>
        <v>21-22</v>
      </c>
      <c r="J62" s="14">
        <f t="shared" si="20"/>
        <v>144</v>
      </c>
      <c r="K62" s="15">
        <f t="shared" si="21"/>
        <v>125</v>
      </c>
      <c r="L62" s="17">
        <f t="shared" si="22"/>
        <v>160</v>
      </c>
      <c r="M62" s="18">
        <f t="shared" si="23"/>
        <v>125</v>
      </c>
      <c r="N62" s="14">
        <f t="shared" si="24"/>
        <v>160</v>
      </c>
      <c r="O62" s="15">
        <f t="shared" si="25"/>
        <v>141</v>
      </c>
      <c r="P62" s="17">
        <f t="shared" si="26"/>
        <v>144</v>
      </c>
      <c r="Q62" s="18">
        <f t="shared" si="27"/>
        <v>141</v>
      </c>
      <c r="R62" s="4" t="s">
        <v>0</v>
      </c>
      <c r="S62" s="16" t="str">
        <f t="shared" si="28"/>
        <v>21-22</v>
      </c>
      <c r="T62" s="14">
        <f t="shared" si="29"/>
        <v>144</v>
      </c>
      <c r="U62" s="18">
        <f t="shared" si="30"/>
        <v>625</v>
      </c>
      <c r="V62" s="14">
        <f t="shared" si="31"/>
        <v>160</v>
      </c>
      <c r="W62" s="18">
        <f t="shared" si="32"/>
        <v>625</v>
      </c>
      <c r="X62" s="14">
        <f t="shared" si="33"/>
        <v>160</v>
      </c>
      <c r="Y62" s="18">
        <f t="shared" si="34"/>
        <v>609</v>
      </c>
      <c r="Z62" s="14">
        <f t="shared" si="35"/>
        <v>144</v>
      </c>
      <c r="AA62" s="18">
        <f t="shared" si="36"/>
        <v>609</v>
      </c>
      <c r="AB62" s="4" t="s">
        <v>0</v>
      </c>
    </row>
    <row r="63" spans="1:28">
      <c r="A63" s="9" t="s">
        <v>349</v>
      </c>
      <c r="B63" s="24"/>
      <c r="C63" s="26"/>
      <c r="D63" s="25">
        <f t="shared" si="67"/>
        <v>160</v>
      </c>
      <c r="E63" s="29">
        <f t="shared" ref="E63" si="119">E62</f>
        <v>125</v>
      </c>
      <c r="F63" s="25">
        <f t="shared" si="69"/>
        <v>176</v>
      </c>
      <c r="G63" s="29">
        <f t="shared" si="114"/>
        <v>141</v>
      </c>
      <c r="H63" s="4" t="s">
        <v>0</v>
      </c>
      <c r="I63" s="16" t="str">
        <f t="shared" si="19"/>
        <v>21-21</v>
      </c>
      <c r="J63" s="14">
        <f t="shared" si="20"/>
        <v>160</v>
      </c>
      <c r="K63" s="15">
        <f t="shared" si="21"/>
        <v>125</v>
      </c>
      <c r="L63" s="17">
        <f t="shared" si="22"/>
        <v>176</v>
      </c>
      <c r="M63" s="18">
        <f t="shared" si="23"/>
        <v>125</v>
      </c>
      <c r="N63" s="14">
        <f t="shared" si="24"/>
        <v>176</v>
      </c>
      <c r="O63" s="15">
        <f t="shared" si="25"/>
        <v>141</v>
      </c>
      <c r="P63" s="17">
        <f t="shared" si="26"/>
        <v>160</v>
      </c>
      <c r="Q63" s="18">
        <f t="shared" si="27"/>
        <v>141</v>
      </c>
      <c r="R63" s="4" t="s">
        <v>0</v>
      </c>
      <c r="S63" s="16" t="str">
        <f t="shared" si="28"/>
        <v>21-21</v>
      </c>
      <c r="T63" s="14">
        <f t="shared" si="29"/>
        <v>160</v>
      </c>
      <c r="U63" s="18">
        <f t="shared" si="30"/>
        <v>625</v>
      </c>
      <c r="V63" s="14">
        <f t="shared" si="31"/>
        <v>176</v>
      </c>
      <c r="W63" s="18">
        <f t="shared" si="32"/>
        <v>625</v>
      </c>
      <c r="X63" s="14">
        <f t="shared" si="33"/>
        <v>176</v>
      </c>
      <c r="Y63" s="18">
        <f t="shared" si="34"/>
        <v>609</v>
      </c>
      <c r="Z63" s="14">
        <f t="shared" si="35"/>
        <v>160</v>
      </c>
      <c r="AA63" s="18">
        <f t="shared" si="36"/>
        <v>609</v>
      </c>
      <c r="AB63" s="4" t="s">
        <v>0</v>
      </c>
    </row>
    <row r="64" spans="1:28">
      <c r="A64" s="9" t="s">
        <v>348</v>
      </c>
      <c r="B64" s="24"/>
      <c r="C64" s="26"/>
      <c r="D64" s="25">
        <f t="shared" si="67"/>
        <v>176</v>
      </c>
      <c r="E64" s="29">
        <f t="shared" ref="E64" si="120">E63</f>
        <v>125</v>
      </c>
      <c r="F64" s="25">
        <f t="shared" si="69"/>
        <v>192</v>
      </c>
      <c r="G64" s="29">
        <f t="shared" si="114"/>
        <v>141</v>
      </c>
      <c r="H64" s="4" t="s">
        <v>0</v>
      </c>
      <c r="I64" s="16" t="str">
        <f t="shared" si="19"/>
        <v>21-20</v>
      </c>
      <c r="J64" s="14">
        <f t="shared" si="20"/>
        <v>176</v>
      </c>
      <c r="K64" s="15">
        <f t="shared" si="21"/>
        <v>125</v>
      </c>
      <c r="L64" s="17">
        <f t="shared" si="22"/>
        <v>192</v>
      </c>
      <c r="M64" s="18">
        <f t="shared" si="23"/>
        <v>125</v>
      </c>
      <c r="N64" s="14">
        <f t="shared" si="24"/>
        <v>192</v>
      </c>
      <c r="O64" s="15">
        <f t="shared" si="25"/>
        <v>141</v>
      </c>
      <c r="P64" s="17">
        <f t="shared" si="26"/>
        <v>176</v>
      </c>
      <c r="Q64" s="18">
        <f t="shared" si="27"/>
        <v>141</v>
      </c>
      <c r="R64" s="4" t="s">
        <v>0</v>
      </c>
      <c r="S64" s="16" t="str">
        <f t="shared" si="28"/>
        <v>21-20</v>
      </c>
      <c r="T64" s="14">
        <f t="shared" si="29"/>
        <v>176</v>
      </c>
      <c r="U64" s="18">
        <f t="shared" si="30"/>
        <v>625</v>
      </c>
      <c r="V64" s="14">
        <f t="shared" si="31"/>
        <v>192</v>
      </c>
      <c r="W64" s="18">
        <f t="shared" si="32"/>
        <v>625</v>
      </c>
      <c r="X64" s="14">
        <f t="shared" si="33"/>
        <v>192</v>
      </c>
      <c r="Y64" s="18">
        <f t="shared" si="34"/>
        <v>609</v>
      </c>
      <c r="Z64" s="14">
        <f t="shared" si="35"/>
        <v>176</v>
      </c>
      <c r="AA64" s="18">
        <f t="shared" si="36"/>
        <v>609</v>
      </c>
      <c r="AB64" s="4" t="s">
        <v>0</v>
      </c>
    </row>
    <row r="65" spans="1:28">
      <c r="A65" s="9" t="s">
        <v>347</v>
      </c>
      <c r="B65" s="24"/>
      <c r="C65" s="26"/>
      <c r="D65" s="25">
        <f t="shared" si="67"/>
        <v>192</v>
      </c>
      <c r="E65" s="29">
        <f t="shared" ref="E65" si="121">E64</f>
        <v>125</v>
      </c>
      <c r="F65" s="25">
        <f t="shared" si="69"/>
        <v>208</v>
      </c>
      <c r="G65" s="29">
        <f t="shared" si="114"/>
        <v>141</v>
      </c>
      <c r="H65" s="4" t="s">
        <v>0</v>
      </c>
      <c r="I65" s="16" t="str">
        <f t="shared" si="19"/>
        <v>21-18</v>
      </c>
      <c r="J65" s="14">
        <f t="shared" si="20"/>
        <v>192</v>
      </c>
      <c r="K65" s="15">
        <f t="shared" si="21"/>
        <v>125</v>
      </c>
      <c r="L65" s="17">
        <f t="shared" si="22"/>
        <v>208</v>
      </c>
      <c r="M65" s="18">
        <f t="shared" si="23"/>
        <v>125</v>
      </c>
      <c r="N65" s="14">
        <f t="shared" si="24"/>
        <v>208</v>
      </c>
      <c r="O65" s="15">
        <f t="shared" si="25"/>
        <v>141</v>
      </c>
      <c r="P65" s="17">
        <f t="shared" si="26"/>
        <v>192</v>
      </c>
      <c r="Q65" s="18">
        <f t="shared" si="27"/>
        <v>141</v>
      </c>
      <c r="R65" s="4" t="s">
        <v>0</v>
      </c>
      <c r="S65" s="16" t="str">
        <f t="shared" si="28"/>
        <v>21-18</v>
      </c>
      <c r="T65" s="14">
        <f t="shared" si="29"/>
        <v>192</v>
      </c>
      <c r="U65" s="18">
        <f t="shared" si="30"/>
        <v>625</v>
      </c>
      <c r="V65" s="14">
        <f t="shared" si="31"/>
        <v>208</v>
      </c>
      <c r="W65" s="18">
        <f t="shared" si="32"/>
        <v>625</v>
      </c>
      <c r="X65" s="14">
        <f t="shared" si="33"/>
        <v>208</v>
      </c>
      <c r="Y65" s="18">
        <f t="shared" si="34"/>
        <v>609</v>
      </c>
      <c r="Z65" s="14">
        <f t="shared" si="35"/>
        <v>192</v>
      </c>
      <c r="AA65" s="18">
        <f t="shared" si="36"/>
        <v>609</v>
      </c>
      <c r="AB65" s="4" t="s">
        <v>0</v>
      </c>
    </row>
    <row r="66" spans="1:28">
      <c r="A66" s="9" t="s">
        <v>346</v>
      </c>
      <c r="B66" s="24"/>
      <c r="C66" s="26"/>
      <c r="D66" s="25">
        <f t="shared" si="67"/>
        <v>209</v>
      </c>
      <c r="E66" s="29">
        <f t="shared" ref="E66" si="122">E65</f>
        <v>125</v>
      </c>
      <c r="F66" s="25">
        <f t="shared" si="69"/>
        <v>225</v>
      </c>
      <c r="G66" s="29">
        <f t="shared" si="114"/>
        <v>141</v>
      </c>
      <c r="H66" s="4" t="s">
        <v>0</v>
      </c>
      <c r="I66" s="16" t="str">
        <f t="shared" si="19"/>
        <v>21-17</v>
      </c>
      <c r="J66" s="14">
        <f t="shared" si="20"/>
        <v>209</v>
      </c>
      <c r="K66" s="15">
        <f t="shared" si="21"/>
        <v>125</v>
      </c>
      <c r="L66" s="17">
        <f t="shared" si="22"/>
        <v>225</v>
      </c>
      <c r="M66" s="18">
        <f t="shared" si="23"/>
        <v>125</v>
      </c>
      <c r="N66" s="14">
        <f t="shared" si="24"/>
        <v>225</v>
      </c>
      <c r="O66" s="15">
        <f t="shared" si="25"/>
        <v>141</v>
      </c>
      <c r="P66" s="17">
        <f t="shared" si="26"/>
        <v>209</v>
      </c>
      <c r="Q66" s="18">
        <f t="shared" si="27"/>
        <v>141</v>
      </c>
      <c r="R66" s="4" t="s">
        <v>0</v>
      </c>
      <c r="S66" s="16" t="str">
        <f t="shared" si="28"/>
        <v>21-17</v>
      </c>
      <c r="T66" s="14">
        <f t="shared" si="29"/>
        <v>209</v>
      </c>
      <c r="U66" s="18">
        <f t="shared" si="30"/>
        <v>625</v>
      </c>
      <c r="V66" s="14">
        <f t="shared" si="31"/>
        <v>225</v>
      </c>
      <c r="W66" s="18">
        <f t="shared" si="32"/>
        <v>625</v>
      </c>
      <c r="X66" s="14">
        <f t="shared" si="33"/>
        <v>225</v>
      </c>
      <c r="Y66" s="18">
        <f t="shared" si="34"/>
        <v>609</v>
      </c>
      <c r="Z66" s="14">
        <f t="shared" si="35"/>
        <v>209</v>
      </c>
      <c r="AA66" s="18">
        <f t="shared" si="36"/>
        <v>609</v>
      </c>
      <c r="AB66" s="4" t="s">
        <v>0</v>
      </c>
    </row>
    <row r="67" spans="1:28">
      <c r="A67" s="9" t="s">
        <v>345</v>
      </c>
      <c r="B67" s="24"/>
      <c r="C67" s="26"/>
      <c r="D67" s="25">
        <f t="shared" si="67"/>
        <v>225</v>
      </c>
      <c r="E67" s="29">
        <f t="shared" ref="E67" si="123">E66</f>
        <v>125</v>
      </c>
      <c r="F67" s="25">
        <f t="shared" si="69"/>
        <v>241</v>
      </c>
      <c r="G67" s="29">
        <f t="shared" si="114"/>
        <v>141</v>
      </c>
      <c r="H67" s="4" t="s">
        <v>0</v>
      </c>
      <c r="I67" s="16" t="str">
        <f t="shared" si="19"/>
        <v>21-16</v>
      </c>
      <c r="J67" s="14">
        <f t="shared" si="20"/>
        <v>225</v>
      </c>
      <c r="K67" s="15">
        <f t="shared" si="21"/>
        <v>125</v>
      </c>
      <c r="L67" s="17">
        <f t="shared" si="22"/>
        <v>241</v>
      </c>
      <c r="M67" s="18">
        <f t="shared" si="23"/>
        <v>125</v>
      </c>
      <c r="N67" s="14">
        <f t="shared" si="24"/>
        <v>241</v>
      </c>
      <c r="O67" s="15">
        <f t="shared" si="25"/>
        <v>141</v>
      </c>
      <c r="P67" s="17">
        <f t="shared" si="26"/>
        <v>225</v>
      </c>
      <c r="Q67" s="18">
        <f t="shared" si="27"/>
        <v>141</v>
      </c>
      <c r="R67" s="4" t="s">
        <v>0</v>
      </c>
      <c r="S67" s="16" t="str">
        <f t="shared" si="28"/>
        <v>21-16</v>
      </c>
      <c r="T67" s="14">
        <f t="shared" si="29"/>
        <v>225</v>
      </c>
      <c r="U67" s="18">
        <f t="shared" si="30"/>
        <v>625</v>
      </c>
      <c r="V67" s="14">
        <f t="shared" si="31"/>
        <v>241</v>
      </c>
      <c r="W67" s="18">
        <f t="shared" si="32"/>
        <v>625</v>
      </c>
      <c r="X67" s="14">
        <f t="shared" si="33"/>
        <v>241</v>
      </c>
      <c r="Y67" s="18">
        <f t="shared" si="34"/>
        <v>609</v>
      </c>
      <c r="Z67" s="14">
        <f t="shared" si="35"/>
        <v>225</v>
      </c>
      <c r="AA67" s="18">
        <f t="shared" si="36"/>
        <v>609</v>
      </c>
      <c r="AB67" s="4" t="s">
        <v>0</v>
      </c>
    </row>
    <row r="68" spans="1:28">
      <c r="A68" s="9" t="s">
        <v>344</v>
      </c>
      <c r="B68" s="24"/>
      <c r="C68" s="26"/>
      <c r="D68" s="25">
        <f t="shared" si="67"/>
        <v>266</v>
      </c>
      <c r="E68" s="29">
        <f t="shared" ref="E68" si="124">E67</f>
        <v>125</v>
      </c>
      <c r="F68" s="25">
        <f t="shared" si="69"/>
        <v>282</v>
      </c>
      <c r="G68" s="29">
        <f t="shared" si="114"/>
        <v>141</v>
      </c>
      <c r="H68" s="4" t="s">
        <v>0</v>
      </c>
      <c r="I68" s="16" t="str">
        <f t="shared" si="19"/>
        <v>21-15</v>
      </c>
      <c r="J68" s="14">
        <f t="shared" si="20"/>
        <v>266</v>
      </c>
      <c r="K68" s="15">
        <f t="shared" si="21"/>
        <v>125</v>
      </c>
      <c r="L68" s="17">
        <f t="shared" si="22"/>
        <v>282</v>
      </c>
      <c r="M68" s="18">
        <f t="shared" si="23"/>
        <v>125</v>
      </c>
      <c r="N68" s="14">
        <f t="shared" si="24"/>
        <v>282</v>
      </c>
      <c r="O68" s="15">
        <f t="shared" si="25"/>
        <v>141</v>
      </c>
      <c r="P68" s="17">
        <f t="shared" si="26"/>
        <v>266</v>
      </c>
      <c r="Q68" s="18">
        <f t="shared" si="27"/>
        <v>141</v>
      </c>
      <c r="R68" s="4" t="s">
        <v>0</v>
      </c>
      <c r="S68" s="16" t="str">
        <f t="shared" si="28"/>
        <v>21-15</v>
      </c>
      <c r="T68" s="14">
        <f t="shared" si="29"/>
        <v>266</v>
      </c>
      <c r="U68" s="18">
        <f t="shared" si="30"/>
        <v>625</v>
      </c>
      <c r="V68" s="14">
        <f t="shared" si="31"/>
        <v>282</v>
      </c>
      <c r="W68" s="18">
        <f t="shared" si="32"/>
        <v>625</v>
      </c>
      <c r="X68" s="14">
        <f t="shared" si="33"/>
        <v>282</v>
      </c>
      <c r="Y68" s="18">
        <f t="shared" si="34"/>
        <v>609</v>
      </c>
      <c r="Z68" s="14">
        <f t="shared" si="35"/>
        <v>266</v>
      </c>
      <c r="AA68" s="18">
        <f t="shared" si="36"/>
        <v>609</v>
      </c>
      <c r="AB68" s="4" t="s">
        <v>0</v>
      </c>
    </row>
    <row r="69" spans="1:28">
      <c r="A69" s="9" t="s">
        <v>343</v>
      </c>
      <c r="B69" s="24"/>
      <c r="C69" s="26"/>
      <c r="D69" s="25">
        <f t="shared" si="67"/>
        <v>282</v>
      </c>
      <c r="E69" s="29">
        <f t="shared" ref="E69" si="125">E68</f>
        <v>125</v>
      </c>
      <c r="F69" s="25">
        <f t="shared" si="69"/>
        <v>298</v>
      </c>
      <c r="G69" s="29">
        <f t="shared" si="114"/>
        <v>141</v>
      </c>
      <c r="H69" s="4" t="s">
        <v>0</v>
      </c>
      <c r="I69" s="16" t="str">
        <f t="shared" si="19"/>
        <v>21-13</v>
      </c>
      <c r="J69" s="14">
        <f t="shared" si="20"/>
        <v>282</v>
      </c>
      <c r="K69" s="15">
        <f t="shared" si="21"/>
        <v>125</v>
      </c>
      <c r="L69" s="17">
        <f t="shared" si="22"/>
        <v>298</v>
      </c>
      <c r="M69" s="18">
        <f t="shared" si="23"/>
        <v>125</v>
      </c>
      <c r="N69" s="14">
        <f t="shared" si="24"/>
        <v>298</v>
      </c>
      <c r="O69" s="15">
        <f t="shared" si="25"/>
        <v>141</v>
      </c>
      <c r="P69" s="17">
        <f t="shared" si="26"/>
        <v>282</v>
      </c>
      <c r="Q69" s="18">
        <f t="shared" si="27"/>
        <v>141</v>
      </c>
      <c r="R69" s="4" t="s">
        <v>0</v>
      </c>
      <c r="S69" s="16" t="str">
        <f t="shared" si="28"/>
        <v>21-13</v>
      </c>
      <c r="T69" s="14">
        <f t="shared" si="29"/>
        <v>282</v>
      </c>
      <c r="U69" s="18">
        <f t="shared" si="30"/>
        <v>625</v>
      </c>
      <c r="V69" s="14">
        <f t="shared" si="31"/>
        <v>298</v>
      </c>
      <c r="W69" s="18">
        <f t="shared" si="32"/>
        <v>625</v>
      </c>
      <c r="X69" s="14">
        <f t="shared" si="33"/>
        <v>298</v>
      </c>
      <c r="Y69" s="18">
        <f t="shared" si="34"/>
        <v>609</v>
      </c>
      <c r="Z69" s="14">
        <f t="shared" si="35"/>
        <v>282</v>
      </c>
      <c r="AA69" s="18">
        <f t="shared" si="36"/>
        <v>609</v>
      </c>
      <c r="AB69" s="4" t="s">
        <v>0</v>
      </c>
    </row>
    <row r="70" spans="1:28">
      <c r="A70" s="9" t="s">
        <v>342</v>
      </c>
      <c r="B70" s="24"/>
      <c r="C70" s="26"/>
      <c r="D70" s="25">
        <f t="shared" si="67"/>
        <v>299</v>
      </c>
      <c r="E70" s="29">
        <f t="shared" ref="E70" si="126">E69</f>
        <v>125</v>
      </c>
      <c r="F70" s="25">
        <f t="shared" si="69"/>
        <v>315</v>
      </c>
      <c r="G70" s="29">
        <f t="shared" si="114"/>
        <v>141</v>
      </c>
      <c r="H70" s="4" t="s">
        <v>0</v>
      </c>
      <c r="I70" s="16" t="str">
        <f t="shared" si="19"/>
        <v>21-12</v>
      </c>
      <c r="J70" s="14">
        <f t="shared" si="20"/>
        <v>299</v>
      </c>
      <c r="K70" s="15">
        <f t="shared" si="21"/>
        <v>125</v>
      </c>
      <c r="L70" s="17">
        <f t="shared" si="22"/>
        <v>315</v>
      </c>
      <c r="M70" s="18">
        <f t="shared" si="23"/>
        <v>125</v>
      </c>
      <c r="N70" s="14">
        <f t="shared" si="24"/>
        <v>315</v>
      </c>
      <c r="O70" s="15">
        <f t="shared" si="25"/>
        <v>141</v>
      </c>
      <c r="P70" s="17">
        <f t="shared" si="26"/>
        <v>299</v>
      </c>
      <c r="Q70" s="18">
        <f t="shared" si="27"/>
        <v>141</v>
      </c>
      <c r="R70" s="4" t="s">
        <v>0</v>
      </c>
      <c r="S70" s="16" t="str">
        <f t="shared" si="28"/>
        <v>21-12</v>
      </c>
      <c r="T70" s="14">
        <f t="shared" si="29"/>
        <v>299</v>
      </c>
      <c r="U70" s="18">
        <f t="shared" si="30"/>
        <v>625</v>
      </c>
      <c r="V70" s="14">
        <f t="shared" si="31"/>
        <v>315</v>
      </c>
      <c r="W70" s="18">
        <f t="shared" si="32"/>
        <v>625</v>
      </c>
      <c r="X70" s="14">
        <f t="shared" si="33"/>
        <v>315</v>
      </c>
      <c r="Y70" s="18">
        <f t="shared" si="34"/>
        <v>609</v>
      </c>
      <c r="Z70" s="14">
        <f t="shared" si="35"/>
        <v>299</v>
      </c>
      <c r="AA70" s="18">
        <f t="shared" si="36"/>
        <v>609</v>
      </c>
      <c r="AB70" s="4" t="s">
        <v>0</v>
      </c>
    </row>
    <row r="71" spans="1:28">
      <c r="A71" s="9" t="s">
        <v>341</v>
      </c>
      <c r="B71" s="24"/>
      <c r="C71" s="26"/>
      <c r="D71" s="25">
        <f t="shared" si="67"/>
        <v>315</v>
      </c>
      <c r="E71" s="29">
        <f t="shared" ref="E71" si="127">E70</f>
        <v>125</v>
      </c>
      <c r="F71" s="25">
        <f t="shared" si="69"/>
        <v>331</v>
      </c>
      <c r="G71" s="29">
        <f t="shared" si="114"/>
        <v>141</v>
      </c>
      <c r="H71" s="4" t="s">
        <v>0</v>
      </c>
      <c r="I71" s="16" t="str">
        <f t="shared" si="19"/>
        <v>21-11</v>
      </c>
      <c r="J71" s="14">
        <f t="shared" si="20"/>
        <v>315</v>
      </c>
      <c r="K71" s="15">
        <f t="shared" si="21"/>
        <v>125</v>
      </c>
      <c r="L71" s="17">
        <f t="shared" si="22"/>
        <v>331</v>
      </c>
      <c r="M71" s="18">
        <f t="shared" si="23"/>
        <v>125</v>
      </c>
      <c r="N71" s="14">
        <f t="shared" si="24"/>
        <v>331</v>
      </c>
      <c r="O71" s="15">
        <f t="shared" si="25"/>
        <v>141</v>
      </c>
      <c r="P71" s="17">
        <f t="shared" si="26"/>
        <v>315</v>
      </c>
      <c r="Q71" s="18">
        <f t="shared" si="27"/>
        <v>141</v>
      </c>
      <c r="R71" s="4" t="s">
        <v>0</v>
      </c>
      <c r="S71" s="16" t="str">
        <f t="shared" si="28"/>
        <v>21-11</v>
      </c>
      <c r="T71" s="14">
        <f t="shared" si="29"/>
        <v>315</v>
      </c>
      <c r="U71" s="18">
        <f t="shared" si="30"/>
        <v>625</v>
      </c>
      <c r="V71" s="14">
        <f t="shared" si="31"/>
        <v>331</v>
      </c>
      <c r="W71" s="18">
        <f t="shared" si="32"/>
        <v>625</v>
      </c>
      <c r="X71" s="14">
        <f t="shared" si="33"/>
        <v>331</v>
      </c>
      <c r="Y71" s="18">
        <f t="shared" si="34"/>
        <v>609</v>
      </c>
      <c r="Z71" s="14">
        <f t="shared" si="35"/>
        <v>315</v>
      </c>
      <c r="AA71" s="18">
        <f t="shared" si="36"/>
        <v>609</v>
      </c>
      <c r="AB71" s="4" t="s">
        <v>0</v>
      </c>
    </row>
    <row r="72" spans="1:28">
      <c r="A72" s="9" t="s">
        <v>340</v>
      </c>
      <c r="B72" s="24"/>
      <c r="C72" s="26"/>
      <c r="D72" s="25">
        <f t="shared" si="67"/>
        <v>331</v>
      </c>
      <c r="E72" s="29">
        <f t="shared" ref="E72" si="128">E71</f>
        <v>125</v>
      </c>
      <c r="F72" s="25">
        <f t="shared" si="69"/>
        <v>347</v>
      </c>
      <c r="G72" s="29">
        <f t="shared" si="114"/>
        <v>141</v>
      </c>
      <c r="H72" s="4" t="s">
        <v>0</v>
      </c>
      <c r="I72" s="16" t="str">
        <f t="shared" si="19"/>
        <v>21-10</v>
      </c>
      <c r="J72" s="14">
        <f t="shared" si="20"/>
        <v>331</v>
      </c>
      <c r="K72" s="15">
        <f t="shared" si="21"/>
        <v>125</v>
      </c>
      <c r="L72" s="17">
        <f t="shared" si="22"/>
        <v>347</v>
      </c>
      <c r="M72" s="18">
        <f t="shared" si="23"/>
        <v>125</v>
      </c>
      <c r="N72" s="14">
        <f t="shared" si="24"/>
        <v>347</v>
      </c>
      <c r="O72" s="15">
        <f t="shared" si="25"/>
        <v>141</v>
      </c>
      <c r="P72" s="17">
        <f t="shared" si="26"/>
        <v>331</v>
      </c>
      <c r="Q72" s="18">
        <f t="shared" si="27"/>
        <v>141</v>
      </c>
      <c r="R72" s="4" t="s">
        <v>0</v>
      </c>
      <c r="S72" s="16" t="str">
        <f t="shared" si="28"/>
        <v>21-10</v>
      </c>
      <c r="T72" s="14">
        <f t="shared" si="29"/>
        <v>331</v>
      </c>
      <c r="U72" s="18">
        <f t="shared" si="30"/>
        <v>625</v>
      </c>
      <c r="V72" s="14">
        <f t="shared" si="31"/>
        <v>347</v>
      </c>
      <c r="W72" s="18">
        <f t="shared" si="32"/>
        <v>625</v>
      </c>
      <c r="X72" s="14">
        <f t="shared" si="33"/>
        <v>347</v>
      </c>
      <c r="Y72" s="18">
        <f t="shared" si="34"/>
        <v>609</v>
      </c>
      <c r="Z72" s="14">
        <f t="shared" si="35"/>
        <v>331</v>
      </c>
      <c r="AA72" s="18">
        <f t="shared" si="36"/>
        <v>609</v>
      </c>
      <c r="AB72" s="4" t="s">
        <v>0</v>
      </c>
    </row>
    <row r="73" spans="1:28">
      <c r="A73" s="9" t="s">
        <v>339</v>
      </c>
      <c r="B73" s="24"/>
      <c r="C73" s="26"/>
      <c r="D73" s="25">
        <f t="shared" si="67"/>
        <v>348</v>
      </c>
      <c r="E73" s="29">
        <f t="shared" ref="E73" si="129">E72</f>
        <v>125</v>
      </c>
      <c r="F73" s="25">
        <f t="shared" si="69"/>
        <v>364</v>
      </c>
      <c r="G73" s="29">
        <f t="shared" si="114"/>
        <v>141</v>
      </c>
      <c r="H73" s="4" t="s">
        <v>0</v>
      </c>
      <c r="I73" s="16" t="str">
        <f t="shared" si="19"/>
        <v>21-08</v>
      </c>
      <c r="J73" s="14">
        <f t="shared" si="20"/>
        <v>348</v>
      </c>
      <c r="K73" s="15">
        <f t="shared" si="21"/>
        <v>125</v>
      </c>
      <c r="L73" s="17">
        <f t="shared" si="22"/>
        <v>364</v>
      </c>
      <c r="M73" s="18">
        <f t="shared" si="23"/>
        <v>125</v>
      </c>
      <c r="N73" s="14">
        <f t="shared" si="24"/>
        <v>364</v>
      </c>
      <c r="O73" s="15">
        <f t="shared" si="25"/>
        <v>141</v>
      </c>
      <c r="P73" s="17">
        <f t="shared" si="26"/>
        <v>348</v>
      </c>
      <c r="Q73" s="18">
        <f t="shared" si="27"/>
        <v>141</v>
      </c>
      <c r="R73" s="4" t="s">
        <v>0</v>
      </c>
      <c r="S73" s="16" t="str">
        <f t="shared" si="28"/>
        <v>21-08</v>
      </c>
      <c r="T73" s="14">
        <f t="shared" si="29"/>
        <v>348</v>
      </c>
      <c r="U73" s="18">
        <f t="shared" si="30"/>
        <v>625</v>
      </c>
      <c r="V73" s="14">
        <f t="shared" si="31"/>
        <v>364</v>
      </c>
      <c r="W73" s="18">
        <f t="shared" si="32"/>
        <v>625</v>
      </c>
      <c r="X73" s="14">
        <f t="shared" si="33"/>
        <v>364</v>
      </c>
      <c r="Y73" s="18">
        <f t="shared" si="34"/>
        <v>609</v>
      </c>
      <c r="Z73" s="14">
        <f t="shared" si="35"/>
        <v>348</v>
      </c>
      <c r="AA73" s="18">
        <f t="shared" si="36"/>
        <v>609</v>
      </c>
      <c r="AB73" s="4" t="s">
        <v>0</v>
      </c>
    </row>
    <row r="74" spans="1:28">
      <c r="A74" s="9" t="s">
        <v>338</v>
      </c>
      <c r="B74" s="24"/>
      <c r="C74" s="26"/>
      <c r="D74" s="25">
        <f t="shared" si="67"/>
        <v>364</v>
      </c>
      <c r="E74" s="29">
        <f t="shared" ref="E74" si="130">E73</f>
        <v>125</v>
      </c>
      <c r="F74" s="25">
        <f t="shared" si="69"/>
        <v>380</v>
      </c>
      <c r="G74" s="29">
        <f t="shared" si="114"/>
        <v>141</v>
      </c>
      <c r="H74" s="4" t="s">
        <v>0</v>
      </c>
      <c r="I74" s="16" t="str">
        <f t="shared" si="19"/>
        <v>21-07</v>
      </c>
      <c r="J74" s="14">
        <f t="shared" si="20"/>
        <v>364</v>
      </c>
      <c r="K74" s="15">
        <f t="shared" si="21"/>
        <v>125</v>
      </c>
      <c r="L74" s="17">
        <f t="shared" si="22"/>
        <v>380</v>
      </c>
      <c r="M74" s="18">
        <f t="shared" si="23"/>
        <v>125</v>
      </c>
      <c r="N74" s="14">
        <f t="shared" si="24"/>
        <v>380</v>
      </c>
      <c r="O74" s="15">
        <f t="shared" si="25"/>
        <v>141</v>
      </c>
      <c r="P74" s="17">
        <f t="shared" si="26"/>
        <v>364</v>
      </c>
      <c r="Q74" s="18">
        <f t="shared" si="27"/>
        <v>141</v>
      </c>
      <c r="R74" s="4" t="s">
        <v>0</v>
      </c>
      <c r="S74" s="16" t="str">
        <f t="shared" si="28"/>
        <v>21-07</v>
      </c>
      <c r="T74" s="14">
        <f t="shared" si="29"/>
        <v>364</v>
      </c>
      <c r="U74" s="18">
        <f t="shared" si="30"/>
        <v>625</v>
      </c>
      <c r="V74" s="14">
        <f t="shared" si="31"/>
        <v>380</v>
      </c>
      <c r="W74" s="18">
        <f t="shared" si="32"/>
        <v>625</v>
      </c>
      <c r="X74" s="14">
        <f t="shared" si="33"/>
        <v>380</v>
      </c>
      <c r="Y74" s="18">
        <f t="shared" si="34"/>
        <v>609</v>
      </c>
      <c r="Z74" s="14">
        <f t="shared" si="35"/>
        <v>364</v>
      </c>
      <c r="AA74" s="18">
        <f t="shared" si="36"/>
        <v>609</v>
      </c>
      <c r="AB74" s="4" t="s">
        <v>0</v>
      </c>
    </row>
    <row r="75" spans="1:28">
      <c r="A75" s="9" t="s">
        <v>337</v>
      </c>
      <c r="B75" s="24"/>
      <c r="C75" s="26"/>
      <c r="D75" s="25">
        <f t="shared" si="67"/>
        <v>380</v>
      </c>
      <c r="E75" s="29">
        <f t="shared" ref="E75" si="131">E74</f>
        <v>125</v>
      </c>
      <c r="F75" s="25">
        <f t="shared" si="69"/>
        <v>396</v>
      </c>
      <c r="G75" s="29">
        <f t="shared" si="114"/>
        <v>141</v>
      </c>
      <c r="H75" s="4" t="s">
        <v>0</v>
      </c>
      <c r="I75" s="16" t="str">
        <f t="shared" si="19"/>
        <v>21-06</v>
      </c>
      <c r="J75" s="14">
        <f t="shared" si="20"/>
        <v>380</v>
      </c>
      <c r="K75" s="15">
        <f t="shared" si="21"/>
        <v>125</v>
      </c>
      <c r="L75" s="17">
        <f t="shared" si="22"/>
        <v>396</v>
      </c>
      <c r="M75" s="18">
        <f t="shared" si="23"/>
        <v>125</v>
      </c>
      <c r="N75" s="14">
        <f t="shared" si="24"/>
        <v>396</v>
      </c>
      <c r="O75" s="15">
        <f t="shared" si="25"/>
        <v>141</v>
      </c>
      <c r="P75" s="17">
        <f t="shared" si="26"/>
        <v>380</v>
      </c>
      <c r="Q75" s="18">
        <f t="shared" si="27"/>
        <v>141</v>
      </c>
      <c r="R75" s="4" t="s">
        <v>0</v>
      </c>
      <c r="S75" s="16" t="str">
        <f t="shared" si="28"/>
        <v>21-06</v>
      </c>
      <c r="T75" s="14">
        <f t="shared" si="29"/>
        <v>380</v>
      </c>
      <c r="U75" s="18">
        <f t="shared" si="30"/>
        <v>625</v>
      </c>
      <c r="V75" s="14">
        <f t="shared" si="31"/>
        <v>396</v>
      </c>
      <c r="W75" s="18">
        <f t="shared" si="32"/>
        <v>625</v>
      </c>
      <c r="X75" s="14">
        <f t="shared" si="33"/>
        <v>396</v>
      </c>
      <c r="Y75" s="18">
        <f t="shared" si="34"/>
        <v>609</v>
      </c>
      <c r="Z75" s="14">
        <f t="shared" si="35"/>
        <v>380</v>
      </c>
      <c r="AA75" s="18">
        <f t="shared" si="36"/>
        <v>609</v>
      </c>
      <c r="AB75" s="4" t="s">
        <v>0</v>
      </c>
    </row>
    <row r="76" spans="1:28">
      <c r="A76" s="9" t="s">
        <v>336</v>
      </c>
      <c r="B76" s="24"/>
      <c r="C76" s="26"/>
      <c r="D76" s="25">
        <f t="shared" si="67"/>
        <v>396</v>
      </c>
      <c r="E76" s="29">
        <f t="shared" ref="E76" si="132">E75</f>
        <v>125</v>
      </c>
      <c r="F76" s="25">
        <f t="shared" si="69"/>
        <v>412</v>
      </c>
      <c r="G76" s="29">
        <f t="shared" si="114"/>
        <v>141</v>
      </c>
      <c r="H76" s="4" t="s">
        <v>0</v>
      </c>
      <c r="I76" s="16" t="str">
        <f t="shared" si="19"/>
        <v>21-05</v>
      </c>
      <c r="J76" s="14">
        <f t="shared" si="20"/>
        <v>396</v>
      </c>
      <c r="K76" s="15">
        <f t="shared" si="21"/>
        <v>125</v>
      </c>
      <c r="L76" s="17">
        <f t="shared" si="22"/>
        <v>412</v>
      </c>
      <c r="M76" s="18">
        <f t="shared" si="23"/>
        <v>125</v>
      </c>
      <c r="N76" s="14">
        <f t="shared" si="24"/>
        <v>412</v>
      </c>
      <c r="O76" s="15">
        <f t="shared" si="25"/>
        <v>141</v>
      </c>
      <c r="P76" s="17">
        <f t="shared" si="26"/>
        <v>396</v>
      </c>
      <c r="Q76" s="18">
        <f t="shared" si="27"/>
        <v>141</v>
      </c>
      <c r="R76" s="4" t="s">
        <v>0</v>
      </c>
      <c r="S76" s="16" t="str">
        <f t="shared" si="28"/>
        <v>21-05</v>
      </c>
      <c r="T76" s="14">
        <f t="shared" si="29"/>
        <v>396</v>
      </c>
      <c r="U76" s="18">
        <f t="shared" si="30"/>
        <v>625</v>
      </c>
      <c r="V76" s="14">
        <f t="shared" si="31"/>
        <v>412</v>
      </c>
      <c r="W76" s="18">
        <f t="shared" si="32"/>
        <v>625</v>
      </c>
      <c r="X76" s="14">
        <f t="shared" si="33"/>
        <v>412</v>
      </c>
      <c r="Y76" s="18">
        <f t="shared" si="34"/>
        <v>609</v>
      </c>
      <c r="Z76" s="14">
        <f t="shared" si="35"/>
        <v>396</v>
      </c>
      <c r="AA76" s="18">
        <f t="shared" si="36"/>
        <v>609</v>
      </c>
      <c r="AB76" s="4" t="s">
        <v>0</v>
      </c>
    </row>
    <row r="77" spans="1:28">
      <c r="A77" s="9" t="s">
        <v>335</v>
      </c>
      <c r="B77" s="24"/>
      <c r="C77" s="26"/>
      <c r="D77" s="25">
        <f t="shared" si="67"/>
        <v>413</v>
      </c>
      <c r="E77" s="29">
        <f t="shared" ref="E77" si="133">E76</f>
        <v>125</v>
      </c>
      <c r="F77" s="25">
        <f t="shared" si="69"/>
        <v>429</v>
      </c>
      <c r="G77" s="29">
        <f t="shared" si="114"/>
        <v>141</v>
      </c>
      <c r="H77" s="4" t="s">
        <v>0</v>
      </c>
      <c r="I77" s="16" t="str">
        <f t="shared" ref="I77:I140" si="134">A77</f>
        <v>21-03</v>
      </c>
      <c r="J77" s="14">
        <f t="shared" ref="J77:J140" si="135">IF(D77&lt;&gt;"",D77,0)</f>
        <v>413</v>
      </c>
      <c r="K77" s="15">
        <f t="shared" ref="K77:K140" si="136">IF(E77&lt;&gt;"",E77,0)</f>
        <v>125</v>
      </c>
      <c r="L77" s="17">
        <f t="shared" ref="L77:L140" si="137">N77</f>
        <v>429</v>
      </c>
      <c r="M77" s="18">
        <f t="shared" ref="M77:M140" si="138">K77</f>
        <v>125</v>
      </c>
      <c r="N77" s="14">
        <f t="shared" ref="N77:N140" si="139">IF(F77&lt;&gt;"",F77,0)</f>
        <v>429</v>
      </c>
      <c r="O77" s="15">
        <f t="shared" ref="O77:O140" si="140">IF(G77&lt;&gt;"",G77,0)</f>
        <v>141</v>
      </c>
      <c r="P77" s="17">
        <f t="shared" ref="P77:P140" si="141">J77</f>
        <v>413</v>
      </c>
      <c r="Q77" s="18">
        <f t="shared" ref="Q77:Q140" si="142">O77</f>
        <v>141</v>
      </c>
      <c r="R77" s="4" t="s">
        <v>0</v>
      </c>
      <c r="S77" s="16" t="str">
        <f t="shared" ref="S77:S140" si="143">I77</f>
        <v>21-03</v>
      </c>
      <c r="T77" s="14">
        <f t="shared" ref="T77:T140" si="144">IF(J77&lt;&gt;"",J77,"")</f>
        <v>413</v>
      </c>
      <c r="U77" s="18">
        <f t="shared" ref="U77:U140" si="145">IF(K77&lt;&gt;"",U$6-K77,"")</f>
        <v>625</v>
      </c>
      <c r="V77" s="14">
        <f t="shared" ref="V77:V140" si="146">IF(L77&lt;&gt;"",L77,"")</f>
        <v>429</v>
      </c>
      <c r="W77" s="18">
        <f t="shared" ref="W77:W140" si="147">IF(M77&lt;&gt;"",W$6-M77,"")</f>
        <v>625</v>
      </c>
      <c r="X77" s="14">
        <f t="shared" ref="X77:X140" si="148">IF(N77&lt;&gt;"",N77,"")</f>
        <v>429</v>
      </c>
      <c r="Y77" s="18">
        <f t="shared" ref="Y77:Y140" si="149">IF(O77&lt;&gt;"",Y$6-O77,"")</f>
        <v>609</v>
      </c>
      <c r="Z77" s="14">
        <f t="shared" ref="Z77:Z140" si="150">IF(P77&lt;&gt;"",P77,"")</f>
        <v>413</v>
      </c>
      <c r="AA77" s="18">
        <f t="shared" ref="AA77:AA140" si="151">IF(Q77&lt;&gt;"",AA$6-Q77,"")</f>
        <v>609</v>
      </c>
      <c r="AB77" s="4" t="s">
        <v>0</v>
      </c>
    </row>
    <row r="78" spans="1:28">
      <c r="A78" s="9" t="s">
        <v>334</v>
      </c>
      <c r="B78" s="24"/>
      <c r="C78" s="26"/>
      <c r="D78" s="25">
        <f t="shared" si="67"/>
        <v>429</v>
      </c>
      <c r="E78" s="29">
        <f t="shared" ref="E78" si="152">E77</f>
        <v>125</v>
      </c>
      <c r="F78" s="25">
        <f t="shared" si="69"/>
        <v>445</v>
      </c>
      <c r="G78" s="29">
        <f t="shared" si="114"/>
        <v>141</v>
      </c>
      <c r="H78" s="4" t="s">
        <v>0</v>
      </c>
      <c r="I78" s="16" t="str">
        <f t="shared" si="134"/>
        <v>21-02</v>
      </c>
      <c r="J78" s="14">
        <f t="shared" si="135"/>
        <v>429</v>
      </c>
      <c r="K78" s="15">
        <f t="shared" si="136"/>
        <v>125</v>
      </c>
      <c r="L78" s="17">
        <f t="shared" si="137"/>
        <v>445</v>
      </c>
      <c r="M78" s="18">
        <f t="shared" si="138"/>
        <v>125</v>
      </c>
      <c r="N78" s="14">
        <f t="shared" si="139"/>
        <v>445</v>
      </c>
      <c r="O78" s="15">
        <f t="shared" si="140"/>
        <v>141</v>
      </c>
      <c r="P78" s="17">
        <f t="shared" si="141"/>
        <v>429</v>
      </c>
      <c r="Q78" s="18">
        <f t="shared" si="142"/>
        <v>141</v>
      </c>
      <c r="R78" s="4" t="s">
        <v>0</v>
      </c>
      <c r="S78" s="16" t="str">
        <f t="shared" si="143"/>
        <v>21-02</v>
      </c>
      <c r="T78" s="14">
        <f t="shared" si="144"/>
        <v>429</v>
      </c>
      <c r="U78" s="18">
        <f t="shared" si="145"/>
        <v>625</v>
      </c>
      <c r="V78" s="14">
        <f t="shared" si="146"/>
        <v>445</v>
      </c>
      <c r="W78" s="18">
        <f t="shared" si="147"/>
        <v>625</v>
      </c>
      <c r="X78" s="14">
        <f t="shared" si="148"/>
        <v>445</v>
      </c>
      <c r="Y78" s="18">
        <f t="shared" si="149"/>
        <v>609</v>
      </c>
      <c r="Z78" s="14">
        <f t="shared" si="150"/>
        <v>429</v>
      </c>
      <c r="AA78" s="18">
        <f t="shared" si="151"/>
        <v>609</v>
      </c>
      <c r="AB78" s="4" t="s">
        <v>0</v>
      </c>
    </row>
    <row r="79" spans="1:28">
      <c r="A79" s="9" t="s">
        <v>333</v>
      </c>
      <c r="B79" s="24"/>
      <c r="C79" s="26"/>
      <c r="D79" s="25">
        <f t="shared" si="67"/>
        <v>445</v>
      </c>
      <c r="E79" s="29">
        <f t="shared" ref="E79" si="153">E78</f>
        <v>125</v>
      </c>
      <c r="F79" s="25">
        <f t="shared" si="69"/>
        <v>461</v>
      </c>
      <c r="G79" s="29">
        <f t="shared" si="114"/>
        <v>141</v>
      </c>
      <c r="H79" s="4" t="s">
        <v>0</v>
      </c>
      <c r="I79" s="16" t="str">
        <f t="shared" si="134"/>
        <v>21-01</v>
      </c>
      <c r="J79" s="14">
        <f t="shared" si="135"/>
        <v>445</v>
      </c>
      <c r="K79" s="15">
        <f t="shared" si="136"/>
        <v>125</v>
      </c>
      <c r="L79" s="17">
        <f t="shared" si="137"/>
        <v>461</v>
      </c>
      <c r="M79" s="18">
        <f t="shared" si="138"/>
        <v>125</v>
      </c>
      <c r="N79" s="14">
        <f t="shared" si="139"/>
        <v>461</v>
      </c>
      <c r="O79" s="15">
        <f t="shared" si="140"/>
        <v>141</v>
      </c>
      <c r="P79" s="17">
        <f t="shared" si="141"/>
        <v>445</v>
      </c>
      <c r="Q79" s="18">
        <f t="shared" si="142"/>
        <v>141</v>
      </c>
      <c r="R79" s="4" t="s">
        <v>0</v>
      </c>
      <c r="S79" s="16" t="str">
        <f t="shared" si="143"/>
        <v>21-01</v>
      </c>
      <c r="T79" s="14">
        <f t="shared" si="144"/>
        <v>445</v>
      </c>
      <c r="U79" s="18">
        <f t="shared" si="145"/>
        <v>625</v>
      </c>
      <c r="V79" s="14">
        <f t="shared" si="146"/>
        <v>461</v>
      </c>
      <c r="W79" s="18">
        <f t="shared" si="147"/>
        <v>625</v>
      </c>
      <c r="X79" s="14">
        <f t="shared" si="148"/>
        <v>461</v>
      </c>
      <c r="Y79" s="18">
        <f t="shared" si="149"/>
        <v>609</v>
      </c>
      <c r="Z79" s="14">
        <f t="shared" si="150"/>
        <v>445</v>
      </c>
      <c r="AA79" s="18">
        <f t="shared" si="151"/>
        <v>609</v>
      </c>
      <c r="AB79" s="4" t="s">
        <v>0</v>
      </c>
    </row>
    <row r="80" spans="1:28">
      <c r="A80" s="9" t="s">
        <v>331</v>
      </c>
      <c r="B80" s="24"/>
      <c r="C80" s="26">
        <v>3</v>
      </c>
      <c r="D80" s="25">
        <f t="shared" si="67"/>
        <v>62</v>
      </c>
      <c r="E80" s="28">
        <f t="shared" ref="E80" si="154">ROUND(E$11+21.8*$C80, 0)</f>
        <v>146</v>
      </c>
      <c r="F80" s="25">
        <f t="shared" si="69"/>
        <v>78</v>
      </c>
      <c r="G80" s="28">
        <f t="shared" ref="G80" si="155">ROUND(G$11+21.8*$C80, 0)</f>
        <v>162</v>
      </c>
      <c r="H80" s="4" t="s">
        <v>0</v>
      </c>
      <c r="I80" s="16" t="str">
        <f t="shared" si="134"/>
        <v>20-28</v>
      </c>
      <c r="J80" s="14">
        <f t="shared" si="135"/>
        <v>62</v>
      </c>
      <c r="K80" s="15">
        <f t="shared" si="136"/>
        <v>146</v>
      </c>
      <c r="L80" s="17">
        <f t="shared" si="137"/>
        <v>78</v>
      </c>
      <c r="M80" s="18">
        <f t="shared" si="138"/>
        <v>146</v>
      </c>
      <c r="N80" s="14">
        <f t="shared" si="139"/>
        <v>78</v>
      </c>
      <c r="O80" s="15">
        <f t="shared" si="140"/>
        <v>162</v>
      </c>
      <c r="P80" s="17">
        <f t="shared" si="141"/>
        <v>62</v>
      </c>
      <c r="Q80" s="18">
        <f t="shared" si="142"/>
        <v>162</v>
      </c>
      <c r="R80" s="4" t="s">
        <v>0</v>
      </c>
      <c r="S80" s="16" t="str">
        <f t="shared" si="143"/>
        <v>20-28</v>
      </c>
      <c r="T80" s="14">
        <f t="shared" si="144"/>
        <v>62</v>
      </c>
      <c r="U80" s="18">
        <f t="shared" si="145"/>
        <v>604</v>
      </c>
      <c r="V80" s="14">
        <f t="shared" si="146"/>
        <v>78</v>
      </c>
      <c r="W80" s="18">
        <f t="shared" si="147"/>
        <v>604</v>
      </c>
      <c r="X80" s="14">
        <f t="shared" si="148"/>
        <v>78</v>
      </c>
      <c r="Y80" s="18">
        <f t="shared" si="149"/>
        <v>588</v>
      </c>
      <c r="Z80" s="14">
        <f t="shared" si="150"/>
        <v>62</v>
      </c>
      <c r="AA80" s="18">
        <f t="shared" si="151"/>
        <v>588</v>
      </c>
      <c r="AB80" s="4" t="s">
        <v>0</v>
      </c>
    </row>
    <row r="81" spans="1:28">
      <c r="A81" s="9" t="s">
        <v>330</v>
      </c>
      <c r="B81" s="24"/>
      <c r="C81" s="26"/>
      <c r="D81" s="25">
        <f t="shared" si="67"/>
        <v>78</v>
      </c>
      <c r="E81" s="29">
        <f t="shared" ref="E81" si="156">E80</f>
        <v>146</v>
      </c>
      <c r="F81" s="25">
        <f t="shared" si="69"/>
        <v>94</v>
      </c>
      <c r="G81" s="29">
        <f t="shared" ref="G81" si="157">G80</f>
        <v>162</v>
      </c>
      <c r="H81" s="4" t="s">
        <v>0</v>
      </c>
      <c r="I81" s="16" t="str">
        <f t="shared" si="134"/>
        <v>20-27</v>
      </c>
      <c r="J81" s="14">
        <f t="shared" si="135"/>
        <v>78</v>
      </c>
      <c r="K81" s="15">
        <f t="shared" si="136"/>
        <v>146</v>
      </c>
      <c r="L81" s="17">
        <f t="shared" si="137"/>
        <v>94</v>
      </c>
      <c r="M81" s="18">
        <f t="shared" si="138"/>
        <v>146</v>
      </c>
      <c r="N81" s="14">
        <f t="shared" si="139"/>
        <v>94</v>
      </c>
      <c r="O81" s="15">
        <f t="shared" si="140"/>
        <v>162</v>
      </c>
      <c r="P81" s="17">
        <f t="shared" si="141"/>
        <v>78</v>
      </c>
      <c r="Q81" s="18">
        <f t="shared" si="142"/>
        <v>162</v>
      </c>
      <c r="R81" s="4" t="s">
        <v>0</v>
      </c>
      <c r="S81" s="16" t="str">
        <f t="shared" si="143"/>
        <v>20-27</v>
      </c>
      <c r="T81" s="14">
        <f t="shared" si="144"/>
        <v>78</v>
      </c>
      <c r="U81" s="18">
        <f t="shared" si="145"/>
        <v>604</v>
      </c>
      <c r="V81" s="14">
        <f t="shared" si="146"/>
        <v>94</v>
      </c>
      <c r="W81" s="18">
        <f t="shared" si="147"/>
        <v>604</v>
      </c>
      <c r="X81" s="14">
        <f t="shared" si="148"/>
        <v>94</v>
      </c>
      <c r="Y81" s="18">
        <f t="shared" si="149"/>
        <v>588</v>
      </c>
      <c r="Z81" s="14">
        <f t="shared" si="150"/>
        <v>78</v>
      </c>
      <c r="AA81" s="18">
        <f t="shared" si="151"/>
        <v>588</v>
      </c>
      <c r="AB81" s="4" t="s">
        <v>0</v>
      </c>
    </row>
    <row r="82" spans="1:28">
      <c r="A82" s="9" t="s">
        <v>329</v>
      </c>
      <c r="B82" s="24"/>
      <c r="C82" s="26"/>
      <c r="D82" s="25">
        <f t="shared" si="67"/>
        <v>95</v>
      </c>
      <c r="E82" s="29">
        <f t="shared" ref="E82" si="158">E81</f>
        <v>146</v>
      </c>
      <c r="F82" s="25">
        <f t="shared" si="69"/>
        <v>111</v>
      </c>
      <c r="G82" s="29">
        <f t="shared" si="114"/>
        <v>162</v>
      </c>
      <c r="H82" s="4" t="s">
        <v>0</v>
      </c>
      <c r="I82" s="16" t="str">
        <f t="shared" si="134"/>
        <v>20-26</v>
      </c>
      <c r="J82" s="14">
        <f t="shared" si="135"/>
        <v>95</v>
      </c>
      <c r="K82" s="15">
        <f t="shared" si="136"/>
        <v>146</v>
      </c>
      <c r="L82" s="17">
        <f t="shared" si="137"/>
        <v>111</v>
      </c>
      <c r="M82" s="18">
        <f t="shared" si="138"/>
        <v>146</v>
      </c>
      <c r="N82" s="14">
        <f t="shared" si="139"/>
        <v>111</v>
      </c>
      <c r="O82" s="15">
        <f t="shared" si="140"/>
        <v>162</v>
      </c>
      <c r="P82" s="17">
        <f t="shared" si="141"/>
        <v>95</v>
      </c>
      <c r="Q82" s="18">
        <f t="shared" si="142"/>
        <v>162</v>
      </c>
      <c r="R82" s="4" t="s">
        <v>0</v>
      </c>
      <c r="S82" s="16" t="str">
        <f t="shared" si="143"/>
        <v>20-26</v>
      </c>
      <c r="T82" s="14">
        <f t="shared" si="144"/>
        <v>95</v>
      </c>
      <c r="U82" s="18">
        <f t="shared" si="145"/>
        <v>604</v>
      </c>
      <c r="V82" s="14">
        <f t="shared" si="146"/>
        <v>111</v>
      </c>
      <c r="W82" s="18">
        <f t="shared" si="147"/>
        <v>604</v>
      </c>
      <c r="X82" s="14">
        <f t="shared" si="148"/>
        <v>111</v>
      </c>
      <c r="Y82" s="18">
        <f t="shared" si="149"/>
        <v>588</v>
      </c>
      <c r="Z82" s="14">
        <f t="shared" si="150"/>
        <v>95</v>
      </c>
      <c r="AA82" s="18">
        <f t="shared" si="151"/>
        <v>588</v>
      </c>
      <c r="AB82" s="4" t="s">
        <v>0</v>
      </c>
    </row>
    <row r="83" spans="1:28">
      <c r="A83" s="9" t="s">
        <v>328</v>
      </c>
      <c r="B83" s="24"/>
      <c r="C83" s="26"/>
      <c r="D83" s="25">
        <f t="shared" si="67"/>
        <v>111</v>
      </c>
      <c r="E83" s="29">
        <f t="shared" ref="E83" si="159">E82</f>
        <v>146</v>
      </c>
      <c r="F83" s="25">
        <f t="shared" si="69"/>
        <v>127</v>
      </c>
      <c r="G83" s="29">
        <f t="shared" si="114"/>
        <v>162</v>
      </c>
      <c r="H83" s="4" t="s">
        <v>0</v>
      </c>
      <c r="I83" s="16" t="str">
        <f t="shared" si="134"/>
        <v>20-25</v>
      </c>
      <c r="J83" s="14">
        <f t="shared" si="135"/>
        <v>111</v>
      </c>
      <c r="K83" s="15">
        <f t="shared" si="136"/>
        <v>146</v>
      </c>
      <c r="L83" s="17">
        <f t="shared" si="137"/>
        <v>127</v>
      </c>
      <c r="M83" s="18">
        <f t="shared" si="138"/>
        <v>146</v>
      </c>
      <c r="N83" s="14">
        <f t="shared" si="139"/>
        <v>127</v>
      </c>
      <c r="O83" s="15">
        <f t="shared" si="140"/>
        <v>162</v>
      </c>
      <c r="P83" s="17">
        <f t="shared" si="141"/>
        <v>111</v>
      </c>
      <c r="Q83" s="18">
        <f t="shared" si="142"/>
        <v>162</v>
      </c>
      <c r="R83" s="4" t="s">
        <v>0</v>
      </c>
      <c r="S83" s="16" t="str">
        <f t="shared" si="143"/>
        <v>20-25</v>
      </c>
      <c r="T83" s="14">
        <f t="shared" si="144"/>
        <v>111</v>
      </c>
      <c r="U83" s="18">
        <f t="shared" si="145"/>
        <v>604</v>
      </c>
      <c r="V83" s="14">
        <f t="shared" si="146"/>
        <v>127</v>
      </c>
      <c r="W83" s="18">
        <f t="shared" si="147"/>
        <v>604</v>
      </c>
      <c r="X83" s="14">
        <f t="shared" si="148"/>
        <v>127</v>
      </c>
      <c r="Y83" s="18">
        <f t="shared" si="149"/>
        <v>588</v>
      </c>
      <c r="Z83" s="14">
        <f t="shared" si="150"/>
        <v>111</v>
      </c>
      <c r="AA83" s="18">
        <f t="shared" si="151"/>
        <v>588</v>
      </c>
      <c r="AB83" s="4" t="s">
        <v>0</v>
      </c>
    </row>
    <row r="84" spans="1:28">
      <c r="A84" s="9" t="s">
        <v>327</v>
      </c>
      <c r="B84" s="24"/>
      <c r="C84" s="26"/>
      <c r="D84" s="25">
        <f t="shared" si="67"/>
        <v>127</v>
      </c>
      <c r="E84" s="29">
        <f t="shared" ref="E84" si="160">E83</f>
        <v>146</v>
      </c>
      <c r="F84" s="25">
        <f t="shared" si="69"/>
        <v>143</v>
      </c>
      <c r="G84" s="29">
        <f t="shared" si="114"/>
        <v>162</v>
      </c>
      <c r="H84" s="4" t="s">
        <v>0</v>
      </c>
      <c r="I84" s="16" t="str">
        <f t="shared" si="134"/>
        <v>20-23</v>
      </c>
      <c r="J84" s="14">
        <f t="shared" si="135"/>
        <v>127</v>
      </c>
      <c r="K84" s="15">
        <f t="shared" si="136"/>
        <v>146</v>
      </c>
      <c r="L84" s="17">
        <f t="shared" si="137"/>
        <v>143</v>
      </c>
      <c r="M84" s="18">
        <f t="shared" si="138"/>
        <v>146</v>
      </c>
      <c r="N84" s="14">
        <f t="shared" si="139"/>
        <v>143</v>
      </c>
      <c r="O84" s="15">
        <f t="shared" si="140"/>
        <v>162</v>
      </c>
      <c r="P84" s="17">
        <f t="shared" si="141"/>
        <v>127</v>
      </c>
      <c r="Q84" s="18">
        <f t="shared" si="142"/>
        <v>162</v>
      </c>
      <c r="R84" s="4" t="s">
        <v>0</v>
      </c>
      <c r="S84" s="16" t="str">
        <f t="shared" si="143"/>
        <v>20-23</v>
      </c>
      <c r="T84" s="14">
        <f t="shared" si="144"/>
        <v>127</v>
      </c>
      <c r="U84" s="18">
        <f t="shared" si="145"/>
        <v>604</v>
      </c>
      <c r="V84" s="14">
        <f t="shared" si="146"/>
        <v>143</v>
      </c>
      <c r="W84" s="18">
        <f t="shared" si="147"/>
        <v>604</v>
      </c>
      <c r="X84" s="14">
        <f t="shared" si="148"/>
        <v>143</v>
      </c>
      <c r="Y84" s="18">
        <f t="shared" si="149"/>
        <v>588</v>
      </c>
      <c r="Z84" s="14">
        <f t="shared" si="150"/>
        <v>127</v>
      </c>
      <c r="AA84" s="18">
        <f t="shared" si="151"/>
        <v>588</v>
      </c>
      <c r="AB84" s="4" t="s">
        <v>0</v>
      </c>
    </row>
    <row r="85" spans="1:28">
      <c r="A85" s="9" t="s">
        <v>326</v>
      </c>
      <c r="B85" s="24"/>
      <c r="C85" s="26"/>
      <c r="D85" s="25">
        <f t="shared" si="67"/>
        <v>144</v>
      </c>
      <c r="E85" s="29">
        <f t="shared" ref="E85" si="161">E84</f>
        <v>146</v>
      </c>
      <c r="F85" s="25">
        <f t="shared" si="69"/>
        <v>160</v>
      </c>
      <c r="G85" s="29">
        <f t="shared" si="114"/>
        <v>162</v>
      </c>
      <c r="H85" s="4" t="s">
        <v>0</v>
      </c>
      <c r="I85" s="16" t="str">
        <f t="shared" si="134"/>
        <v>20-22</v>
      </c>
      <c r="J85" s="14">
        <f t="shared" si="135"/>
        <v>144</v>
      </c>
      <c r="K85" s="15">
        <f t="shared" si="136"/>
        <v>146</v>
      </c>
      <c r="L85" s="17">
        <f t="shared" si="137"/>
        <v>160</v>
      </c>
      <c r="M85" s="18">
        <f t="shared" si="138"/>
        <v>146</v>
      </c>
      <c r="N85" s="14">
        <f t="shared" si="139"/>
        <v>160</v>
      </c>
      <c r="O85" s="15">
        <f t="shared" si="140"/>
        <v>162</v>
      </c>
      <c r="P85" s="17">
        <f t="shared" si="141"/>
        <v>144</v>
      </c>
      <c r="Q85" s="18">
        <f t="shared" si="142"/>
        <v>162</v>
      </c>
      <c r="R85" s="4" t="s">
        <v>0</v>
      </c>
      <c r="S85" s="16" t="str">
        <f t="shared" si="143"/>
        <v>20-22</v>
      </c>
      <c r="T85" s="14">
        <f t="shared" si="144"/>
        <v>144</v>
      </c>
      <c r="U85" s="18">
        <f t="shared" si="145"/>
        <v>604</v>
      </c>
      <c r="V85" s="14">
        <f t="shared" si="146"/>
        <v>160</v>
      </c>
      <c r="W85" s="18">
        <f t="shared" si="147"/>
        <v>604</v>
      </c>
      <c r="X85" s="14">
        <f t="shared" si="148"/>
        <v>160</v>
      </c>
      <c r="Y85" s="18">
        <f t="shared" si="149"/>
        <v>588</v>
      </c>
      <c r="Z85" s="14">
        <f t="shared" si="150"/>
        <v>144</v>
      </c>
      <c r="AA85" s="18">
        <f t="shared" si="151"/>
        <v>588</v>
      </c>
      <c r="AB85" s="4" t="s">
        <v>0</v>
      </c>
    </row>
    <row r="86" spans="1:28">
      <c r="A86" s="9" t="s">
        <v>325</v>
      </c>
      <c r="B86" s="24"/>
      <c r="C86" s="26"/>
      <c r="D86" s="25">
        <f t="shared" si="67"/>
        <v>160</v>
      </c>
      <c r="E86" s="29">
        <f t="shared" ref="E86" si="162">E85</f>
        <v>146</v>
      </c>
      <c r="F86" s="25">
        <f t="shared" si="69"/>
        <v>176</v>
      </c>
      <c r="G86" s="29">
        <f t="shared" si="114"/>
        <v>162</v>
      </c>
      <c r="H86" s="4" t="s">
        <v>0</v>
      </c>
      <c r="I86" s="16" t="str">
        <f t="shared" si="134"/>
        <v>20-21</v>
      </c>
      <c r="J86" s="14">
        <f t="shared" si="135"/>
        <v>160</v>
      </c>
      <c r="K86" s="15">
        <f t="shared" si="136"/>
        <v>146</v>
      </c>
      <c r="L86" s="17">
        <f t="shared" si="137"/>
        <v>176</v>
      </c>
      <c r="M86" s="18">
        <f t="shared" si="138"/>
        <v>146</v>
      </c>
      <c r="N86" s="14">
        <f t="shared" si="139"/>
        <v>176</v>
      </c>
      <c r="O86" s="15">
        <f t="shared" si="140"/>
        <v>162</v>
      </c>
      <c r="P86" s="17">
        <f t="shared" si="141"/>
        <v>160</v>
      </c>
      <c r="Q86" s="18">
        <f t="shared" si="142"/>
        <v>162</v>
      </c>
      <c r="R86" s="4" t="s">
        <v>0</v>
      </c>
      <c r="S86" s="16" t="str">
        <f t="shared" si="143"/>
        <v>20-21</v>
      </c>
      <c r="T86" s="14">
        <f t="shared" si="144"/>
        <v>160</v>
      </c>
      <c r="U86" s="18">
        <f t="shared" si="145"/>
        <v>604</v>
      </c>
      <c r="V86" s="14">
        <f t="shared" si="146"/>
        <v>176</v>
      </c>
      <c r="W86" s="18">
        <f t="shared" si="147"/>
        <v>604</v>
      </c>
      <c r="X86" s="14">
        <f t="shared" si="148"/>
        <v>176</v>
      </c>
      <c r="Y86" s="18">
        <f t="shared" si="149"/>
        <v>588</v>
      </c>
      <c r="Z86" s="14">
        <f t="shared" si="150"/>
        <v>160</v>
      </c>
      <c r="AA86" s="18">
        <f t="shared" si="151"/>
        <v>588</v>
      </c>
      <c r="AB86" s="4" t="s">
        <v>0</v>
      </c>
    </row>
    <row r="87" spans="1:28">
      <c r="A87" s="9" t="s">
        <v>324</v>
      </c>
      <c r="B87" s="24"/>
      <c r="C87" s="26"/>
      <c r="D87" s="25">
        <f t="shared" si="67"/>
        <v>176</v>
      </c>
      <c r="E87" s="29">
        <f t="shared" ref="E87" si="163">E86</f>
        <v>146</v>
      </c>
      <c r="F87" s="25">
        <f t="shared" si="69"/>
        <v>192</v>
      </c>
      <c r="G87" s="29">
        <f t="shared" si="114"/>
        <v>162</v>
      </c>
      <c r="H87" s="4" t="s">
        <v>0</v>
      </c>
      <c r="I87" s="16" t="str">
        <f t="shared" si="134"/>
        <v>20-20</v>
      </c>
      <c r="J87" s="14">
        <f t="shared" si="135"/>
        <v>176</v>
      </c>
      <c r="K87" s="15">
        <f t="shared" si="136"/>
        <v>146</v>
      </c>
      <c r="L87" s="17">
        <f t="shared" si="137"/>
        <v>192</v>
      </c>
      <c r="M87" s="18">
        <f t="shared" si="138"/>
        <v>146</v>
      </c>
      <c r="N87" s="14">
        <f t="shared" si="139"/>
        <v>192</v>
      </c>
      <c r="O87" s="15">
        <f t="shared" si="140"/>
        <v>162</v>
      </c>
      <c r="P87" s="17">
        <f t="shared" si="141"/>
        <v>176</v>
      </c>
      <c r="Q87" s="18">
        <f t="shared" si="142"/>
        <v>162</v>
      </c>
      <c r="R87" s="4" t="s">
        <v>0</v>
      </c>
      <c r="S87" s="16" t="str">
        <f t="shared" si="143"/>
        <v>20-20</v>
      </c>
      <c r="T87" s="14">
        <f t="shared" si="144"/>
        <v>176</v>
      </c>
      <c r="U87" s="18">
        <f t="shared" si="145"/>
        <v>604</v>
      </c>
      <c r="V87" s="14">
        <f t="shared" si="146"/>
        <v>192</v>
      </c>
      <c r="W87" s="18">
        <f t="shared" si="147"/>
        <v>604</v>
      </c>
      <c r="X87" s="14">
        <f t="shared" si="148"/>
        <v>192</v>
      </c>
      <c r="Y87" s="18">
        <f t="shared" si="149"/>
        <v>588</v>
      </c>
      <c r="Z87" s="14">
        <f t="shared" si="150"/>
        <v>176</v>
      </c>
      <c r="AA87" s="18">
        <f t="shared" si="151"/>
        <v>588</v>
      </c>
      <c r="AB87" s="4" t="s">
        <v>0</v>
      </c>
    </row>
    <row r="88" spans="1:28">
      <c r="A88" s="9" t="s">
        <v>323</v>
      </c>
      <c r="B88" s="24"/>
      <c r="C88" s="26"/>
      <c r="D88" s="25">
        <f t="shared" si="67"/>
        <v>192</v>
      </c>
      <c r="E88" s="29">
        <f t="shared" ref="E88" si="164">E87</f>
        <v>146</v>
      </c>
      <c r="F88" s="25">
        <f t="shared" si="69"/>
        <v>208</v>
      </c>
      <c r="G88" s="29">
        <f t="shared" si="114"/>
        <v>162</v>
      </c>
      <c r="H88" s="4" t="s">
        <v>0</v>
      </c>
      <c r="I88" s="16" t="str">
        <f t="shared" si="134"/>
        <v>20-18</v>
      </c>
      <c r="J88" s="14">
        <f t="shared" si="135"/>
        <v>192</v>
      </c>
      <c r="K88" s="15">
        <f t="shared" si="136"/>
        <v>146</v>
      </c>
      <c r="L88" s="17">
        <f t="shared" si="137"/>
        <v>208</v>
      </c>
      <c r="M88" s="18">
        <f t="shared" si="138"/>
        <v>146</v>
      </c>
      <c r="N88" s="14">
        <f t="shared" si="139"/>
        <v>208</v>
      </c>
      <c r="O88" s="15">
        <f t="shared" si="140"/>
        <v>162</v>
      </c>
      <c r="P88" s="17">
        <f t="shared" si="141"/>
        <v>192</v>
      </c>
      <c r="Q88" s="18">
        <f t="shared" si="142"/>
        <v>162</v>
      </c>
      <c r="R88" s="4" t="s">
        <v>0</v>
      </c>
      <c r="S88" s="16" t="str">
        <f t="shared" si="143"/>
        <v>20-18</v>
      </c>
      <c r="T88" s="14">
        <f t="shared" si="144"/>
        <v>192</v>
      </c>
      <c r="U88" s="18">
        <f t="shared" si="145"/>
        <v>604</v>
      </c>
      <c r="V88" s="14">
        <f t="shared" si="146"/>
        <v>208</v>
      </c>
      <c r="W88" s="18">
        <f t="shared" si="147"/>
        <v>604</v>
      </c>
      <c r="X88" s="14">
        <f t="shared" si="148"/>
        <v>208</v>
      </c>
      <c r="Y88" s="18">
        <f t="shared" si="149"/>
        <v>588</v>
      </c>
      <c r="Z88" s="14">
        <f t="shared" si="150"/>
        <v>192</v>
      </c>
      <c r="AA88" s="18">
        <f t="shared" si="151"/>
        <v>588</v>
      </c>
      <c r="AB88" s="4" t="s">
        <v>0</v>
      </c>
    </row>
    <row r="89" spans="1:28">
      <c r="A89" s="9" t="s">
        <v>322</v>
      </c>
      <c r="B89" s="24"/>
      <c r="C89" s="26"/>
      <c r="D89" s="25">
        <f t="shared" si="67"/>
        <v>209</v>
      </c>
      <c r="E89" s="29">
        <f t="shared" ref="E89" si="165">E88</f>
        <v>146</v>
      </c>
      <c r="F89" s="25">
        <f t="shared" si="69"/>
        <v>225</v>
      </c>
      <c r="G89" s="29">
        <f t="shared" si="114"/>
        <v>162</v>
      </c>
      <c r="H89" s="4" t="s">
        <v>0</v>
      </c>
      <c r="I89" s="16" t="str">
        <f t="shared" si="134"/>
        <v>20-17</v>
      </c>
      <c r="J89" s="14">
        <f t="shared" si="135"/>
        <v>209</v>
      </c>
      <c r="K89" s="15">
        <f t="shared" si="136"/>
        <v>146</v>
      </c>
      <c r="L89" s="17">
        <f t="shared" si="137"/>
        <v>225</v>
      </c>
      <c r="M89" s="18">
        <f t="shared" si="138"/>
        <v>146</v>
      </c>
      <c r="N89" s="14">
        <f t="shared" si="139"/>
        <v>225</v>
      </c>
      <c r="O89" s="15">
        <f t="shared" si="140"/>
        <v>162</v>
      </c>
      <c r="P89" s="17">
        <f t="shared" si="141"/>
        <v>209</v>
      </c>
      <c r="Q89" s="18">
        <f t="shared" si="142"/>
        <v>162</v>
      </c>
      <c r="R89" s="4" t="s">
        <v>0</v>
      </c>
      <c r="S89" s="16" t="str">
        <f t="shared" si="143"/>
        <v>20-17</v>
      </c>
      <c r="T89" s="14">
        <f t="shared" si="144"/>
        <v>209</v>
      </c>
      <c r="U89" s="18">
        <f t="shared" si="145"/>
        <v>604</v>
      </c>
      <c r="V89" s="14">
        <f t="shared" si="146"/>
        <v>225</v>
      </c>
      <c r="W89" s="18">
        <f t="shared" si="147"/>
        <v>604</v>
      </c>
      <c r="X89" s="14">
        <f t="shared" si="148"/>
        <v>225</v>
      </c>
      <c r="Y89" s="18">
        <f t="shared" si="149"/>
        <v>588</v>
      </c>
      <c r="Z89" s="14">
        <f t="shared" si="150"/>
        <v>209</v>
      </c>
      <c r="AA89" s="18">
        <f t="shared" si="151"/>
        <v>588</v>
      </c>
      <c r="AB89" s="4" t="s">
        <v>0</v>
      </c>
    </row>
    <row r="90" spans="1:28">
      <c r="A90" s="9" t="s">
        <v>321</v>
      </c>
      <c r="B90" s="24"/>
      <c r="C90" s="26"/>
      <c r="D90" s="25">
        <f t="shared" si="67"/>
        <v>225</v>
      </c>
      <c r="E90" s="29">
        <f t="shared" ref="E90" si="166">E89</f>
        <v>146</v>
      </c>
      <c r="F90" s="25">
        <f t="shared" si="69"/>
        <v>241</v>
      </c>
      <c r="G90" s="29">
        <f t="shared" si="114"/>
        <v>162</v>
      </c>
      <c r="H90" s="4" t="s">
        <v>0</v>
      </c>
      <c r="I90" s="16" t="str">
        <f t="shared" si="134"/>
        <v>20-16</v>
      </c>
      <c r="J90" s="14">
        <f t="shared" si="135"/>
        <v>225</v>
      </c>
      <c r="K90" s="15">
        <f t="shared" si="136"/>
        <v>146</v>
      </c>
      <c r="L90" s="17">
        <f t="shared" si="137"/>
        <v>241</v>
      </c>
      <c r="M90" s="18">
        <f t="shared" si="138"/>
        <v>146</v>
      </c>
      <c r="N90" s="14">
        <f t="shared" si="139"/>
        <v>241</v>
      </c>
      <c r="O90" s="15">
        <f t="shared" si="140"/>
        <v>162</v>
      </c>
      <c r="P90" s="17">
        <f t="shared" si="141"/>
        <v>225</v>
      </c>
      <c r="Q90" s="18">
        <f t="shared" si="142"/>
        <v>162</v>
      </c>
      <c r="R90" s="4" t="s">
        <v>0</v>
      </c>
      <c r="S90" s="16" t="str">
        <f t="shared" si="143"/>
        <v>20-16</v>
      </c>
      <c r="T90" s="14">
        <f t="shared" si="144"/>
        <v>225</v>
      </c>
      <c r="U90" s="18">
        <f t="shared" si="145"/>
        <v>604</v>
      </c>
      <c r="V90" s="14">
        <f t="shared" si="146"/>
        <v>241</v>
      </c>
      <c r="W90" s="18">
        <f t="shared" si="147"/>
        <v>604</v>
      </c>
      <c r="X90" s="14">
        <f t="shared" si="148"/>
        <v>241</v>
      </c>
      <c r="Y90" s="18">
        <f t="shared" si="149"/>
        <v>588</v>
      </c>
      <c r="Z90" s="14">
        <f t="shared" si="150"/>
        <v>225</v>
      </c>
      <c r="AA90" s="18">
        <f t="shared" si="151"/>
        <v>588</v>
      </c>
      <c r="AB90" s="4" t="s">
        <v>0</v>
      </c>
    </row>
    <row r="91" spans="1:28">
      <c r="A91" s="9" t="s">
        <v>320</v>
      </c>
      <c r="B91" s="24"/>
      <c r="C91" s="26"/>
      <c r="D91" s="25">
        <f t="shared" si="67"/>
        <v>266</v>
      </c>
      <c r="E91" s="29">
        <f t="shared" ref="E91" si="167">E90</f>
        <v>146</v>
      </c>
      <c r="F91" s="25">
        <f t="shared" si="69"/>
        <v>282</v>
      </c>
      <c r="G91" s="29">
        <f t="shared" si="114"/>
        <v>162</v>
      </c>
      <c r="H91" s="4" t="s">
        <v>0</v>
      </c>
      <c r="I91" s="16" t="str">
        <f t="shared" si="134"/>
        <v>20-15</v>
      </c>
      <c r="J91" s="14">
        <f t="shared" si="135"/>
        <v>266</v>
      </c>
      <c r="K91" s="15">
        <f t="shared" si="136"/>
        <v>146</v>
      </c>
      <c r="L91" s="17">
        <f t="shared" si="137"/>
        <v>282</v>
      </c>
      <c r="M91" s="18">
        <f t="shared" si="138"/>
        <v>146</v>
      </c>
      <c r="N91" s="14">
        <f t="shared" si="139"/>
        <v>282</v>
      </c>
      <c r="O91" s="15">
        <f t="shared" si="140"/>
        <v>162</v>
      </c>
      <c r="P91" s="17">
        <f t="shared" si="141"/>
        <v>266</v>
      </c>
      <c r="Q91" s="18">
        <f t="shared" si="142"/>
        <v>162</v>
      </c>
      <c r="R91" s="4" t="s">
        <v>0</v>
      </c>
      <c r="S91" s="16" t="str">
        <f t="shared" si="143"/>
        <v>20-15</v>
      </c>
      <c r="T91" s="14">
        <f t="shared" si="144"/>
        <v>266</v>
      </c>
      <c r="U91" s="18">
        <f t="shared" si="145"/>
        <v>604</v>
      </c>
      <c r="V91" s="14">
        <f t="shared" si="146"/>
        <v>282</v>
      </c>
      <c r="W91" s="18">
        <f t="shared" si="147"/>
        <v>604</v>
      </c>
      <c r="X91" s="14">
        <f t="shared" si="148"/>
        <v>282</v>
      </c>
      <c r="Y91" s="18">
        <f t="shared" si="149"/>
        <v>588</v>
      </c>
      <c r="Z91" s="14">
        <f t="shared" si="150"/>
        <v>266</v>
      </c>
      <c r="AA91" s="18">
        <f t="shared" si="151"/>
        <v>588</v>
      </c>
      <c r="AB91" s="4" t="s">
        <v>0</v>
      </c>
    </row>
    <row r="92" spans="1:28">
      <c r="A92" s="9" t="s">
        <v>319</v>
      </c>
      <c r="B92" s="24"/>
      <c r="C92" s="26"/>
      <c r="D92" s="25">
        <f t="shared" si="67"/>
        <v>282</v>
      </c>
      <c r="E92" s="29">
        <f t="shared" ref="E92" si="168">E91</f>
        <v>146</v>
      </c>
      <c r="F92" s="25">
        <f t="shared" si="69"/>
        <v>298</v>
      </c>
      <c r="G92" s="29">
        <f t="shared" si="114"/>
        <v>162</v>
      </c>
      <c r="H92" s="4" t="s">
        <v>0</v>
      </c>
      <c r="I92" s="16" t="str">
        <f t="shared" si="134"/>
        <v>20-13</v>
      </c>
      <c r="J92" s="14">
        <f t="shared" si="135"/>
        <v>282</v>
      </c>
      <c r="K92" s="15">
        <f t="shared" si="136"/>
        <v>146</v>
      </c>
      <c r="L92" s="17">
        <f t="shared" si="137"/>
        <v>298</v>
      </c>
      <c r="M92" s="18">
        <f t="shared" si="138"/>
        <v>146</v>
      </c>
      <c r="N92" s="14">
        <f t="shared" si="139"/>
        <v>298</v>
      </c>
      <c r="O92" s="15">
        <f t="shared" si="140"/>
        <v>162</v>
      </c>
      <c r="P92" s="17">
        <f t="shared" si="141"/>
        <v>282</v>
      </c>
      <c r="Q92" s="18">
        <f t="shared" si="142"/>
        <v>162</v>
      </c>
      <c r="R92" s="4" t="s">
        <v>0</v>
      </c>
      <c r="S92" s="16" t="str">
        <f t="shared" si="143"/>
        <v>20-13</v>
      </c>
      <c r="T92" s="14">
        <f t="shared" si="144"/>
        <v>282</v>
      </c>
      <c r="U92" s="18">
        <f t="shared" si="145"/>
        <v>604</v>
      </c>
      <c r="V92" s="14">
        <f t="shared" si="146"/>
        <v>298</v>
      </c>
      <c r="W92" s="18">
        <f t="shared" si="147"/>
        <v>604</v>
      </c>
      <c r="X92" s="14">
        <f t="shared" si="148"/>
        <v>298</v>
      </c>
      <c r="Y92" s="18">
        <f t="shared" si="149"/>
        <v>588</v>
      </c>
      <c r="Z92" s="14">
        <f t="shared" si="150"/>
        <v>282</v>
      </c>
      <c r="AA92" s="18">
        <f t="shared" si="151"/>
        <v>588</v>
      </c>
      <c r="AB92" s="4" t="s">
        <v>0</v>
      </c>
    </row>
    <row r="93" spans="1:28">
      <c r="A93" s="9" t="s">
        <v>318</v>
      </c>
      <c r="B93" s="24"/>
      <c r="C93" s="26"/>
      <c r="D93" s="25">
        <f t="shared" si="67"/>
        <v>299</v>
      </c>
      <c r="E93" s="29">
        <f t="shared" ref="E93" si="169">E92</f>
        <v>146</v>
      </c>
      <c r="F93" s="25">
        <f t="shared" si="69"/>
        <v>315</v>
      </c>
      <c r="G93" s="29">
        <f t="shared" si="114"/>
        <v>162</v>
      </c>
      <c r="H93" s="4" t="s">
        <v>0</v>
      </c>
      <c r="I93" s="16" t="str">
        <f t="shared" si="134"/>
        <v>20-12</v>
      </c>
      <c r="J93" s="14">
        <f t="shared" si="135"/>
        <v>299</v>
      </c>
      <c r="K93" s="15">
        <f t="shared" si="136"/>
        <v>146</v>
      </c>
      <c r="L93" s="17">
        <f t="shared" si="137"/>
        <v>315</v>
      </c>
      <c r="M93" s="18">
        <f t="shared" si="138"/>
        <v>146</v>
      </c>
      <c r="N93" s="14">
        <f t="shared" si="139"/>
        <v>315</v>
      </c>
      <c r="O93" s="15">
        <f t="shared" si="140"/>
        <v>162</v>
      </c>
      <c r="P93" s="17">
        <f t="shared" si="141"/>
        <v>299</v>
      </c>
      <c r="Q93" s="18">
        <f t="shared" si="142"/>
        <v>162</v>
      </c>
      <c r="R93" s="4" t="s">
        <v>0</v>
      </c>
      <c r="S93" s="16" t="str">
        <f t="shared" si="143"/>
        <v>20-12</v>
      </c>
      <c r="T93" s="14">
        <f t="shared" si="144"/>
        <v>299</v>
      </c>
      <c r="U93" s="18">
        <f t="shared" si="145"/>
        <v>604</v>
      </c>
      <c r="V93" s="14">
        <f t="shared" si="146"/>
        <v>315</v>
      </c>
      <c r="W93" s="18">
        <f t="shared" si="147"/>
        <v>604</v>
      </c>
      <c r="X93" s="14">
        <f t="shared" si="148"/>
        <v>315</v>
      </c>
      <c r="Y93" s="18">
        <f t="shared" si="149"/>
        <v>588</v>
      </c>
      <c r="Z93" s="14">
        <f t="shared" si="150"/>
        <v>299</v>
      </c>
      <c r="AA93" s="18">
        <f t="shared" si="151"/>
        <v>588</v>
      </c>
      <c r="AB93" s="4" t="s">
        <v>0</v>
      </c>
    </row>
    <row r="94" spans="1:28">
      <c r="A94" s="9" t="s">
        <v>317</v>
      </c>
      <c r="B94" s="24"/>
      <c r="C94" s="26"/>
      <c r="D94" s="25">
        <f t="shared" si="67"/>
        <v>315</v>
      </c>
      <c r="E94" s="29">
        <f t="shared" ref="E94" si="170">E93</f>
        <v>146</v>
      </c>
      <c r="F94" s="25">
        <f t="shared" si="69"/>
        <v>331</v>
      </c>
      <c r="G94" s="29">
        <f t="shared" si="114"/>
        <v>162</v>
      </c>
      <c r="H94" s="4" t="s">
        <v>0</v>
      </c>
      <c r="I94" s="16" t="str">
        <f t="shared" si="134"/>
        <v>20-11</v>
      </c>
      <c r="J94" s="14">
        <f t="shared" si="135"/>
        <v>315</v>
      </c>
      <c r="K94" s="15">
        <f t="shared" si="136"/>
        <v>146</v>
      </c>
      <c r="L94" s="17">
        <f t="shared" si="137"/>
        <v>331</v>
      </c>
      <c r="M94" s="18">
        <f t="shared" si="138"/>
        <v>146</v>
      </c>
      <c r="N94" s="14">
        <f t="shared" si="139"/>
        <v>331</v>
      </c>
      <c r="O94" s="15">
        <f t="shared" si="140"/>
        <v>162</v>
      </c>
      <c r="P94" s="17">
        <f t="shared" si="141"/>
        <v>315</v>
      </c>
      <c r="Q94" s="18">
        <f t="shared" si="142"/>
        <v>162</v>
      </c>
      <c r="R94" s="4" t="s">
        <v>0</v>
      </c>
      <c r="S94" s="16" t="str">
        <f t="shared" si="143"/>
        <v>20-11</v>
      </c>
      <c r="T94" s="14">
        <f t="shared" si="144"/>
        <v>315</v>
      </c>
      <c r="U94" s="18">
        <f t="shared" si="145"/>
        <v>604</v>
      </c>
      <c r="V94" s="14">
        <f t="shared" si="146"/>
        <v>331</v>
      </c>
      <c r="W94" s="18">
        <f t="shared" si="147"/>
        <v>604</v>
      </c>
      <c r="X94" s="14">
        <f t="shared" si="148"/>
        <v>331</v>
      </c>
      <c r="Y94" s="18">
        <f t="shared" si="149"/>
        <v>588</v>
      </c>
      <c r="Z94" s="14">
        <f t="shared" si="150"/>
        <v>315</v>
      </c>
      <c r="AA94" s="18">
        <f t="shared" si="151"/>
        <v>588</v>
      </c>
      <c r="AB94" s="4" t="s">
        <v>0</v>
      </c>
    </row>
    <row r="95" spans="1:28">
      <c r="A95" s="9" t="s">
        <v>316</v>
      </c>
      <c r="B95" s="24"/>
      <c r="C95" s="26"/>
      <c r="D95" s="25">
        <f t="shared" si="67"/>
        <v>331</v>
      </c>
      <c r="E95" s="29">
        <f t="shared" ref="E95" si="171">E94</f>
        <v>146</v>
      </c>
      <c r="F95" s="25">
        <f t="shared" si="69"/>
        <v>347</v>
      </c>
      <c r="G95" s="29">
        <f t="shared" si="114"/>
        <v>162</v>
      </c>
      <c r="H95" s="4" t="s">
        <v>0</v>
      </c>
      <c r="I95" s="16" t="str">
        <f t="shared" si="134"/>
        <v>20-10</v>
      </c>
      <c r="J95" s="14">
        <f t="shared" si="135"/>
        <v>331</v>
      </c>
      <c r="K95" s="15">
        <f t="shared" si="136"/>
        <v>146</v>
      </c>
      <c r="L95" s="17">
        <f t="shared" si="137"/>
        <v>347</v>
      </c>
      <c r="M95" s="18">
        <f t="shared" si="138"/>
        <v>146</v>
      </c>
      <c r="N95" s="14">
        <f t="shared" si="139"/>
        <v>347</v>
      </c>
      <c r="O95" s="15">
        <f t="shared" si="140"/>
        <v>162</v>
      </c>
      <c r="P95" s="17">
        <f t="shared" si="141"/>
        <v>331</v>
      </c>
      <c r="Q95" s="18">
        <f t="shared" si="142"/>
        <v>162</v>
      </c>
      <c r="R95" s="4" t="s">
        <v>0</v>
      </c>
      <c r="S95" s="16" t="str">
        <f t="shared" si="143"/>
        <v>20-10</v>
      </c>
      <c r="T95" s="14">
        <f t="shared" si="144"/>
        <v>331</v>
      </c>
      <c r="U95" s="18">
        <f t="shared" si="145"/>
        <v>604</v>
      </c>
      <c r="V95" s="14">
        <f t="shared" si="146"/>
        <v>347</v>
      </c>
      <c r="W95" s="18">
        <f t="shared" si="147"/>
        <v>604</v>
      </c>
      <c r="X95" s="14">
        <f t="shared" si="148"/>
        <v>347</v>
      </c>
      <c r="Y95" s="18">
        <f t="shared" si="149"/>
        <v>588</v>
      </c>
      <c r="Z95" s="14">
        <f t="shared" si="150"/>
        <v>331</v>
      </c>
      <c r="AA95" s="18">
        <f t="shared" si="151"/>
        <v>588</v>
      </c>
      <c r="AB95" s="4" t="s">
        <v>0</v>
      </c>
    </row>
    <row r="96" spans="1:28">
      <c r="A96" s="9" t="s">
        <v>315</v>
      </c>
      <c r="B96" s="24"/>
      <c r="C96" s="26"/>
      <c r="D96" s="25">
        <f t="shared" si="67"/>
        <v>348</v>
      </c>
      <c r="E96" s="29">
        <f t="shared" ref="E96" si="172">E95</f>
        <v>146</v>
      </c>
      <c r="F96" s="25">
        <f t="shared" si="69"/>
        <v>364</v>
      </c>
      <c r="G96" s="29">
        <f t="shared" si="114"/>
        <v>162</v>
      </c>
      <c r="H96" s="4" t="s">
        <v>0</v>
      </c>
      <c r="I96" s="16" t="str">
        <f t="shared" si="134"/>
        <v>20-08</v>
      </c>
      <c r="J96" s="14">
        <f t="shared" si="135"/>
        <v>348</v>
      </c>
      <c r="K96" s="15">
        <f t="shared" si="136"/>
        <v>146</v>
      </c>
      <c r="L96" s="17">
        <f t="shared" si="137"/>
        <v>364</v>
      </c>
      <c r="M96" s="18">
        <f t="shared" si="138"/>
        <v>146</v>
      </c>
      <c r="N96" s="14">
        <f t="shared" si="139"/>
        <v>364</v>
      </c>
      <c r="O96" s="15">
        <f t="shared" si="140"/>
        <v>162</v>
      </c>
      <c r="P96" s="17">
        <f t="shared" si="141"/>
        <v>348</v>
      </c>
      <c r="Q96" s="18">
        <f t="shared" si="142"/>
        <v>162</v>
      </c>
      <c r="R96" s="4" t="s">
        <v>0</v>
      </c>
      <c r="S96" s="16" t="str">
        <f t="shared" si="143"/>
        <v>20-08</v>
      </c>
      <c r="T96" s="14">
        <f t="shared" si="144"/>
        <v>348</v>
      </c>
      <c r="U96" s="18">
        <f t="shared" si="145"/>
        <v>604</v>
      </c>
      <c r="V96" s="14">
        <f t="shared" si="146"/>
        <v>364</v>
      </c>
      <c r="W96" s="18">
        <f t="shared" si="147"/>
        <v>604</v>
      </c>
      <c r="X96" s="14">
        <f t="shared" si="148"/>
        <v>364</v>
      </c>
      <c r="Y96" s="18">
        <f t="shared" si="149"/>
        <v>588</v>
      </c>
      <c r="Z96" s="14">
        <f t="shared" si="150"/>
        <v>348</v>
      </c>
      <c r="AA96" s="18">
        <f t="shared" si="151"/>
        <v>588</v>
      </c>
      <c r="AB96" s="4" t="s">
        <v>0</v>
      </c>
    </row>
    <row r="97" spans="1:28">
      <c r="A97" s="9" t="s">
        <v>314</v>
      </c>
      <c r="B97" s="24"/>
      <c r="C97" s="26"/>
      <c r="D97" s="25">
        <f t="shared" si="67"/>
        <v>364</v>
      </c>
      <c r="E97" s="29">
        <f t="shared" ref="E97" si="173">E96</f>
        <v>146</v>
      </c>
      <c r="F97" s="25">
        <f t="shared" si="69"/>
        <v>380</v>
      </c>
      <c r="G97" s="29">
        <f t="shared" si="114"/>
        <v>162</v>
      </c>
      <c r="H97" s="4" t="s">
        <v>0</v>
      </c>
      <c r="I97" s="16" t="str">
        <f t="shared" si="134"/>
        <v>20-07</v>
      </c>
      <c r="J97" s="14">
        <f t="shared" si="135"/>
        <v>364</v>
      </c>
      <c r="K97" s="15">
        <f t="shared" si="136"/>
        <v>146</v>
      </c>
      <c r="L97" s="17">
        <f t="shared" si="137"/>
        <v>380</v>
      </c>
      <c r="M97" s="18">
        <f t="shared" si="138"/>
        <v>146</v>
      </c>
      <c r="N97" s="14">
        <f t="shared" si="139"/>
        <v>380</v>
      </c>
      <c r="O97" s="15">
        <f t="shared" si="140"/>
        <v>162</v>
      </c>
      <c r="P97" s="17">
        <f t="shared" si="141"/>
        <v>364</v>
      </c>
      <c r="Q97" s="18">
        <f t="shared" si="142"/>
        <v>162</v>
      </c>
      <c r="R97" s="4" t="s">
        <v>0</v>
      </c>
      <c r="S97" s="16" t="str">
        <f t="shared" si="143"/>
        <v>20-07</v>
      </c>
      <c r="T97" s="14">
        <f t="shared" si="144"/>
        <v>364</v>
      </c>
      <c r="U97" s="18">
        <f t="shared" si="145"/>
        <v>604</v>
      </c>
      <c r="V97" s="14">
        <f t="shared" si="146"/>
        <v>380</v>
      </c>
      <c r="W97" s="18">
        <f t="shared" si="147"/>
        <v>604</v>
      </c>
      <c r="X97" s="14">
        <f t="shared" si="148"/>
        <v>380</v>
      </c>
      <c r="Y97" s="18">
        <f t="shared" si="149"/>
        <v>588</v>
      </c>
      <c r="Z97" s="14">
        <f t="shared" si="150"/>
        <v>364</v>
      </c>
      <c r="AA97" s="18">
        <f t="shared" si="151"/>
        <v>588</v>
      </c>
      <c r="AB97" s="4" t="s">
        <v>0</v>
      </c>
    </row>
    <row r="98" spans="1:28">
      <c r="A98" s="9" t="s">
        <v>313</v>
      </c>
      <c r="B98" s="24"/>
      <c r="C98" s="26"/>
      <c r="D98" s="25">
        <f t="shared" si="67"/>
        <v>380</v>
      </c>
      <c r="E98" s="29">
        <f t="shared" ref="E98" si="174">E97</f>
        <v>146</v>
      </c>
      <c r="F98" s="25">
        <f t="shared" si="69"/>
        <v>396</v>
      </c>
      <c r="G98" s="29">
        <f t="shared" si="114"/>
        <v>162</v>
      </c>
      <c r="H98" s="4" t="s">
        <v>0</v>
      </c>
      <c r="I98" s="16" t="str">
        <f t="shared" si="134"/>
        <v>20-06</v>
      </c>
      <c r="J98" s="14">
        <f t="shared" si="135"/>
        <v>380</v>
      </c>
      <c r="K98" s="15">
        <f t="shared" si="136"/>
        <v>146</v>
      </c>
      <c r="L98" s="17">
        <f t="shared" si="137"/>
        <v>396</v>
      </c>
      <c r="M98" s="18">
        <f t="shared" si="138"/>
        <v>146</v>
      </c>
      <c r="N98" s="14">
        <f t="shared" si="139"/>
        <v>396</v>
      </c>
      <c r="O98" s="15">
        <f t="shared" si="140"/>
        <v>162</v>
      </c>
      <c r="P98" s="17">
        <f t="shared" si="141"/>
        <v>380</v>
      </c>
      <c r="Q98" s="18">
        <f t="shared" si="142"/>
        <v>162</v>
      </c>
      <c r="R98" s="4" t="s">
        <v>0</v>
      </c>
      <c r="S98" s="16" t="str">
        <f t="shared" si="143"/>
        <v>20-06</v>
      </c>
      <c r="T98" s="14">
        <f t="shared" si="144"/>
        <v>380</v>
      </c>
      <c r="U98" s="18">
        <f t="shared" si="145"/>
        <v>604</v>
      </c>
      <c r="V98" s="14">
        <f t="shared" si="146"/>
        <v>396</v>
      </c>
      <c r="W98" s="18">
        <f t="shared" si="147"/>
        <v>604</v>
      </c>
      <c r="X98" s="14">
        <f t="shared" si="148"/>
        <v>396</v>
      </c>
      <c r="Y98" s="18">
        <f t="shared" si="149"/>
        <v>588</v>
      </c>
      <c r="Z98" s="14">
        <f t="shared" si="150"/>
        <v>380</v>
      </c>
      <c r="AA98" s="18">
        <f t="shared" si="151"/>
        <v>588</v>
      </c>
      <c r="AB98" s="4" t="s">
        <v>0</v>
      </c>
    </row>
    <row r="99" spans="1:28">
      <c r="A99" s="9" t="s">
        <v>312</v>
      </c>
      <c r="B99" s="24"/>
      <c r="C99" s="26"/>
      <c r="D99" s="25">
        <f t="shared" si="67"/>
        <v>396</v>
      </c>
      <c r="E99" s="29">
        <f t="shared" ref="E99" si="175">E98</f>
        <v>146</v>
      </c>
      <c r="F99" s="25">
        <f t="shared" si="69"/>
        <v>412</v>
      </c>
      <c r="G99" s="29">
        <f t="shared" si="114"/>
        <v>162</v>
      </c>
      <c r="H99" s="4" t="s">
        <v>0</v>
      </c>
      <c r="I99" s="16" t="str">
        <f t="shared" si="134"/>
        <v>20-05</v>
      </c>
      <c r="J99" s="14">
        <f t="shared" si="135"/>
        <v>396</v>
      </c>
      <c r="K99" s="15">
        <f t="shared" si="136"/>
        <v>146</v>
      </c>
      <c r="L99" s="17">
        <f t="shared" si="137"/>
        <v>412</v>
      </c>
      <c r="M99" s="18">
        <f t="shared" si="138"/>
        <v>146</v>
      </c>
      <c r="N99" s="14">
        <f t="shared" si="139"/>
        <v>412</v>
      </c>
      <c r="O99" s="15">
        <f t="shared" si="140"/>
        <v>162</v>
      </c>
      <c r="P99" s="17">
        <f t="shared" si="141"/>
        <v>396</v>
      </c>
      <c r="Q99" s="18">
        <f t="shared" si="142"/>
        <v>162</v>
      </c>
      <c r="R99" s="4" t="s">
        <v>0</v>
      </c>
      <c r="S99" s="16" t="str">
        <f t="shared" si="143"/>
        <v>20-05</v>
      </c>
      <c r="T99" s="14">
        <f t="shared" si="144"/>
        <v>396</v>
      </c>
      <c r="U99" s="18">
        <f t="shared" si="145"/>
        <v>604</v>
      </c>
      <c r="V99" s="14">
        <f t="shared" si="146"/>
        <v>412</v>
      </c>
      <c r="W99" s="18">
        <f t="shared" si="147"/>
        <v>604</v>
      </c>
      <c r="X99" s="14">
        <f t="shared" si="148"/>
        <v>412</v>
      </c>
      <c r="Y99" s="18">
        <f t="shared" si="149"/>
        <v>588</v>
      </c>
      <c r="Z99" s="14">
        <f t="shared" si="150"/>
        <v>396</v>
      </c>
      <c r="AA99" s="18">
        <f t="shared" si="151"/>
        <v>588</v>
      </c>
      <c r="AB99" s="4" t="s">
        <v>0</v>
      </c>
    </row>
    <row r="100" spans="1:28">
      <c r="A100" s="9" t="s">
        <v>311</v>
      </c>
      <c r="B100" s="24"/>
      <c r="C100" s="26"/>
      <c r="D100" s="25">
        <f t="shared" ref="D100:D134" si="176">D77</f>
        <v>413</v>
      </c>
      <c r="E100" s="29">
        <f t="shared" ref="E100" si="177">E99</f>
        <v>146</v>
      </c>
      <c r="F100" s="25">
        <f t="shared" ref="F100:F135" si="178">F77</f>
        <v>429</v>
      </c>
      <c r="G100" s="29">
        <f t="shared" si="114"/>
        <v>162</v>
      </c>
      <c r="H100" s="4" t="s">
        <v>0</v>
      </c>
      <c r="I100" s="16" t="str">
        <f t="shared" si="134"/>
        <v>20-03</v>
      </c>
      <c r="J100" s="14">
        <f t="shared" si="135"/>
        <v>413</v>
      </c>
      <c r="K100" s="15">
        <f t="shared" si="136"/>
        <v>146</v>
      </c>
      <c r="L100" s="17">
        <f t="shared" si="137"/>
        <v>429</v>
      </c>
      <c r="M100" s="18">
        <f t="shared" si="138"/>
        <v>146</v>
      </c>
      <c r="N100" s="14">
        <f t="shared" si="139"/>
        <v>429</v>
      </c>
      <c r="O100" s="15">
        <f t="shared" si="140"/>
        <v>162</v>
      </c>
      <c r="P100" s="17">
        <f t="shared" si="141"/>
        <v>413</v>
      </c>
      <c r="Q100" s="18">
        <f t="shared" si="142"/>
        <v>162</v>
      </c>
      <c r="R100" s="4" t="s">
        <v>0</v>
      </c>
      <c r="S100" s="16" t="str">
        <f t="shared" si="143"/>
        <v>20-03</v>
      </c>
      <c r="T100" s="14">
        <f t="shared" si="144"/>
        <v>413</v>
      </c>
      <c r="U100" s="18">
        <f t="shared" si="145"/>
        <v>604</v>
      </c>
      <c r="V100" s="14">
        <f t="shared" si="146"/>
        <v>429</v>
      </c>
      <c r="W100" s="18">
        <f t="shared" si="147"/>
        <v>604</v>
      </c>
      <c r="X100" s="14">
        <f t="shared" si="148"/>
        <v>429</v>
      </c>
      <c r="Y100" s="18">
        <f t="shared" si="149"/>
        <v>588</v>
      </c>
      <c r="Z100" s="14">
        <f t="shared" si="150"/>
        <v>413</v>
      </c>
      <c r="AA100" s="18">
        <f t="shared" si="151"/>
        <v>588</v>
      </c>
      <c r="AB100" s="4" t="s">
        <v>0</v>
      </c>
    </row>
    <row r="101" spans="1:28">
      <c r="A101" s="9" t="s">
        <v>310</v>
      </c>
      <c r="B101" s="24"/>
      <c r="C101" s="26"/>
      <c r="D101" s="25">
        <f t="shared" si="176"/>
        <v>429</v>
      </c>
      <c r="E101" s="29">
        <f t="shared" ref="E101" si="179">E100</f>
        <v>146</v>
      </c>
      <c r="F101" s="25">
        <f t="shared" si="178"/>
        <v>445</v>
      </c>
      <c r="G101" s="29">
        <f t="shared" si="114"/>
        <v>162</v>
      </c>
      <c r="H101" s="4" t="s">
        <v>0</v>
      </c>
      <c r="I101" s="16" t="str">
        <f t="shared" si="134"/>
        <v>20-02</v>
      </c>
      <c r="J101" s="14">
        <f t="shared" si="135"/>
        <v>429</v>
      </c>
      <c r="K101" s="15">
        <f t="shared" si="136"/>
        <v>146</v>
      </c>
      <c r="L101" s="17">
        <f t="shared" si="137"/>
        <v>445</v>
      </c>
      <c r="M101" s="18">
        <f t="shared" si="138"/>
        <v>146</v>
      </c>
      <c r="N101" s="14">
        <f t="shared" si="139"/>
        <v>445</v>
      </c>
      <c r="O101" s="15">
        <f t="shared" si="140"/>
        <v>162</v>
      </c>
      <c r="P101" s="17">
        <f t="shared" si="141"/>
        <v>429</v>
      </c>
      <c r="Q101" s="18">
        <f t="shared" si="142"/>
        <v>162</v>
      </c>
      <c r="R101" s="4" t="s">
        <v>0</v>
      </c>
      <c r="S101" s="16" t="str">
        <f t="shared" si="143"/>
        <v>20-02</v>
      </c>
      <c r="T101" s="14">
        <f t="shared" si="144"/>
        <v>429</v>
      </c>
      <c r="U101" s="18">
        <f t="shared" si="145"/>
        <v>604</v>
      </c>
      <c r="V101" s="14">
        <f t="shared" si="146"/>
        <v>445</v>
      </c>
      <c r="W101" s="18">
        <f t="shared" si="147"/>
        <v>604</v>
      </c>
      <c r="X101" s="14">
        <f t="shared" si="148"/>
        <v>445</v>
      </c>
      <c r="Y101" s="18">
        <f t="shared" si="149"/>
        <v>588</v>
      </c>
      <c r="Z101" s="14">
        <f t="shared" si="150"/>
        <v>429</v>
      </c>
      <c r="AA101" s="18">
        <f t="shared" si="151"/>
        <v>588</v>
      </c>
      <c r="AB101" s="4" t="s">
        <v>0</v>
      </c>
    </row>
    <row r="102" spans="1:28">
      <c r="A102" s="9" t="s">
        <v>309</v>
      </c>
      <c r="B102" s="24"/>
      <c r="C102" s="26"/>
      <c r="D102" s="25">
        <f t="shared" si="176"/>
        <v>445</v>
      </c>
      <c r="E102" s="29">
        <f t="shared" ref="E102" si="180">E101</f>
        <v>146</v>
      </c>
      <c r="F102" s="25">
        <f t="shared" si="178"/>
        <v>461</v>
      </c>
      <c r="G102" s="29">
        <f t="shared" si="114"/>
        <v>162</v>
      </c>
      <c r="H102" s="4" t="s">
        <v>0</v>
      </c>
      <c r="I102" s="16" t="str">
        <f t="shared" si="134"/>
        <v>20-01</v>
      </c>
      <c r="J102" s="14">
        <f t="shared" si="135"/>
        <v>445</v>
      </c>
      <c r="K102" s="15">
        <f t="shared" si="136"/>
        <v>146</v>
      </c>
      <c r="L102" s="17">
        <f t="shared" si="137"/>
        <v>461</v>
      </c>
      <c r="M102" s="18">
        <f t="shared" si="138"/>
        <v>146</v>
      </c>
      <c r="N102" s="14">
        <f t="shared" si="139"/>
        <v>461</v>
      </c>
      <c r="O102" s="15">
        <f t="shared" si="140"/>
        <v>162</v>
      </c>
      <c r="P102" s="17">
        <f t="shared" si="141"/>
        <v>445</v>
      </c>
      <c r="Q102" s="18">
        <f t="shared" si="142"/>
        <v>162</v>
      </c>
      <c r="R102" s="4" t="s">
        <v>0</v>
      </c>
      <c r="S102" s="16" t="str">
        <f t="shared" si="143"/>
        <v>20-01</v>
      </c>
      <c r="T102" s="14">
        <f t="shared" si="144"/>
        <v>445</v>
      </c>
      <c r="U102" s="18">
        <f t="shared" si="145"/>
        <v>604</v>
      </c>
      <c r="V102" s="14">
        <f t="shared" si="146"/>
        <v>461</v>
      </c>
      <c r="W102" s="18">
        <f t="shared" si="147"/>
        <v>604</v>
      </c>
      <c r="X102" s="14">
        <f t="shared" si="148"/>
        <v>461</v>
      </c>
      <c r="Y102" s="18">
        <f t="shared" si="149"/>
        <v>588</v>
      </c>
      <c r="Z102" s="14">
        <f t="shared" si="150"/>
        <v>445</v>
      </c>
      <c r="AA102" s="18">
        <f t="shared" si="151"/>
        <v>588</v>
      </c>
      <c r="AB102" s="4" t="s">
        <v>0</v>
      </c>
    </row>
    <row r="103" spans="1:28">
      <c r="A103" s="9" t="s">
        <v>307</v>
      </c>
      <c r="B103" s="24"/>
      <c r="C103" s="26">
        <v>4</v>
      </c>
      <c r="D103" s="25">
        <f t="shared" si="176"/>
        <v>62</v>
      </c>
      <c r="E103" s="28">
        <f t="shared" ref="E103:E126" si="181">ROUND(E$11+21.8*$C103, 0)</f>
        <v>168</v>
      </c>
      <c r="F103" s="25">
        <f t="shared" si="178"/>
        <v>78</v>
      </c>
      <c r="G103" s="28">
        <f t="shared" ref="G103:G126" si="182">ROUND(G$11+21.8*$C103, 0)</f>
        <v>184</v>
      </c>
      <c r="H103" s="4" t="s">
        <v>0</v>
      </c>
      <c r="I103" s="16" t="str">
        <f t="shared" si="134"/>
        <v>18-28</v>
      </c>
      <c r="J103" s="14">
        <f t="shared" si="135"/>
        <v>62</v>
      </c>
      <c r="K103" s="15">
        <f t="shared" si="136"/>
        <v>168</v>
      </c>
      <c r="L103" s="17">
        <f t="shared" si="137"/>
        <v>78</v>
      </c>
      <c r="M103" s="18">
        <f t="shared" si="138"/>
        <v>168</v>
      </c>
      <c r="N103" s="14">
        <f t="shared" si="139"/>
        <v>78</v>
      </c>
      <c r="O103" s="15">
        <f t="shared" si="140"/>
        <v>184</v>
      </c>
      <c r="P103" s="17">
        <f t="shared" si="141"/>
        <v>62</v>
      </c>
      <c r="Q103" s="18">
        <f t="shared" si="142"/>
        <v>184</v>
      </c>
      <c r="R103" s="4" t="s">
        <v>0</v>
      </c>
      <c r="S103" s="16" t="str">
        <f t="shared" si="143"/>
        <v>18-28</v>
      </c>
      <c r="T103" s="14">
        <f t="shared" si="144"/>
        <v>62</v>
      </c>
      <c r="U103" s="18">
        <f t="shared" si="145"/>
        <v>582</v>
      </c>
      <c r="V103" s="14">
        <f t="shared" si="146"/>
        <v>78</v>
      </c>
      <c r="W103" s="18">
        <f t="shared" si="147"/>
        <v>582</v>
      </c>
      <c r="X103" s="14">
        <f t="shared" si="148"/>
        <v>78</v>
      </c>
      <c r="Y103" s="18">
        <f t="shared" si="149"/>
        <v>566</v>
      </c>
      <c r="Z103" s="14">
        <f t="shared" si="150"/>
        <v>62</v>
      </c>
      <c r="AA103" s="18">
        <f t="shared" si="151"/>
        <v>566</v>
      </c>
      <c r="AB103" s="4" t="s">
        <v>0</v>
      </c>
    </row>
    <row r="104" spans="1:28">
      <c r="A104" s="9" t="s">
        <v>306</v>
      </c>
      <c r="B104" s="24"/>
      <c r="C104" s="26"/>
      <c r="D104" s="25">
        <f t="shared" si="176"/>
        <v>78</v>
      </c>
      <c r="E104" s="29">
        <f t="shared" ref="E104" si="183">E103</f>
        <v>168</v>
      </c>
      <c r="F104" s="25">
        <f t="shared" si="178"/>
        <v>94</v>
      </c>
      <c r="G104" s="29">
        <f t="shared" ref="G104" si="184">G103</f>
        <v>184</v>
      </c>
      <c r="H104" s="4" t="s">
        <v>0</v>
      </c>
      <c r="I104" s="16" t="str">
        <f t="shared" si="134"/>
        <v>18-27</v>
      </c>
      <c r="J104" s="14">
        <f t="shared" si="135"/>
        <v>78</v>
      </c>
      <c r="K104" s="15">
        <f t="shared" si="136"/>
        <v>168</v>
      </c>
      <c r="L104" s="17">
        <f t="shared" si="137"/>
        <v>94</v>
      </c>
      <c r="M104" s="18">
        <f t="shared" si="138"/>
        <v>168</v>
      </c>
      <c r="N104" s="14">
        <f t="shared" si="139"/>
        <v>94</v>
      </c>
      <c r="O104" s="15">
        <f t="shared" si="140"/>
        <v>184</v>
      </c>
      <c r="P104" s="17">
        <f t="shared" si="141"/>
        <v>78</v>
      </c>
      <c r="Q104" s="18">
        <f t="shared" si="142"/>
        <v>184</v>
      </c>
      <c r="R104" s="4" t="s">
        <v>0</v>
      </c>
      <c r="S104" s="16" t="str">
        <f t="shared" si="143"/>
        <v>18-27</v>
      </c>
      <c r="T104" s="14">
        <f t="shared" si="144"/>
        <v>78</v>
      </c>
      <c r="U104" s="18">
        <f t="shared" si="145"/>
        <v>582</v>
      </c>
      <c r="V104" s="14">
        <f t="shared" si="146"/>
        <v>94</v>
      </c>
      <c r="W104" s="18">
        <f t="shared" si="147"/>
        <v>582</v>
      </c>
      <c r="X104" s="14">
        <f t="shared" si="148"/>
        <v>94</v>
      </c>
      <c r="Y104" s="18">
        <f t="shared" si="149"/>
        <v>566</v>
      </c>
      <c r="Z104" s="14">
        <f t="shared" si="150"/>
        <v>78</v>
      </c>
      <c r="AA104" s="18">
        <f t="shared" si="151"/>
        <v>566</v>
      </c>
      <c r="AB104" s="4" t="s">
        <v>0</v>
      </c>
    </row>
    <row r="105" spans="1:28">
      <c r="A105" s="9" t="s">
        <v>305</v>
      </c>
      <c r="B105" s="24"/>
      <c r="C105" s="26"/>
      <c r="D105" s="25">
        <f t="shared" si="176"/>
        <v>95</v>
      </c>
      <c r="E105" s="29">
        <f t="shared" ref="E105" si="185">E104</f>
        <v>168</v>
      </c>
      <c r="F105" s="25">
        <f t="shared" si="178"/>
        <v>111</v>
      </c>
      <c r="G105" s="29">
        <f t="shared" si="114"/>
        <v>184</v>
      </c>
      <c r="H105" s="4" t="s">
        <v>0</v>
      </c>
      <c r="I105" s="16" t="str">
        <f t="shared" si="134"/>
        <v>18-26</v>
      </c>
      <c r="J105" s="14">
        <f t="shared" si="135"/>
        <v>95</v>
      </c>
      <c r="K105" s="15">
        <f t="shared" si="136"/>
        <v>168</v>
      </c>
      <c r="L105" s="17">
        <f t="shared" si="137"/>
        <v>111</v>
      </c>
      <c r="M105" s="18">
        <f t="shared" si="138"/>
        <v>168</v>
      </c>
      <c r="N105" s="14">
        <f t="shared" si="139"/>
        <v>111</v>
      </c>
      <c r="O105" s="15">
        <f t="shared" si="140"/>
        <v>184</v>
      </c>
      <c r="P105" s="17">
        <f t="shared" si="141"/>
        <v>95</v>
      </c>
      <c r="Q105" s="18">
        <f t="shared" si="142"/>
        <v>184</v>
      </c>
      <c r="R105" s="4" t="s">
        <v>0</v>
      </c>
      <c r="S105" s="16" t="str">
        <f t="shared" si="143"/>
        <v>18-26</v>
      </c>
      <c r="T105" s="14">
        <f t="shared" si="144"/>
        <v>95</v>
      </c>
      <c r="U105" s="18">
        <f t="shared" si="145"/>
        <v>582</v>
      </c>
      <c r="V105" s="14">
        <f t="shared" si="146"/>
        <v>111</v>
      </c>
      <c r="W105" s="18">
        <f t="shared" si="147"/>
        <v>582</v>
      </c>
      <c r="X105" s="14">
        <f t="shared" si="148"/>
        <v>111</v>
      </c>
      <c r="Y105" s="18">
        <f t="shared" si="149"/>
        <v>566</v>
      </c>
      <c r="Z105" s="14">
        <f t="shared" si="150"/>
        <v>95</v>
      </c>
      <c r="AA105" s="18">
        <f t="shared" si="151"/>
        <v>566</v>
      </c>
      <c r="AB105" s="4" t="s">
        <v>0</v>
      </c>
    </row>
    <row r="106" spans="1:28">
      <c r="A106" s="9" t="s">
        <v>304</v>
      </c>
      <c r="B106" s="24"/>
      <c r="C106" s="26"/>
      <c r="D106" s="25">
        <f t="shared" si="176"/>
        <v>111</v>
      </c>
      <c r="E106" s="29">
        <f t="shared" ref="E106" si="186">E105</f>
        <v>168</v>
      </c>
      <c r="F106" s="25">
        <f t="shared" si="178"/>
        <v>127</v>
      </c>
      <c r="G106" s="29">
        <f t="shared" si="114"/>
        <v>184</v>
      </c>
      <c r="H106" s="4" t="s">
        <v>0</v>
      </c>
      <c r="I106" s="16" t="str">
        <f t="shared" si="134"/>
        <v>18-25</v>
      </c>
      <c r="J106" s="14">
        <f t="shared" si="135"/>
        <v>111</v>
      </c>
      <c r="K106" s="15">
        <f t="shared" si="136"/>
        <v>168</v>
      </c>
      <c r="L106" s="17">
        <f t="shared" si="137"/>
        <v>127</v>
      </c>
      <c r="M106" s="18">
        <f t="shared" si="138"/>
        <v>168</v>
      </c>
      <c r="N106" s="14">
        <f t="shared" si="139"/>
        <v>127</v>
      </c>
      <c r="O106" s="15">
        <f t="shared" si="140"/>
        <v>184</v>
      </c>
      <c r="P106" s="17">
        <f t="shared" si="141"/>
        <v>111</v>
      </c>
      <c r="Q106" s="18">
        <f t="shared" si="142"/>
        <v>184</v>
      </c>
      <c r="R106" s="4" t="s">
        <v>0</v>
      </c>
      <c r="S106" s="16" t="str">
        <f t="shared" si="143"/>
        <v>18-25</v>
      </c>
      <c r="T106" s="14">
        <f t="shared" si="144"/>
        <v>111</v>
      </c>
      <c r="U106" s="18">
        <f t="shared" si="145"/>
        <v>582</v>
      </c>
      <c r="V106" s="14">
        <f t="shared" si="146"/>
        <v>127</v>
      </c>
      <c r="W106" s="18">
        <f t="shared" si="147"/>
        <v>582</v>
      </c>
      <c r="X106" s="14">
        <f t="shared" si="148"/>
        <v>127</v>
      </c>
      <c r="Y106" s="18">
        <f t="shared" si="149"/>
        <v>566</v>
      </c>
      <c r="Z106" s="14">
        <f t="shared" si="150"/>
        <v>111</v>
      </c>
      <c r="AA106" s="18">
        <f t="shared" si="151"/>
        <v>566</v>
      </c>
      <c r="AB106" s="4" t="s">
        <v>0</v>
      </c>
    </row>
    <row r="107" spans="1:28">
      <c r="A107" s="9" t="s">
        <v>303</v>
      </c>
      <c r="B107" s="24"/>
      <c r="C107" s="26"/>
      <c r="D107" s="25">
        <f t="shared" si="176"/>
        <v>127</v>
      </c>
      <c r="E107" s="29">
        <f t="shared" ref="E107" si="187">E106</f>
        <v>168</v>
      </c>
      <c r="F107" s="25">
        <f t="shared" si="178"/>
        <v>143</v>
      </c>
      <c r="G107" s="29">
        <f t="shared" si="114"/>
        <v>184</v>
      </c>
      <c r="H107" s="4" t="s">
        <v>0</v>
      </c>
      <c r="I107" s="16" t="str">
        <f t="shared" si="134"/>
        <v>18-23</v>
      </c>
      <c r="J107" s="14">
        <f t="shared" si="135"/>
        <v>127</v>
      </c>
      <c r="K107" s="15">
        <f t="shared" si="136"/>
        <v>168</v>
      </c>
      <c r="L107" s="17">
        <f t="shared" si="137"/>
        <v>143</v>
      </c>
      <c r="M107" s="18">
        <f t="shared" si="138"/>
        <v>168</v>
      </c>
      <c r="N107" s="14">
        <f t="shared" si="139"/>
        <v>143</v>
      </c>
      <c r="O107" s="15">
        <f t="shared" si="140"/>
        <v>184</v>
      </c>
      <c r="P107" s="17">
        <f t="shared" si="141"/>
        <v>127</v>
      </c>
      <c r="Q107" s="18">
        <f t="shared" si="142"/>
        <v>184</v>
      </c>
      <c r="R107" s="4" t="s">
        <v>0</v>
      </c>
      <c r="S107" s="16" t="str">
        <f t="shared" si="143"/>
        <v>18-23</v>
      </c>
      <c r="T107" s="14">
        <f t="shared" si="144"/>
        <v>127</v>
      </c>
      <c r="U107" s="18">
        <f t="shared" si="145"/>
        <v>582</v>
      </c>
      <c r="V107" s="14">
        <f t="shared" si="146"/>
        <v>143</v>
      </c>
      <c r="W107" s="18">
        <f t="shared" si="147"/>
        <v>582</v>
      </c>
      <c r="X107" s="14">
        <f t="shared" si="148"/>
        <v>143</v>
      </c>
      <c r="Y107" s="18">
        <f t="shared" si="149"/>
        <v>566</v>
      </c>
      <c r="Z107" s="14">
        <f t="shared" si="150"/>
        <v>127</v>
      </c>
      <c r="AA107" s="18">
        <f t="shared" si="151"/>
        <v>566</v>
      </c>
      <c r="AB107" s="4" t="s">
        <v>0</v>
      </c>
    </row>
    <row r="108" spans="1:28">
      <c r="A108" s="9" t="s">
        <v>302</v>
      </c>
      <c r="B108" s="24"/>
      <c r="C108" s="26"/>
      <c r="D108" s="25">
        <f t="shared" si="176"/>
        <v>144</v>
      </c>
      <c r="E108" s="29">
        <f t="shared" ref="E108" si="188">E107</f>
        <v>168</v>
      </c>
      <c r="F108" s="25">
        <f t="shared" si="178"/>
        <v>160</v>
      </c>
      <c r="G108" s="29">
        <f t="shared" si="114"/>
        <v>184</v>
      </c>
      <c r="H108" s="4" t="s">
        <v>0</v>
      </c>
      <c r="I108" s="16" t="str">
        <f t="shared" si="134"/>
        <v>18-22</v>
      </c>
      <c r="J108" s="14">
        <f t="shared" si="135"/>
        <v>144</v>
      </c>
      <c r="K108" s="15">
        <f t="shared" si="136"/>
        <v>168</v>
      </c>
      <c r="L108" s="17">
        <f t="shared" si="137"/>
        <v>160</v>
      </c>
      <c r="M108" s="18">
        <f t="shared" si="138"/>
        <v>168</v>
      </c>
      <c r="N108" s="14">
        <f t="shared" si="139"/>
        <v>160</v>
      </c>
      <c r="O108" s="15">
        <f t="shared" si="140"/>
        <v>184</v>
      </c>
      <c r="P108" s="17">
        <f t="shared" si="141"/>
        <v>144</v>
      </c>
      <c r="Q108" s="18">
        <f t="shared" si="142"/>
        <v>184</v>
      </c>
      <c r="R108" s="4" t="s">
        <v>0</v>
      </c>
      <c r="S108" s="16" t="str">
        <f t="shared" si="143"/>
        <v>18-22</v>
      </c>
      <c r="T108" s="14">
        <f t="shared" si="144"/>
        <v>144</v>
      </c>
      <c r="U108" s="18">
        <f t="shared" si="145"/>
        <v>582</v>
      </c>
      <c r="V108" s="14">
        <f t="shared" si="146"/>
        <v>160</v>
      </c>
      <c r="W108" s="18">
        <f t="shared" si="147"/>
        <v>582</v>
      </c>
      <c r="X108" s="14">
        <f t="shared" si="148"/>
        <v>160</v>
      </c>
      <c r="Y108" s="18">
        <f t="shared" si="149"/>
        <v>566</v>
      </c>
      <c r="Z108" s="14">
        <f t="shared" si="150"/>
        <v>144</v>
      </c>
      <c r="AA108" s="18">
        <f t="shared" si="151"/>
        <v>566</v>
      </c>
      <c r="AB108" s="4" t="s">
        <v>0</v>
      </c>
    </row>
    <row r="109" spans="1:28">
      <c r="A109" s="9" t="s">
        <v>301</v>
      </c>
      <c r="B109" s="24"/>
      <c r="C109" s="26"/>
      <c r="D109" s="25">
        <f t="shared" si="176"/>
        <v>160</v>
      </c>
      <c r="E109" s="29">
        <f t="shared" ref="E109" si="189">E108</f>
        <v>168</v>
      </c>
      <c r="F109" s="25">
        <f t="shared" si="178"/>
        <v>176</v>
      </c>
      <c r="G109" s="29">
        <f t="shared" si="114"/>
        <v>184</v>
      </c>
      <c r="H109" s="4" t="s">
        <v>0</v>
      </c>
      <c r="I109" s="16" t="str">
        <f t="shared" si="134"/>
        <v>18-21</v>
      </c>
      <c r="J109" s="14">
        <f t="shared" si="135"/>
        <v>160</v>
      </c>
      <c r="K109" s="15">
        <f t="shared" si="136"/>
        <v>168</v>
      </c>
      <c r="L109" s="17">
        <f t="shared" si="137"/>
        <v>176</v>
      </c>
      <c r="M109" s="18">
        <f t="shared" si="138"/>
        <v>168</v>
      </c>
      <c r="N109" s="14">
        <f t="shared" si="139"/>
        <v>176</v>
      </c>
      <c r="O109" s="15">
        <f t="shared" si="140"/>
        <v>184</v>
      </c>
      <c r="P109" s="17">
        <f t="shared" si="141"/>
        <v>160</v>
      </c>
      <c r="Q109" s="18">
        <f t="shared" si="142"/>
        <v>184</v>
      </c>
      <c r="R109" s="4" t="s">
        <v>0</v>
      </c>
      <c r="S109" s="16" t="str">
        <f t="shared" si="143"/>
        <v>18-21</v>
      </c>
      <c r="T109" s="14">
        <f t="shared" si="144"/>
        <v>160</v>
      </c>
      <c r="U109" s="18">
        <f t="shared" si="145"/>
        <v>582</v>
      </c>
      <c r="V109" s="14">
        <f t="shared" si="146"/>
        <v>176</v>
      </c>
      <c r="W109" s="18">
        <f t="shared" si="147"/>
        <v>582</v>
      </c>
      <c r="X109" s="14">
        <f t="shared" si="148"/>
        <v>176</v>
      </c>
      <c r="Y109" s="18">
        <f t="shared" si="149"/>
        <v>566</v>
      </c>
      <c r="Z109" s="14">
        <f t="shared" si="150"/>
        <v>160</v>
      </c>
      <c r="AA109" s="18">
        <f t="shared" si="151"/>
        <v>566</v>
      </c>
      <c r="AB109" s="4" t="s">
        <v>0</v>
      </c>
    </row>
    <row r="110" spans="1:28">
      <c r="A110" s="9" t="s">
        <v>300</v>
      </c>
      <c r="B110" s="24"/>
      <c r="C110" s="26"/>
      <c r="D110" s="25">
        <f t="shared" si="176"/>
        <v>176</v>
      </c>
      <c r="E110" s="29">
        <f t="shared" ref="E110" si="190">E109</f>
        <v>168</v>
      </c>
      <c r="F110" s="25">
        <f t="shared" si="178"/>
        <v>192</v>
      </c>
      <c r="G110" s="29">
        <f t="shared" si="114"/>
        <v>184</v>
      </c>
      <c r="H110" s="4" t="s">
        <v>0</v>
      </c>
      <c r="I110" s="16" t="str">
        <f t="shared" si="134"/>
        <v>18-20</v>
      </c>
      <c r="J110" s="14">
        <f t="shared" si="135"/>
        <v>176</v>
      </c>
      <c r="K110" s="15">
        <f t="shared" si="136"/>
        <v>168</v>
      </c>
      <c r="L110" s="17">
        <f t="shared" si="137"/>
        <v>192</v>
      </c>
      <c r="M110" s="18">
        <f t="shared" si="138"/>
        <v>168</v>
      </c>
      <c r="N110" s="14">
        <f t="shared" si="139"/>
        <v>192</v>
      </c>
      <c r="O110" s="15">
        <f t="shared" si="140"/>
        <v>184</v>
      </c>
      <c r="P110" s="17">
        <f t="shared" si="141"/>
        <v>176</v>
      </c>
      <c r="Q110" s="18">
        <f t="shared" si="142"/>
        <v>184</v>
      </c>
      <c r="R110" s="4" t="s">
        <v>0</v>
      </c>
      <c r="S110" s="16" t="str">
        <f t="shared" si="143"/>
        <v>18-20</v>
      </c>
      <c r="T110" s="14">
        <f t="shared" si="144"/>
        <v>176</v>
      </c>
      <c r="U110" s="18">
        <f t="shared" si="145"/>
        <v>582</v>
      </c>
      <c r="V110" s="14">
        <f t="shared" si="146"/>
        <v>192</v>
      </c>
      <c r="W110" s="18">
        <f t="shared" si="147"/>
        <v>582</v>
      </c>
      <c r="X110" s="14">
        <f t="shared" si="148"/>
        <v>192</v>
      </c>
      <c r="Y110" s="18">
        <f t="shared" si="149"/>
        <v>566</v>
      </c>
      <c r="Z110" s="14">
        <f t="shared" si="150"/>
        <v>176</v>
      </c>
      <c r="AA110" s="18">
        <f t="shared" si="151"/>
        <v>566</v>
      </c>
      <c r="AB110" s="4" t="s">
        <v>0</v>
      </c>
    </row>
    <row r="111" spans="1:28">
      <c r="A111" s="9" t="s">
        <v>299</v>
      </c>
      <c r="B111" s="24"/>
      <c r="C111" s="26"/>
      <c r="D111" s="25">
        <f t="shared" si="176"/>
        <v>192</v>
      </c>
      <c r="E111" s="29">
        <f t="shared" ref="E111" si="191">E110</f>
        <v>168</v>
      </c>
      <c r="F111" s="25">
        <f t="shared" si="178"/>
        <v>208</v>
      </c>
      <c r="G111" s="29">
        <f t="shared" si="114"/>
        <v>184</v>
      </c>
      <c r="H111" s="4" t="s">
        <v>0</v>
      </c>
      <c r="I111" s="16" t="str">
        <f t="shared" si="134"/>
        <v>18-18</v>
      </c>
      <c r="J111" s="14">
        <f t="shared" si="135"/>
        <v>192</v>
      </c>
      <c r="K111" s="15">
        <f t="shared" si="136"/>
        <v>168</v>
      </c>
      <c r="L111" s="17">
        <f t="shared" si="137"/>
        <v>208</v>
      </c>
      <c r="M111" s="18">
        <f t="shared" si="138"/>
        <v>168</v>
      </c>
      <c r="N111" s="14">
        <f t="shared" si="139"/>
        <v>208</v>
      </c>
      <c r="O111" s="15">
        <f t="shared" si="140"/>
        <v>184</v>
      </c>
      <c r="P111" s="17">
        <f t="shared" si="141"/>
        <v>192</v>
      </c>
      <c r="Q111" s="18">
        <f t="shared" si="142"/>
        <v>184</v>
      </c>
      <c r="R111" s="4" t="s">
        <v>0</v>
      </c>
      <c r="S111" s="16" t="str">
        <f t="shared" si="143"/>
        <v>18-18</v>
      </c>
      <c r="T111" s="14">
        <f t="shared" si="144"/>
        <v>192</v>
      </c>
      <c r="U111" s="18">
        <f t="shared" si="145"/>
        <v>582</v>
      </c>
      <c r="V111" s="14">
        <f t="shared" si="146"/>
        <v>208</v>
      </c>
      <c r="W111" s="18">
        <f t="shared" si="147"/>
        <v>582</v>
      </c>
      <c r="X111" s="14">
        <f t="shared" si="148"/>
        <v>208</v>
      </c>
      <c r="Y111" s="18">
        <f t="shared" si="149"/>
        <v>566</v>
      </c>
      <c r="Z111" s="14">
        <f t="shared" si="150"/>
        <v>192</v>
      </c>
      <c r="AA111" s="18">
        <f t="shared" si="151"/>
        <v>566</v>
      </c>
      <c r="AB111" s="4" t="s">
        <v>0</v>
      </c>
    </row>
    <row r="112" spans="1:28">
      <c r="A112" s="9" t="s">
        <v>298</v>
      </c>
      <c r="B112" s="24"/>
      <c r="C112" s="26"/>
      <c r="D112" s="25">
        <f t="shared" si="176"/>
        <v>209</v>
      </c>
      <c r="E112" s="29">
        <f t="shared" ref="E112" si="192">E111</f>
        <v>168</v>
      </c>
      <c r="F112" s="25">
        <f t="shared" si="178"/>
        <v>225</v>
      </c>
      <c r="G112" s="29">
        <f t="shared" si="114"/>
        <v>184</v>
      </c>
      <c r="H112" s="4" t="s">
        <v>0</v>
      </c>
      <c r="I112" s="16" t="str">
        <f t="shared" si="134"/>
        <v>18-17</v>
      </c>
      <c r="J112" s="14">
        <f t="shared" si="135"/>
        <v>209</v>
      </c>
      <c r="K112" s="15">
        <f t="shared" si="136"/>
        <v>168</v>
      </c>
      <c r="L112" s="17">
        <f t="shared" si="137"/>
        <v>225</v>
      </c>
      <c r="M112" s="18">
        <f t="shared" si="138"/>
        <v>168</v>
      </c>
      <c r="N112" s="14">
        <f t="shared" si="139"/>
        <v>225</v>
      </c>
      <c r="O112" s="15">
        <f t="shared" si="140"/>
        <v>184</v>
      </c>
      <c r="P112" s="17">
        <f t="shared" si="141"/>
        <v>209</v>
      </c>
      <c r="Q112" s="18">
        <f t="shared" si="142"/>
        <v>184</v>
      </c>
      <c r="R112" s="4" t="s">
        <v>0</v>
      </c>
      <c r="S112" s="16" t="str">
        <f t="shared" si="143"/>
        <v>18-17</v>
      </c>
      <c r="T112" s="14">
        <f t="shared" si="144"/>
        <v>209</v>
      </c>
      <c r="U112" s="18">
        <f t="shared" si="145"/>
        <v>582</v>
      </c>
      <c r="V112" s="14">
        <f t="shared" si="146"/>
        <v>225</v>
      </c>
      <c r="W112" s="18">
        <f t="shared" si="147"/>
        <v>582</v>
      </c>
      <c r="X112" s="14">
        <f t="shared" si="148"/>
        <v>225</v>
      </c>
      <c r="Y112" s="18">
        <f t="shared" si="149"/>
        <v>566</v>
      </c>
      <c r="Z112" s="14">
        <f t="shared" si="150"/>
        <v>209</v>
      </c>
      <c r="AA112" s="18">
        <f t="shared" si="151"/>
        <v>566</v>
      </c>
      <c r="AB112" s="4" t="s">
        <v>0</v>
      </c>
    </row>
    <row r="113" spans="1:28">
      <c r="A113" s="9" t="s">
        <v>297</v>
      </c>
      <c r="B113" s="24"/>
      <c r="C113" s="26"/>
      <c r="D113" s="25">
        <f t="shared" si="176"/>
        <v>225</v>
      </c>
      <c r="E113" s="29">
        <f t="shared" ref="E113" si="193">E112</f>
        <v>168</v>
      </c>
      <c r="F113" s="25">
        <f t="shared" si="178"/>
        <v>241</v>
      </c>
      <c r="G113" s="29">
        <f t="shared" si="114"/>
        <v>184</v>
      </c>
      <c r="H113" s="4" t="s">
        <v>0</v>
      </c>
      <c r="I113" s="16" t="str">
        <f t="shared" si="134"/>
        <v>18-16</v>
      </c>
      <c r="J113" s="14">
        <f t="shared" si="135"/>
        <v>225</v>
      </c>
      <c r="K113" s="15">
        <f t="shared" si="136"/>
        <v>168</v>
      </c>
      <c r="L113" s="17">
        <f t="shared" si="137"/>
        <v>241</v>
      </c>
      <c r="M113" s="18">
        <f t="shared" si="138"/>
        <v>168</v>
      </c>
      <c r="N113" s="14">
        <f t="shared" si="139"/>
        <v>241</v>
      </c>
      <c r="O113" s="15">
        <f t="shared" si="140"/>
        <v>184</v>
      </c>
      <c r="P113" s="17">
        <f t="shared" si="141"/>
        <v>225</v>
      </c>
      <c r="Q113" s="18">
        <f t="shared" si="142"/>
        <v>184</v>
      </c>
      <c r="R113" s="4" t="s">
        <v>0</v>
      </c>
      <c r="S113" s="16" t="str">
        <f t="shared" si="143"/>
        <v>18-16</v>
      </c>
      <c r="T113" s="14">
        <f t="shared" si="144"/>
        <v>225</v>
      </c>
      <c r="U113" s="18">
        <f t="shared" si="145"/>
        <v>582</v>
      </c>
      <c r="V113" s="14">
        <f t="shared" si="146"/>
        <v>241</v>
      </c>
      <c r="W113" s="18">
        <f t="shared" si="147"/>
        <v>582</v>
      </c>
      <c r="X113" s="14">
        <f t="shared" si="148"/>
        <v>241</v>
      </c>
      <c r="Y113" s="18">
        <f t="shared" si="149"/>
        <v>566</v>
      </c>
      <c r="Z113" s="14">
        <f t="shared" si="150"/>
        <v>225</v>
      </c>
      <c r="AA113" s="18">
        <f t="shared" si="151"/>
        <v>566</v>
      </c>
      <c r="AB113" s="4" t="s">
        <v>0</v>
      </c>
    </row>
    <row r="114" spans="1:28">
      <c r="A114" s="9" t="s">
        <v>296</v>
      </c>
      <c r="B114" s="24"/>
      <c r="C114" s="26"/>
      <c r="D114" s="25">
        <f t="shared" si="176"/>
        <v>266</v>
      </c>
      <c r="E114" s="29">
        <f t="shared" ref="E114" si="194">E113</f>
        <v>168</v>
      </c>
      <c r="F114" s="25">
        <f t="shared" si="178"/>
        <v>282</v>
      </c>
      <c r="G114" s="29">
        <f t="shared" si="114"/>
        <v>184</v>
      </c>
      <c r="H114" s="4" t="s">
        <v>0</v>
      </c>
      <c r="I114" s="16" t="str">
        <f t="shared" si="134"/>
        <v>18-15</v>
      </c>
      <c r="J114" s="14">
        <f t="shared" si="135"/>
        <v>266</v>
      </c>
      <c r="K114" s="15">
        <f t="shared" si="136"/>
        <v>168</v>
      </c>
      <c r="L114" s="17">
        <f t="shared" si="137"/>
        <v>282</v>
      </c>
      <c r="M114" s="18">
        <f t="shared" si="138"/>
        <v>168</v>
      </c>
      <c r="N114" s="14">
        <f t="shared" si="139"/>
        <v>282</v>
      </c>
      <c r="O114" s="15">
        <f t="shared" si="140"/>
        <v>184</v>
      </c>
      <c r="P114" s="17">
        <f t="shared" si="141"/>
        <v>266</v>
      </c>
      <c r="Q114" s="18">
        <f t="shared" si="142"/>
        <v>184</v>
      </c>
      <c r="R114" s="4" t="s">
        <v>0</v>
      </c>
      <c r="S114" s="16" t="str">
        <f t="shared" si="143"/>
        <v>18-15</v>
      </c>
      <c r="T114" s="14">
        <f t="shared" si="144"/>
        <v>266</v>
      </c>
      <c r="U114" s="18">
        <f t="shared" si="145"/>
        <v>582</v>
      </c>
      <c r="V114" s="14">
        <f t="shared" si="146"/>
        <v>282</v>
      </c>
      <c r="W114" s="18">
        <f t="shared" si="147"/>
        <v>582</v>
      </c>
      <c r="X114" s="14">
        <f t="shared" si="148"/>
        <v>282</v>
      </c>
      <c r="Y114" s="18">
        <f t="shared" si="149"/>
        <v>566</v>
      </c>
      <c r="Z114" s="14">
        <f t="shared" si="150"/>
        <v>266</v>
      </c>
      <c r="AA114" s="18">
        <f t="shared" si="151"/>
        <v>566</v>
      </c>
      <c r="AB114" s="4" t="s">
        <v>0</v>
      </c>
    </row>
    <row r="115" spans="1:28">
      <c r="A115" s="9" t="s">
        <v>295</v>
      </c>
      <c r="B115" s="24"/>
      <c r="C115" s="26"/>
      <c r="D115" s="25">
        <f t="shared" si="176"/>
        <v>282</v>
      </c>
      <c r="E115" s="29">
        <f t="shared" ref="E115" si="195">E114</f>
        <v>168</v>
      </c>
      <c r="F115" s="25">
        <f t="shared" si="178"/>
        <v>298</v>
      </c>
      <c r="G115" s="29">
        <f t="shared" si="114"/>
        <v>184</v>
      </c>
      <c r="H115" s="4" t="s">
        <v>0</v>
      </c>
      <c r="I115" s="16" t="str">
        <f t="shared" si="134"/>
        <v>18-13</v>
      </c>
      <c r="J115" s="14">
        <f t="shared" si="135"/>
        <v>282</v>
      </c>
      <c r="K115" s="15">
        <f t="shared" si="136"/>
        <v>168</v>
      </c>
      <c r="L115" s="17">
        <f t="shared" si="137"/>
        <v>298</v>
      </c>
      <c r="M115" s="18">
        <f t="shared" si="138"/>
        <v>168</v>
      </c>
      <c r="N115" s="14">
        <f t="shared" si="139"/>
        <v>298</v>
      </c>
      <c r="O115" s="15">
        <f t="shared" si="140"/>
        <v>184</v>
      </c>
      <c r="P115" s="17">
        <f t="shared" si="141"/>
        <v>282</v>
      </c>
      <c r="Q115" s="18">
        <f t="shared" si="142"/>
        <v>184</v>
      </c>
      <c r="R115" s="4" t="s">
        <v>0</v>
      </c>
      <c r="S115" s="16" t="str">
        <f t="shared" si="143"/>
        <v>18-13</v>
      </c>
      <c r="T115" s="14">
        <f t="shared" si="144"/>
        <v>282</v>
      </c>
      <c r="U115" s="18">
        <f t="shared" si="145"/>
        <v>582</v>
      </c>
      <c r="V115" s="14">
        <f t="shared" si="146"/>
        <v>298</v>
      </c>
      <c r="W115" s="18">
        <f t="shared" si="147"/>
        <v>582</v>
      </c>
      <c r="X115" s="14">
        <f t="shared" si="148"/>
        <v>298</v>
      </c>
      <c r="Y115" s="18">
        <f t="shared" si="149"/>
        <v>566</v>
      </c>
      <c r="Z115" s="14">
        <f t="shared" si="150"/>
        <v>282</v>
      </c>
      <c r="AA115" s="18">
        <f t="shared" si="151"/>
        <v>566</v>
      </c>
      <c r="AB115" s="4" t="s">
        <v>0</v>
      </c>
    </row>
    <row r="116" spans="1:28">
      <c r="A116" s="9" t="s">
        <v>294</v>
      </c>
      <c r="B116" s="24"/>
      <c r="C116" s="26"/>
      <c r="D116" s="25">
        <f t="shared" si="176"/>
        <v>299</v>
      </c>
      <c r="E116" s="29">
        <f t="shared" ref="E116" si="196">E115</f>
        <v>168</v>
      </c>
      <c r="F116" s="25">
        <f t="shared" si="178"/>
        <v>315</v>
      </c>
      <c r="G116" s="29">
        <f t="shared" si="114"/>
        <v>184</v>
      </c>
      <c r="H116" s="4" t="s">
        <v>0</v>
      </c>
      <c r="I116" s="16" t="str">
        <f t="shared" si="134"/>
        <v>18-12</v>
      </c>
      <c r="J116" s="14">
        <f t="shared" si="135"/>
        <v>299</v>
      </c>
      <c r="K116" s="15">
        <f t="shared" si="136"/>
        <v>168</v>
      </c>
      <c r="L116" s="17">
        <f t="shared" si="137"/>
        <v>315</v>
      </c>
      <c r="M116" s="18">
        <f t="shared" si="138"/>
        <v>168</v>
      </c>
      <c r="N116" s="14">
        <f t="shared" si="139"/>
        <v>315</v>
      </c>
      <c r="O116" s="15">
        <f t="shared" si="140"/>
        <v>184</v>
      </c>
      <c r="P116" s="17">
        <f t="shared" si="141"/>
        <v>299</v>
      </c>
      <c r="Q116" s="18">
        <f t="shared" si="142"/>
        <v>184</v>
      </c>
      <c r="R116" s="4" t="s">
        <v>0</v>
      </c>
      <c r="S116" s="16" t="str">
        <f t="shared" si="143"/>
        <v>18-12</v>
      </c>
      <c r="T116" s="14">
        <f t="shared" si="144"/>
        <v>299</v>
      </c>
      <c r="U116" s="18">
        <f t="shared" si="145"/>
        <v>582</v>
      </c>
      <c r="V116" s="14">
        <f t="shared" si="146"/>
        <v>315</v>
      </c>
      <c r="W116" s="18">
        <f t="shared" si="147"/>
        <v>582</v>
      </c>
      <c r="X116" s="14">
        <f t="shared" si="148"/>
        <v>315</v>
      </c>
      <c r="Y116" s="18">
        <f t="shared" si="149"/>
        <v>566</v>
      </c>
      <c r="Z116" s="14">
        <f t="shared" si="150"/>
        <v>299</v>
      </c>
      <c r="AA116" s="18">
        <f t="shared" si="151"/>
        <v>566</v>
      </c>
      <c r="AB116" s="4" t="s">
        <v>0</v>
      </c>
    </row>
    <row r="117" spans="1:28">
      <c r="A117" s="9" t="s">
        <v>293</v>
      </c>
      <c r="B117" s="24"/>
      <c r="C117" s="26"/>
      <c r="D117" s="25">
        <f t="shared" si="176"/>
        <v>315</v>
      </c>
      <c r="E117" s="29">
        <f t="shared" ref="E117" si="197">E116</f>
        <v>168</v>
      </c>
      <c r="F117" s="25">
        <f t="shared" si="178"/>
        <v>331</v>
      </c>
      <c r="G117" s="29">
        <f t="shared" si="114"/>
        <v>184</v>
      </c>
      <c r="H117" s="4" t="s">
        <v>0</v>
      </c>
      <c r="I117" s="16" t="str">
        <f t="shared" si="134"/>
        <v>18-11</v>
      </c>
      <c r="J117" s="14">
        <f t="shared" si="135"/>
        <v>315</v>
      </c>
      <c r="K117" s="15">
        <f t="shared" si="136"/>
        <v>168</v>
      </c>
      <c r="L117" s="17">
        <f t="shared" si="137"/>
        <v>331</v>
      </c>
      <c r="M117" s="18">
        <f t="shared" si="138"/>
        <v>168</v>
      </c>
      <c r="N117" s="14">
        <f t="shared" si="139"/>
        <v>331</v>
      </c>
      <c r="O117" s="15">
        <f t="shared" si="140"/>
        <v>184</v>
      </c>
      <c r="P117" s="17">
        <f t="shared" si="141"/>
        <v>315</v>
      </c>
      <c r="Q117" s="18">
        <f t="shared" si="142"/>
        <v>184</v>
      </c>
      <c r="R117" s="4" t="s">
        <v>0</v>
      </c>
      <c r="S117" s="16" t="str">
        <f t="shared" si="143"/>
        <v>18-11</v>
      </c>
      <c r="T117" s="14">
        <f t="shared" si="144"/>
        <v>315</v>
      </c>
      <c r="U117" s="18">
        <f t="shared" si="145"/>
        <v>582</v>
      </c>
      <c r="V117" s="14">
        <f t="shared" si="146"/>
        <v>331</v>
      </c>
      <c r="W117" s="18">
        <f t="shared" si="147"/>
        <v>582</v>
      </c>
      <c r="X117" s="14">
        <f t="shared" si="148"/>
        <v>331</v>
      </c>
      <c r="Y117" s="18">
        <f t="shared" si="149"/>
        <v>566</v>
      </c>
      <c r="Z117" s="14">
        <f t="shared" si="150"/>
        <v>315</v>
      </c>
      <c r="AA117" s="18">
        <f t="shared" si="151"/>
        <v>566</v>
      </c>
      <c r="AB117" s="4" t="s">
        <v>0</v>
      </c>
    </row>
    <row r="118" spans="1:28">
      <c r="A118" s="9" t="s">
        <v>292</v>
      </c>
      <c r="B118" s="24"/>
      <c r="C118" s="26"/>
      <c r="D118" s="25">
        <f t="shared" si="176"/>
        <v>331</v>
      </c>
      <c r="E118" s="29">
        <f t="shared" ref="E118" si="198">E117</f>
        <v>168</v>
      </c>
      <c r="F118" s="25">
        <f t="shared" si="178"/>
        <v>347</v>
      </c>
      <c r="G118" s="29">
        <f t="shared" si="114"/>
        <v>184</v>
      </c>
      <c r="H118" s="4" t="s">
        <v>0</v>
      </c>
      <c r="I118" s="16" t="str">
        <f t="shared" si="134"/>
        <v>18-10</v>
      </c>
      <c r="J118" s="14">
        <f t="shared" si="135"/>
        <v>331</v>
      </c>
      <c r="K118" s="15">
        <f t="shared" si="136"/>
        <v>168</v>
      </c>
      <c r="L118" s="17">
        <f t="shared" si="137"/>
        <v>347</v>
      </c>
      <c r="M118" s="18">
        <f t="shared" si="138"/>
        <v>168</v>
      </c>
      <c r="N118" s="14">
        <f t="shared" si="139"/>
        <v>347</v>
      </c>
      <c r="O118" s="15">
        <f t="shared" si="140"/>
        <v>184</v>
      </c>
      <c r="P118" s="17">
        <f t="shared" si="141"/>
        <v>331</v>
      </c>
      <c r="Q118" s="18">
        <f t="shared" si="142"/>
        <v>184</v>
      </c>
      <c r="R118" s="4" t="s">
        <v>0</v>
      </c>
      <c r="S118" s="16" t="str">
        <f t="shared" si="143"/>
        <v>18-10</v>
      </c>
      <c r="T118" s="14">
        <f t="shared" si="144"/>
        <v>331</v>
      </c>
      <c r="U118" s="18">
        <f t="shared" si="145"/>
        <v>582</v>
      </c>
      <c r="V118" s="14">
        <f t="shared" si="146"/>
        <v>347</v>
      </c>
      <c r="W118" s="18">
        <f t="shared" si="147"/>
        <v>582</v>
      </c>
      <c r="X118" s="14">
        <f t="shared" si="148"/>
        <v>347</v>
      </c>
      <c r="Y118" s="18">
        <f t="shared" si="149"/>
        <v>566</v>
      </c>
      <c r="Z118" s="14">
        <f t="shared" si="150"/>
        <v>331</v>
      </c>
      <c r="AA118" s="18">
        <f t="shared" si="151"/>
        <v>566</v>
      </c>
      <c r="AB118" s="4" t="s">
        <v>0</v>
      </c>
    </row>
    <row r="119" spans="1:28">
      <c r="A119" s="9" t="s">
        <v>291</v>
      </c>
      <c r="B119" s="24"/>
      <c r="C119" s="26"/>
      <c r="D119" s="25">
        <f t="shared" si="176"/>
        <v>348</v>
      </c>
      <c r="E119" s="29">
        <f t="shared" ref="E119" si="199">E118</f>
        <v>168</v>
      </c>
      <c r="F119" s="25">
        <f t="shared" si="178"/>
        <v>364</v>
      </c>
      <c r="G119" s="29">
        <f t="shared" si="114"/>
        <v>184</v>
      </c>
      <c r="H119" s="4" t="s">
        <v>0</v>
      </c>
      <c r="I119" s="16" t="str">
        <f t="shared" si="134"/>
        <v>18-08</v>
      </c>
      <c r="J119" s="14">
        <f t="shared" si="135"/>
        <v>348</v>
      </c>
      <c r="K119" s="15">
        <f t="shared" si="136"/>
        <v>168</v>
      </c>
      <c r="L119" s="17">
        <f t="shared" si="137"/>
        <v>364</v>
      </c>
      <c r="M119" s="18">
        <f t="shared" si="138"/>
        <v>168</v>
      </c>
      <c r="N119" s="14">
        <f t="shared" si="139"/>
        <v>364</v>
      </c>
      <c r="O119" s="15">
        <f t="shared" si="140"/>
        <v>184</v>
      </c>
      <c r="P119" s="17">
        <f t="shared" si="141"/>
        <v>348</v>
      </c>
      <c r="Q119" s="18">
        <f t="shared" si="142"/>
        <v>184</v>
      </c>
      <c r="R119" s="4" t="s">
        <v>0</v>
      </c>
      <c r="S119" s="16" t="str">
        <f t="shared" si="143"/>
        <v>18-08</v>
      </c>
      <c r="T119" s="14">
        <f t="shared" si="144"/>
        <v>348</v>
      </c>
      <c r="U119" s="18">
        <f t="shared" si="145"/>
        <v>582</v>
      </c>
      <c r="V119" s="14">
        <f t="shared" si="146"/>
        <v>364</v>
      </c>
      <c r="W119" s="18">
        <f t="shared" si="147"/>
        <v>582</v>
      </c>
      <c r="X119" s="14">
        <f t="shared" si="148"/>
        <v>364</v>
      </c>
      <c r="Y119" s="18">
        <f t="shared" si="149"/>
        <v>566</v>
      </c>
      <c r="Z119" s="14">
        <f t="shared" si="150"/>
        <v>348</v>
      </c>
      <c r="AA119" s="18">
        <f t="shared" si="151"/>
        <v>566</v>
      </c>
      <c r="AB119" s="4" t="s">
        <v>0</v>
      </c>
    </row>
    <row r="120" spans="1:28">
      <c r="A120" s="9" t="s">
        <v>290</v>
      </c>
      <c r="B120" s="24"/>
      <c r="C120" s="26"/>
      <c r="D120" s="25">
        <f t="shared" si="176"/>
        <v>364</v>
      </c>
      <c r="E120" s="29">
        <f t="shared" ref="E120" si="200">E119</f>
        <v>168</v>
      </c>
      <c r="F120" s="25">
        <f t="shared" si="178"/>
        <v>380</v>
      </c>
      <c r="G120" s="29">
        <f t="shared" si="114"/>
        <v>184</v>
      </c>
      <c r="H120" s="4" t="s">
        <v>0</v>
      </c>
      <c r="I120" s="16" t="str">
        <f t="shared" si="134"/>
        <v>18-07</v>
      </c>
      <c r="J120" s="14">
        <f t="shared" si="135"/>
        <v>364</v>
      </c>
      <c r="K120" s="15">
        <f t="shared" si="136"/>
        <v>168</v>
      </c>
      <c r="L120" s="17">
        <f t="shared" si="137"/>
        <v>380</v>
      </c>
      <c r="M120" s="18">
        <f t="shared" si="138"/>
        <v>168</v>
      </c>
      <c r="N120" s="14">
        <f t="shared" si="139"/>
        <v>380</v>
      </c>
      <c r="O120" s="15">
        <f t="shared" si="140"/>
        <v>184</v>
      </c>
      <c r="P120" s="17">
        <f t="shared" si="141"/>
        <v>364</v>
      </c>
      <c r="Q120" s="18">
        <f t="shared" si="142"/>
        <v>184</v>
      </c>
      <c r="R120" s="4" t="s">
        <v>0</v>
      </c>
      <c r="S120" s="16" t="str">
        <f t="shared" si="143"/>
        <v>18-07</v>
      </c>
      <c r="T120" s="14">
        <f t="shared" si="144"/>
        <v>364</v>
      </c>
      <c r="U120" s="18">
        <f t="shared" si="145"/>
        <v>582</v>
      </c>
      <c r="V120" s="14">
        <f t="shared" si="146"/>
        <v>380</v>
      </c>
      <c r="W120" s="18">
        <f t="shared" si="147"/>
        <v>582</v>
      </c>
      <c r="X120" s="14">
        <f t="shared" si="148"/>
        <v>380</v>
      </c>
      <c r="Y120" s="18">
        <f t="shared" si="149"/>
        <v>566</v>
      </c>
      <c r="Z120" s="14">
        <f t="shared" si="150"/>
        <v>364</v>
      </c>
      <c r="AA120" s="18">
        <f t="shared" si="151"/>
        <v>566</v>
      </c>
      <c r="AB120" s="4" t="s">
        <v>0</v>
      </c>
    </row>
    <row r="121" spans="1:28">
      <c r="A121" s="9" t="s">
        <v>289</v>
      </c>
      <c r="B121" s="24"/>
      <c r="C121" s="26"/>
      <c r="D121" s="25">
        <f t="shared" si="176"/>
        <v>380</v>
      </c>
      <c r="E121" s="29">
        <f t="shared" ref="E121" si="201">E120</f>
        <v>168</v>
      </c>
      <c r="F121" s="25">
        <f t="shared" si="178"/>
        <v>396</v>
      </c>
      <c r="G121" s="29">
        <f t="shared" si="114"/>
        <v>184</v>
      </c>
      <c r="H121" s="4" t="s">
        <v>0</v>
      </c>
      <c r="I121" s="16" t="str">
        <f t="shared" si="134"/>
        <v>18-06</v>
      </c>
      <c r="J121" s="14">
        <f t="shared" si="135"/>
        <v>380</v>
      </c>
      <c r="K121" s="15">
        <f t="shared" si="136"/>
        <v>168</v>
      </c>
      <c r="L121" s="17">
        <f t="shared" si="137"/>
        <v>396</v>
      </c>
      <c r="M121" s="18">
        <f t="shared" si="138"/>
        <v>168</v>
      </c>
      <c r="N121" s="14">
        <f t="shared" si="139"/>
        <v>396</v>
      </c>
      <c r="O121" s="15">
        <f t="shared" si="140"/>
        <v>184</v>
      </c>
      <c r="P121" s="17">
        <f t="shared" si="141"/>
        <v>380</v>
      </c>
      <c r="Q121" s="18">
        <f t="shared" si="142"/>
        <v>184</v>
      </c>
      <c r="R121" s="4" t="s">
        <v>0</v>
      </c>
      <c r="S121" s="16" t="str">
        <f t="shared" si="143"/>
        <v>18-06</v>
      </c>
      <c r="T121" s="14">
        <f t="shared" si="144"/>
        <v>380</v>
      </c>
      <c r="U121" s="18">
        <f t="shared" si="145"/>
        <v>582</v>
      </c>
      <c r="V121" s="14">
        <f t="shared" si="146"/>
        <v>396</v>
      </c>
      <c r="W121" s="18">
        <f t="shared" si="147"/>
        <v>582</v>
      </c>
      <c r="X121" s="14">
        <f t="shared" si="148"/>
        <v>396</v>
      </c>
      <c r="Y121" s="18">
        <f t="shared" si="149"/>
        <v>566</v>
      </c>
      <c r="Z121" s="14">
        <f t="shared" si="150"/>
        <v>380</v>
      </c>
      <c r="AA121" s="18">
        <f t="shared" si="151"/>
        <v>566</v>
      </c>
      <c r="AB121" s="4" t="s">
        <v>0</v>
      </c>
    </row>
    <row r="122" spans="1:28">
      <c r="A122" s="9" t="s">
        <v>288</v>
      </c>
      <c r="B122" s="24"/>
      <c r="C122" s="26"/>
      <c r="D122" s="25">
        <f t="shared" si="176"/>
        <v>396</v>
      </c>
      <c r="E122" s="29">
        <f t="shared" ref="E122" si="202">E121</f>
        <v>168</v>
      </c>
      <c r="F122" s="25">
        <f t="shared" si="178"/>
        <v>412</v>
      </c>
      <c r="G122" s="29">
        <f t="shared" ref="G122:G125" si="203">G121</f>
        <v>184</v>
      </c>
      <c r="H122" s="4" t="s">
        <v>0</v>
      </c>
      <c r="I122" s="16" t="str">
        <f t="shared" si="134"/>
        <v>18-05</v>
      </c>
      <c r="J122" s="14">
        <f t="shared" si="135"/>
        <v>396</v>
      </c>
      <c r="K122" s="15">
        <f t="shared" si="136"/>
        <v>168</v>
      </c>
      <c r="L122" s="17">
        <f t="shared" si="137"/>
        <v>412</v>
      </c>
      <c r="M122" s="18">
        <f t="shared" si="138"/>
        <v>168</v>
      </c>
      <c r="N122" s="14">
        <f t="shared" si="139"/>
        <v>412</v>
      </c>
      <c r="O122" s="15">
        <f t="shared" si="140"/>
        <v>184</v>
      </c>
      <c r="P122" s="17">
        <f t="shared" si="141"/>
        <v>396</v>
      </c>
      <c r="Q122" s="18">
        <f t="shared" si="142"/>
        <v>184</v>
      </c>
      <c r="R122" s="4" t="s">
        <v>0</v>
      </c>
      <c r="S122" s="16" t="str">
        <f t="shared" si="143"/>
        <v>18-05</v>
      </c>
      <c r="T122" s="14">
        <f t="shared" si="144"/>
        <v>396</v>
      </c>
      <c r="U122" s="18">
        <f t="shared" si="145"/>
        <v>582</v>
      </c>
      <c r="V122" s="14">
        <f t="shared" si="146"/>
        <v>412</v>
      </c>
      <c r="W122" s="18">
        <f t="shared" si="147"/>
        <v>582</v>
      </c>
      <c r="X122" s="14">
        <f t="shared" si="148"/>
        <v>412</v>
      </c>
      <c r="Y122" s="18">
        <f t="shared" si="149"/>
        <v>566</v>
      </c>
      <c r="Z122" s="14">
        <f t="shared" si="150"/>
        <v>396</v>
      </c>
      <c r="AA122" s="18">
        <f t="shared" si="151"/>
        <v>566</v>
      </c>
      <c r="AB122" s="4" t="s">
        <v>0</v>
      </c>
    </row>
    <row r="123" spans="1:28">
      <c r="A123" s="9" t="s">
        <v>287</v>
      </c>
      <c r="B123" s="24"/>
      <c r="C123" s="26"/>
      <c r="D123" s="25">
        <f t="shared" si="176"/>
        <v>413</v>
      </c>
      <c r="E123" s="29">
        <f t="shared" ref="E123" si="204">E122</f>
        <v>168</v>
      </c>
      <c r="F123" s="25">
        <f t="shared" si="178"/>
        <v>429</v>
      </c>
      <c r="G123" s="29">
        <f t="shared" si="203"/>
        <v>184</v>
      </c>
      <c r="H123" s="4" t="s">
        <v>0</v>
      </c>
      <c r="I123" s="16" t="str">
        <f t="shared" si="134"/>
        <v>18-03</v>
      </c>
      <c r="J123" s="14">
        <f t="shared" si="135"/>
        <v>413</v>
      </c>
      <c r="K123" s="15">
        <f t="shared" si="136"/>
        <v>168</v>
      </c>
      <c r="L123" s="17">
        <f t="shared" si="137"/>
        <v>429</v>
      </c>
      <c r="M123" s="18">
        <f t="shared" si="138"/>
        <v>168</v>
      </c>
      <c r="N123" s="14">
        <f t="shared" si="139"/>
        <v>429</v>
      </c>
      <c r="O123" s="15">
        <f t="shared" si="140"/>
        <v>184</v>
      </c>
      <c r="P123" s="17">
        <f t="shared" si="141"/>
        <v>413</v>
      </c>
      <c r="Q123" s="18">
        <f t="shared" si="142"/>
        <v>184</v>
      </c>
      <c r="R123" s="4" t="s">
        <v>0</v>
      </c>
      <c r="S123" s="16" t="str">
        <f t="shared" si="143"/>
        <v>18-03</v>
      </c>
      <c r="T123" s="14">
        <f t="shared" si="144"/>
        <v>413</v>
      </c>
      <c r="U123" s="18">
        <f t="shared" si="145"/>
        <v>582</v>
      </c>
      <c r="V123" s="14">
        <f t="shared" si="146"/>
        <v>429</v>
      </c>
      <c r="W123" s="18">
        <f t="shared" si="147"/>
        <v>582</v>
      </c>
      <c r="X123" s="14">
        <f t="shared" si="148"/>
        <v>429</v>
      </c>
      <c r="Y123" s="18">
        <f t="shared" si="149"/>
        <v>566</v>
      </c>
      <c r="Z123" s="14">
        <f t="shared" si="150"/>
        <v>413</v>
      </c>
      <c r="AA123" s="18">
        <f t="shared" si="151"/>
        <v>566</v>
      </c>
      <c r="AB123" s="4" t="s">
        <v>0</v>
      </c>
    </row>
    <row r="124" spans="1:28">
      <c r="A124" s="9" t="s">
        <v>286</v>
      </c>
      <c r="B124" s="24"/>
      <c r="C124" s="26"/>
      <c r="D124" s="25">
        <f t="shared" si="176"/>
        <v>429</v>
      </c>
      <c r="E124" s="29">
        <f t="shared" ref="E124" si="205">E123</f>
        <v>168</v>
      </c>
      <c r="F124" s="25">
        <f t="shared" si="178"/>
        <v>445</v>
      </c>
      <c r="G124" s="29">
        <f t="shared" si="203"/>
        <v>184</v>
      </c>
      <c r="H124" s="4" t="s">
        <v>0</v>
      </c>
      <c r="I124" s="16" t="str">
        <f t="shared" si="134"/>
        <v>18-02</v>
      </c>
      <c r="J124" s="14">
        <f t="shared" si="135"/>
        <v>429</v>
      </c>
      <c r="K124" s="15">
        <f t="shared" si="136"/>
        <v>168</v>
      </c>
      <c r="L124" s="17">
        <f t="shared" si="137"/>
        <v>445</v>
      </c>
      <c r="M124" s="18">
        <f t="shared" si="138"/>
        <v>168</v>
      </c>
      <c r="N124" s="14">
        <f t="shared" si="139"/>
        <v>445</v>
      </c>
      <c r="O124" s="15">
        <f t="shared" si="140"/>
        <v>184</v>
      </c>
      <c r="P124" s="17">
        <f t="shared" si="141"/>
        <v>429</v>
      </c>
      <c r="Q124" s="18">
        <f t="shared" si="142"/>
        <v>184</v>
      </c>
      <c r="R124" s="4" t="s">
        <v>0</v>
      </c>
      <c r="S124" s="16" t="str">
        <f t="shared" si="143"/>
        <v>18-02</v>
      </c>
      <c r="T124" s="14">
        <f t="shared" si="144"/>
        <v>429</v>
      </c>
      <c r="U124" s="18">
        <f t="shared" si="145"/>
        <v>582</v>
      </c>
      <c r="V124" s="14">
        <f t="shared" si="146"/>
        <v>445</v>
      </c>
      <c r="W124" s="18">
        <f t="shared" si="147"/>
        <v>582</v>
      </c>
      <c r="X124" s="14">
        <f t="shared" si="148"/>
        <v>445</v>
      </c>
      <c r="Y124" s="18">
        <f t="shared" si="149"/>
        <v>566</v>
      </c>
      <c r="Z124" s="14">
        <f t="shared" si="150"/>
        <v>429</v>
      </c>
      <c r="AA124" s="18">
        <f t="shared" si="151"/>
        <v>566</v>
      </c>
      <c r="AB124" s="4" t="s">
        <v>0</v>
      </c>
    </row>
    <row r="125" spans="1:28">
      <c r="A125" s="9" t="s">
        <v>285</v>
      </c>
      <c r="B125" s="24"/>
      <c r="C125" s="26"/>
      <c r="D125" s="25">
        <f t="shared" si="176"/>
        <v>445</v>
      </c>
      <c r="E125" s="29">
        <f t="shared" ref="E125" si="206">E124</f>
        <v>168</v>
      </c>
      <c r="F125" s="25">
        <f t="shared" si="178"/>
        <v>461</v>
      </c>
      <c r="G125" s="29">
        <f t="shared" si="203"/>
        <v>184</v>
      </c>
      <c r="H125" s="4" t="s">
        <v>0</v>
      </c>
      <c r="I125" s="16" t="str">
        <f t="shared" si="134"/>
        <v>18-01</v>
      </c>
      <c r="J125" s="14">
        <f t="shared" si="135"/>
        <v>445</v>
      </c>
      <c r="K125" s="15">
        <f t="shared" si="136"/>
        <v>168</v>
      </c>
      <c r="L125" s="17">
        <f t="shared" si="137"/>
        <v>461</v>
      </c>
      <c r="M125" s="18">
        <f t="shared" si="138"/>
        <v>168</v>
      </c>
      <c r="N125" s="14">
        <f t="shared" si="139"/>
        <v>461</v>
      </c>
      <c r="O125" s="15">
        <f t="shared" si="140"/>
        <v>184</v>
      </c>
      <c r="P125" s="17">
        <f t="shared" si="141"/>
        <v>445</v>
      </c>
      <c r="Q125" s="18">
        <f t="shared" si="142"/>
        <v>184</v>
      </c>
      <c r="R125" s="4" t="s">
        <v>0</v>
      </c>
      <c r="S125" s="16" t="str">
        <f t="shared" si="143"/>
        <v>18-01</v>
      </c>
      <c r="T125" s="14">
        <f t="shared" si="144"/>
        <v>445</v>
      </c>
      <c r="U125" s="18">
        <f t="shared" si="145"/>
        <v>582</v>
      </c>
      <c r="V125" s="14">
        <f t="shared" si="146"/>
        <v>461</v>
      </c>
      <c r="W125" s="18">
        <f t="shared" si="147"/>
        <v>582</v>
      </c>
      <c r="X125" s="14">
        <f t="shared" si="148"/>
        <v>461</v>
      </c>
      <c r="Y125" s="18">
        <f t="shared" si="149"/>
        <v>566</v>
      </c>
      <c r="Z125" s="14">
        <f t="shared" si="150"/>
        <v>445</v>
      </c>
      <c r="AA125" s="18">
        <f t="shared" si="151"/>
        <v>566</v>
      </c>
      <c r="AB125" s="4" t="s">
        <v>0</v>
      </c>
    </row>
    <row r="126" spans="1:28">
      <c r="A126" s="9" t="s">
        <v>283</v>
      </c>
      <c r="B126" s="24"/>
      <c r="C126" s="26">
        <v>5</v>
      </c>
      <c r="D126" s="25">
        <f t="shared" si="176"/>
        <v>62</v>
      </c>
      <c r="E126" s="28">
        <f t="shared" si="181"/>
        <v>190</v>
      </c>
      <c r="F126" s="25">
        <f t="shared" si="178"/>
        <v>78</v>
      </c>
      <c r="G126" s="28">
        <f t="shared" si="182"/>
        <v>206</v>
      </c>
      <c r="H126" s="4" t="s">
        <v>0</v>
      </c>
      <c r="I126" s="16" t="str">
        <f t="shared" si="134"/>
        <v>17-25</v>
      </c>
      <c r="J126" s="14">
        <f t="shared" si="135"/>
        <v>62</v>
      </c>
      <c r="K126" s="15">
        <f t="shared" si="136"/>
        <v>190</v>
      </c>
      <c r="L126" s="17">
        <f t="shared" si="137"/>
        <v>78</v>
      </c>
      <c r="M126" s="18">
        <f t="shared" si="138"/>
        <v>190</v>
      </c>
      <c r="N126" s="14">
        <f t="shared" si="139"/>
        <v>78</v>
      </c>
      <c r="O126" s="15">
        <f t="shared" si="140"/>
        <v>206</v>
      </c>
      <c r="P126" s="17">
        <f t="shared" si="141"/>
        <v>62</v>
      </c>
      <c r="Q126" s="18">
        <f t="shared" si="142"/>
        <v>206</v>
      </c>
      <c r="R126" s="4" t="s">
        <v>0</v>
      </c>
      <c r="S126" s="16" t="str">
        <f t="shared" si="143"/>
        <v>17-25</v>
      </c>
      <c r="T126" s="14">
        <f t="shared" si="144"/>
        <v>62</v>
      </c>
      <c r="U126" s="18">
        <f t="shared" si="145"/>
        <v>560</v>
      </c>
      <c r="V126" s="14">
        <f t="shared" si="146"/>
        <v>78</v>
      </c>
      <c r="W126" s="18">
        <f t="shared" si="147"/>
        <v>560</v>
      </c>
      <c r="X126" s="14">
        <f t="shared" si="148"/>
        <v>78</v>
      </c>
      <c r="Y126" s="18">
        <f t="shared" si="149"/>
        <v>544</v>
      </c>
      <c r="Z126" s="14">
        <f t="shared" si="150"/>
        <v>62</v>
      </c>
      <c r="AA126" s="18">
        <f t="shared" si="151"/>
        <v>544</v>
      </c>
      <c r="AB126" s="4" t="s">
        <v>0</v>
      </c>
    </row>
    <row r="127" spans="1:28">
      <c r="A127" s="9" t="s">
        <v>282</v>
      </c>
      <c r="B127" s="24"/>
      <c r="C127" s="26"/>
      <c r="D127" s="25">
        <f t="shared" si="176"/>
        <v>78</v>
      </c>
      <c r="E127" s="29">
        <f t="shared" ref="E127" si="207">E126</f>
        <v>190</v>
      </c>
      <c r="F127" s="25">
        <f t="shared" si="178"/>
        <v>94</v>
      </c>
      <c r="G127" s="29">
        <f t="shared" ref="G127:G165" si="208">G126</f>
        <v>206</v>
      </c>
      <c r="H127" s="4" t="s">
        <v>0</v>
      </c>
      <c r="I127" s="16" t="str">
        <f t="shared" si="134"/>
        <v>17-23</v>
      </c>
      <c r="J127" s="14">
        <f t="shared" si="135"/>
        <v>78</v>
      </c>
      <c r="K127" s="15">
        <f t="shared" si="136"/>
        <v>190</v>
      </c>
      <c r="L127" s="17">
        <f t="shared" si="137"/>
        <v>94</v>
      </c>
      <c r="M127" s="18">
        <f t="shared" si="138"/>
        <v>190</v>
      </c>
      <c r="N127" s="14">
        <f t="shared" si="139"/>
        <v>94</v>
      </c>
      <c r="O127" s="15">
        <f t="shared" si="140"/>
        <v>206</v>
      </c>
      <c r="P127" s="17">
        <f t="shared" si="141"/>
        <v>78</v>
      </c>
      <c r="Q127" s="18">
        <f t="shared" si="142"/>
        <v>206</v>
      </c>
      <c r="R127" s="4" t="s">
        <v>0</v>
      </c>
      <c r="S127" s="16" t="str">
        <f t="shared" si="143"/>
        <v>17-23</v>
      </c>
      <c r="T127" s="14">
        <f t="shared" si="144"/>
        <v>78</v>
      </c>
      <c r="U127" s="18">
        <f t="shared" si="145"/>
        <v>560</v>
      </c>
      <c r="V127" s="14">
        <f t="shared" si="146"/>
        <v>94</v>
      </c>
      <c r="W127" s="18">
        <f t="shared" si="147"/>
        <v>560</v>
      </c>
      <c r="X127" s="14">
        <f t="shared" si="148"/>
        <v>94</v>
      </c>
      <c r="Y127" s="18">
        <f t="shared" si="149"/>
        <v>544</v>
      </c>
      <c r="Z127" s="14">
        <f t="shared" si="150"/>
        <v>78</v>
      </c>
      <c r="AA127" s="18">
        <f t="shared" si="151"/>
        <v>544</v>
      </c>
      <c r="AB127" s="4" t="s">
        <v>0</v>
      </c>
    </row>
    <row r="128" spans="1:28">
      <c r="A128" s="9" t="s">
        <v>281</v>
      </c>
      <c r="B128" s="24"/>
      <c r="C128" s="26"/>
      <c r="D128" s="25">
        <f t="shared" si="176"/>
        <v>95</v>
      </c>
      <c r="E128" s="29">
        <f t="shared" ref="E128" si="209">E127</f>
        <v>190</v>
      </c>
      <c r="F128" s="25">
        <f t="shared" si="178"/>
        <v>111</v>
      </c>
      <c r="G128" s="29">
        <f t="shared" si="208"/>
        <v>206</v>
      </c>
      <c r="H128" s="4" t="s">
        <v>0</v>
      </c>
      <c r="I128" s="16" t="str">
        <f t="shared" si="134"/>
        <v>17-22</v>
      </c>
      <c r="J128" s="14">
        <f t="shared" si="135"/>
        <v>95</v>
      </c>
      <c r="K128" s="15">
        <f t="shared" si="136"/>
        <v>190</v>
      </c>
      <c r="L128" s="17">
        <f t="shared" si="137"/>
        <v>111</v>
      </c>
      <c r="M128" s="18">
        <f t="shared" si="138"/>
        <v>190</v>
      </c>
      <c r="N128" s="14">
        <f t="shared" si="139"/>
        <v>111</v>
      </c>
      <c r="O128" s="15">
        <f t="shared" si="140"/>
        <v>206</v>
      </c>
      <c r="P128" s="17">
        <f t="shared" si="141"/>
        <v>95</v>
      </c>
      <c r="Q128" s="18">
        <f t="shared" si="142"/>
        <v>206</v>
      </c>
      <c r="R128" s="4" t="s">
        <v>0</v>
      </c>
      <c r="S128" s="16" t="str">
        <f t="shared" si="143"/>
        <v>17-22</v>
      </c>
      <c r="T128" s="14">
        <f t="shared" si="144"/>
        <v>95</v>
      </c>
      <c r="U128" s="18">
        <f t="shared" si="145"/>
        <v>560</v>
      </c>
      <c r="V128" s="14">
        <f t="shared" si="146"/>
        <v>111</v>
      </c>
      <c r="W128" s="18">
        <f t="shared" si="147"/>
        <v>560</v>
      </c>
      <c r="X128" s="14">
        <f t="shared" si="148"/>
        <v>111</v>
      </c>
      <c r="Y128" s="18">
        <f t="shared" si="149"/>
        <v>544</v>
      </c>
      <c r="Z128" s="14">
        <f t="shared" si="150"/>
        <v>95</v>
      </c>
      <c r="AA128" s="18">
        <f t="shared" si="151"/>
        <v>544</v>
      </c>
      <c r="AB128" s="4" t="s">
        <v>0</v>
      </c>
    </row>
    <row r="129" spans="1:28">
      <c r="A129" s="9" t="s">
        <v>280</v>
      </c>
      <c r="B129" s="24"/>
      <c r="C129" s="26"/>
      <c r="D129" s="25">
        <f t="shared" si="176"/>
        <v>111</v>
      </c>
      <c r="E129" s="29">
        <f t="shared" ref="E129" si="210">E128</f>
        <v>190</v>
      </c>
      <c r="F129" s="25">
        <f t="shared" si="178"/>
        <v>127</v>
      </c>
      <c r="G129" s="29">
        <f t="shared" si="208"/>
        <v>206</v>
      </c>
      <c r="H129" s="4" t="s">
        <v>0</v>
      </c>
      <c r="I129" s="16" t="str">
        <f t="shared" si="134"/>
        <v>17-21</v>
      </c>
      <c r="J129" s="14">
        <f t="shared" si="135"/>
        <v>111</v>
      </c>
      <c r="K129" s="15">
        <f t="shared" si="136"/>
        <v>190</v>
      </c>
      <c r="L129" s="17">
        <f t="shared" si="137"/>
        <v>127</v>
      </c>
      <c r="M129" s="18">
        <f t="shared" si="138"/>
        <v>190</v>
      </c>
      <c r="N129" s="14">
        <f t="shared" si="139"/>
        <v>127</v>
      </c>
      <c r="O129" s="15">
        <f t="shared" si="140"/>
        <v>206</v>
      </c>
      <c r="P129" s="17">
        <f t="shared" si="141"/>
        <v>111</v>
      </c>
      <c r="Q129" s="18">
        <f t="shared" si="142"/>
        <v>206</v>
      </c>
      <c r="R129" s="4" t="s">
        <v>0</v>
      </c>
      <c r="S129" s="16" t="str">
        <f t="shared" si="143"/>
        <v>17-21</v>
      </c>
      <c r="T129" s="14">
        <f t="shared" si="144"/>
        <v>111</v>
      </c>
      <c r="U129" s="18">
        <f t="shared" si="145"/>
        <v>560</v>
      </c>
      <c r="V129" s="14">
        <f t="shared" si="146"/>
        <v>127</v>
      </c>
      <c r="W129" s="18">
        <f t="shared" si="147"/>
        <v>560</v>
      </c>
      <c r="X129" s="14">
        <f t="shared" si="148"/>
        <v>127</v>
      </c>
      <c r="Y129" s="18">
        <f t="shared" si="149"/>
        <v>544</v>
      </c>
      <c r="Z129" s="14">
        <f t="shared" si="150"/>
        <v>111</v>
      </c>
      <c r="AA129" s="18">
        <f t="shared" si="151"/>
        <v>544</v>
      </c>
      <c r="AB129" s="4" t="s">
        <v>0</v>
      </c>
    </row>
    <row r="130" spans="1:28">
      <c r="A130" s="9" t="s">
        <v>279</v>
      </c>
      <c r="B130" s="24"/>
      <c r="C130" s="26"/>
      <c r="D130" s="25">
        <f t="shared" si="176"/>
        <v>127</v>
      </c>
      <c r="E130" s="29">
        <f t="shared" ref="E130" si="211">E129</f>
        <v>190</v>
      </c>
      <c r="F130" s="25">
        <f t="shared" si="178"/>
        <v>143</v>
      </c>
      <c r="G130" s="29">
        <f t="shared" si="208"/>
        <v>206</v>
      </c>
      <c r="H130" s="4" t="s">
        <v>0</v>
      </c>
      <c r="I130" s="16" t="str">
        <f t="shared" si="134"/>
        <v>17-20</v>
      </c>
      <c r="J130" s="14">
        <f t="shared" si="135"/>
        <v>127</v>
      </c>
      <c r="K130" s="15">
        <f t="shared" si="136"/>
        <v>190</v>
      </c>
      <c r="L130" s="17">
        <f t="shared" si="137"/>
        <v>143</v>
      </c>
      <c r="M130" s="18">
        <f t="shared" si="138"/>
        <v>190</v>
      </c>
      <c r="N130" s="14">
        <f t="shared" si="139"/>
        <v>143</v>
      </c>
      <c r="O130" s="15">
        <f t="shared" si="140"/>
        <v>206</v>
      </c>
      <c r="P130" s="17">
        <f t="shared" si="141"/>
        <v>127</v>
      </c>
      <c r="Q130" s="18">
        <f t="shared" si="142"/>
        <v>206</v>
      </c>
      <c r="R130" s="4" t="s">
        <v>0</v>
      </c>
      <c r="S130" s="16" t="str">
        <f t="shared" si="143"/>
        <v>17-20</v>
      </c>
      <c r="T130" s="14">
        <f t="shared" si="144"/>
        <v>127</v>
      </c>
      <c r="U130" s="18">
        <f t="shared" si="145"/>
        <v>560</v>
      </c>
      <c r="V130" s="14">
        <f t="shared" si="146"/>
        <v>143</v>
      </c>
      <c r="W130" s="18">
        <f t="shared" si="147"/>
        <v>560</v>
      </c>
      <c r="X130" s="14">
        <f t="shared" si="148"/>
        <v>143</v>
      </c>
      <c r="Y130" s="18">
        <f t="shared" si="149"/>
        <v>544</v>
      </c>
      <c r="Z130" s="14">
        <f t="shared" si="150"/>
        <v>127</v>
      </c>
      <c r="AA130" s="18">
        <f t="shared" si="151"/>
        <v>544</v>
      </c>
      <c r="AB130" s="4" t="s">
        <v>0</v>
      </c>
    </row>
    <row r="131" spans="1:28">
      <c r="A131" s="9" t="s">
        <v>278</v>
      </c>
      <c r="B131" s="24"/>
      <c r="C131" s="26"/>
      <c r="D131" s="25">
        <f t="shared" si="176"/>
        <v>144</v>
      </c>
      <c r="E131" s="29">
        <f t="shared" ref="E131" si="212">E130</f>
        <v>190</v>
      </c>
      <c r="F131" s="25">
        <f t="shared" si="178"/>
        <v>160</v>
      </c>
      <c r="G131" s="29">
        <f t="shared" si="208"/>
        <v>206</v>
      </c>
      <c r="H131" s="4" t="s">
        <v>0</v>
      </c>
      <c r="I131" s="16" t="str">
        <f t="shared" si="134"/>
        <v>17-18</v>
      </c>
      <c r="J131" s="14">
        <f t="shared" si="135"/>
        <v>144</v>
      </c>
      <c r="K131" s="15">
        <f t="shared" si="136"/>
        <v>190</v>
      </c>
      <c r="L131" s="17">
        <f t="shared" si="137"/>
        <v>160</v>
      </c>
      <c r="M131" s="18">
        <f t="shared" si="138"/>
        <v>190</v>
      </c>
      <c r="N131" s="14">
        <f t="shared" si="139"/>
        <v>160</v>
      </c>
      <c r="O131" s="15">
        <f t="shared" si="140"/>
        <v>206</v>
      </c>
      <c r="P131" s="17">
        <f t="shared" si="141"/>
        <v>144</v>
      </c>
      <c r="Q131" s="18">
        <f t="shared" si="142"/>
        <v>206</v>
      </c>
      <c r="R131" s="4" t="s">
        <v>0</v>
      </c>
      <c r="S131" s="16" t="str">
        <f t="shared" si="143"/>
        <v>17-18</v>
      </c>
      <c r="T131" s="14">
        <f t="shared" si="144"/>
        <v>144</v>
      </c>
      <c r="U131" s="18">
        <f t="shared" si="145"/>
        <v>560</v>
      </c>
      <c r="V131" s="14">
        <f t="shared" si="146"/>
        <v>160</v>
      </c>
      <c r="W131" s="18">
        <f t="shared" si="147"/>
        <v>560</v>
      </c>
      <c r="X131" s="14">
        <f t="shared" si="148"/>
        <v>160</v>
      </c>
      <c r="Y131" s="18">
        <f t="shared" si="149"/>
        <v>544</v>
      </c>
      <c r="Z131" s="14">
        <f t="shared" si="150"/>
        <v>144</v>
      </c>
      <c r="AA131" s="18">
        <f t="shared" si="151"/>
        <v>544</v>
      </c>
      <c r="AB131" s="4" t="s">
        <v>0</v>
      </c>
    </row>
    <row r="132" spans="1:28">
      <c r="A132" s="9" t="s">
        <v>277</v>
      </c>
      <c r="B132" s="24"/>
      <c r="C132" s="26"/>
      <c r="D132" s="25">
        <f t="shared" si="176"/>
        <v>160</v>
      </c>
      <c r="E132" s="29">
        <f t="shared" ref="E132" si="213">E131</f>
        <v>190</v>
      </c>
      <c r="F132" s="25">
        <f t="shared" si="178"/>
        <v>176</v>
      </c>
      <c r="G132" s="29">
        <f t="shared" si="208"/>
        <v>206</v>
      </c>
      <c r="H132" s="4" t="s">
        <v>0</v>
      </c>
      <c r="I132" s="16" t="str">
        <f t="shared" si="134"/>
        <v>17-17</v>
      </c>
      <c r="J132" s="14">
        <f t="shared" si="135"/>
        <v>160</v>
      </c>
      <c r="K132" s="15">
        <f t="shared" si="136"/>
        <v>190</v>
      </c>
      <c r="L132" s="17">
        <f t="shared" si="137"/>
        <v>176</v>
      </c>
      <c r="M132" s="18">
        <f t="shared" si="138"/>
        <v>190</v>
      </c>
      <c r="N132" s="14">
        <f t="shared" si="139"/>
        <v>176</v>
      </c>
      <c r="O132" s="15">
        <f t="shared" si="140"/>
        <v>206</v>
      </c>
      <c r="P132" s="17">
        <f t="shared" si="141"/>
        <v>160</v>
      </c>
      <c r="Q132" s="18">
        <f t="shared" si="142"/>
        <v>206</v>
      </c>
      <c r="R132" s="4" t="s">
        <v>0</v>
      </c>
      <c r="S132" s="16" t="str">
        <f t="shared" si="143"/>
        <v>17-17</v>
      </c>
      <c r="T132" s="14">
        <f t="shared" si="144"/>
        <v>160</v>
      </c>
      <c r="U132" s="18">
        <f t="shared" si="145"/>
        <v>560</v>
      </c>
      <c r="V132" s="14">
        <f t="shared" si="146"/>
        <v>176</v>
      </c>
      <c r="W132" s="18">
        <f t="shared" si="147"/>
        <v>560</v>
      </c>
      <c r="X132" s="14">
        <f t="shared" si="148"/>
        <v>176</v>
      </c>
      <c r="Y132" s="18">
        <f t="shared" si="149"/>
        <v>544</v>
      </c>
      <c r="Z132" s="14">
        <f t="shared" si="150"/>
        <v>160</v>
      </c>
      <c r="AA132" s="18">
        <f t="shared" si="151"/>
        <v>544</v>
      </c>
      <c r="AB132" s="4" t="s">
        <v>0</v>
      </c>
    </row>
    <row r="133" spans="1:28">
      <c r="A133" s="9" t="s">
        <v>276</v>
      </c>
      <c r="B133" s="24"/>
      <c r="C133" s="26"/>
      <c r="D133" s="25">
        <f t="shared" si="176"/>
        <v>176</v>
      </c>
      <c r="E133" s="29">
        <f t="shared" ref="E133" si="214">E132</f>
        <v>190</v>
      </c>
      <c r="F133" s="25">
        <f t="shared" si="178"/>
        <v>192</v>
      </c>
      <c r="G133" s="29">
        <f t="shared" si="208"/>
        <v>206</v>
      </c>
      <c r="H133" s="4" t="s">
        <v>0</v>
      </c>
      <c r="I133" s="16" t="str">
        <f t="shared" si="134"/>
        <v>17-16</v>
      </c>
      <c r="J133" s="14">
        <f t="shared" si="135"/>
        <v>176</v>
      </c>
      <c r="K133" s="15">
        <f t="shared" si="136"/>
        <v>190</v>
      </c>
      <c r="L133" s="17">
        <f t="shared" si="137"/>
        <v>192</v>
      </c>
      <c r="M133" s="18">
        <f t="shared" si="138"/>
        <v>190</v>
      </c>
      <c r="N133" s="14">
        <f t="shared" si="139"/>
        <v>192</v>
      </c>
      <c r="O133" s="15">
        <f t="shared" si="140"/>
        <v>206</v>
      </c>
      <c r="P133" s="17">
        <f t="shared" si="141"/>
        <v>176</v>
      </c>
      <c r="Q133" s="18">
        <f t="shared" si="142"/>
        <v>206</v>
      </c>
      <c r="R133" s="4" t="s">
        <v>0</v>
      </c>
      <c r="S133" s="16" t="str">
        <f t="shared" si="143"/>
        <v>17-16</v>
      </c>
      <c r="T133" s="14">
        <f t="shared" si="144"/>
        <v>176</v>
      </c>
      <c r="U133" s="18">
        <f t="shared" si="145"/>
        <v>560</v>
      </c>
      <c r="V133" s="14">
        <f t="shared" si="146"/>
        <v>192</v>
      </c>
      <c r="W133" s="18">
        <f t="shared" si="147"/>
        <v>560</v>
      </c>
      <c r="X133" s="14">
        <f t="shared" si="148"/>
        <v>192</v>
      </c>
      <c r="Y133" s="18">
        <f t="shared" si="149"/>
        <v>544</v>
      </c>
      <c r="Z133" s="14">
        <f t="shared" si="150"/>
        <v>176</v>
      </c>
      <c r="AA133" s="18">
        <f t="shared" si="151"/>
        <v>544</v>
      </c>
      <c r="AB133" s="4" t="s">
        <v>0</v>
      </c>
    </row>
    <row r="134" spans="1:28">
      <c r="A134" s="9" t="s">
        <v>275</v>
      </c>
      <c r="B134" s="24"/>
      <c r="C134" s="26"/>
      <c r="D134" s="25">
        <f t="shared" si="176"/>
        <v>192</v>
      </c>
      <c r="E134" s="29">
        <f t="shared" ref="E134" si="215">E133</f>
        <v>190</v>
      </c>
      <c r="F134" s="25">
        <f t="shared" si="178"/>
        <v>208</v>
      </c>
      <c r="G134" s="29">
        <f t="shared" si="208"/>
        <v>206</v>
      </c>
      <c r="H134" s="4" t="s">
        <v>0</v>
      </c>
      <c r="I134" s="16" t="str">
        <f t="shared" si="134"/>
        <v>17-15</v>
      </c>
      <c r="J134" s="14">
        <f t="shared" si="135"/>
        <v>192</v>
      </c>
      <c r="K134" s="15">
        <f t="shared" si="136"/>
        <v>190</v>
      </c>
      <c r="L134" s="17">
        <f t="shared" si="137"/>
        <v>208</v>
      </c>
      <c r="M134" s="18">
        <f t="shared" si="138"/>
        <v>190</v>
      </c>
      <c r="N134" s="14">
        <f t="shared" si="139"/>
        <v>208</v>
      </c>
      <c r="O134" s="15">
        <f t="shared" si="140"/>
        <v>206</v>
      </c>
      <c r="P134" s="17">
        <f t="shared" si="141"/>
        <v>192</v>
      </c>
      <c r="Q134" s="18">
        <f t="shared" si="142"/>
        <v>206</v>
      </c>
      <c r="R134" s="4" t="s">
        <v>0</v>
      </c>
      <c r="S134" s="16" t="str">
        <f t="shared" si="143"/>
        <v>17-15</v>
      </c>
      <c r="T134" s="14">
        <f t="shared" si="144"/>
        <v>192</v>
      </c>
      <c r="U134" s="18">
        <f t="shared" si="145"/>
        <v>560</v>
      </c>
      <c r="V134" s="14">
        <f t="shared" si="146"/>
        <v>208</v>
      </c>
      <c r="W134" s="18">
        <f t="shared" si="147"/>
        <v>560</v>
      </c>
      <c r="X134" s="14">
        <f t="shared" si="148"/>
        <v>208</v>
      </c>
      <c r="Y134" s="18">
        <f t="shared" si="149"/>
        <v>544</v>
      </c>
      <c r="Z134" s="14">
        <f t="shared" si="150"/>
        <v>192</v>
      </c>
      <c r="AA134" s="18">
        <f t="shared" si="151"/>
        <v>544</v>
      </c>
      <c r="AB134" s="4" t="s">
        <v>0</v>
      </c>
    </row>
    <row r="135" spans="1:28">
      <c r="A135" s="9" t="s">
        <v>274</v>
      </c>
      <c r="B135" s="24"/>
      <c r="C135" s="26"/>
      <c r="D135" s="25">
        <f>D112</f>
        <v>209</v>
      </c>
      <c r="E135" s="29">
        <f t="shared" ref="E135:E136" si="216">E134</f>
        <v>190</v>
      </c>
      <c r="F135" s="25">
        <f t="shared" si="178"/>
        <v>225</v>
      </c>
      <c r="G135" s="29">
        <f t="shared" si="208"/>
        <v>206</v>
      </c>
      <c r="H135" s="4" t="s">
        <v>0</v>
      </c>
      <c r="I135" s="16" t="str">
        <f t="shared" si="134"/>
        <v>17-13</v>
      </c>
      <c r="J135" s="14">
        <f t="shared" si="135"/>
        <v>209</v>
      </c>
      <c r="K135" s="15">
        <f t="shared" si="136"/>
        <v>190</v>
      </c>
      <c r="L135" s="17">
        <f t="shared" si="137"/>
        <v>225</v>
      </c>
      <c r="M135" s="18">
        <f t="shared" si="138"/>
        <v>190</v>
      </c>
      <c r="N135" s="14">
        <f t="shared" si="139"/>
        <v>225</v>
      </c>
      <c r="O135" s="15">
        <f t="shared" si="140"/>
        <v>206</v>
      </c>
      <c r="P135" s="17">
        <f t="shared" si="141"/>
        <v>209</v>
      </c>
      <c r="Q135" s="18">
        <f t="shared" si="142"/>
        <v>206</v>
      </c>
      <c r="R135" s="4" t="s">
        <v>0</v>
      </c>
      <c r="S135" s="16" t="str">
        <f t="shared" si="143"/>
        <v>17-13</v>
      </c>
      <c r="T135" s="14">
        <f t="shared" si="144"/>
        <v>209</v>
      </c>
      <c r="U135" s="18">
        <f t="shared" si="145"/>
        <v>560</v>
      </c>
      <c r="V135" s="14">
        <f t="shared" si="146"/>
        <v>225</v>
      </c>
      <c r="W135" s="18">
        <f t="shared" si="147"/>
        <v>560</v>
      </c>
      <c r="X135" s="14">
        <f t="shared" si="148"/>
        <v>225</v>
      </c>
      <c r="Y135" s="18">
        <f t="shared" si="149"/>
        <v>544</v>
      </c>
      <c r="Z135" s="14">
        <f t="shared" si="150"/>
        <v>209</v>
      </c>
      <c r="AA135" s="18">
        <f t="shared" si="151"/>
        <v>544</v>
      </c>
      <c r="AB135" s="4" t="s">
        <v>0</v>
      </c>
    </row>
    <row r="136" spans="1:28">
      <c r="A136" s="9" t="s">
        <v>273</v>
      </c>
      <c r="B136" s="24"/>
      <c r="C136" s="26"/>
      <c r="D136" s="25">
        <f>D115</f>
        <v>282</v>
      </c>
      <c r="E136" s="29">
        <f t="shared" si="216"/>
        <v>190</v>
      </c>
      <c r="F136" s="25">
        <f>F115</f>
        <v>298</v>
      </c>
      <c r="G136" s="29">
        <f t="shared" si="208"/>
        <v>206</v>
      </c>
      <c r="H136" s="4" t="s">
        <v>0</v>
      </c>
      <c r="I136" s="16" t="str">
        <f t="shared" si="134"/>
        <v>17-12</v>
      </c>
      <c r="J136" s="14">
        <f t="shared" si="135"/>
        <v>282</v>
      </c>
      <c r="K136" s="15">
        <f t="shared" si="136"/>
        <v>190</v>
      </c>
      <c r="L136" s="17">
        <f t="shared" si="137"/>
        <v>298</v>
      </c>
      <c r="M136" s="18">
        <f t="shared" si="138"/>
        <v>190</v>
      </c>
      <c r="N136" s="14">
        <f t="shared" si="139"/>
        <v>298</v>
      </c>
      <c r="O136" s="15">
        <f t="shared" si="140"/>
        <v>206</v>
      </c>
      <c r="P136" s="17">
        <f t="shared" si="141"/>
        <v>282</v>
      </c>
      <c r="Q136" s="18">
        <f t="shared" si="142"/>
        <v>206</v>
      </c>
      <c r="R136" s="4" t="s">
        <v>0</v>
      </c>
      <c r="S136" s="16" t="str">
        <f t="shared" si="143"/>
        <v>17-12</v>
      </c>
      <c r="T136" s="14">
        <f t="shared" si="144"/>
        <v>282</v>
      </c>
      <c r="U136" s="18">
        <f t="shared" si="145"/>
        <v>560</v>
      </c>
      <c r="V136" s="14">
        <f t="shared" si="146"/>
        <v>298</v>
      </c>
      <c r="W136" s="18">
        <f t="shared" si="147"/>
        <v>560</v>
      </c>
      <c r="X136" s="14">
        <f t="shared" si="148"/>
        <v>298</v>
      </c>
      <c r="Y136" s="18">
        <f t="shared" si="149"/>
        <v>544</v>
      </c>
      <c r="Z136" s="14">
        <f t="shared" si="150"/>
        <v>282</v>
      </c>
      <c r="AA136" s="18">
        <f t="shared" si="151"/>
        <v>544</v>
      </c>
      <c r="AB136" s="4" t="s">
        <v>0</v>
      </c>
    </row>
    <row r="137" spans="1:28">
      <c r="A137" s="9" t="s">
        <v>272</v>
      </c>
      <c r="B137" s="24"/>
      <c r="C137" s="26"/>
      <c r="D137" s="25">
        <f t="shared" ref="D137:D145" si="217">D116</f>
        <v>299</v>
      </c>
      <c r="E137" s="29">
        <f t="shared" ref="E137" si="218">E136</f>
        <v>190</v>
      </c>
      <c r="F137" s="25">
        <f t="shared" ref="F137:F145" si="219">F116</f>
        <v>315</v>
      </c>
      <c r="G137" s="29">
        <f t="shared" si="208"/>
        <v>206</v>
      </c>
      <c r="H137" s="4" t="s">
        <v>0</v>
      </c>
      <c r="I137" s="16" t="str">
        <f t="shared" si="134"/>
        <v>17-11</v>
      </c>
      <c r="J137" s="14">
        <f t="shared" si="135"/>
        <v>299</v>
      </c>
      <c r="K137" s="15">
        <f t="shared" si="136"/>
        <v>190</v>
      </c>
      <c r="L137" s="17">
        <f t="shared" si="137"/>
        <v>315</v>
      </c>
      <c r="M137" s="18">
        <f t="shared" si="138"/>
        <v>190</v>
      </c>
      <c r="N137" s="14">
        <f t="shared" si="139"/>
        <v>315</v>
      </c>
      <c r="O137" s="15">
        <f t="shared" si="140"/>
        <v>206</v>
      </c>
      <c r="P137" s="17">
        <f t="shared" si="141"/>
        <v>299</v>
      </c>
      <c r="Q137" s="18">
        <f t="shared" si="142"/>
        <v>206</v>
      </c>
      <c r="R137" s="4" t="s">
        <v>0</v>
      </c>
      <c r="S137" s="16" t="str">
        <f t="shared" si="143"/>
        <v>17-11</v>
      </c>
      <c r="T137" s="14">
        <f t="shared" si="144"/>
        <v>299</v>
      </c>
      <c r="U137" s="18">
        <f t="shared" si="145"/>
        <v>560</v>
      </c>
      <c r="V137" s="14">
        <f t="shared" si="146"/>
        <v>315</v>
      </c>
      <c r="W137" s="18">
        <f t="shared" si="147"/>
        <v>560</v>
      </c>
      <c r="X137" s="14">
        <f t="shared" si="148"/>
        <v>315</v>
      </c>
      <c r="Y137" s="18">
        <f t="shared" si="149"/>
        <v>544</v>
      </c>
      <c r="Z137" s="14">
        <f t="shared" si="150"/>
        <v>299</v>
      </c>
      <c r="AA137" s="18">
        <f t="shared" si="151"/>
        <v>544</v>
      </c>
      <c r="AB137" s="4" t="s">
        <v>0</v>
      </c>
    </row>
    <row r="138" spans="1:28">
      <c r="A138" s="9" t="s">
        <v>271</v>
      </c>
      <c r="B138" s="24"/>
      <c r="C138" s="26"/>
      <c r="D138" s="25">
        <f t="shared" si="217"/>
        <v>315</v>
      </c>
      <c r="E138" s="29">
        <f t="shared" ref="E138" si="220">E137</f>
        <v>190</v>
      </c>
      <c r="F138" s="25">
        <f t="shared" si="219"/>
        <v>331</v>
      </c>
      <c r="G138" s="29">
        <f t="shared" si="208"/>
        <v>206</v>
      </c>
      <c r="H138" s="4" t="s">
        <v>0</v>
      </c>
      <c r="I138" s="16" t="str">
        <f t="shared" si="134"/>
        <v>17-10</v>
      </c>
      <c r="J138" s="14">
        <f t="shared" si="135"/>
        <v>315</v>
      </c>
      <c r="K138" s="15">
        <f t="shared" si="136"/>
        <v>190</v>
      </c>
      <c r="L138" s="17">
        <f t="shared" si="137"/>
        <v>331</v>
      </c>
      <c r="M138" s="18">
        <f t="shared" si="138"/>
        <v>190</v>
      </c>
      <c r="N138" s="14">
        <f t="shared" si="139"/>
        <v>331</v>
      </c>
      <c r="O138" s="15">
        <f t="shared" si="140"/>
        <v>206</v>
      </c>
      <c r="P138" s="17">
        <f t="shared" si="141"/>
        <v>315</v>
      </c>
      <c r="Q138" s="18">
        <f t="shared" si="142"/>
        <v>206</v>
      </c>
      <c r="R138" s="4" t="s">
        <v>0</v>
      </c>
      <c r="S138" s="16" t="str">
        <f t="shared" si="143"/>
        <v>17-10</v>
      </c>
      <c r="T138" s="14">
        <f t="shared" si="144"/>
        <v>315</v>
      </c>
      <c r="U138" s="18">
        <f t="shared" si="145"/>
        <v>560</v>
      </c>
      <c r="V138" s="14">
        <f t="shared" si="146"/>
        <v>331</v>
      </c>
      <c r="W138" s="18">
        <f t="shared" si="147"/>
        <v>560</v>
      </c>
      <c r="X138" s="14">
        <f t="shared" si="148"/>
        <v>331</v>
      </c>
      <c r="Y138" s="18">
        <f t="shared" si="149"/>
        <v>544</v>
      </c>
      <c r="Z138" s="14">
        <f t="shared" si="150"/>
        <v>315</v>
      </c>
      <c r="AA138" s="18">
        <f t="shared" si="151"/>
        <v>544</v>
      </c>
      <c r="AB138" s="4" t="s">
        <v>0</v>
      </c>
    </row>
    <row r="139" spans="1:28">
      <c r="A139" s="9" t="s">
        <v>270</v>
      </c>
      <c r="B139" s="24"/>
      <c r="C139" s="26"/>
      <c r="D139" s="25">
        <f t="shared" si="217"/>
        <v>331</v>
      </c>
      <c r="E139" s="29">
        <f t="shared" ref="E139" si="221">E138</f>
        <v>190</v>
      </c>
      <c r="F139" s="25">
        <f t="shared" si="219"/>
        <v>347</v>
      </c>
      <c r="G139" s="29">
        <f t="shared" si="208"/>
        <v>206</v>
      </c>
      <c r="H139" s="4" t="s">
        <v>0</v>
      </c>
      <c r="I139" s="16" t="str">
        <f t="shared" si="134"/>
        <v>17-08</v>
      </c>
      <c r="J139" s="14">
        <f t="shared" si="135"/>
        <v>331</v>
      </c>
      <c r="K139" s="15">
        <f t="shared" si="136"/>
        <v>190</v>
      </c>
      <c r="L139" s="17">
        <f t="shared" si="137"/>
        <v>347</v>
      </c>
      <c r="M139" s="18">
        <f t="shared" si="138"/>
        <v>190</v>
      </c>
      <c r="N139" s="14">
        <f t="shared" si="139"/>
        <v>347</v>
      </c>
      <c r="O139" s="15">
        <f t="shared" si="140"/>
        <v>206</v>
      </c>
      <c r="P139" s="17">
        <f t="shared" si="141"/>
        <v>331</v>
      </c>
      <c r="Q139" s="18">
        <f t="shared" si="142"/>
        <v>206</v>
      </c>
      <c r="R139" s="4" t="s">
        <v>0</v>
      </c>
      <c r="S139" s="16" t="str">
        <f t="shared" si="143"/>
        <v>17-08</v>
      </c>
      <c r="T139" s="14">
        <f t="shared" si="144"/>
        <v>331</v>
      </c>
      <c r="U139" s="18">
        <f t="shared" si="145"/>
        <v>560</v>
      </c>
      <c r="V139" s="14">
        <f t="shared" si="146"/>
        <v>347</v>
      </c>
      <c r="W139" s="18">
        <f t="shared" si="147"/>
        <v>560</v>
      </c>
      <c r="X139" s="14">
        <f t="shared" si="148"/>
        <v>347</v>
      </c>
      <c r="Y139" s="18">
        <f t="shared" si="149"/>
        <v>544</v>
      </c>
      <c r="Z139" s="14">
        <f t="shared" si="150"/>
        <v>331</v>
      </c>
      <c r="AA139" s="18">
        <f t="shared" si="151"/>
        <v>544</v>
      </c>
      <c r="AB139" s="4" t="s">
        <v>0</v>
      </c>
    </row>
    <row r="140" spans="1:28">
      <c r="A140" s="9" t="s">
        <v>269</v>
      </c>
      <c r="B140" s="24"/>
      <c r="C140" s="26"/>
      <c r="D140" s="25">
        <f t="shared" si="217"/>
        <v>348</v>
      </c>
      <c r="E140" s="29">
        <f t="shared" ref="E140" si="222">E139</f>
        <v>190</v>
      </c>
      <c r="F140" s="25">
        <f t="shared" si="219"/>
        <v>364</v>
      </c>
      <c r="G140" s="29">
        <f t="shared" si="208"/>
        <v>206</v>
      </c>
      <c r="H140" s="4" t="s">
        <v>0</v>
      </c>
      <c r="I140" s="16" t="str">
        <f t="shared" si="134"/>
        <v>17-07</v>
      </c>
      <c r="J140" s="14">
        <f t="shared" si="135"/>
        <v>348</v>
      </c>
      <c r="K140" s="15">
        <f t="shared" si="136"/>
        <v>190</v>
      </c>
      <c r="L140" s="17">
        <f t="shared" si="137"/>
        <v>364</v>
      </c>
      <c r="M140" s="18">
        <f t="shared" si="138"/>
        <v>190</v>
      </c>
      <c r="N140" s="14">
        <f t="shared" si="139"/>
        <v>364</v>
      </c>
      <c r="O140" s="15">
        <f t="shared" si="140"/>
        <v>206</v>
      </c>
      <c r="P140" s="17">
        <f t="shared" si="141"/>
        <v>348</v>
      </c>
      <c r="Q140" s="18">
        <f t="shared" si="142"/>
        <v>206</v>
      </c>
      <c r="R140" s="4" t="s">
        <v>0</v>
      </c>
      <c r="S140" s="16" t="str">
        <f t="shared" si="143"/>
        <v>17-07</v>
      </c>
      <c r="T140" s="14">
        <f t="shared" si="144"/>
        <v>348</v>
      </c>
      <c r="U140" s="18">
        <f t="shared" si="145"/>
        <v>560</v>
      </c>
      <c r="V140" s="14">
        <f t="shared" si="146"/>
        <v>364</v>
      </c>
      <c r="W140" s="18">
        <f t="shared" si="147"/>
        <v>560</v>
      </c>
      <c r="X140" s="14">
        <f t="shared" si="148"/>
        <v>364</v>
      </c>
      <c r="Y140" s="18">
        <f t="shared" si="149"/>
        <v>544</v>
      </c>
      <c r="Z140" s="14">
        <f t="shared" si="150"/>
        <v>348</v>
      </c>
      <c r="AA140" s="18">
        <f t="shared" si="151"/>
        <v>544</v>
      </c>
      <c r="AB140" s="4" t="s">
        <v>0</v>
      </c>
    </row>
    <row r="141" spans="1:28">
      <c r="A141" s="9" t="s">
        <v>268</v>
      </c>
      <c r="B141" s="24"/>
      <c r="C141" s="26"/>
      <c r="D141" s="25">
        <f t="shared" si="217"/>
        <v>364</v>
      </c>
      <c r="E141" s="29">
        <f t="shared" ref="E141" si="223">E140</f>
        <v>190</v>
      </c>
      <c r="F141" s="25">
        <f t="shared" si="219"/>
        <v>380</v>
      </c>
      <c r="G141" s="29">
        <f t="shared" si="208"/>
        <v>206</v>
      </c>
      <c r="H141" s="4" t="s">
        <v>0</v>
      </c>
      <c r="I141" s="16" t="str">
        <f t="shared" ref="I141:I175" si="224">A141</f>
        <v>17-06</v>
      </c>
      <c r="J141" s="14">
        <f t="shared" ref="J141:J175" si="225">IF(D141&lt;&gt;"",D141,0)</f>
        <v>364</v>
      </c>
      <c r="K141" s="15">
        <f t="shared" ref="K141:K175" si="226">IF(E141&lt;&gt;"",E141,0)</f>
        <v>190</v>
      </c>
      <c r="L141" s="17">
        <f t="shared" ref="L141:L175" si="227">N141</f>
        <v>380</v>
      </c>
      <c r="M141" s="18">
        <f t="shared" ref="M141:M175" si="228">K141</f>
        <v>190</v>
      </c>
      <c r="N141" s="14">
        <f t="shared" ref="N141:N175" si="229">IF(F141&lt;&gt;"",F141,0)</f>
        <v>380</v>
      </c>
      <c r="O141" s="15">
        <f t="shared" ref="O141:O175" si="230">IF(G141&lt;&gt;"",G141,0)</f>
        <v>206</v>
      </c>
      <c r="P141" s="17">
        <f t="shared" ref="P141:P175" si="231">J141</f>
        <v>364</v>
      </c>
      <c r="Q141" s="18">
        <f t="shared" ref="Q141:Q175" si="232">O141</f>
        <v>206</v>
      </c>
      <c r="R141" s="4" t="s">
        <v>0</v>
      </c>
      <c r="S141" s="16" t="str">
        <f t="shared" ref="S141:S175" si="233">I141</f>
        <v>17-06</v>
      </c>
      <c r="T141" s="14">
        <f t="shared" ref="T141:T175" si="234">IF(J141&lt;&gt;"",J141,"")</f>
        <v>364</v>
      </c>
      <c r="U141" s="18">
        <f t="shared" ref="U141:U175" si="235">IF(K141&lt;&gt;"",U$6-K141,"")</f>
        <v>560</v>
      </c>
      <c r="V141" s="14">
        <f t="shared" ref="V141:V175" si="236">IF(L141&lt;&gt;"",L141,"")</f>
        <v>380</v>
      </c>
      <c r="W141" s="18">
        <f t="shared" ref="W141:W175" si="237">IF(M141&lt;&gt;"",W$6-M141,"")</f>
        <v>560</v>
      </c>
      <c r="X141" s="14">
        <f t="shared" ref="X141:X175" si="238">IF(N141&lt;&gt;"",N141,"")</f>
        <v>380</v>
      </c>
      <c r="Y141" s="18">
        <f t="shared" ref="Y141:Y175" si="239">IF(O141&lt;&gt;"",Y$6-O141,"")</f>
        <v>544</v>
      </c>
      <c r="Z141" s="14">
        <f t="shared" ref="Z141:Z175" si="240">IF(P141&lt;&gt;"",P141,"")</f>
        <v>364</v>
      </c>
      <c r="AA141" s="18">
        <f t="shared" ref="AA141:AA175" si="241">IF(Q141&lt;&gt;"",AA$6-Q141,"")</f>
        <v>544</v>
      </c>
      <c r="AB141" s="4" t="s">
        <v>0</v>
      </c>
    </row>
    <row r="142" spans="1:28">
      <c r="A142" s="9" t="s">
        <v>267</v>
      </c>
      <c r="B142" s="24"/>
      <c r="C142" s="26"/>
      <c r="D142" s="25">
        <f t="shared" si="217"/>
        <v>380</v>
      </c>
      <c r="E142" s="29">
        <f t="shared" ref="E142" si="242">E141</f>
        <v>190</v>
      </c>
      <c r="F142" s="25">
        <f t="shared" si="219"/>
        <v>396</v>
      </c>
      <c r="G142" s="29">
        <f t="shared" si="208"/>
        <v>206</v>
      </c>
      <c r="H142" s="4" t="s">
        <v>0</v>
      </c>
      <c r="I142" s="16" t="str">
        <f t="shared" si="224"/>
        <v>17-05</v>
      </c>
      <c r="J142" s="14">
        <f t="shared" si="225"/>
        <v>380</v>
      </c>
      <c r="K142" s="15">
        <f t="shared" si="226"/>
        <v>190</v>
      </c>
      <c r="L142" s="17">
        <f t="shared" si="227"/>
        <v>396</v>
      </c>
      <c r="M142" s="18">
        <f t="shared" si="228"/>
        <v>190</v>
      </c>
      <c r="N142" s="14">
        <f t="shared" si="229"/>
        <v>396</v>
      </c>
      <c r="O142" s="15">
        <f t="shared" si="230"/>
        <v>206</v>
      </c>
      <c r="P142" s="17">
        <f t="shared" si="231"/>
        <v>380</v>
      </c>
      <c r="Q142" s="18">
        <f t="shared" si="232"/>
        <v>206</v>
      </c>
      <c r="R142" s="4" t="s">
        <v>0</v>
      </c>
      <c r="S142" s="16" t="str">
        <f t="shared" si="233"/>
        <v>17-05</v>
      </c>
      <c r="T142" s="14">
        <f t="shared" si="234"/>
        <v>380</v>
      </c>
      <c r="U142" s="18">
        <f t="shared" si="235"/>
        <v>560</v>
      </c>
      <c r="V142" s="14">
        <f t="shared" si="236"/>
        <v>396</v>
      </c>
      <c r="W142" s="18">
        <f t="shared" si="237"/>
        <v>560</v>
      </c>
      <c r="X142" s="14">
        <f t="shared" si="238"/>
        <v>396</v>
      </c>
      <c r="Y142" s="18">
        <f t="shared" si="239"/>
        <v>544</v>
      </c>
      <c r="Z142" s="14">
        <f t="shared" si="240"/>
        <v>380</v>
      </c>
      <c r="AA142" s="18">
        <f t="shared" si="241"/>
        <v>544</v>
      </c>
      <c r="AB142" s="4" t="s">
        <v>0</v>
      </c>
    </row>
    <row r="143" spans="1:28">
      <c r="A143" s="9" t="s">
        <v>266</v>
      </c>
      <c r="B143" s="24"/>
      <c r="C143" s="26"/>
      <c r="D143" s="25">
        <f t="shared" si="217"/>
        <v>396</v>
      </c>
      <c r="E143" s="29">
        <f t="shared" ref="E143" si="243">E142</f>
        <v>190</v>
      </c>
      <c r="F143" s="25">
        <f t="shared" si="219"/>
        <v>412</v>
      </c>
      <c r="G143" s="29">
        <f t="shared" si="208"/>
        <v>206</v>
      </c>
      <c r="H143" s="4" t="s">
        <v>0</v>
      </c>
      <c r="I143" s="16" t="str">
        <f t="shared" si="224"/>
        <v>17-03</v>
      </c>
      <c r="J143" s="14">
        <f t="shared" si="225"/>
        <v>396</v>
      </c>
      <c r="K143" s="15">
        <f t="shared" si="226"/>
        <v>190</v>
      </c>
      <c r="L143" s="17">
        <f t="shared" si="227"/>
        <v>412</v>
      </c>
      <c r="M143" s="18">
        <f t="shared" si="228"/>
        <v>190</v>
      </c>
      <c r="N143" s="14">
        <f t="shared" si="229"/>
        <v>412</v>
      </c>
      <c r="O143" s="15">
        <f t="shared" si="230"/>
        <v>206</v>
      </c>
      <c r="P143" s="17">
        <f t="shared" si="231"/>
        <v>396</v>
      </c>
      <c r="Q143" s="18">
        <f t="shared" si="232"/>
        <v>206</v>
      </c>
      <c r="R143" s="4" t="s">
        <v>0</v>
      </c>
      <c r="S143" s="16" t="str">
        <f t="shared" si="233"/>
        <v>17-03</v>
      </c>
      <c r="T143" s="14">
        <f t="shared" si="234"/>
        <v>396</v>
      </c>
      <c r="U143" s="18">
        <f t="shared" si="235"/>
        <v>560</v>
      </c>
      <c r="V143" s="14">
        <f t="shared" si="236"/>
        <v>412</v>
      </c>
      <c r="W143" s="18">
        <f t="shared" si="237"/>
        <v>560</v>
      </c>
      <c r="X143" s="14">
        <f t="shared" si="238"/>
        <v>412</v>
      </c>
      <c r="Y143" s="18">
        <f t="shared" si="239"/>
        <v>544</v>
      </c>
      <c r="Z143" s="14">
        <f t="shared" si="240"/>
        <v>396</v>
      </c>
      <c r="AA143" s="18">
        <f t="shared" si="241"/>
        <v>544</v>
      </c>
      <c r="AB143" s="4" t="s">
        <v>0</v>
      </c>
    </row>
    <row r="144" spans="1:28">
      <c r="A144" s="9" t="s">
        <v>265</v>
      </c>
      <c r="B144" s="24"/>
      <c r="C144" s="26"/>
      <c r="D144" s="25">
        <f t="shared" si="217"/>
        <v>413</v>
      </c>
      <c r="E144" s="29">
        <f t="shared" ref="E144" si="244">E143</f>
        <v>190</v>
      </c>
      <c r="F144" s="25">
        <f t="shared" si="219"/>
        <v>429</v>
      </c>
      <c r="G144" s="29">
        <f t="shared" si="208"/>
        <v>206</v>
      </c>
      <c r="H144" s="4" t="s">
        <v>0</v>
      </c>
      <c r="I144" s="16" t="str">
        <f t="shared" si="224"/>
        <v>17-02</v>
      </c>
      <c r="J144" s="14">
        <f t="shared" si="225"/>
        <v>413</v>
      </c>
      <c r="K144" s="15">
        <f t="shared" si="226"/>
        <v>190</v>
      </c>
      <c r="L144" s="17">
        <f t="shared" si="227"/>
        <v>429</v>
      </c>
      <c r="M144" s="18">
        <f t="shared" si="228"/>
        <v>190</v>
      </c>
      <c r="N144" s="14">
        <f t="shared" si="229"/>
        <v>429</v>
      </c>
      <c r="O144" s="15">
        <f t="shared" si="230"/>
        <v>206</v>
      </c>
      <c r="P144" s="17">
        <f t="shared" si="231"/>
        <v>413</v>
      </c>
      <c r="Q144" s="18">
        <f t="shared" si="232"/>
        <v>206</v>
      </c>
      <c r="R144" s="4" t="s">
        <v>0</v>
      </c>
      <c r="S144" s="16" t="str">
        <f t="shared" si="233"/>
        <v>17-02</v>
      </c>
      <c r="T144" s="14">
        <f t="shared" si="234"/>
        <v>413</v>
      </c>
      <c r="U144" s="18">
        <f t="shared" si="235"/>
        <v>560</v>
      </c>
      <c r="V144" s="14">
        <f t="shared" si="236"/>
        <v>429</v>
      </c>
      <c r="W144" s="18">
        <f t="shared" si="237"/>
        <v>560</v>
      </c>
      <c r="X144" s="14">
        <f t="shared" si="238"/>
        <v>429</v>
      </c>
      <c r="Y144" s="18">
        <f t="shared" si="239"/>
        <v>544</v>
      </c>
      <c r="Z144" s="14">
        <f t="shared" si="240"/>
        <v>413</v>
      </c>
      <c r="AA144" s="18">
        <f t="shared" si="241"/>
        <v>544</v>
      </c>
      <c r="AB144" s="4" t="s">
        <v>0</v>
      </c>
    </row>
    <row r="145" spans="1:28">
      <c r="A145" s="9" t="s">
        <v>264</v>
      </c>
      <c r="B145" s="24"/>
      <c r="C145" s="26"/>
      <c r="D145" s="25">
        <f t="shared" si="217"/>
        <v>429</v>
      </c>
      <c r="E145" s="29">
        <f t="shared" ref="E145" si="245">E144</f>
        <v>190</v>
      </c>
      <c r="F145" s="25">
        <f t="shared" si="219"/>
        <v>445</v>
      </c>
      <c r="G145" s="29">
        <f t="shared" si="208"/>
        <v>206</v>
      </c>
      <c r="H145" s="4" t="s">
        <v>0</v>
      </c>
      <c r="I145" s="16" t="str">
        <f t="shared" si="224"/>
        <v>17-01</v>
      </c>
      <c r="J145" s="14">
        <f t="shared" si="225"/>
        <v>429</v>
      </c>
      <c r="K145" s="15">
        <f t="shared" si="226"/>
        <v>190</v>
      </c>
      <c r="L145" s="17">
        <f t="shared" si="227"/>
        <v>445</v>
      </c>
      <c r="M145" s="18">
        <f t="shared" si="228"/>
        <v>190</v>
      </c>
      <c r="N145" s="14">
        <f t="shared" si="229"/>
        <v>445</v>
      </c>
      <c r="O145" s="15">
        <f t="shared" si="230"/>
        <v>206</v>
      </c>
      <c r="P145" s="17">
        <f t="shared" si="231"/>
        <v>429</v>
      </c>
      <c r="Q145" s="18">
        <f t="shared" si="232"/>
        <v>206</v>
      </c>
      <c r="R145" s="4" t="s">
        <v>0</v>
      </c>
      <c r="S145" s="16" t="str">
        <f t="shared" si="233"/>
        <v>17-01</v>
      </c>
      <c r="T145" s="14">
        <f t="shared" si="234"/>
        <v>429</v>
      </c>
      <c r="U145" s="18">
        <f t="shared" si="235"/>
        <v>560</v>
      </c>
      <c r="V145" s="14">
        <f t="shared" si="236"/>
        <v>445</v>
      </c>
      <c r="W145" s="18">
        <f t="shared" si="237"/>
        <v>560</v>
      </c>
      <c r="X145" s="14">
        <f t="shared" si="238"/>
        <v>445</v>
      </c>
      <c r="Y145" s="18">
        <f t="shared" si="239"/>
        <v>544</v>
      </c>
      <c r="Z145" s="14">
        <f t="shared" si="240"/>
        <v>429</v>
      </c>
      <c r="AA145" s="18">
        <f t="shared" si="241"/>
        <v>544</v>
      </c>
      <c r="AB145" s="4" t="s">
        <v>0</v>
      </c>
    </row>
    <row r="146" spans="1:28">
      <c r="A146" s="9" t="s">
        <v>262</v>
      </c>
      <c r="B146" s="24"/>
      <c r="C146" s="26">
        <v>6</v>
      </c>
      <c r="D146" s="25">
        <f>D126</f>
        <v>62</v>
      </c>
      <c r="E146" s="28">
        <f t="shared" ref="E146" si="246">ROUND(E$11+21.8*$C146, 0)</f>
        <v>212</v>
      </c>
      <c r="F146" s="25">
        <f>F126</f>
        <v>78</v>
      </c>
      <c r="G146" s="27">
        <v>227</v>
      </c>
      <c r="H146" s="4" t="s">
        <v>0</v>
      </c>
      <c r="I146" s="16" t="str">
        <f t="shared" si="224"/>
        <v>16-25</v>
      </c>
      <c r="J146" s="14">
        <f t="shared" si="225"/>
        <v>62</v>
      </c>
      <c r="K146" s="15">
        <f t="shared" si="226"/>
        <v>212</v>
      </c>
      <c r="L146" s="17">
        <f t="shared" si="227"/>
        <v>78</v>
      </c>
      <c r="M146" s="18">
        <f t="shared" si="228"/>
        <v>212</v>
      </c>
      <c r="N146" s="14">
        <f t="shared" si="229"/>
        <v>78</v>
      </c>
      <c r="O146" s="15">
        <f t="shared" si="230"/>
        <v>227</v>
      </c>
      <c r="P146" s="17">
        <f t="shared" si="231"/>
        <v>62</v>
      </c>
      <c r="Q146" s="18">
        <f t="shared" si="232"/>
        <v>227</v>
      </c>
      <c r="R146" s="4" t="s">
        <v>0</v>
      </c>
      <c r="S146" s="16" t="str">
        <f t="shared" si="233"/>
        <v>16-25</v>
      </c>
      <c r="T146" s="14">
        <f t="shared" si="234"/>
        <v>62</v>
      </c>
      <c r="U146" s="18">
        <f t="shared" si="235"/>
        <v>538</v>
      </c>
      <c r="V146" s="14">
        <f t="shared" si="236"/>
        <v>78</v>
      </c>
      <c r="W146" s="18">
        <f t="shared" si="237"/>
        <v>538</v>
      </c>
      <c r="X146" s="14">
        <f t="shared" si="238"/>
        <v>78</v>
      </c>
      <c r="Y146" s="18">
        <f t="shared" si="239"/>
        <v>523</v>
      </c>
      <c r="Z146" s="14">
        <f t="shared" si="240"/>
        <v>62</v>
      </c>
      <c r="AA146" s="18">
        <f t="shared" si="241"/>
        <v>523</v>
      </c>
      <c r="AB146" s="4" t="s">
        <v>0</v>
      </c>
    </row>
    <row r="147" spans="1:28">
      <c r="A147" s="9" t="s">
        <v>261</v>
      </c>
      <c r="B147" s="24"/>
      <c r="C147" s="26"/>
      <c r="D147" s="25">
        <f t="shared" ref="D147:D165" si="247">D127</f>
        <v>78</v>
      </c>
      <c r="E147" s="29">
        <f t="shared" ref="E147" si="248">E146</f>
        <v>212</v>
      </c>
      <c r="F147" s="25">
        <f t="shared" ref="F147:F165" si="249">F127</f>
        <v>94</v>
      </c>
      <c r="G147" s="29">
        <f t="shared" si="208"/>
        <v>227</v>
      </c>
      <c r="H147" s="4" t="s">
        <v>0</v>
      </c>
      <c r="I147" s="16" t="str">
        <f t="shared" si="224"/>
        <v>16-23</v>
      </c>
      <c r="J147" s="14">
        <f t="shared" si="225"/>
        <v>78</v>
      </c>
      <c r="K147" s="15">
        <f t="shared" si="226"/>
        <v>212</v>
      </c>
      <c r="L147" s="17">
        <f t="shared" si="227"/>
        <v>94</v>
      </c>
      <c r="M147" s="18">
        <f t="shared" si="228"/>
        <v>212</v>
      </c>
      <c r="N147" s="14">
        <f t="shared" si="229"/>
        <v>94</v>
      </c>
      <c r="O147" s="15">
        <f t="shared" si="230"/>
        <v>227</v>
      </c>
      <c r="P147" s="17">
        <f t="shared" si="231"/>
        <v>78</v>
      </c>
      <c r="Q147" s="18">
        <f t="shared" si="232"/>
        <v>227</v>
      </c>
      <c r="R147" s="4" t="s">
        <v>0</v>
      </c>
      <c r="S147" s="16" t="str">
        <f t="shared" si="233"/>
        <v>16-23</v>
      </c>
      <c r="T147" s="14">
        <f t="shared" si="234"/>
        <v>78</v>
      </c>
      <c r="U147" s="18">
        <f t="shared" si="235"/>
        <v>538</v>
      </c>
      <c r="V147" s="14">
        <f t="shared" si="236"/>
        <v>94</v>
      </c>
      <c r="W147" s="18">
        <f t="shared" si="237"/>
        <v>538</v>
      </c>
      <c r="X147" s="14">
        <f t="shared" si="238"/>
        <v>94</v>
      </c>
      <c r="Y147" s="18">
        <f t="shared" si="239"/>
        <v>523</v>
      </c>
      <c r="Z147" s="14">
        <f t="shared" si="240"/>
        <v>78</v>
      </c>
      <c r="AA147" s="18">
        <f t="shared" si="241"/>
        <v>523</v>
      </c>
      <c r="AB147" s="4" t="s">
        <v>0</v>
      </c>
    </row>
    <row r="148" spans="1:28">
      <c r="A148" s="9" t="s">
        <v>260</v>
      </c>
      <c r="B148" s="24"/>
      <c r="C148" s="26"/>
      <c r="D148" s="25">
        <f t="shared" si="247"/>
        <v>95</v>
      </c>
      <c r="E148" s="29">
        <f t="shared" ref="E148" si="250">E147</f>
        <v>212</v>
      </c>
      <c r="F148" s="25">
        <f t="shared" si="249"/>
        <v>111</v>
      </c>
      <c r="G148" s="29">
        <f t="shared" si="208"/>
        <v>227</v>
      </c>
      <c r="H148" s="4" t="s">
        <v>0</v>
      </c>
      <c r="I148" s="16" t="str">
        <f t="shared" si="224"/>
        <v>16-22</v>
      </c>
      <c r="J148" s="14">
        <f t="shared" si="225"/>
        <v>95</v>
      </c>
      <c r="K148" s="15">
        <f t="shared" si="226"/>
        <v>212</v>
      </c>
      <c r="L148" s="17">
        <f t="shared" si="227"/>
        <v>111</v>
      </c>
      <c r="M148" s="18">
        <f t="shared" si="228"/>
        <v>212</v>
      </c>
      <c r="N148" s="14">
        <f t="shared" si="229"/>
        <v>111</v>
      </c>
      <c r="O148" s="15">
        <f t="shared" si="230"/>
        <v>227</v>
      </c>
      <c r="P148" s="17">
        <f t="shared" si="231"/>
        <v>95</v>
      </c>
      <c r="Q148" s="18">
        <f t="shared" si="232"/>
        <v>227</v>
      </c>
      <c r="R148" s="4" t="s">
        <v>0</v>
      </c>
      <c r="S148" s="16" t="str">
        <f t="shared" si="233"/>
        <v>16-22</v>
      </c>
      <c r="T148" s="14">
        <f t="shared" si="234"/>
        <v>95</v>
      </c>
      <c r="U148" s="18">
        <f t="shared" si="235"/>
        <v>538</v>
      </c>
      <c r="V148" s="14">
        <f t="shared" si="236"/>
        <v>111</v>
      </c>
      <c r="W148" s="18">
        <f t="shared" si="237"/>
        <v>538</v>
      </c>
      <c r="X148" s="14">
        <f t="shared" si="238"/>
        <v>111</v>
      </c>
      <c r="Y148" s="18">
        <f t="shared" si="239"/>
        <v>523</v>
      </c>
      <c r="Z148" s="14">
        <f t="shared" si="240"/>
        <v>95</v>
      </c>
      <c r="AA148" s="18">
        <f t="shared" si="241"/>
        <v>523</v>
      </c>
      <c r="AB148" s="4" t="s">
        <v>0</v>
      </c>
    </row>
    <row r="149" spans="1:28">
      <c r="A149" s="9" t="s">
        <v>259</v>
      </c>
      <c r="B149" s="24"/>
      <c r="C149" s="26"/>
      <c r="D149" s="25">
        <f t="shared" si="247"/>
        <v>111</v>
      </c>
      <c r="E149" s="29">
        <f t="shared" ref="E149" si="251">E148</f>
        <v>212</v>
      </c>
      <c r="F149" s="25">
        <f t="shared" si="249"/>
        <v>127</v>
      </c>
      <c r="G149" s="29">
        <f t="shared" si="208"/>
        <v>227</v>
      </c>
      <c r="H149" s="4" t="s">
        <v>0</v>
      </c>
      <c r="I149" s="16" t="str">
        <f t="shared" si="224"/>
        <v>16-21</v>
      </c>
      <c r="J149" s="14">
        <f t="shared" si="225"/>
        <v>111</v>
      </c>
      <c r="K149" s="15">
        <f t="shared" si="226"/>
        <v>212</v>
      </c>
      <c r="L149" s="17">
        <f t="shared" si="227"/>
        <v>127</v>
      </c>
      <c r="M149" s="18">
        <f t="shared" si="228"/>
        <v>212</v>
      </c>
      <c r="N149" s="14">
        <f t="shared" si="229"/>
        <v>127</v>
      </c>
      <c r="O149" s="15">
        <f t="shared" si="230"/>
        <v>227</v>
      </c>
      <c r="P149" s="17">
        <f t="shared" si="231"/>
        <v>111</v>
      </c>
      <c r="Q149" s="18">
        <f t="shared" si="232"/>
        <v>227</v>
      </c>
      <c r="R149" s="4" t="s">
        <v>0</v>
      </c>
      <c r="S149" s="16" t="str">
        <f t="shared" si="233"/>
        <v>16-21</v>
      </c>
      <c r="T149" s="14">
        <f t="shared" si="234"/>
        <v>111</v>
      </c>
      <c r="U149" s="18">
        <f t="shared" si="235"/>
        <v>538</v>
      </c>
      <c r="V149" s="14">
        <f t="shared" si="236"/>
        <v>127</v>
      </c>
      <c r="W149" s="18">
        <f t="shared" si="237"/>
        <v>538</v>
      </c>
      <c r="X149" s="14">
        <f t="shared" si="238"/>
        <v>127</v>
      </c>
      <c r="Y149" s="18">
        <f t="shared" si="239"/>
        <v>523</v>
      </c>
      <c r="Z149" s="14">
        <f t="shared" si="240"/>
        <v>111</v>
      </c>
      <c r="AA149" s="18">
        <f t="shared" si="241"/>
        <v>523</v>
      </c>
      <c r="AB149" s="4" t="s">
        <v>0</v>
      </c>
    </row>
    <row r="150" spans="1:28">
      <c r="A150" s="9" t="s">
        <v>258</v>
      </c>
      <c r="B150" s="24"/>
      <c r="C150" s="26"/>
      <c r="D150" s="25">
        <f t="shared" si="247"/>
        <v>127</v>
      </c>
      <c r="E150" s="29">
        <f t="shared" ref="E150" si="252">E149</f>
        <v>212</v>
      </c>
      <c r="F150" s="25">
        <f t="shared" si="249"/>
        <v>143</v>
      </c>
      <c r="G150" s="29">
        <f t="shared" si="208"/>
        <v>227</v>
      </c>
      <c r="H150" s="4" t="s">
        <v>0</v>
      </c>
      <c r="I150" s="16" t="str">
        <f t="shared" si="224"/>
        <v>16-20</v>
      </c>
      <c r="J150" s="14">
        <f t="shared" si="225"/>
        <v>127</v>
      </c>
      <c r="K150" s="15">
        <f t="shared" si="226"/>
        <v>212</v>
      </c>
      <c r="L150" s="17">
        <f t="shared" si="227"/>
        <v>143</v>
      </c>
      <c r="M150" s="18">
        <f t="shared" si="228"/>
        <v>212</v>
      </c>
      <c r="N150" s="14">
        <f t="shared" si="229"/>
        <v>143</v>
      </c>
      <c r="O150" s="15">
        <f t="shared" si="230"/>
        <v>227</v>
      </c>
      <c r="P150" s="17">
        <f t="shared" si="231"/>
        <v>127</v>
      </c>
      <c r="Q150" s="18">
        <f t="shared" si="232"/>
        <v>227</v>
      </c>
      <c r="R150" s="4" t="s">
        <v>0</v>
      </c>
      <c r="S150" s="16" t="str">
        <f t="shared" si="233"/>
        <v>16-20</v>
      </c>
      <c r="T150" s="14">
        <f t="shared" si="234"/>
        <v>127</v>
      </c>
      <c r="U150" s="18">
        <f t="shared" si="235"/>
        <v>538</v>
      </c>
      <c r="V150" s="14">
        <f t="shared" si="236"/>
        <v>143</v>
      </c>
      <c r="W150" s="18">
        <f t="shared" si="237"/>
        <v>538</v>
      </c>
      <c r="X150" s="14">
        <f t="shared" si="238"/>
        <v>143</v>
      </c>
      <c r="Y150" s="18">
        <f t="shared" si="239"/>
        <v>523</v>
      </c>
      <c r="Z150" s="14">
        <f t="shared" si="240"/>
        <v>127</v>
      </c>
      <c r="AA150" s="18">
        <f t="shared" si="241"/>
        <v>523</v>
      </c>
      <c r="AB150" s="4" t="s">
        <v>0</v>
      </c>
    </row>
    <row r="151" spans="1:28">
      <c r="A151" s="9" t="s">
        <v>257</v>
      </c>
      <c r="B151" s="24"/>
      <c r="C151" s="26"/>
      <c r="D151" s="25">
        <f t="shared" si="247"/>
        <v>144</v>
      </c>
      <c r="E151" s="29">
        <f t="shared" ref="E151" si="253">E150</f>
        <v>212</v>
      </c>
      <c r="F151" s="25">
        <f t="shared" si="249"/>
        <v>160</v>
      </c>
      <c r="G151" s="29">
        <f t="shared" si="208"/>
        <v>227</v>
      </c>
      <c r="H151" s="4" t="s">
        <v>0</v>
      </c>
      <c r="I151" s="16" t="str">
        <f t="shared" si="224"/>
        <v>16-18</v>
      </c>
      <c r="J151" s="14">
        <f t="shared" si="225"/>
        <v>144</v>
      </c>
      <c r="K151" s="15">
        <f t="shared" si="226"/>
        <v>212</v>
      </c>
      <c r="L151" s="17">
        <f t="shared" si="227"/>
        <v>160</v>
      </c>
      <c r="M151" s="18">
        <f t="shared" si="228"/>
        <v>212</v>
      </c>
      <c r="N151" s="14">
        <f t="shared" si="229"/>
        <v>160</v>
      </c>
      <c r="O151" s="15">
        <f t="shared" si="230"/>
        <v>227</v>
      </c>
      <c r="P151" s="17">
        <f t="shared" si="231"/>
        <v>144</v>
      </c>
      <c r="Q151" s="18">
        <f t="shared" si="232"/>
        <v>227</v>
      </c>
      <c r="R151" s="4" t="s">
        <v>0</v>
      </c>
      <c r="S151" s="16" t="str">
        <f t="shared" si="233"/>
        <v>16-18</v>
      </c>
      <c r="T151" s="14">
        <f t="shared" si="234"/>
        <v>144</v>
      </c>
      <c r="U151" s="18">
        <f t="shared" si="235"/>
        <v>538</v>
      </c>
      <c r="V151" s="14">
        <f t="shared" si="236"/>
        <v>160</v>
      </c>
      <c r="W151" s="18">
        <f t="shared" si="237"/>
        <v>538</v>
      </c>
      <c r="X151" s="14">
        <f t="shared" si="238"/>
        <v>160</v>
      </c>
      <c r="Y151" s="18">
        <f t="shared" si="239"/>
        <v>523</v>
      </c>
      <c r="Z151" s="14">
        <f t="shared" si="240"/>
        <v>144</v>
      </c>
      <c r="AA151" s="18">
        <f t="shared" si="241"/>
        <v>523</v>
      </c>
      <c r="AB151" s="4" t="s">
        <v>0</v>
      </c>
    </row>
    <row r="152" spans="1:28">
      <c r="A152" s="9" t="s">
        <v>256</v>
      </c>
      <c r="B152" s="24"/>
      <c r="C152" s="26"/>
      <c r="D152" s="25">
        <f t="shared" si="247"/>
        <v>160</v>
      </c>
      <c r="E152" s="29">
        <f t="shared" ref="E152" si="254">E151</f>
        <v>212</v>
      </c>
      <c r="F152" s="25">
        <f t="shared" si="249"/>
        <v>176</v>
      </c>
      <c r="G152" s="29">
        <f t="shared" si="208"/>
        <v>227</v>
      </c>
      <c r="H152" s="4" t="s">
        <v>0</v>
      </c>
      <c r="I152" s="16" t="str">
        <f t="shared" si="224"/>
        <v>16-17</v>
      </c>
      <c r="J152" s="14">
        <f t="shared" si="225"/>
        <v>160</v>
      </c>
      <c r="K152" s="15">
        <f t="shared" si="226"/>
        <v>212</v>
      </c>
      <c r="L152" s="17">
        <f t="shared" si="227"/>
        <v>176</v>
      </c>
      <c r="M152" s="18">
        <f t="shared" si="228"/>
        <v>212</v>
      </c>
      <c r="N152" s="14">
        <f t="shared" si="229"/>
        <v>176</v>
      </c>
      <c r="O152" s="15">
        <f t="shared" si="230"/>
        <v>227</v>
      </c>
      <c r="P152" s="17">
        <f t="shared" si="231"/>
        <v>160</v>
      </c>
      <c r="Q152" s="18">
        <f t="shared" si="232"/>
        <v>227</v>
      </c>
      <c r="R152" s="4" t="s">
        <v>0</v>
      </c>
      <c r="S152" s="16" t="str">
        <f t="shared" si="233"/>
        <v>16-17</v>
      </c>
      <c r="T152" s="14">
        <f t="shared" si="234"/>
        <v>160</v>
      </c>
      <c r="U152" s="18">
        <f t="shared" si="235"/>
        <v>538</v>
      </c>
      <c r="V152" s="14">
        <f t="shared" si="236"/>
        <v>176</v>
      </c>
      <c r="W152" s="18">
        <f t="shared" si="237"/>
        <v>538</v>
      </c>
      <c r="X152" s="14">
        <f t="shared" si="238"/>
        <v>176</v>
      </c>
      <c r="Y152" s="18">
        <f t="shared" si="239"/>
        <v>523</v>
      </c>
      <c r="Z152" s="14">
        <f t="shared" si="240"/>
        <v>160</v>
      </c>
      <c r="AA152" s="18">
        <f t="shared" si="241"/>
        <v>523</v>
      </c>
      <c r="AB152" s="4" t="s">
        <v>0</v>
      </c>
    </row>
    <row r="153" spans="1:28">
      <c r="A153" s="9" t="s">
        <v>255</v>
      </c>
      <c r="B153" s="24"/>
      <c r="C153" s="26"/>
      <c r="D153" s="25">
        <f t="shared" si="247"/>
        <v>176</v>
      </c>
      <c r="E153" s="29">
        <f t="shared" ref="E153" si="255">E152</f>
        <v>212</v>
      </c>
      <c r="F153" s="25">
        <f t="shared" si="249"/>
        <v>192</v>
      </c>
      <c r="G153" s="29">
        <f t="shared" si="208"/>
        <v>227</v>
      </c>
      <c r="H153" s="4" t="s">
        <v>0</v>
      </c>
      <c r="I153" s="16" t="str">
        <f t="shared" si="224"/>
        <v>16-16</v>
      </c>
      <c r="J153" s="14">
        <f t="shared" si="225"/>
        <v>176</v>
      </c>
      <c r="K153" s="15">
        <f t="shared" si="226"/>
        <v>212</v>
      </c>
      <c r="L153" s="17">
        <f t="shared" si="227"/>
        <v>192</v>
      </c>
      <c r="M153" s="18">
        <f t="shared" si="228"/>
        <v>212</v>
      </c>
      <c r="N153" s="14">
        <f t="shared" si="229"/>
        <v>192</v>
      </c>
      <c r="O153" s="15">
        <f t="shared" si="230"/>
        <v>227</v>
      </c>
      <c r="P153" s="17">
        <f t="shared" si="231"/>
        <v>176</v>
      </c>
      <c r="Q153" s="18">
        <f t="shared" si="232"/>
        <v>227</v>
      </c>
      <c r="R153" s="4" t="s">
        <v>0</v>
      </c>
      <c r="S153" s="16" t="str">
        <f t="shared" si="233"/>
        <v>16-16</v>
      </c>
      <c r="T153" s="14">
        <f t="shared" si="234"/>
        <v>176</v>
      </c>
      <c r="U153" s="18">
        <f t="shared" si="235"/>
        <v>538</v>
      </c>
      <c r="V153" s="14">
        <f t="shared" si="236"/>
        <v>192</v>
      </c>
      <c r="W153" s="18">
        <f t="shared" si="237"/>
        <v>538</v>
      </c>
      <c r="X153" s="14">
        <f t="shared" si="238"/>
        <v>192</v>
      </c>
      <c r="Y153" s="18">
        <f t="shared" si="239"/>
        <v>523</v>
      </c>
      <c r="Z153" s="14">
        <f t="shared" si="240"/>
        <v>176</v>
      </c>
      <c r="AA153" s="18">
        <f t="shared" si="241"/>
        <v>523</v>
      </c>
      <c r="AB153" s="4" t="s">
        <v>0</v>
      </c>
    </row>
    <row r="154" spans="1:28">
      <c r="A154" s="9" t="s">
        <v>254</v>
      </c>
      <c r="B154" s="24"/>
      <c r="C154" s="26"/>
      <c r="D154" s="25">
        <f t="shared" si="247"/>
        <v>192</v>
      </c>
      <c r="E154" s="29">
        <f t="shared" ref="E154" si="256">E153</f>
        <v>212</v>
      </c>
      <c r="F154" s="25">
        <f t="shared" si="249"/>
        <v>208</v>
      </c>
      <c r="G154" s="29">
        <f t="shared" si="208"/>
        <v>227</v>
      </c>
      <c r="H154" s="4" t="s">
        <v>0</v>
      </c>
      <c r="I154" s="16" t="str">
        <f t="shared" si="224"/>
        <v>16-15</v>
      </c>
      <c r="J154" s="14">
        <f t="shared" si="225"/>
        <v>192</v>
      </c>
      <c r="K154" s="15">
        <f t="shared" si="226"/>
        <v>212</v>
      </c>
      <c r="L154" s="17">
        <f t="shared" si="227"/>
        <v>208</v>
      </c>
      <c r="M154" s="18">
        <f t="shared" si="228"/>
        <v>212</v>
      </c>
      <c r="N154" s="14">
        <f t="shared" si="229"/>
        <v>208</v>
      </c>
      <c r="O154" s="15">
        <f t="shared" si="230"/>
        <v>227</v>
      </c>
      <c r="P154" s="17">
        <f t="shared" si="231"/>
        <v>192</v>
      </c>
      <c r="Q154" s="18">
        <f t="shared" si="232"/>
        <v>227</v>
      </c>
      <c r="R154" s="4" t="s">
        <v>0</v>
      </c>
      <c r="S154" s="16" t="str">
        <f t="shared" si="233"/>
        <v>16-15</v>
      </c>
      <c r="T154" s="14">
        <f t="shared" si="234"/>
        <v>192</v>
      </c>
      <c r="U154" s="18">
        <f t="shared" si="235"/>
        <v>538</v>
      </c>
      <c r="V154" s="14">
        <f t="shared" si="236"/>
        <v>208</v>
      </c>
      <c r="W154" s="18">
        <f t="shared" si="237"/>
        <v>538</v>
      </c>
      <c r="X154" s="14">
        <f t="shared" si="238"/>
        <v>208</v>
      </c>
      <c r="Y154" s="18">
        <f t="shared" si="239"/>
        <v>523</v>
      </c>
      <c r="Z154" s="14">
        <f t="shared" si="240"/>
        <v>192</v>
      </c>
      <c r="AA154" s="18">
        <f t="shared" si="241"/>
        <v>523</v>
      </c>
      <c r="AB154" s="4" t="s">
        <v>0</v>
      </c>
    </row>
    <row r="155" spans="1:28">
      <c r="A155" s="9" t="s">
        <v>253</v>
      </c>
      <c r="B155" s="24"/>
      <c r="C155" s="26"/>
      <c r="D155" s="25">
        <f t="shared" si="247"/>
        <v>209</v>
      </c>
      <c r="E155" s="29">
        <f t="shared" ref="E155" si="257">E154</f>
        <v>212</v>
      </c>
      <c r="F155" s="25">
        <f t="shared" si="249"/>
        <v>225</v>
      </c>
      <c r="G155" s="29">
        <f t="shared" si="208"/>
        <v>227</v>
      </c>
      <c r="H155" s="4" t="s">
        <v>0</v>
      </c>
      <c r="I155" s="16" t="str">
        <f t="shared" si="224"/>
        <v>16-13</v>
      </c>
      <c r="J155" s="14">
        <f t="shared" si="225"/>
        <v>209</v>
      </c>
      <c r="K155" s="15">
        <f t="shared" si="226"/>
        <v>212</v>
      </c>
      <c r="L155" s="17">
        <f t="shared" si="227"/>
        <v>225</v>
      </c>
      <c r="M155" s="18">
        <f t="shared" si="228"/>
        <v>212</v>
      </c>
      <c r="N155" s="14">
        <f t="shared" si="229"/>
        <v>225</v>
      </c>
      <c r="O155" s="15">
        <f t="shared" si="230"/>
        <v>227</v>
      </c>
      <c r="P155" s="17">
        <f t="shared" si="231"/>
        <v>209</v>
      </c>
      <c r="Q155" s="18">
        <f t="shared" si="232"/>
        <v>227</v>
      </c>
      <c r="R155" s="4" t="s">
        <v>0</v>
      </c>
      <c r="S155" s="16" t="str">
        <f t="shared" si="233"/>
        <v>16-13</v>
      </c>
      <c r="T155" s="14">
        <f t="shared" si="234"/>
        <v>209</v>
      </c>
      <c r="U155" s="18">
        <f t="shared" si="235"/>
        <v>538</v>
      </c>
      <c r="V155" s="14">
        <f t="shared" si="236"/>
        <v>225</v>
      </c>
      <c r="W155" s="18">
        <f t="shared" si="237"/>
        <v>538</v>
      </c>
      <c r="X155" s="14">
        <f t="shared" si="238"/>
        <v>225</v>
      </c>
      <c r="Y155" s="18">
        <f t="shared" si="239"/>
        <v>523</v>
      </c>
      <c r="Z155" s="14">
        <f t="shared" si="240"/>
        <v>209</v>
      </c>
      <c r="AA155" s="18">
        <f t="shared" si="241"/>
        <v>523</v>
      </c>
      <c r="AB155" s="4" t="s">
        <v>0</v>
      </c>
    </row>
    <row r="156" spans="1:28">
      <c r="A156" s="9" t="s">
        <v>252</v>
      </c>
      <c r="B156" s="24"/>
      <c r="C156" s="26"/>
      <c r="D156" s="25">
        <f t="shared" si="247"/>
        <v>282</v>
      </c>
      <c r="E156" s="29">
        <f t="shared" ref="E156" si="258">E155</f>
        <v>212</v>
      </c>
      <c r="F156" s="25">
        <f t="shared" si="249"/>
        <v>298</v>
      </c>
      <c r="G156" s="29">
        <f t="shared" si="208"/>
        <v>227</v>
      </c>
      <c r="H156" s="4" t="s">
        <v>0</v>
      </c>
      <c r="I156" s="16" t="str">
        <f t="shared" si="224"/>
        <v>16-12</v>
      </c>
      <c r="J156" s="14">
        <f t="shared" si="225"/>
        <v>282</v>
      </c>
      <c r="K156" s="15">
        <f t="shared" si="226"/>
        <v>212</v>
      </c>
      <c r="L156" s="17">
        <f t="shared" si="227"/>
        <v>298</v>
      </c>
      <c r="M156" s="18">
        <f t="shared" si="228"/>
        <v>212</v>
      </c>
      <c r="N156" s="14">
        <f t="shared" si="229"/>
        <v>298</v>
      </c>
      <c r="O156" s="15">
        <f t="shared" si="230"/>
        <v>227</v>
      </c>
      <c r="P156" s="17">
        <f t="shared" si="231"/>
        <v>282</v>
      </c>
      <c r="Q156" s="18">
        <f t="shared" si="232"/>
        <v>227</v>
      </c>
      <c r="R156" s="4" t="s">
        <v>0</v>
      </c>
      <c r="S156" s="16" t="str">
        <f t="shared" si="233"/>
        <v>16-12</v>
      </c>
      <c r="T156" s="14">
        <f t="shared" si="234"/>
        <v>282</v>
      </c>
      <c r="U156" s="18">
        <f t="shared" si="235"/>
        <v>538</v>
      </c>
      <c r="V156" s="14">
        <f t="shared" si="236"/>
        <v>298</v>
      </c>
      <c r="W156" s="18">
        <f t="shared" si="237"/>
        <v>538</v>
      </c>
      <c r="X156" s="14">
        <f t="shared" si="238"/>
        <v>298</v>
      </c>
      <c r="Y156" s="18">
        <f t="shared" si="239"/>
        <v>523</v>
      </c>
      <c r="Z156" s="14">
        <f t="shared" si="240"/>
        <v>282</v>
      </c>
      <c r="AA156" s="18">
        <f t="shared" si="241"/>
        <v>523</v>
      </c>
      <c r="AB156" s="4" t="s">
        <v>0</v>
      </c>
    </row>
    <row r="157" spans="1:28">
      <c r="A157" s="9" t="s">
        <v>251</v>
      </c>
      <c r="B157" s="24"/>
      <c r="C157" s="26"/>
      <c r="D157" s="25">
        <f t="shared" si="247"/>
        <v>299</v>
      </c>
      <c r="E157" s="29">
        <f t="shared" ref="E157" si="259">E156</f>
        <v>212</v>
      </c>
      <c r="F157" s="25">
        <f t="shared" si="249"/>
        <v>315</v>
      </c>
      <c r="G157" s="29">
        <f t="shared" si="208"/>
        <v>227</v>
      </c>
      <c r="H157" s="4" t="s">
        <v>0</v>
      </c>
      <c r="I157" s="16" t="str">
        <f t="shared" si="224"/>
        <v>16-11</v>
      </c>
      <c r="J157" s="14">
        <f t="shared" si="225"/>
        <v>299</v>
      </c>
      <c r="K157" s="15">
        <f t="shared" si="226"/>
        <v>212</v>
      </c>
      <c r="L157" s="17">
        <f t="shared" si="227"/>
        <v>315</v>
      </c>
      <c r="M157" s="18">
        <f t="shared" si="228"/>
        <v>212</v>
      </c>
      <c r="N157" s="14">
        <f t="shared" si="229"/>
        <v>315</v>
      </c>
      <c r="O157" s="15">
        <f t="shared" si="230"/>
        <v>227</v>
      </c>
      <c r="P157" s="17">
        <f t="shared" si="231"/>
        <v>299</v>
      </c>
      <c r="Q157" s="18">
        <f t="shared" si="232"/>
        <v>227</v>
      </c>
      <c r="R157" s="4" t="s">
        <v>0</v>
      </c>
      <c r="S157" s="16" t="str">
        <f t="shared" si="233"/>
        <v>16-11</v>
      </c>
      <c r="T157" s="14">
        <f t="shared" si="234"/>
        <v>299</v>
      </c>
      <c r="U157" s="18">
        <f t="shared" si="235"/>
        <v>538</v>
      </c>
      <c r="V157" s="14">
        <f t="shared" si="236"/>
        <v>315</v>
      </c>
      <c r="W157" s="18">
        <f t="shared" si="237"/>
        <v>538</v>
      </c>
      <c r="X157" s="14">
        <f t="shared" si="238"/>
        <v>315</v>
      </c>
      <c r="Y157" s="18">
        <f t="shared" si="239"/>
        <v>523</v>
      </c>
      <c r="Z157" s="14">
        <f t="shared" si="240"/>
        <v>299</v>
      </c>
      <c r="AA157" s="18">
        <f t="shared" si="241"/>
        <v>523</v>
      </c>
      <c r="AB157" s="4" t="s">
        <v>0</v>
      </c>
    </row>
    <row r="158" spans="1:28">
      <c r="A158" s="9" t="s">
        <v>250</v>
      </c>
      <c r="B158" s="24"/>
      <c r="C158" s="26"/>
      <c r="D158" s="25">
        <f t="shared" si="247"/>
        <v>315</v>
      </c>
      <c r="E158" s="29">
        <f t="shared" ref="E158" si="260">E157</f>
        <v>212</v>
      </c>
      <c r="F158" s="25">
        <f t="shared" si="249"/>
        <v>331</v>
      </c>
      <c r="G158" s="29">
        <f t="shared" si="208"/>
        <v>227</v>
      </c>
      <c r="H158" s="4" t="s">
        <v>0</v>
      </c>
      <c r="I158" s="16" t="str">
        <f t="shared" si="224"/>
        <v>16-10</v>
      </c>
      <c r="J158" s="14">
        <f t="shared" si="225"/>
        <v>315</v>
      </c>
      <c r="K158" s="15">
        <f t="shared" si="226"/>
        <v>212</v>
      </c>
      <c r="L158" s="17">
        <f t="shared" si="227"/>
        <v>331</v>
      </c>
      <c r="M158" s="18">
        <f t="shared" si="228"/>
        <v>212</v>
      </c>
      <c r="N158" s="14">
        <f t="shared" si="229"/>
        <v>331</v>
      </c>
      <c r="O158" s="15">
        <f t="shared" si="230"/>
        <v>227</v>
      </c>
      <c r="P158" s="17">
        <f t="shared" si="231"/>
        <v>315</v>
      </c>
      <c r="Q158" s="18">
        <f t="shared" si="232"/>
        <v>227</v>
      </c>
      <c r="R158" s="4" t="s">
        <v>0</v>
      </c>
      <c r="S158" s="16" t="str">
        <f t="shared" si="233"/>
        <v>16-10</v>
      </c>
      <c r="T158" s="14">
        <f t="shared" si="234"/>
        <v>315</v>
      </c>
      <c r="U158" s="18">
        <f t="shared" si="235"/>
        <v>538</v>
      </c>
      <c r="V158" s="14">
        <f t="shared" si="236"/>
        <v>331</v>
      </c>
      <c r="W158" s="18">
        <f t="shared" si="237"/>
        <v>538</v>
      </c>
      <c r="X158" s="14">
        <f t="shared" si="238"/>
        <v>331</v>
      </c>
      <c r="Y158" s="18">
        <f t="shared" si="239"/>
        <v>523</v>
      </c>
      <c r="Z158" s="14">
        <f t="shared" si="240"/>
        <v>315</v>
      </c>
      <c r="AA158" s="18">
        <f t="shared" si="241"/>
        <v>523</v>
      </c>
      <c r="AB158" s="4" t="s">
        <v>0</v>
      </c>
    </row>
    <row r="159" spans="1:28">
      <c r="A159" s="9" t="s">
        <v>249</v>
      </c>
      <c r="B159" s="24"/>
      <c r="C159" s="26"/>
      <c r="D159" s="25">
        <f t="shared" si="247"/>
        <v>331</v>
      </c>
      <c r="E159" s="29">
        <f t="shared" ref="E159" si="261">E158</f>
        <v>212</v>
      </c>
      <c r="F159" s="25">
        <f t="shared" si="249"/>
        <v>347</v>
      </c>
      <c r="G159" s="29">
        <f t="shared" si="208"/>
        <v>227</v>
      </c>
      <c r="H159" s="4" t="s">
        <v>0</v>
      </c>
      <c r="I159" s="16" t="str">
        <f t="shared" si="224"/>
        <v>16-08</v>
      </c>
      <c r="J159" s="14">
        <f t="shared" si="225"/>
        <v>331</v>
      </c>
      <c r="K159" s="15">
        <f t="shared" si="226"/>
        <v>212</v>
      </c>
      <c r="L159" s="17">
        <f t="shared" si="227"/>
        <v>347</v>
      </c>
      <c r="M159" s="18">
        <f t="shared" si="228"/>
        <v>212</v>
      </c>
      <c r="N159" s="14">
        <f t="shared" si="229"/>
        <v>347</v>
      </c>
      <c r="O159" s="15">
        <f t="shared" si="230"/>
        <v>227</v>
      </c>
      <c r="P159" s="17">
        <f t="shared" si="231"/>
        <v>331</v>
      </c>
      <c r="Q159" s="18">
        <f t="shared" si="232"/>
        <v>227</v>
      </c>
      <c r="R159" s="4" t="s">
        <v>0</v>
      </c>
      <c r="S159" s="16" t="str">
        <f t="shared" si="233"/>
        <v>16-08</v>
      </c>
      <c r="T159" s="14">
        <f t="shared" si="234"/>
        <v>331</v>
      </c>
      <c r="U159" s="18">
        <f t="shared" si="235"/>
        <v>538</v>
      </c>
      <c r="V159" s="14">
        <f t="shared" si="236"/>
        <v>347</v>
      </c>
      <c r="W159" s="18">
        <f t="shared" si="237"/>
        <v>538</v>
      </c>
      <c r="X159" s="14">
        <f t="shared" si="238"/>
        <v>347</v>
      </c>
      <c r="Y159" s="18">
        <f t="shared" si="239"/>
        <v>523</v>
      </c>
      <c r="Z159" s="14">
        <f t="shared" si="240"/>
        <v>331</v>
      </c>
      <c r="AA159" s="18">
        <f t="shared" si="241"/>
        <v>523</v>
      </c>
      <c r="AB159" s="4" t="s">
        <v>0</v>
      </c>
    </row>
    <row r="160" spans="1:28">
      <c r="A160" s="9" t="s">
        <v>248</v>
      </c>
      <c r="B160" s="24"/>
      <c r="C160" s="26"/>
      <c r="D160" s="25">
        <f t="shared" si="247"/>
        <v>348</v>
      </c>
      <c r="E160" s="29">
        <f t="shared" ref="E160" si="262">E159</f>
        <v>212</v>
      </c>
      <c r="F160" s="25">
        <f t="shared" si="249"/>
        <v>364</v>
      </c>
      <c r="G160" s="29">
        <f t="shared" si="208"/>
        <v>227</v>
      </c>
      <c r="H160" s="4" t="s">
        <v>0</v>
      </c>
      <c r="I160" s="16" t="str">
        <f t="shared" si="224"/>
        <v>16-07</v>
      </c>
      <c r="J160" s="14">
        <f t="shared" si="225"/>
        <v>348</v>
      </c>
      <c r="K160" s="15">
        <f t="shared" si="226"/>
        <v>212</v>
      </c>
      <c r="L160" s="17">
        <f t="shared" si="227"/>
        <v>364</v>
      </c>
      <c r="M160" s="18">
        <f t="shared" si="228"/>
        <v>212</v>
      </c>
      <c r="N160" s="14">
        <f t="shared" si="229"/>
        <v>364</v>
      </c>
      <c r="O160" s="15">
        <f t="shared" si="230"/>
        <v>227</v>
      </c>
      <c r="P160" s="17">
        <f t="shared" si="231"/>
        <v>348</v>
      </c>
      <c r="Q160" s="18">
        <f t="shared" si="232"/>
        <v>227</v>
      </c>
      <c r="R160" s="4" t="s">
        <v>0</v>
      </c>
      <c r="S160" s="16" t="str">
        <f t="shared" si="233"/>
        <v>16-07</v>
      </c>
      <c r="T160" s="14">
        <f t="shared" si="234"/>
        <v>348</v>
      </c>
      <c r="U160" s="18">
        <f t="shared" si="235"/>
        <v>538</v>
      </c>
      <c r="V160" s="14">
        <f t="shared" si="236"/>
        <v>364</v>
      </c>
      <c r="W160" s="18">
        <f t="shared" si="237"/>
        <v>538</v>
      </c>
      <c r="X160" s="14">
        <f t="shared" si="238"/>
        <v>364</v>
      </c>
      <c r="Y160" s="18">
        <f t="shared" si="239"/>
        <v>523</v>
      </c>
      <c r="Z160" s="14">
        <f t="shared" si="240"/>
        <v>348</v>
      </c>
      <c r="AA160" s="18">
        <f t="shared" si="241"/>
        <v>523</v>
      </c>
      <c r="AB160" s="4" t="s">
        <v>0</v>
      </c>
    </row>
    <row r="161" spans="1:28">
      <c r="A161" s="9" t="s">
        <v>247</v>
      </c>
      <c r="B161" s="24"/>
      <c r="C161" s="26"/>
      <c r="D161" s="25">
        <f t="shared" si="247"/>
        <v>364</v>
      </c>
      <c r="E161" s="29">
        <f t="shared" ref="E161" si="263">E160</f>
        <v>212</v>
      </c>
      <c r="F161" s="25">
        <f t="shared" si="249"/>
        <v>380</v>
      </c>
      <c r="G161" s="29">
        <f t="shared" si="208"/>
        <v>227</v>
      </c>
      <c r="H161" s="4" t="s">
        <v>0</v>
      </c>
      <c r="I161" s="16" t="str">
        <f t="shared" si="224"/>
        <v>16-06</v>
      </c>
      <c r="J161" s="14">
        <f t="shared" si="225"/>
        <v>364</v>
      </c>
      <c r="K161" s="15">
        <f t="shared" si="226"/>
        <v>212</v>
      </c>
      <c r="L161" s="17">
        <f t="shared" si="227"/>
        <v>380</v>
      </c>
      <c r="M161" s="18">
        <f t="shared" si="228"/>
        <v>212</v>
      </c>
      <c r="N161" s="14">
        <f t="shared" si="229"/>
        <v>380</v>
      </c>
      <c r="O161" s="15">
        <f t="shared" si="230"/>
        <v>227</v>
      </c>
      <c r="P161" s="17">
        <f t="shared" si="231"/>
        <v>364</v>
      </c>
      <c r="Q161" s="18">
        <f t="shared" si="232"/>
        <v>227</v>
      </c>
      <c r="R161" s="4" t="s">
        <v>0</v>
      </c>
      <c r="S161" s="16" t="str">
        <f t="shared" si="233"/>
        <v>16-06</v>
      </c>
      <c r="T161" s="14">
        <f t="shared" si="234"/>
        <v>364</v>
      </c>
      <c r="U161" s="18">
        <f t="shared" si="235"/>
        <v>538</v>
      </c>
      <c r="V161" s="14">
        <f t="shared" si="236"/>
        <v>380</v>
      </c>
      <c r="W161" s="18">
        <f t="shared" si="237"/>
        <v>538</v>
      </c>
      <c r="X161" s="14">
        <f t="shared" si="238"/>
        <v>380</v>
      </c>
      <c r="Y161" s="18">
        <f t="shared" si="239"/>
        <v>523</v>
      </c>
      <c r="Z161" s="14">
        <f t="shared" si="240"/>
        <v>364</v>
      </c>
      <c r="AA161" s="18">
        <f t="shared" si="241"/>
        <v>523</v>
      </c>
      <c r="AB161" s="4" t="s">
        <v>0</v>
      </c>
    </row>
    <row r="162" spans="1:28">
      <c r="A162" s="9" t="s">
        <v>246</v>
      </c>
      <c r="B162" s="24"/>
      <c r="C162" s="26"/>
      <c r="D162" s="25">
        <f t="shared" si="247"/>
        <v>380</v>
      </c>
      <c r="E162" s="29">
        <f t="shared" ref="E162" si="264">E161</f>
        <v>212</v>
      </c>
      <c r="F162" s="25">
        <f t="shared" si="249"/>
        <v>396</v>
      </c>
      <c r="G162" s="29">
        <f t="shared" si="208"/>
        <v>227</v>
      </c>
      <c r="H162" s="4" t="s">
        <v>0</v>
      </c>
      <c r="I162" s="16" t="str">
        <f t="shared" si="224"/>
        <v>16-05</v>
      </c>
      <c r="J162" s="14">
        <f t="shared" si="225"/>
        <v>380</v>
      </c>
      <c r="K162" s="15">
        <f t="shared" si="226"/>
        <v>212</v>
      </c>
      <c r="L162" s="17">
        <f t="shared" si="227"/>
        <v>396</v>
      </c>
      <c r="M162" s="18">
        <f t="shared" si="228"/>
        <v>212</v>
      </c>
      <c r="N162" s="14">
        <f t="shared" si="229"/>
        <v>396</v>
      </c>
      <c r="O162" s="15">
        <f t="shared" si="230"/>
        <v>227</v>
      </c>
      <c r="P162" s="17">
        <f t="shared" si="231"/>
        <v>380</v>
      </c>
      <c r="Q162" s="18">
        <f t="shared" si="232"/>
        <v>227</v>
      </c>
      <c r="R162" s="4" t="s">
        <v>0</v>
      </c>
      <c r="S162" s="16" t="str">
        <f t="shared" si="233"/>
        <v>16-05</v>
      </c>
      <c r="T162" s="14">
        <f t="shared" si="234"/>
        <v>380</v>
      </c>
      <c r="U162" s="18">
        <f t="shared" si="235"/>
        <v>538</v>
      </c>
      <c r="V162" s="14">
        <f t="shared" si="236"/>
        <v>396</v>
      </c>
      <c r="W162" s="18">
        <f t="shared" si="237"/>
        <v>538</v>
      </c>
      <c r="X162" s="14">
        <f t="shared" si="238"/>
        <v>396</v>
      </c>
      <c r="Y162" s="18">
        <f t="shared" si="239"/>
        <v>523</v>
      </c>
      <c r="Z162" s="14">
        <f t="shared" si="240"/>
        <v>380</v>
      </c>
      <c r="AA162" s="18">
        <f t="shared" si="241"/>
        <v>523</v>
      </c>
      <c r="AB162" s="4" t="s">
        <v>0</v>
      </c>
    </row>
    <row r="163" spans="1:28">
      <c r="A163" s="9" t="s">
        <v>245</v>
      </c>
      <c r="B163" s="24"/>
      <c r="C163" s="26"/>
      <c r="D163" s="25">
        <f t="shared" si="247"/>
        <v>396</v>
      </c>
      <c r="E163" s="29">
        <f t="shared" ref="E163" si="265">E162</f>
        <v>212</v>
      </c>
      <c r="F163" s="25">
        <f t="shared" si="249"/>
        <v>412</v>
      </c>
      <c r="G163" s="29">
        <f t="shared" si="208"/>
        <v>227</v>
      </c>
      <c r="H163" s="4" t="s">
        <v>0</v>
      </c>
      <c r="I163" s="16" t="str">
        <f t="shared" si="224"/>
        <v>16-03</v>
      </c>
      <c r="J163" s="14">
        <f t="shared" si="225"/>
        <v>396</v>
      </c>
      <c r="K163" s="15">
        <f t="shared" si="226"/>
        <v>212</v>
      </c>
      <c r="L163" s="17">
        <f t="shared" si="227"/>
        <v>412</v>
      </c>
      <c r="M163" s="18">
        <f t="shared" si="228"/>
        <v>212</v>
      </c>
      <c r="N163" s="14">
        <f t="shared" si="229"/>
        <v>412</v>
      </c>
      <c r="O163" s="15">
        <f t="shared" si="230"/>
        <v>227</v>
      </c>
      <c r="P163" s="17">
        <f t="shared" si="231"/>
        <v>396</v>
      </c>
      <c r="Q163" s="18">
        <f t="shared" si="232"/>
        <v>227</v>
      </c>
      <c r="R163" s="4" t="s">
        <v>0</v>
      </c>
      <c r="S163" s="16" t="str">
        <f t="shared" si="233"/>
        <v>16-03</v>
      </c>
      <c r="T163" s="14">
        <f t="shared" si="234"/>
        <v>396</v>
      </c>
      <c r="U163" s="18">
        <f t="shared" si="235"/>
        <v>538</v>
      </c>
      <c r="V163" s="14">
        <f t="shared" si="236"/>
        <v>412</v>
      </c>
      <c r="W163" s="18">
        <f t="shared" si="237"/>
        <v>538</v>
      </c>
      <c r="X163" s="14">
        <f t="shared" si="238"/>
        <v>412</v>
      </c>
      <c r="Y163" s="18">
        <f t="shared" si="239"/>
        <v>523</v>
      </c>
      <c r="Z163" s="14">
        <f t="shared" si="240"/>
        <v>396</v>
      </c>
      <c r="AA163" s="18">
        <f t="shared" si="241"/>
        <v>523</v>
      </c>
      <c r="AB163" s="4" t="s">
        <v>0</v>
      </c>
    </row>
    <row r="164" spans="1:28">
      <c r="A164" s="9" t="s">
        <v>244</v>
      </c>
      <c r="B164" s="24"/>
      <c r="C164" s="26"/>
      <c r="D164" s="25">
        <f t="shared" si="247"/>
        <v>413</v>
      </c>
      <c r="E164" s="29">
        <f t="shared" ref="E164" si="266">E163</f>
        <v>212</v>
      </c>
      <c r="F164" s="25">
        <f t="shared" si="249"/>
        <v>429</v>
      </c>
      <c r="G164" s="29">
        <f t="shared" si="208"/>
        <v>227</v>
      </c>
      <c r="H164" s="4" t="s">
        <v>0</v>
      </c>
      <c r="I164" s="16" t="str">
        <f t="shared" si="224"/>
        <v>16-02</v>
      </c>
      <c r="J164" s="14">
        <f t="shared" si="225"/>
        <v>413</v>
      </c>
      <c r="K164" s="15">
        <f t="shared" si="226"/>
        <v>212</v>
      </c>
      <c r="L164" s="17">
        <f t="shared" si="227"/>
        <v>429</v>
      </c>
      <c r="M164" s="18">
        <f t="shared" si="228"/>
        <v>212</v>
      </c>
      <c r="N164" s="14">
        <f t="shared" si="229"/>
        <v>429</v>
      </c>
      <c r="O164" s="15">
        <f t="shared" si="230"/>
        <v>227</v>
      </c>
      <c r="P164" s="17">
        <f t="shared" si="231"/>
        <v>413</v>
      </c>
      <c r="Q164" s="18">
        <f t="shared" si="232"/>
        <v>227</v>
      </c>
      <c r="R164" s="4" t="s">
        <v>0</v>
      </c>
      <c r="S164" s="16" t="str">
        <f t="shared" si="233"/>
        <v>16-02</v>
      </c>
      <c r="T164" s="14">
        <f t="shared" si="234"/>
        <v>413</v>
      </c>
      <c r="U164" s="18">
        <f t="shared" si="235"/>
        <v>538</v>
      </c>
      <c r="V164" s="14">
        <f t="shared" si="236"/>
        <v>429</v>
      </c>
      <c r="W164" s="18">
        <f t="shared" si="237"/>
        <v>538</v>
      </c>
      <c r="X164" s="14">
        <f t="shared" si="238"/>
        <v>429</v>
      </c>
      <c r="Y164" s="18">
        <f t="shared" si="239"/>
        <v>523</v>
      </c>
      <c r="Z164" s="14">
        <f t="shared" si="240"/>
        <v>413</v>
      </c>
      <c r="AA164" s="18">
        <f t="shared" si="241"/>
        <v>523</v>
      </c>
      <c r="AB164" s="4" t="s">
        <v>0</v>
      </c>
    </row>
    <row r="165" spans="1:28">
      <c r="A165" s="9" t="s">
        <v>243</v>
      </c>
      <c r="B165" s="24"/>
      <c r="C165" s="26"/>
      <c r="D165" s="25">
        <f t="shared" si="247"/>
        <v>429</v>
      </c>
      <c r="E165" s="29">
        <f t="shared" ref="E165" si="267">E164</f>
        <v>212</v>
      </c>
      <c r="F165" s="25">
        <f t="shared" si="249"/>
        <v>445</v>
      </c>
      <c r="G165" s="29">
        <f t="shared" si="208"/>
        <v>227</v>
      </c>
      <c r="H165" s="4" t="s">
        <v>0</v>
      </c>
      <c r="I165" s="16" t="str">
        <f t="shared" si="224"/>
        <v>16-01</v>
      </c>
      <c r="J165" s="14">
        <f t="shared" si="225"/>
        <v>429</v>
      </c>
      <c r="K165" s="15">
        <f t="shared" si="226"/>
        <v>212</v>
      </c>
      <c r="L165" s="17">
        <f t="shared" si="227"/>
        <v>445</v>
      </c>
      <c r="M165" s="18">
        <f t="shared" si="228"/>
        <v>212</v>
      </c>
      <c r="N165" s="14">
        <f t="shared" si="229"/>
        <v>445</v>
      </c>
      <c r="O165" s="15">
        <f t="shared" si="230"/>
        <v>227</v>
      </c>
      <c r="P165" s="17">
        <f t="shared" si="231"/>
        <v>429</v>
      </c>
      <c r="Q165" s="18">
        <f t="shared" si="232"/>
        <v>227</v>
      </c>
      <c r="R165" s="4" t="s">
        <v>0</v>
      </c>
      <c r="S165" s="16" t="str">
        <f t="shared" si="233"/>
        <v>16-01</v>
      </c>
      <c r="T165" s="14">
        <f t="shared" si="234"/>
        <v>429</v>
      </c>
      <c r="U165" s="18">
        <f t="shared" si="235"/>
        <v>538</v>
      </c>
      <c r="V165" s="14">
        <f t="shared" si="236"/>
        <v>445</v>
      </c>
      <c r="W165" s="18">
        <f t="shared" si="237"/>
        <v>538</v>
      </c>
      <c r="X165" s="14">
        <f t="shared" si="238"/>
        <v>445</v>
      </c>
      <c r="Y165" s="18">
        <f t="shared" si="239"/>
        <v>523</v>
      </c>
      <c r="Z165" s="14">
        <f t="shared" si="240"/>
        <v>429</v>
      </c>
      <c r="AA165" s="18">
        <f t="shared" si="241"/>
        <v>523</v>
      </c>
      <c r="AB165" s="4" t="s">
        <v>0</v>
      </c>
    </row>
    <row r="166" spans="1:28">
      <c r="A166" s="9" t="s">
        <v>235</v>
      </c>
      <c r="B166" s="24"/>
      <c r="C166" s="26"/>
      <c r="D166" s="27">
        <v>268</v>
      </c>
      <c r="E166" s="31">
        <v>276</v>
      </c>
      <c r="F166" s="31">
        <v>284</v>
      </c>
      <c r="G166" s="31">
        <v>292</v>
      </c>
      <c r="H166" s="4" t="s">
        <v>0</v>
      </c>
      <c r="I166" s="16" t="str">
        <f t="shared" si="224"/>
        <v>15-15</v>
      </c>
      <c r="J166" s="14">
        <f t="shared" si="225"/>
        <v>268</v>
      </c>
      <c r="K166" s="15">
        <f t="shared" si="226"/>
        <v>276</v>
      </c>
      <c r="L166" s="17">
        <f t="shared" si="227"/>
        <v>284</v>
      </c>
      <c r="M166" s="18">
        <f t="shared" si="228"/>
        <v>276</v>
      </c>
      <c r="N166" s="14">
        <f t="shared" si="229"/>
        <v>284</v>
      </c>
      <c r="O166" s="15">
        <f t="shared" si="230"/>
        <v>292</v>
      </c>
      <c r="P166" s="17">
        <f t="shared" si="231"/>
        <v>268</v>
      </c>
      <c r="Q166" s="18">
        <f t="shared" si="232"/>
        <v>292</v>
      </c>
      <c r="R166" s="4" t="s">
        <v>0</v>
      </c>
      <c r="S166" s="16" t="str">
        <f t="shared" si="233"/>
        <v>15-15</v>
      </c>
      <c r="T166" s="14">
        <f t="shared" si="234"/>
        <v>268</v>
      </c>
      <c r="U166" s="18">
        <f t="shared" si="235"/>
        <v>474</v>
      </c>
      <c r="V166" s="14">
        <f t="shared" si="236"/>
        <v>284</v>
      </c>
      <c r="W166" s="18">
        <f t="shared" si="237"/>
        <v>474</v>
      </c>
      <c r="X166" s="14">
        <f t="shared" si="238"/>
        <v>284</v>
      </c>
      <c r="Y166" s="18">
        <f t="shared" si="239"/>
        <v>458</v>
      </c>
      <c r="Z166" s="14">
        <f t="shared" si="240"/>
        <v>268</v>
      </c>
      <c r="AA166" s="18">
        <f t="shared" si="241"/>
        <v>458</v>
      </c>
      <c r="AB166" s="4" t="s">
        <v>0</v>
      </c>
    </row>
    <row r="167" spans="1:28">
      <c r="A167" s="9" t="s">
        <v>234</v>
      </c>
      <c r="B167" s="24"/>
      <c r="C167" s="26">
        <v>1</v>
      </c>
      <c r="D167" s="28">
        <f>ROUND(D$166+16.1*$C167, 0)</f>
        <v>284</v>
      </c>
      <c r="E167" s="29">
        <f t="shared" ref="E167" si="268">E166</f>
        <v>276</v>
      </c>
      <c r="F167" s="28">
        <f>ROUND(F$166+16.1*$C167, 0)</f>
        <v>300</v>
      </c>
      <c r="G167" s="29">
        <f t="shared" ref="G167:G177" si="269">G166</f>
        <v>292</v>
      </c>
      <c r="H167" s="4" t="s">
        <v>0</v>
      </c>
      <c r="I167" s="16" t="str">
        <f t="shared" si="224"/>
        <v>15-13</v>
      </c>
      <c r="J167" s="14">
        <f t="shared" si="225"/>
        <v>284</v>
      </c>
      <c r="K167" s="15">
        <f t="shared" si="226"/>
        <v>276</v>
      </c>
      <c r="L167" s="17">
        <f t="shared" si="227"/>
        <v>300</v>
      </c>
      <c r="M167" s="18">
        <f t="shared" si="228"/>
        <v>276</v>
      </c>
      <c r="N167" s="14">
        <f t="shared" si="229"/>
        <v>300</v>
      </c>
      <c r="O167" s="15">
        <f t="shared" si="230"/>
        <v>292</v>
      </c>
      <c r="P167" s="17">
        <f t="shared" si="231"/>
        <v>284</v>
      </c>
      <c r="Q167" s="18">
        <f t="shared" si="232"/>
        <v>292</v>
      </c>
      <c r="R167" s="4" t="s">
        <v>0</v>
      </c>
      <c r="S167" s="16" t="str">
        <f t="shared" si="233"/>
        <v>15-13</v>
      </c>
      <c r="T167" s="14">
        <f t="shared" si="234"/>
        <v>284</v>
      </c>
      <c r="U167" s="18">
        <f t="shared" si="235"/>
        <v>474</v>
      </c>
      <c r="V167" s="14">
        <f t="shared" si="236"/>
        <v>300</v>
      </c>
      <c r="W167" s="18">
        <f t="shared" si="237"/>
        <v>474</v>
      </c>
      <c r="X167" s="14">
        <f t="shared" si="238"/>
        <v>300</v>
      </c>
      <c r="Y167" s="18">
        <f t="shared" si="239"/>
        <v>458</v>
      </c>
      <c r="Z167" s="14">
        <f t="shared" si="240"/>
        <v>284</v>
      </c>
      <c r="AA167" s="18">
        <f t="shared" si="241"/>
        <v>458</v>
      </c>
      <c r="AB167" s="4" t="s">
        <v>0</v>
      </c>
    </row>
    <row r="168" spans="1:28">
      <c r="A168" s="9" t="s">
        <v>233</v>
      </c>
      <c r="B168" s="24"/>
      <c r="C168" s="26">
        <v>2</v>
      </c>
      <c r="D168" s="28">
        <f t="shared" ref="D168:D177" si="270">ROUND(D$166+16.1*$C168, 0)</f>
        <v>300</v>
      </c>
      <c r="E168" s="29">
        <f t="shared" ref="E168" si="271">E167</f>
        <v>276</v>
      </c>
      <c r="F168" s="28">
        <f t="shared" ref="F168:F177" si="272">ROUND(F$166+16.1*$C168, 0)</f>
        <v>316</v>
      </c>
      <c r="G168" s="29">
        <f t="shared" si="269"/>
        <v>292</v>
      </c>
      <c r="H168" s="4" t="s">
        <v>0</v>
      </c>
      <c r="I168" s="16" t="str">
        <f t="shared" si="224"/>
        <v>15-12</v>
      </c>
      <c r="J168" s="14">
        <f t="shared" si="225"/>
        <v>300</v>
      </c>
      <c r="K168" s="15">
        <f t="shared" si="226"/>
        <v>276</v>
      </c>
      <c r="L168" s="17">
        <f t="shared" si="227"/>
        <v>316</v>
      </c>
      <c r="M168" s="18">
        <f t="shared" si="228"/>
        <v>276</v>
      </c>
      <c r="N168" s="14">
        <f t="shared" si="229"/>
        <v>316</v>
      </c>
      <c r="O168" s="15">
        <f t="shared" si="230"/>
        <v>292</v>
      </c>
      <c r="P168" s="17">
        <f t="shared" si="231"/>
        <v>300</v>
      </c>
      <c r="Q168" s="18">
        <f t="shared" si="232"/>
        <v>292</v>
      </c>
      <c r="R168" s="4" t="s">
        <v>0</v>
      </c>
      <c r="S168" s="16" t="str">
        <f t="shared" si="233"/>
        <v>15-12</v>
      </c>
      <c r="T168" s="14">
        <f t="shared" si="234"/>
        <v>300</v>
      </c>
      <c r="U168" s="18">
        <f t="shared" si="235"/>
        <v>474</v>
      </c>
      <c r="V168" s="14">
        <f t="shared" si="236"/>
        <v>316</v>
      </c>
      <c r="W168" s="18">
        <f t="shared" si="237"/>
        <v>474</v>
      </c>
      <c r="X168" s="14">
        <f t="shared" si="238"/>
        <v>316</v>
      </c>
      <c r="Y168" s="18">
        <f t="shared" si="239"/>
        <v>458</v>
      </c>
      <c r="Z168" s="14">
        <f t="shared" si="240"/>
        <v>300</v>
      </c>
      <c r="AA168" s="18">
        <f t="shared" si="241"/>
        <v>458</v>
      </c>
      <c r="AB168" s="4" t="s">
        <v>0</v>
      </c>
    </row>
    <row r="169" spans="1:28">
      <c r="A169" s="9" t="s">
        <v>232</v>
      </c>
      <c r="B169" s="24"/>
      <c r="C169" s="26">
        <v>3</v>
      </c>
      <c r="D169" s="28">
        <f t="shared" si="270"/>
        <v>316</v>
      </c>
      <c r="E169" s="29">
        <f t="shared" ref="E169" si="273">E168</f>
        <v>276</v>
      </c>
      <c r="F169" s="28">
        <f t="shared" si="272"/>
        <v>332</v>
      </c>
      <c r="G169" s="29">
        <f t="shared" si="269"/>
        <v>292</v>
      </c>
      <c r="H169" s="4" t="s">
        <v>0</v>
      </c>
      <c r="I169" s="16" t="str">
        <f t="shared" si="224"/>
        <v>15-11</v>
      </c>
      <c r="J169" s="14">
        <f t="shared" si="225"/>
        <v>316</v>
      </c>
      <c r="K169" s="15">
        <f t="shared" si="226"/>
        <v>276</v>
      </c>
      <c r="L169" s="17">
        <f t="shared" si="227"/>
        <v>332</v>
      </c>
      <c r="M169" s="18">
        <f t="shared" si="228"/>
        <v>276</v>
      </c>
      <c r="N169" s="14">
        <f t="shared" si="229"/>
        <v>332</v>
      </c>
      <c r="O169" s="15">
        <f t="shared" si="230"/>
        <v>292</v>
      </c>
      <c r="P169" s="17">
        <f t="shared" si="231"/>
        <v>316</v>
      </c>
      <c r="Q169" s="18">
        <f t="shared" si="232"/>
        <v>292</v>
      </c>
      <c r="R169" s="4" t="s">
        <v>0</v>
      </c>
      <c r="S169" s="16" t="str">
        <f t="shared" si="233"/>
        <v>15-11</v>
      </c>
      <c r="T169" s="14">
        <f t="shared" si="234"/>
        <v>316</v>
      </c>
      <c r="U169" s="18">
        <f t="shared" si="235"/>
        <v>474</v>
      </c>
      <c r="V169" s="14">
        <f t="shared" si="236"/>
        <v>332</v>
      </c>
      <c r="W169" s="18">
        <f t="shared" si="237"/>
        <v>474</v>
      </c>
      <c r="X169" s="14">
        <f t="shared" si="238"/>
        <v>332</v>
      </c>
      <c r="Y169" s="18">
        <f t="shared" si="239"/>
        <v>458</v>
      </c>
      <c r="Z169" s="14">
        <f t="shared" si="240"/>
        <v>316</v>
      </c>
      <c r="AA169" s="18">
        <f t="shared" si="241"/>
        <v>458</v>
      </c>
      <c r="AB169" s="4" t="s">
        <v>0</v>
      </c>
    </row>
    <row r="170" spans="1:28">
      <c r="A170" s="9" t="s">
        <v>231</v>
      </c>
      <c r="B170" s="24"/>
      <c r="C170" s="26">
        <v>4</v>
      </c>
      <c r="D170" s="28">
        <f t="shared" si="270"/>
        <v>332</v>
      </c>
      <c r="E170" s="29">
        <f t="shared" ref="E170" si="274">E169</f>
        <v>276</v>
      </c>
      <c r="F170" s="28">
        <f t="shared" si="272"/>
        <v>348</v>
      </c>
      <c r="G170" s="29">
        <f t="shared" si="269"/>
        <v>292</v>
      </c>
      <c r="H170" s="4" t="s">
        <v>0</v>
      </c>
      <c r="I170" s="16" t="str">
        <f t="shared" si="224"/>
        <v>15-10</v>
      </c>
      <c r="J170" s="14">
        <f t="shared" si="225"/>
        <v>332</v>
      </c>
      <c r="K170" s="15">
        <f t="shared" si="226"/>
        <v>276</v>
      </c>
      <c r="L170" s="17">
        <f t="shared" si="227"/>
        <v>348</v>
      </c>
      <c r="M170" s="18">
        <f t="shared" si="228"/>
        <v>276</v>
      </c>
      <c r="N170" s="14">
        <f t="shared" si="229"/>
        <v>348</v>
      </c>
      <c r="O170" s="15">
        <f t="shared" si="230"/>
        <v>292</v>
      </c>
      <c r="P170" s="17">
        <f t="shared" si="231"/>
        <v>332</v>
      </c>
      <c r="Q170" s="18">
        <f t="shared" si="232"/>
        <v>292</v>
      </c>
      <c r="R170" s="4" t="s">
        <v>0</v>
      </c>
      <c r="S170" s="16" t="str">
        <f t="shared" si="233"/>
        <v>15-10</v>
      </c>
      <c r="T170" s="14">
        <f t="shared" si="234"/>
        <v>332</v>
      </c>
      <c r="U170" s="18">
        <f t="shared" si="235"/>
        <v>474</v>
      </c>
      <c r="V170" s="14">
        <f t="shared" si="236"/>
        <v>348</v>
      </c>
      <c r="W170" s="18">
        <f t="shared" si="237"/>
        <v>474</v>
      </c>
      <c r="X170" s="14">
        <f t="shared" si="238"/>
        <v>348</v>
      </c>
      <c r="Y170" s="18">
        <f t="shared" si="239"/>
        <v>458</v>
      </c>
      <c r="Z170" s="14">
        <f t="shared" si="240"/>
        <v>332</v>
      </c>
      <c r="AA170" s="18">
        <f t="shared" si="241"/>
        <v>458</v>
      </c>
      <c r="AB170" s="4" t="s">
        <v>0</v>
      </c>
    </row>
    <row r="171" spans="1:28">
      <c r="A171" s="9" t="s">
        <v>230</v>
      </c>
      <c r="B171" s="24"/>
      <c r="C171" s="26">
        <v>5</v>
      </c>
      <c r="D171" s="28">
        <f t="shared" si="270"/>
        <v>349</v>
      </c>
      <c r="E171" s="29">
        <f t="shared" ref="E171" si="275">E170</f>
        <v>276</v>
      </c>
      <c r="F171" s="28">
        <f t="shared" si="272"/>
        <v>365</v>
      </c>
      <c r="G171" s="29">
        <f t="shared" si="269"/>
        <v>292</v>
      </c>
      <c r="H171" s="4" t="s">
        <v>0</v>
      </c>
      <c r="I171" s="16" t="str">
        <f t="shared" si="224"/>
        <v>15-08</v>
      </c>
      <c r="J171" s="14">
        <f t="shared" si="225"/>
        <v>349</v>
      </c>
      <c r="K171" s="15">
        <f t="shared" si="226"/>
        <v>276</v>
      </c>
      <c r="L171" s="17">
        <f t="shared" si="227"/>
        <v>365</v>
      </c>
      <c r="M171" s="18">
        <f t="shared" si="228"/>
        <v>276</v>
      </c>
      <c r="N171" s="14">
        <f t="shared" si="229"/>
        <v>365</v>
      </c>
      <c r="O171" s="15">
        <f t="shared" si="230"/>
        <v>292</v>
      </c>
      <c r="P171" s="17">
        <f t="shared" si="231"/>
        <v>349</v>
      </c>
      <c r="Q171" s="18">
        <f t="shared" si="232"/>
        <v>292</v>
      </c>
      <c r="R171" s="4" t="s">
        <v>0</v>
      </c>
      <c r="S171" s="16" t="str">
        <f t="shared" si="233"/>
        <v>15-08</v>
      </c>
      <c r="T171" s="14">
        <f t="shared" si="234"/>
        <v>349</v>
      </c>
      <c r="U171" s="18">
        <f t="shared" si="235"/>
        <v>474</v>
      </c>
      <c r="V171" s="14">
        <f t="shared" si="236"/>
        <v>365</v>
      </c>
      <c r="W171" s="18">
        <f t="shared" si="237"/>
        <v>474</v>
      </c>
      <c r="X171" s="14">
        <f t="shared" si="238"/>
        <v>365</v>
      </c>
      <c r="Y171" s="18">
        <f t="shared" si="239"/>
        <v>458</v>
      </c>
      <c r="Z171" s="14">
        <f t="shared" si="240"/>
        <v>349</v>
      </c>
      <c r="AA171" s="18">
        <f t="shared" si="241"/>
        <v>458</v>
      </c>
      <c r="AB171" s="4" t="s">
        <v>0</v>
      </c>
    </row>
    <row r="172" spans="1:28">
      <c r="A172" s="9" t="s">
        <v>229</v>
      </c>
      <c r="B172" s="24"/>
      <c r="C172" s="26">
        <v>6</v>
      </c>
      <c r="D172" s="28">
        <f t="shared" si="270"/>
        <v>365</v>
      </c>
      <c r="E172" s="29">
        <f t="shared" ref="E172" si="276">E171</f>
        <v>276</v>
      </c>
      <c r="F172" s="28">
        <f t="shared" si="272"/>
        <v>381</v>
      </c>
      <c r="G172" s="29">
        <f t="shared" si="269"/>
        <v>292</v>
      </c>
      <c r="H172" s="4" t="s">
        <v>0</v>
      </c>
      <c r="I172" s="16" t="str">
        <f t="shared" si="224"/>
        <v>15-07</v>
      </c>
      <c r="J172" s="14">
        <f t="shared" si="225"/>
        <v>365</v>
      </c>
      <c r="K172" s="15">
        <f t="shared" si="226"/>
        <v>276</v>
      </c>
      <c r="L172" s="17">
        <f t="shared" si="227"/>
        <v>381</v>
      </c>
      <c r="M172" s="18">
        <f t="shared" si="228"/>
        <v>276</v>
      </c>
      <c r="N172" s="14">
        <f t="shared" si="229"/>
        <v>381</v>
      </c>
      <c r="O172" s="15">
        <f t="shared" si="230"/>
        <v>292</v>
      </c>
      <c r="P172" s="17">
        <f t="shared" si="231"/>
        <v>365</v>
      </c>
      <c r="Q172" s="18">
        <f t="shared" si="232"/>
        <v>292</v>
      </c>
      <c r="R172" s="4" t="s">
        <v>0</v>
      </c>
      <c r="S172" s="16" t="str">
        <f t="shared" si="233"/>
        <v>15-07</v>
      </c>
      <c r="T172" s="14">
        <f t="shared" si="234"/>
        <v>365</v>
      </c>
      <c r="U172" s="18">
        <f t="shared" si="235"/>
        <v>474</v>
      </c>
      <c r="V172" s="14">
        <f t="shared" si="236"/>
        <v>381</v>
      </c>
      <c r="W172" s="18">
        <f t="shared" si="237"/>
        <v>474</v>
      </c>
      <c r="X172" s="14">
        <f t="shared" si="238"/>
        <v>381</v>
      </c>
      <c r="Y172" s="18">
        <f t="shared" si="239"/>
        <v>458</v>
      </c>
      <c r="Z172" s="14">
        <f t="shared" si="240"/>
        <v>365</v>
      </c>
      <c r="AA172" s="18">
        <f t="shared" si="241"/>
        <v>458</v>
      </c>
      <c r="AB172" s="4" t="s">
        <v>0</v>
      </c>
    </row>
    <row r="173" spans="1:28">
      <c r="A173" s="9" t="s">
        <v>228</v>
      </c>
      <c r="B173" s="24"/>
      <c r="C173" s="26">
        <v>7</v>
      </c>
      <c r="D173" s="28">
        <f t="shared" si="270"/>
        <v>381</v>
      </c>
      <c r="E173" s="29">
        <f t="shared" ref="E173" si="277">E172</f>
        <v>276</v>
      </c>
      <c r="F173" s="28">
        <f t="shared" si="272"/>
        <v>397</v>
      </c>
      <c r="G173" s="29">
        <f t="shared" si="269"/>
        <v>292</v>
      </c>
      <c r="H173" s="4" t="s">
        <v>0</v>
      </c>
      <c r="I173" s="16" t="str">
        <f t="shared" si="224"/>
        <v>15-06</v>
      </c>
      <c r="J173" s="14">
        <f t="shared" si="225"/>
        <v>381</v>
      </c>
      <c r="K173" s="15">
        <f t="shared" si="226"/>
        <v>276</v>
      </c>
      <c r="L173" s="17">
        <f t="shared" si="227"/>
        <v>397</v>
      </c>
      <c r="M173" s="18">
        <f t="shared" si="228"/>
        <v>276</v>
      </c>
      <c r="N173" s="14">
        <f t="shared" si="229"/>
        <v>397</v>
      </c>
      <c r="O173" s="15">
        <f t="shared" si="230"/>
        <v>292</v>
      </c>
      <c r="P173" s="17">
        <f t="shared" si="231"/>
        <v>381</v>
      </c>
      <c r="Q173" s="18">
        <f t="shared" si="232"/>
        <v>292</v>
      </c>
      <c r="R173" s="4" t="s">
        <v>0</v>
      </c>
      <c r="S173" s="16" t="str">
        <f t="shared" si="233"/>
        <v>15-06</v>
      </c>
      <c r="T173" s="14">
        <f t="shared" si="234"/>
        <v>381</v>
      </c>
      <c r="U173" s="18">
        <f t="shared" si="235"/>
        <v>474</v>
      </c>
      <c r="V173" s="14">
        <f t="shared" si="236"/>
        <v>397</v>
      </c>
      <c r="W173" s="18">
        <f t="shared" si="237"/>
        <v>474</v>
      </c>
      <c r="X173" s="14">
        <f t="shared" si="238"/>
        <v>397</v>
      </c>
      <c r="Y173" s="18">
        <f t="shared" si="239"/>
        <v>458</v>
      </c>
      <c r="Z173" s="14">
        <f t="shared" si="240"/>
        <v>381</v>
      </c>
      <c r="AA173" s="18">
        <f t="shared" si="241"/>
        <v>458</v>
      </c>
      <c r="AB173" s="4" t="s">
        <v>0</v>
      </c>
    </row>
    <row r="174" spans="1:28">
      <c r="A174" s="9" t="s">
        <v>227</v>
      </c>
      <c r="B174" s="24"/>
      <c r="C174" s="26">
        <v>8</v>
      </c>
      <c r="D174" s="28">
        <f t="shared" si="270"/>
        <v>397</v>
      </c>
      <c r="E174" s="29">
        <f t="shared" ref="E174" si="278">E173</f>
        <v>276</v>
      </c>
      <c r="F174" s="28">
        <f t="shared" si="272"/>
        <v>413</v>
      </c>
      <c r="G174" s="29">
        <f t="shared" si="269"/>
        <v>292</v>
      </c>
      <c r="H174" s="4" t="s">
        <v>0</v>
      </c>
      <c r="I174" s="16" t="str">
        <f t="shared" si="224"/>
        <v>15-05</v>
      </c>
      <c r="J174" s="14">
        <f t="shared" si="225"/>
        <v>397</v>
      </c>
      <c r="K174" s="15">
        <f t="shared" si="226"/>
        <v>276</v>
      </c>
      <c r="L174" s="17">
        <f t="shared" si="227"/>
        <v>413</v>
      </c>
      <c r="M174" s="18">
        <f t="shared" si="228"/>
        <v>276</v>
      </c>
      <c r="N174" s="14">
        <f t="shared" si="229"/>
        <v>413</v>
      </c>
      <c r="O174" s="15">
        <f t="shared" si="230"/>
        <v>292</v>
      </c>
      <c r="P174" s="17">
        <f t="shared" si="231"/>
        <v>397</v>
      </c>
      <c r="Q174" s="18">
        <f t="shared" si="232"/>
        <v>292</v>
      </c>
      <c r="R174" s="4" t="s">
        <v>0</v>
      </c>
      <c r="S174" s="16" t="str">
        <f t="shared" si="233"/>
        <v>15-05</v>
      </c>
      <c r="T174" s="14">
        <f t="shared" si="234"/>
        <v>397</v>
      </c>
      <c r="U174" s="18">
        <f t="shared" si="235"/>
        <v>474</v>
      </c>
      <c r="V174" s="14">
        <f t="shared" si="236"/>
        <v>413</v>
      </c>
      <c r="W174" s="18">
        <f t="shared" si="237"/>
        <v>474</v>
      </c>
      <c r="X174" s="14">
        <f t="shared" si="238"/>
        <v>413</v>
      </c>
      <c r="Y174" s="18">
        <f t="shared" si="239"/>
        <v>458</v>
      </c>
      <c r="Z174" s="14">
        <f t="shared" si="240"/>
        <v>397</v>
      </c>
      <c r="AA174" s="18">
        <f t="shared" si="241"/>
        <v>458</v>
      </c>
      <c r="AB174" s="4" t="s">
        <v>0</v>
      </c>
    </row>
    <row r="175" spans="1:28">
      <c r="A175" s="9" t="s">
        <v>226</v>
      </c>
      <c r="B175" s="24"/>
      <c r="C175" s="26">
        <v>9</v>
      </c>
      <c r="D175" s="28">
        <f t="shared" si="270"/>
        <v>413</v>
      </c>
      <c r="E175" s="29">
        <f t="shared" ref="E175" si="279">E174</f>
        <v>276</v>
      </c>
      <c r="F175" s="28">
        <f t="shared" si="272"/>
        <v>429</v>
      </c>
      <c r="G175" s="29">
        <f t="shared" si="269"/>
        <v>292</v>
      </c>
      <c r="H175" s="4" t="s">
        <v>0</v>
      </c>
      <c r="I175" s="16" t="str">
        <f t="shared" si="224"/>
        <v>15-03</v>
      </c>
      <c r="J175" s="14">
        <f t="shared" si="225"/>
        <v>413</v>
      </c>
      <c r="K175" s="15">
        <f t="shared" si="226"/>
        <v>276</v>
      </c>
      <c r="L175" s="17">
        <f t="shared" si="227"/>
        <v>429</v>
      </c>
      <c r="M175" s="18">
        <f t="shared" si="228"/>
        <v>276</v>
      </c>
      <c r="N175" s="14">
        <f t="shared" si="229"/>
        <v>429</v>
      </c>
      <c r="O175" s="15">
        <f t="shared" si="230"/>
        <v>292</v>
      </c>
      <c r="P175" s="17">
        <f t="shared" si="231"/>
        <v>413</v>
      </c>
      <c r="Q175" s="18">
        <f t="shared" si="232"/>
        <v>292</v>
      </c>
      <c r="R175" s="4" t="s">
        <v>0</v>
      </c>
      <c r="S175" s="16" t="str">
        <f t="shared" si="233"/>
        <v>15-03</v>
      </c>
      <c r="T175" s="14">
        <f t="shared" si="234"/>
        <v>413</v>
      </c>
      <c r="U175" s="18">
        <f t="shared" si="235"/>
        <v>474</v>
      </c>
      <c r="V175" s="14">
        <f t="shared" si="236"/>
        <v>429</v>
      </c>
      <c r="W175" s="18">
        <f t="shared" si="237"/>
        <v>474</v>
      </c>
      <c r="X175" s="14">
        <f t="shared" si="238"/>
        <v>429</v>
      </c>
      <c r="Y175" s="18">
        <f t="shared" si="239"/>
        <v>458</v>
      </c>
      <c r="Z175" s="14">
        <f t="shared" si="240"/>
        <v>413</v>
      </c>
      <c r="AA175" s="18">
        <f t="shared" si="241"/>
        <v>458</v>
      </c>
      <c r="AB175" s="4" t="s">
        <v>0</v>
      </c>
    </row>
    <row r="176" spans="1:28">
      <c r="A176" s="9" t="s">
        <v>225</v>
      </c>
      <c r="B176" s="24"/>
      <c r="C176" s="26">
        <v>10</v>
      </c>
      <c r="D176" s="28">
        <f t="shared" si="270"/>
        <v>429</v>
      </c>
      <c r="E176" s="29">
        <f t="shared" ref="E176" si="280">E175</f>
        <v>276</v>
      </c>
      <c r="F176" s="28">
        <f t="shared" si="272"/>
        <v>445</v>
      </c>
      <c r="G176" s="29">
        <f t="shared" si="269"/>
        <v>292</v>
      </c>
      <c r="H176" s="4" t="s">
        <v>0</v>
      </c>
      <c r="I176" s="16" t="str">
        <f t="shared" si="0"/>
        <v>15-02</v>
      </c>
      <c r="J176" s="14">
        <f t="shared" si="3"/>
        <v>429</v>
      </c>
      <c r="K176" s="15">
        <f t="shared" si="3"/>
        <v>276</v>
      </c>
      <c r="L176" s="17">
        <f t="shared" si="4"/>
        <v>445</v>
      </c>
      <c r="M176" s="18">
        <f t="shared" si="5"/>
        <v>276</v>
      </c>
      <c r="N176" s="14">
        <f t="shared" si="6"/>
        <v>445</v>
      </c>
      <c r="O176" s="15">
        <f t="shared" si="6"/>
        <v>292</v>
      </c>
      <c r="P176" s="17">
        <f t="shared" si="7"/>
        <v>429</v>
      </c>
      <c r="Q176" s="18">
        <f t="shared" si="8"/>
        <v>292</v>
      </c>
      <c r="R176" s="4" t="s">
        <v>0</v>
      </c>
      <c r="S176" s="16" t="str">
        <f t="shared" si="9"/>
        <v>15-02</v>
      </c>
      <c r="T176" s="14">
        <f t="shared" si="10"/>
        <v>429</v>
      </c>
      <c r="U176" s="18">
        <f t="shared" si="11"/>
        <v>474</v>
      </c>
      <c r="V176" s="14">
        <f t="shared" si="1"/>
        <v>445</v>
      </c>
      <c r="W176" s="18">
        <f t="shared" si="12"/>
        <v>474</v>
      </c>
      <c r="X176" s="14">
        <f t="shared" si="1"/>
        <v>445</v>
      </c>
      <c r="Y176" s="18">
        <f t="shared" si="13"/>
        <v>458</v>
      </c>
      <c r="Z176" s="14">
        <f t="shared" si="1"/>
        <v>429</v>
      </c>
      <c r="AA176" s="18">
        <f t="shared" si="14"/>
        <v>458</v>
      </c>
      <c r="AB176" s="4" t="s">
        <v>0</v>
      </c>
    </row>
    <row r="177" spans="1:28">
      <c r="A177" s="9" t="s">
        <v>224</v>
      </c>
      <c r="B177" s="24"/>
      <c r="C177" s="26">
        <v>11</v>
      </c>
      <c r="D177" s="28">
        <f t="shared" si="270"/>
        <v>445</v>
      </c>
      <c r="E177" s="29">
        <f t="shared" ref="E177" si="281">E176</f>
        <v>276</v>
      </c>
      <c r="F177" s="28">
        <f t="shared" si="272"/>
        <v>461</v>
      </c>
      <c r="G177" s="29">
        <f t="shared" si="269"/>
        <v>292</v>
      </c>
      <c r="H177" s="4" t="s">
        <v>0</v>
      </c>
      <c r="I177" s="16" t="str">
        <f t="shared" si="0"/>
        <v>15-01</v>
      </c>
      <c r="J177" s="14">
        <f t="shared" si="3"/>
        <v>445</v>
      </c>
      <c r="K177" s="15">
        <f t="shared" si="3"/>
        <v>276</v>
      </c>
      <c r="L177" s="17">
        <f t="shared" si="4"/>
        <v>461</v>
      </c>
      <c r="M177" s="18">
        <f t="shared" si="5"/>
        <v>276</v>
      </c>
      <c r="N177" s="14">
        <f t="shared" si="6"/>
        <v>461</v>
      </c>
      <c r="O177" s="15">
        <f t="shared" si="6"/>
        <v>292</v>
      </c>
      <c r="P177" s="17">
        <f t="shared" si="7"/>
        <v>445</v>
      </c>
      <c r="Q177" s="18">
        <f t="shared" si="8"/>
        <v>292</v>
      </c>
      <c r="R177" s="4" t="s">
        <v>0</v>
      </c>
      <c r="S177" s="16" t="str">
        <f t="shared" si="9"/>
        <v>15-01</v>
      </c>
      <c r="T177" s="14">
        <f t="shared" si="10"/>
        <v>445</v>
      </c>
      <c r="U177" s="18">
        <f t="shared" si="11"/>
        <v>474</v>
      </c>
      <c r="V177" s="14">
        <f t="shared" si="1"/>
        <v>461</v>
      </c>
      <c r="W177" s="18">
        <f t="shared" si="12"/>
        <v>474</v>
      </c>
      <c r="X177" s="14">
        <f t="shared" si="1"/>
        <v>461</v>
      </c>
      <c r="Y177" s="18">
        <f t="shared" si="13"/>
        <v>458</v>
      </c>
      <c r="Z177" s="14">
        <f t="shared" si="1"/>
        <v>445</v>
      </c>
      <c r="AA177" s="18">
        <f t="shared" si="14"/>
        <v>458</v>
      </c>
      <c r="AB177" s="4" t="s">
        <v>0</v>
      </c>
    </row>
    <row r="178" spans="1:28">
      <c r="A178" s="9" t="s">
        <v>218</v>
      </c>
      <c r="B178" s="24"/>
      <c r="C178" s="26">
        <v>1</v>
      </c>
      <c r="D178" s="25">
        <f>D166</f>
        <v>268</v>
      </c>
      <c r="E178" s="28">
        <f>ROUND(E$166+19.9*$C178, 0)</f>
        <v>296</v>
      </c>
      <c r="F178" s="25">
        <f t="shared" ref="F178:F189" si="282">F166</f>
        <v>284</v>
      </c>
      <c r="G178" s="28">
        <f>ROUND(G$166+19.9*$C178, 0)</f>
        <v>312</v>
      </c>
      <c r="H178" s="4" t="s">
        <v>0</v>
      </c>
      <c r="I178" s="11" t="str">
        <f t="shared" si="0"/>
        <v>13-15</v>
      </c>
      <c r="J178" s="14">
        <f t="shared" si="3"/>
        <v>268</v>
      </c>
      <c r="K178" s="15">
        <f t="shared" si="3"/>
        <v>296</v>
      </c>
      <c r="L178" s="17">
        <f t="shared" si="4"/>
        <v>284</v>
      </c>
      <c r="M178" s="18">
        <f t="shared" si="5"/>
        <v>296</v>
      </c>
      <c r="N178" s="14">
        <f t="shared" si="6"/>
        <v>284</v>
      </c>
      <c r="O178" s="15">
        <f t="shared" si="6"/>
        <v>312</v>
      </c>
      <c r="P178" s="17">
        <f t="shared" si="7"/>
        <v>268</v>
      </c>
      <c r="Q178" s="18">
        <f t="shared" si="8"/>
        <v>312</v>
      </c>
      <c r="R178" s="4" t="s">
        <v>0</v>
      </c>
      <c r="S178" s="16" t="str">
        <f t="shared" si="9"/>
        <v>13-15</v>
      </c>
      <c r="T178" s="14">
        <f t="shared" si="10"/>
        <v>268</v>
      </c>
      <c r="U178" s="18">
        <f t="shared" si="11"/>
        <v>454</v>
      </c>
      <c r="V178" s="14">
        <f t="shared" si="1"/>
        <v>284</v>
      </c>
      <c r="W178" s="18">
        <f t="shared" si="12"/>
        <v>454</v>
      </c>
      <c r="X178" s="14">
        <f t="shared" si="1"/>
        <v>284</v>
      </c>
      <c r="Y178" s="18">
        <f t="shared" si="13"/>
        <v>438</v>
      </c>
      <c r="Z178" s="14">
        <f t="shared" si="1"/>
        <v>268</v>
      </c>
      <c r="AA178" s="18">
        <f t="shared" si="14"/>
        <v>438</v>
      </c>
      <c r="AB178" s="4" t="s">
        <v>0</v>
      </c>
    </row>
    <row r="179" spans="1:28">
      <c r="A179" s="9" t="s">
        <v>217</v>
      </c>
      <c r="B179" s="24"/>
      <c r="C179" s="26"/>
      <c r="D179" s="25">
        <f>D167</f>
        <v>284</v>
      </c>
      <c r="E179" s="29">
        <f t="shared" ref="E179" si="283">E178</f>
        <v>296</v>
      </c>
      <c r="F179" s="25">
        <f t="shared" si="282"/>
        <v>300</v>
      </c>
      <c r="G179" s="29">
        <f t="shared" ref="G179:G193" si="284">G178</f>
        <v>312</v>
      </c>
      <c r="H179" s="4" t="s">
        <v>0</v>
      </c>
      <c r="I179" s="11" t="str">
        <f t="shared" si="0"/>
        <v>13-13</v>
      </c>
      <c r="J179" s="14">
        <f t="shared" si="3"/>
        <v>284</v>
      </c>
      <c r="K179" s="15">
        <f t="shared" si="3"/>
        <v>296</v>
      </c>
      <c r="L179" s="17">
        <f t="shared" si="4"/>
        <v>300</v>
      </c>
      <c r="M179" s="18">
        <f t="shared" si="5"/>
        <v>296</v>
      </c>
      <c r="N179" s="14">
        <f t="shared" si="6"/>
        <v>300</v>
      </c>
      <c r="O179" s="15">
        <f t="shared" si="6"/>
        <v>312</v>
      </c>
      <c r="P179" s="17">
        <f t="shared" si="7"/>
        <v>284</v>
      </c>
      <c r="Q179" s="18">
        <f t="shared" si="8"/>
        <v>312</v>
      </c>
      <c r="R179" s="4" t="s">
        <v>0</v>
      </c>
      <c r="S179" s="16" t="str">
        <f t="shared" si="9"/>
        <v>13-13</v>
      </c>
      <c r="T179" s="14">
        <f t="shared" si="10"/>
        <v>284</v>
      </c>
      <c r="U179" s="18">
        <f t="shared" si="11"/>
        <v>454</v>
      </c>
      <c r="V179" s="14">
        <f t="shared" si="1"/>
        <v>300</v>
      </c>
      <c r="W179" s="18">
        <f t="shared" si="12"/>
        <v>454</v>
      </c>
      <c r="X179" s="14">
        <f t="shared" si="1"/>
        <v>300</v>
      </c>
      <c r="Y179" s="18">
        <f t="shared" si="13"/>
        <v>438</v>
      </c>
      <c r="Z179" s="14">
        <f t="shared" si="1"/>
        <v>284</v>
      </c>
      <c r="AA179" s="18">
        <f t="shared" si="14"/>
        <v>438</v>
      </c>
      <c r="AB179" s="4" t="s">
        <v>0</v>
      </c>
    </row>
    <row r="180" spans="1:28">
      <c r="A180" s="9" t="s">
        <v>216</v>
      </c>
      <c r="B180" s="24"/>
      <c r="C180" s="26"/>
      <c r="D180" s="25">
        <f t="shared" ref="D180:D189" si="285">D168</f>
        <v>300</v>
      </c>
      <c r="E180" s="29">
        <f t="shared" ref="E180" si="286">E179</f>
        <v>296</v>
      </c>
      <c r="F180" s="25">
        <f t="shared" si="282"/>
        <v>316</v>
      </c>
      <c r="G180" s="29">
        <f t="shared" si="284"/>
        <v>312</v>
      </c>
      <c r="H180" s="4" t="s">
        <v>0</v>
      </c>
      <c r="I180" s="11" t="str">
        <f t="shared" si="0"/>
        <v>13-12</v>
      </c>
      <c r="J180" s="14">
        <f t="shared" si="3"/>
        <v>300</v>
      </c>
      <c r="K180" s="15">
        <f t="shared" si="3"/>
        <v>296</v>
      </c>
      <c r="L180" s="17">
        <f t="shared" si="4"/>
        <v>316</v>
      </c>
      <c r="M180" s="18">
        <f t="shared" si="5"/>
        <v>296</v>
      </c>
      <c r="N180" s="14">
        <f t="shared" si="6"/>
        <v>316</v>
      </c>
      <c r="O180" s="15">
        <f t="shared" si="6"/>
        <v>312</v>
      </c>
      <c r="P180" s="17">
        <f t="shared" si="7"/>
        <v>300</v>
      </c>
      <c r="Q180" s="18">
        <f t="shared" si="8"/>
        <v>312</v>
      </c>
      <c r="R180" s="4" t="s">
        <v>0</v>
      </c>
      <c r="S180" s="16" t="str">
        <f t="shared" si="9"/>
        <v>13-12</v>
      </c>
      <c r="T180" s="14">
        <f t="shared" si="10"/>
        <v>300</v>
      </c>
      <c r="U180" s="18">
        <f t="shared" si="11"/>
        <v>454</v>
      </c>
      <c r="V180" s="14">
        <f t="shared" si="1"/>
        <v>316</v>
      </c>
      <c r="W180" s="18">
        <f t="shared" si="12"/>
        <v>454</v>
      </c>
      <c r="X180" s="14">
        <f t="shared" si="1"/>
        <v>316</v>
      </c>
      <c r="Y180" s="18">
        <f t="shared" si="13"/>
        <v>438</v>
      </c>
      <c r="Z180" s="14">
        <f t="shared" si="1"/>
        <v>300</v>
      </c>
      <c r="AA180" s="18">
        <f t="shared" si="14"/>
        <v>438</v>
      </c>
      <c r="AB180" s="4" t="s">
        <v>0</v>
      </c>
    </row>
    <row r="181" spans="1:28">
      <c r="A181" s="9" t="s">
        <v>215</v>
      </c>
      <c r="B181" s="24"/>
      <c r="C181" s="26"/>
      <c r="D181" s="25">
        <f t="shared" si="285"/>
        <v>316</v>
      </c>
      <c r="E181" s="29">
        <f t="shared" ref="E181" si="287">E180</f>
        <v>296</v>
      </c>
      <c r="F181" s="25">
        <f t="shared" si="282"/>
        <v>332</v>
      </c>
      <c r="G181" s="29">
        <f t="shared" si="284"/>
        <v>312</v>
      </c>
      <c r="H181" s="4" t="s">
        <v>0</v>
      </c>
      <c r="I181" s="11" t="str">
        <f t="shared" si="0"/>
        <v>13-11</v>
      </c>
      <c r="J181" s="14">
        <f t="shared" si="3"/>
        <v>316</v>
      </c>
      <c r="K181" s="15">
        <f t="shared" si="3"/>
        <v>296</v>
      </c>
      <c r="L181" s="17">
        <f t="shared" si="4"/>
        <v>332</v>
      </c>
      <c r="M181" s="18">
        <f t="shared" si="5"/>
        <v>296</v>
      </c>
      <c r="N181" s="14">
        <f t="shared" si="6"/>
        <v>332</v>
      </c>
      <c r="O181" s="15">
        <f t="shared" si="6"/>
        <v>312</v>
      </c>
      <c r="P181" s="17">
        <f t="shared" si="7"/>
        <v>316</v>
      </c>
      <c r="Q181" s="18">
        <f t="shared" si="8"/>
        <v>312</v>
      </c>
      <c r="R181" s="4" t="s">
        <v>0</v>
      </c>
      <c r="S181" s="16" t="str">
        <f t="shared" si="9"/>
        <v>13-11</v>
      </c>
      <c r="T181" s="14">
        <f t="shared" si="10"/>
        <v>316</v>
      </c>
      <c r="U181" s="18">
        <f t="shared" si="11"/>
        <v>454</v>
      </c>
      <c r="V181" s="14">
        <f t="shared" si="1"/>
        <v>332</v>
      </c>
      <c r="W181" s="18">
        <f t="shared" si="12"/>
        <v>454</v>
      </c>
      <c r="X181" s="14">
        <f t="shared" si="1"/>
        <v>332</v>
      </c>
      <c r="Y181" s="18">
        <f t="shared" si="13"/>
        <v>438</v>
      </c>
      <c r="Z181" s="14">
        <f t="shared" si="1"/>
        <v>316</v>
      </c>
      <c r="AA181" s="18">
        <f t="shared" si="14"/>
        <v>438</v>
      </c>
      <c r="AB181" s="4" t="s">
        <v>0</v>
      </c>
    </row>
    <row r="182" spans="1:28">
      <c r="A182" s="9" t="s">
        <v>214</v>
      </c>
      <c r="B182" s="24"/>
      <c r="C182" s="26"/>
      <c r="D182" s="25">
        <f t="shared" si="285"/>
        <v>332</v>
      </c>
      <c r="E182" s="29">
        <f t="shared" ref="E182" si="288">E181</f>
        <v>296</v>
      </c>
      <c r="F182" s="25">
        <f t="shared" si="282"/>
        <v>348</v>
      </c>
      <c r="G182" s="29">
        <f t="shared" si="284"/>
        <v>312</v>
      </c>
      <c r="H182" s="4" t="s">
        <v>0</v>
      </c>
      <c r="I182" s="11" t="str">
        <f t="shared" si="0"/>
        <v>13-10</v>
      </c>
      <c r="J182" s="14">
        <f t="shared" si="3"/>
        <v>332</v>
      </c>
      <c r="K182" s="15">
        <f t="shared" si="3"/>
        <v>296</v>
      </c>
      <c r="L182" s="17">
        <f t="shared" si="4"/>
        <v>348</v>
      </c>
      <c r="M182" s="18">
        <f t="shared" si="5"/>
        <v>296</v>
      </c>
      <c r="N182" s="14">
        <f t="shared" si="6"/>
        <v>348</v>
      </c>
      <c r="O182" s="15">
        <f t="shared" si="6"/>
        <v>312</v>
      </c>
      <c r="P182" s="17">
        <f t="shared" si="7"/>
        <v>332</v>
      </c>
      <c r="Q182" s="18">
        <f t="shared" si="8"/>
        <v>312</v>
      </c>
      <c r="R182" s="4" t="s">
        <v>0</v>
      </c>
      <c r="S182" s="16" t="str">
        <f t="shared" si="9"/>
        <v>13-10</v>
      </c>
      <c r="T182" s="14">
        <f t="shared" si="10"/>
        <v>332</v>
      </c>
      <c r="U182" s="18">
        <f t="shared" si="11"/>
        <v>454</v>
      </c>
      <c r="V182" s="14">
        <f t="shared" si="1"/>
        <v>348</v>
      </c>
      <c r="W182" s="18">
        <f t="shared" si="12"/>
        <v>454</v>
      </c>
      <c r="X182" s="14">
        <f t="shared" si="1"/>
        <v>348</v>
      </c>
      <c r="Y182" s="18">
        <f t="shared" si="13"/>
        <v>438</v>
      </c>
      <c r="Z182" s="14">
        <f t="shared" si="1"/>
        <v>332</v>
      </c>
      <c r="AA182" s="18">
        <f t="shared" si="14"/>
        <v>438</v>
      </c>
      <c r="AB182" s="4" t="s">
        <v>0</v>
      </c>
    </row>
    <row r="183" spans="1:28">
      <c r="A183" s="9" t="s">
        <v>213</v>
      </c>
      <c r="B183" s="24"/>
      <c r="C183" s="26"/>
      <c r="D183" s="25">
        <f t="shared" si="285"/>
        <v>349</v>
      </c>
      <c r="E183" s="29">
        <f t="shared" ref="E183" si="289">E182</f>
        <v>296</v>
      </c>
      <c r="F183" s="25">
        <f t="shared" si="282"/>
        <v>365</v>
      </c>
      <c r="G183" s="29">
        <f t="shared" si="284"/>
        <v>312</v>
      </c>
      <c r="H183" s="4" t="s">
        <v>0</v>
      </c>
      <c r="I183" s="11" t="str">
        <f t="shared" si="0"/>
        <v>13-08</v>
      </c>
      <c r="J183" s="14">
        <f t="shared" si="3"/>
        <v>349</v>
      </c>
      <c r="K183" s="15">
        <f t="shared" si="3"/>
        <v>296</v>
      </c>
      <c r="L183" s="17">
        <f t="shared" si="4"/>
        <v>365</v>
      </c>
      <c r="M183" s="18">
        <f t="shared" si="5"/>
        <v>296</v>
      </c>
      <c r="N183" s="14">
        <f t="shared" si="6"/>
        <v>365</v>
      </c>
      <c r="O183" s="15">
        <f t="shared" si="6"/>
        <v>312</v>
      </c>
      <c r="P183" s="17">
        <f t="shared" si="7"/>
        <v>349</v>
      </c>
      <c r="Q183" s="18">
        <f t="shared" si="8"/>
        <v>312</v>
      </c>
      <c r="R183" s="4" t="s">
        <v>0</v>
      </c>
      <c r="S183" s="16" t="str">
        <f t="shared" si="9"/>
        <v>13-08</v>
      </c>
      <c r="T183" s="14">
        <f t="shared" si="10"/>
        <v>349</v>
      </c>
      <c r="U183" s="18">
        <f t="shared" si="11"/>
        <v>454</v>
      </c>
      <c r="V183" s="14">
        <f t="shared" si="1"/>
        <v>365</v>
      </c>
      <c r="W183" s="18">
        <f t="shared" si="12"/>
        <v>454</v>
      </c>
      <c r="X183" s="14">
        <f t="shared" si="1"/>
        <v>365</v>
      </c>
      <c r="Y183" s="18">
        <f t="shared" si="13"/>
        <v>438</v>
      </c>
      <c r="Z183" s="14">
        <f t="shared" si="1"/>
        <v>349</v>
      </c>
      <c r="AA183" s="18">
        <f t="shared" si="14"/>
        <v>438</v>
      </c>
      <c r="AB183" s="4" t="s">
        <v>0</v>
      </c>
    </row>
    <row r="184" spans="1:28">
      <c r="A184" s="9" t="s">
        <v>212</v>
      </c>
      <c r="B184" s="24"/>
      <c r="C184" s="26"/>
      <c r="D184" s="25">
        <f t="shared" si="285"/>
        <v>365</v>
      </c>
      <c r="E184" s="29">
        <f t="shared" ref="E184" si="290">E183</f>
        <v>296</v>
      </c>
      <c r="F184" s="25">
        <f t="shared" si="282"/>
        <v>381</v>
      </c>
      <c r="G184" s="29">
        <f t="shared" si="284"/>
        <v>312</v>
      </c>
      <c r="H184" s="4" t="s">
        <v>0</v>
      </c>
      <c r="I184" s="11" t="str">
        <f t="shared" si="0"/>
        <v>13-07</v>
      </c>
      <c r="J184" s="14">
        <f t="shared" si="3"/>
        <v>365</v>
      </c>
      <c r="K184" s="15">
        <f t="shared" si="3"/>
        <v>296</v>
      </c>
      <c r="L184" s="17">
        <f t="shared" si="4"/>
        <v>381</v>
      </c>
      <c r="M184" s="18">
        <f t="shared" si="5"/>
        <v>296</v>
      </c>
      <c r="N184" s="14">
        <f t="shared" si="6"/>
        <v>381</v>
      </c>
      <c r="O184" s="15">
        <f t="shared" si="6"/>
        <v>312</v>
      </c>
      <c r="P184" s="17">
        <f t="shared" si="7"/>
        <v>365</v>
      </c>
      <c r="Q184" s="18">
        <f t="shared" si="8"/>
        <v>312</v>
      </c>
      <c r="R184" s="4" t="s">
        <v>0</v>
      </c>
      <c r="S184" s="16" t="str">
        <f t="shared" si="9"/>
        <v>13-07</v>
      </c>
      <c r="T184" s="14">
        <f t="shared" si="10"/>
        <v>365</v>
      </c>
      <c r="U184" s="18">
        <f t="shared" si="11"/>
        <v>454</v>
      </c>
      <c r="V184" s="14">
        <f t="shared" si="1"/>
        <v>381</v>
      </c>
      <c r="W184" s="18">
        <f t="shared" si="12"/>
        <v>454</v>
      </c>
      <c r="X184" s="14">
        <f t="shared" si="1"/>
        <v>381</v>
      </c>
      <c r="Y184" s="18">
        <f t="shared" si="13"/>
        <v>438</v>
      </c>
      <c r="Z184" s="14">
        <f t="shared" si="1"/>
        <v>365</v>
      </c>
      <c r="AA184" s="18">
        <f t="shared" si="14"/>
        <v>438</v>
      </c>
      <c r="AB184" s="4" t="s">
        <v>0</v>
      </c>
    </row>
    <row r="185" spans="1:28">
      <c r="A185" s="9" t="s">
        <v>211</v>
      </c>
      <c r="B185" s="24"/>
      <c r="C185" s="26"/>
      <c r="D185" s="25">
        <f t="shared" si="285"/>
        <v>381</v>
      </c>
      <c r="E185" s="29">
        <f t="shared" ref="E185" si="291">E184</f>
        <v>296</v>
      </c>
      <c r="F185" s="25">
        <f t="shared" si="282"/>
        <v>397</v>
      </c>
      <c r="G185" s="29">
        <f t="shared" si="284"/>
        <v>312</v>
      </c>
      <c r="H185" s="4" t="s">
        <v>0</v>
      </c>
      <c r="I185" s="11" t="str">
        <f t="shared" si="0"/>
        <v>13-06</v>
      </c>
      <c r="J185" s="14">
        <f t="shared" si="3"/>
        <v>381</v>
      </c>
      <c r="K185" s="15">
        <f t="shared" si="3"/>
        <v>296</v>
      </c>
      <c r="L185" s="17">
        <f t="shared" si="4"/>
        <v>397</v>
      </c>
      <c r="M185" s="18">
        <f t="shared" si="5"/>
        <v>296</v>
      </c>
      <c r="N185" s="14">
        <f t="shared" si="6"/>
        <v>397</v>
      </c>
      <c r="O185" s="15">
        <f t="shared" si="6"/>
        <v>312</v>
      </c>
      <c r="P185" s="17">
        <f t="shared" si="7"/>
        <v>381</v>
      </c>
      <c r="Q185" s="18">
        <f t="shared" si="8"/>
        <v>312</v>
      </c>
      <c r="R185" s="4" t="s">
        <v>0</v>
      </c>
      <c r="S185" s="16" t="str">
        <f t="shared" si="9"/>
        <v>13-06</v>
      </c>
      <c r="T185" s="14">
        <f t="shared" si="10"/>
        <v>381</v>
      </c>
      <c r="U185" s="18">
        <f t="shared" si="11"/>
        <v>454</v>
      </c>
      <c r="V185" s="14">
        <f t="shared" si="1"/>
        <v>397</v>
      </c>
      <c r="W185" s="18">
        <f t="shared" si="12"/>
        <v>454</v>
      </c>
      <c r="X185" s="14">
        <f t="shared" si="1"/>
        <v>397</v>
      </c>
      <c r="Y185" s="18">
        <f t="shared" si="13"/>
        <v>438</v>
      </c>
      <c r="Z185" s="14">
        <f t="shared" si="1"/>
        <v>381</v>
      </c>
      <c r="AA185" s="18">
        <f t="shared" si="14"/>
        <v>438</v>
      </c>
      <c r="AB185" s="4" t="s">
        <v>0</v>
      </c>
    </row>
    <row r="186" spans="1:28">
      <c r="A186" s="9" t="s">
        <v>210</v>
      </c>
      <c r="B186" s="24"/>
      <c r="C186" s="26"/>
      <c r="D186" s="25">
        <f t="shared" si="285"/>
        <v>397</v>
      </c>
      <c r="E186" s="29">
        <f t="shared" ref="E186" si="292">E185</f>
        <v>296</v>
      </c>
      <c r="F186" s="25">
        <f t="shared" si="282"/>
        <v>413</v>
      </c>
      <c r="G186" s="29">
        <f t="shared" si="284"/>
        <v>312</v>
      </c>
      <c r="H186" s="4" t="s">
        <v>0</v>
      </c>
      <c r="I186" s="11" t="str">
        <f t="shared" si="0"/>
        <v>13-05</v>
      </c>
      <c r="J186" s="14">
        <f t="shared" si="3"/>
        <v>397</v>
      </c>
      <c r="K186" s="15">
        <f t="shared" si="3"/>
        <v>296</v>
      </c>
      <c r="L186" s="17">
        <f t="shared" si="4"/>
        <v>413</v>
      </c>
      <c r="M186" s="18">
        <f t="shared" si="5"/>
        <v>296</v>
      </c>
      <c r="N186" s="14">
        <f t="shared" si="6"/>
        <v>413</v>
      </c>
      <c r="O186" s="15">
        <f t="shared" si="6"/>
        <v>312</v>
      </c>
      <c r="P186" s="17">
        <f t="shared" si="7"/>
        <v>397</v>
      </c>
      <c r="Q186" s="18">
        <f t="shared" si="8"/>
        <v>312</v>
      </c>
      <c r="R186" s="4" t="s">
        <v>0</v>
      </c>
      <c r="S186" s="16" t="str">
        <f t="shared" si="9"/>
        <v>13-05</v>
      </c>
      <c r="T186" s="14">
        <f t="shared" si="10"/>
        <v>397</v>
      </c>
      <c r="U186" s="18">
        <f t="shared" si="11"/>
        <v>454</v>
      </c>
      <c r="V186" s="14">
        <f t="shared" si="1"/>
        <v>413</v>
      </c>
      <c r="W186" s="18">
        <f t="shared" si="12"/>
        <v>454</v>
      </c>
      <c r="X186" s="14">
        <f t="shared" si="1"/>
        <v>413</v>
      </c>
      <c r="Y186" s="18">
        <f t="shared" si="13"/>
        <v>438</v>
      </c>
      <c r="Z186" s="14">
        <f t="shared" si="1"/>
        <v>397</v>
      </c>
      <c r="AA186" s="18">
        <f t="shared" si="14"/>
        <v>438</v>
      </c>
      <c r="AB186" s="4" t="s">
        <v>0</v>
      </c>
    </row>
    <row r="187" spans="1:28">
      <c r="A187" s="9" t="s">
        <v>209</v>
      </c>
      <c r="B187" s="24"/>
      <c r="C187" s="26"/>
      <c r="D187" s="25">
        <f t="shared" si="285"/>
        <v>413</v>
      </c>
      <c r="E187" s="29">
        <f t="shared" ref="E187" si="293">E186</f>
        <v>296</v>
      </c>
      <c r="F187" s="25">
        <f t="shared" si="282"/>
        <v>429</v>
      </c>
      <c r="G187" s="29">
        <f t="shared" si="284"/>
        <v>312</v>
      </c>
      <c r="H187" s="4" t="s">
        <v>0</v>
      </c>
      <c r="I187" s="11" t="str">
        <f t="shared" si="0"/>
        <v>13-03</v>
      </c>
      <c r="J187" s="14">
        <f t="shared" si="3"/>
        <v>413</v>
      </c>
      <c r="K187" s="15">
        <f t="shared" si="3"/>
        <v>296</v>
      </c>
      <c r="L187" s="17">
        <f t="shared" si="4"/>
        <v>429</v>
      </c>
      <c r="M187" s="18">
        <f t="shared" si="5"/>
        <v>296</v>
      </c>
      <c r="N187" s="14">
        <f t="shared" si="6"/>
        <v>429</v>
      </c>
      <c r="O187" s="15">
        <f t="shared" si="6"/>
        <v>312</v>
      </c>
      <c r="P187" s="17">
        <f t="shared" si="7"/>
        <v>413</v>
      </c>
      <c r="Q187" s="18">
        <f t="shared" si="8"/>
        <v>312</v>
      </c>
      <c r="R187" s="4" t="s">
        <v>0</v>
      </c>
      <c r="S187" s="16" t="str">
        <f t="shared" si="9"/>
        <v>13-03</v>
      </c>
      <c r="T187" s="14">
        <f t="shared" si="10"/>
        <v>413</v>
      </c>
      <c r="U187" s="18">
        <f t="shared" si="11"/>
        <v>454</v>
      </c>
      <c r="V187" s="14">
        <f t="shared" si="1"/>
        <v>429</v>
      </c>
      <c r="W187" s="18">
        <f t="shared" si="12"/>
        <v>454</v>
      </c>
      <c r="X187" s="14">
        <f t="shared" si="1"/>
        <v>429</v>
      </c>
      <c r="Y187" s="18">
        <f t="shared" si="13"/>
        <v>438</v>
      </c>
      <c r="Z187" s="14">
        <f t="shared" si="1"/>
        <v>413</v>
      </c>
      <c r="AA187" s="18">
        <f t="shared" si="14"/>
        <v>438</v>
      </c>
      <c r="AB187" s="4" t="s">
        <v>0</v>
      </c>
    </row>
    <row r="188" spans="1:28">
      <c r="A188" s="9" t="s">
        <v>208</v>
      </c>
      <c r="B188" s="24"/>
      <c r="C188" s="26"/>
      <c r="D188" s="25">
        <f t="shared" si="285"/>
        <v>429</v>
      </c>
      <c r="E188" s="29">
        <f t="shared" ref="E188" si="294">E187</f>
        <v>296</v>
      </c>
      <c r="F188" s="25">
        <f t="shared" si="282"/>
        <v>445</v>
      </c>
      <c r="G188" s="29">
        <f t="shared" si="284"/>
        <v>312</v>
      </c>
      <c r="H188" s="4" t="s">
        <v>0</v>
      </c>
      <c r="I188" s="11" t="str">
        <f t="shared" si="0"/>
        <v>13-02</v>
      </c>
      <c r="J188" s="14">
        <f t="shared" si="3"/>
        <v>429</v>
      </c>
      <c r="K188" s="15">
        <f t="shared" si="3"/>
        <v>296</v>
      </c>
      <c r="L188" s="17">
        <f t="shared" si="4"/>
        <v>445</v>
      </c>
      <c r="M188" s="18">
        <f t="shared" si="5"/>
        <v>296</v>
      </c>
      <c r="N188" s="14">
        <f t="shared" si="6"/>
        <v>445</v>
      </c>
      <c r="O188" s="15">
        <f t="shared" si="6"/>
        <v>312</v>
      </c>
      <c r="P188" s="17">
        <f t="shared" si="7"/>
        <v>429</v>
      </c>
      <c r="Q188" s="18">
        <f t="shared" si="8"/>
        <v>312</v>
      </c>
      <c r="R188" s="4" t="s">
        <v>0</v>
      </c>
      <c r="S188" s="16" t="str">
        <f t="shared" si="9"/>
        <v>13-02</v>
      </c>
      <c r="T188" s="14">
        <f t="shared" si="10"/>
        <v>429</v>
      </c>
      <c r="U188" s="18">
        <f t="shared" si="11"/>
        <v>454</v>
      </c>
      <c r="V188" s="14">
        <f t="shared" si="1"/>
        <v>445</v>
      </c>
      <c r="W188" s="18">
        <f t="shared" si="12"/>
        <v>454</v>
      </c>
      <c r="X188" s="14">
        <f t="shared" si="1"/>
        <v>445</v>
      </c>
      <c r="Y188" s="18">
        <f t="shared" si="13"/>
        <v>438</v>
      </c>
      <c r="Z188" s="14">
        <f t="shared" si="1"/>
        <v>429</v>
      </c>
      <c r="AA188" s="18">
        <f t="shared" si="14"/>
        <v>438</v>
      </c>
      <c r="AB188" s="4" t="s">
        <v>0</v>
      </c>
    </row>
    <row r="189" spans="1:28">
      <c r="A189" s="9" t="s">
        <v>207</v>
      </c>
      <c r="B189" s="24"/>
      <c r="C189" s="26"/>
      <c r="D189" s="25">
        <f t="shared" si="285"/>
        <v>445</v>
      </c>
      <c r="E189" s="29">
        <f t="shared" ref="E189" si="295">E188</f>
        <v>296</v>
      </c>
      <c r="F189" s="25">
        <f t="shared" si="282"/>
        <v>461</v>
      </c>
      <c r="G189" s="29">
        <f t="shared" si="284"/>
        <v>312</v>
      </c>
      <c r="H189" s="4" t="s">
        <v>0</v>
      </c>
      <c r="I189" s="11" t="str">
        <f t="shared" si="0"/>
        <v>13-01</v>
      </c>
      <c r="J189" s="14">
        <f t="shared" si="3"/>
        <v>445</v>
      </c>
      <c r="K189" s="15">
        <f t="shared" si="3"/>
        <v>296</v>
      </c>
      <c r="L189" s="17">
        <f t="shared" si="4"/>
        <v>461</v>
      </c>
      <c r="M189" s="18">
        <f t="shared" si="5"/>
        <v>296</v>
      </c>
      <c r="N189" s="14">
        <f t="shared" si="6"/>
        <v>461</v>
      </c>
      <c r="O189" s="15">
        <f t="shared" si="6"/>
        <v>312</v>
      </c>
      <c r="P189" s="17">
        <f t="shared" si="7"/>
        <v>445</v>
      </c>
      <c r="Q189" s="18">
        <f t="shared" si="8"/>
        <v>312</v>
      </c>
      <c r="R189" s="4" t="s">
        <v>0</v>
      </c>
      <c r="S189" s="16" t="str">
        <f t="shared" si="9"/>
        <v>13-01</v>
      </c>
      <c r="T189" s="14">
        <f t="shared" si="10"/>
        <v>445</v>
      </c>
      <c r="U189" s="18">
        <f t="shared" si="11"/>
        <v>454</v>
      </c>
      <c r="V189" s="14">
        <f t="shared" si="1"/>
        <v>461</v>
      </c>
      <c r="W189" s="18">
        <f t="shared" si="12"/>
        <v>454</v>
      </c>
      <c r="X189" s="14">
        <f t="shared" si="1"/>
        <v>461</v>
      </c>
      <c r="Y189" s="18">
        <f t="shared" si="13"/>
        <v>438</v>
      </c>
      <c r="Z189" s="14">
        <f t="shared" si="1"/>
        <v>445</v>
      </c>
      <c r="AA189" s="18">
        <f t="shared" si="14"/>
        <v>438</v>
      </c>
      <c r="AB189" s="4" t="s">
        <v>0</v>
      </c>
    </row>
    <row r="190" spans="1:28">
      <c r="A190" s="9" t="s">
        <v>202</v>
      </c>
      <c r="B190" s="24"/>
      <c r="C190" s="26">
        <v>2</v>
      </c>
      <c r="D190" s="25">
        <f t="shared" ref="D190:D253" si="296">D178</f>
        <v>268</v>
      </c>
      <c r="E190" s="28">
        <f t="shared" ref="E190" si="297">ROUND(E$166+19.9*$C190, 0)</f>
        <v>316</v>
      </c>
      <c r="F190" s="25">
        <f t="shared" ref="F190:F253" si="298">F178</f>
        <v>284</v>
      </c>
      <c r="G190" s="28">
        <f t="shared" ref="G190" si="299">ROUND(G$166+19.9*$C190, 0)</f>
        <v>332</v>
      </c>
      <c r="H190" s="4" t="s">
        <v>0</v>
      </c>
      <c r="I190" s="11" t="str">
        <f t="shared" si="0"/>
        <v>12-15</v>
      </c>
      <c r="J190" s="14">
        <f t="shared" si="3"/>
        <v>268</v>
      </c>
      <c r="K190" s="15">
        <f t="shared" si="3"/>
        <v>316</v>
      </c>
      <c r="L190" s="17">
        <f t="shared" si="4"/>
        <v>284</v>
      </c>
      <c r="M190" s="18">
        <f t="shared" si="5"/>
        <v>316</v>
      </c>
      <c r="N190" s="14">
        <f t="shared" si="6"/>
        <v>284</v>
      </c>
      <c r="O190" s="15">
        <f t="shared" si="6"/>
        <v>332</v>
      </c>
      <c r="P190" s="17">
        <f t="shared" si="7"/>
        <v>268</v>
      </c>
      <c r="Q190" s="18">
        <f t="shared" si="8"/>
        <v>332</v>
      </c>
      <c r="R190" s="4" t="s">
        <v>0</v>
      </c>
      <c r="S190" s="16" t="str">
        <f t="shared" si="9"/>
        <v>12-15</v>
      </c>
      <c r="T190" s="14">
        <f t="shared" si="10"/>
        <v>268</v>
      </c>
      <c r="U190" s="18">
        <f t="shared" si="11"/>
        <v>434</v>
      </c>
      <c r="V190" s="14">
        <f t="shared" ref="V190:V253" si="300">IF(L190&lt;&gt;"",L190,"")</f>
        <v>284</v>
      </c>
      <c r="W190" s="18">
        <f t="shared" si="12"/>
        <v>434</v>
      </c>
      <c r="X190" s="14">
        <f t="shared" ref="X190:X253" si="301">IF(N190&lt;&gt;"",N190,"")</f>
        <v>284</v>
      </c>
      <c r="Y190" s="18">
        <f t="shared" si="13"/>
        <v>418</v>
      </c>
      <c r="Z190" s="14">
        <f t="shared" ref="Z190:Z253" si="302">IF(P190&lt;&gt;"",P190,"")</f>
        <v>268</v>
      </c>
      <c r="AA190" s="18">
        <f t="shared" si="14"/>
        <v>418</v>
      </c>
      <c r="AB190" s="4" t="s">
        <v>0</v>
      </c>
    </row>
    <row r="191" spans="1:28">
      <c r="A191" s="9" t="s">
        <v>201</v>
      </c>
      <c r="B191" s="24"/>
      <c r="C191" s="26"/>
      <c r="D191" s="25">
        <f t="shared" si="296"/>
        <v>284</v>
      </c>
      <c r="E191" s="29">
        <f t="shared" ref="E191" si="303">E190</f>
        <v>316</v>
      </c>
      <c r="F191" s="25">
        <f t="shared" si="298"/>
        <v>300</v>
      </c>
      <c r="G191" s="29">
        <f t="shared" si="284"/>
        <v>332</v>
      </c>
      <c r="H191" s="4" t="s">
        <v>0</v>
      </c>
      <c r="I191" s="11" t="str">
        <f t="shared" si="0"/>
        <v>12-13</v>
      </c>
      <c r="J191" s="14">
        <f t="shared" si="3"/>
        <v>284</v>
      </c>
      <c r="K191" s="15">
        <f t="shared" si="3"/>
        <v>316</v>
      </c>
      <c r="L191" s="17">
        <f t="shared" si="4"/>
        <v>300</v>
      </c>
      <c r="M191" s="18">
        <f t="shared" si="5"/>
        <v>316</v>
      </c>
      <c r="N191" s="14">
        <f t="shared" si="6"/>
        <v>300</v>
      </c>
      <c r="O191" s="15">
        <f t="shared" si="6"/>
        <v>332</v>
      </c>
      <c r="P191" s="17">
        <f t="shared" si="7"/>
        <v>284</v>
      </c>
      <c r="Q191" s="18">
        <f t="shared" si="8"/>
        <v>332</v>
      </c>
      <c r="R191" s="4" t="s">
        <v>0</v>
      </c>
      <c r="S191" s="16" t="str">
        <f t="shared" si="9"/>
        <v>12-13</v>
      </c>
      <c r="T191" s="14">
        <f t="shared" si="10"/>
        <v>284</v>
      </c>
      <c r="U191" s="18">
        <f t="shared" si="11"/>
        <v>434</v>
      </c>
      <c r="V191" s="14">
        <f t="shared" si="300"/>
        <v>300</v>
      </c>
      <c r="W191" s="18">
        <f t="shared" si="12"/>
        <v>434</v>
      </c>
      <c r="X191" s="14">
        <f t="shared" si="301"/>
        <v>300</v>
      </c>
      <c r="Y191" s="18">
        <f t="shared" si="13"/>
        <v>418</v>
      </c>
      <c r="Z191" s="14">
        <f t="shared" si="302"/>
        <v>284</v>
      </c>
      <c r="AA191" s="18">
        <f t="shared" si="14"/>
        <v>418</v>
      </c>
      <c r="AB191" s="4" t="s">
        <v>0</v>
      </c>
    </row>
    <row r="192" spans="1:28">
      <c r="A192" s="9" t="s">
        <v>108</v>
      </c>
      <c r="B192" s="24"/>
      <c r="C192" s="26"/>
      <c r="D192" s="25">
        <f t="shared" si="296"/>
        <v>300</v>
      </c>
      <c r="E192" s="29">
        <f t="shared" ref="E192" si="304">E191</f>
        <v>316</v>
      </c>
      <c r="F192" s="25">
        <f t="shared" si="298"/>
        <v>316</v>
      </c>
      <c r="G192" s="29">
        <f t="shared" si="284"/>
        <v>332</v>
      </c>
      <c r="H192" s="4" t="s">
        <v>0</v>
      </c>
      <c r="I192" s="11" t="str">
        <f t="shared" si="0"/>
        <v>12-12</v>
      </c>
      <c r="J192" s="14">
        <f t="shared" si="3"/>
        <v>300</v>
      </c>
      <c r="K192" s="15">
        <f t="shared" si="3"/>
        <v>316</v>
      </c>
      <c r="L192" s="17">
        <f t="shared" si="4"/>
        <v>316</v>
      </c>
      <c r="M192" s="18">
        <f t="shared" si="5"/>
        <v>316</v>
      </c>
      <c r="N192" s="14">
        <f t="shared" si="6"/>
        <v>316</v>
      </c>
      <c r="O192" s="15">
        <f t="shared" si="6"/>
        <v>332</v>
      </c>
      <c r="P192" s="17">
        <f t="shared" si="7"/>
        <v>300</v>
      </c>
      <c r="Q192" s="18">
        <f t="shared" si="8"/>
        <v>332</v>
      </c>
      <c r="R192" s="4" t="s">
        <v>0</v>
      </c>
      <c r="S192" s="16" t="str">
        <f t="shared" si="9"/>
        <v>12-12</v>
      </c>
      <c r="T192" s="14">
        <f t="shared" si="10"/>
        <v>300</v>
      </c>
      <c r="U192" s="18">
        <f t="shared" si="11"/>
        <v>434</v>
      </c>
      <c r="V192" s="14">
        <f t="shared" si="300"/>
        <v>316</v>
      </c>
      <c r="W192" s="18">
        <f t="shared" si="12"/>
        <v>434</v>
      </c>
      <c r="X192" s="14">
        <f t="shared" si="301"/>
        <v>316</v>
      </c>
      <c r="Y192" s="18">
        <f t="shared" si="13"/>
        <v>418</v>
      </c>
      <c r="Z192" s="14">
        <f t="shared" si="302"/>
        <v>300</v>
      </c>
      <c r="AA192" s="18">
        <f t="shared" si="14"/>
        <v>418</v>
      </c>
      <c r="AB192" s="4" t="s">
        <v>0</v>
      </c>
    </row>
    <row r="193" spans="1:28">
      <c r="A193" s="9" t="s">
        <v>107</v>
      </c>
      <c r="B193" s="24"/>
      <c r="C193" s="26"/>
      <c r="D193" s="25">
        <f t="shared" si="296"/>
        <v>316</v>
      </c>
      <c r="E193" s="29">
        <f t="shared" ref="E193" si="305">E192</f>
        <v>316</v>
      </c>
      <c r="F193" s="25">
        <f t="shared" si="298"/>
        <v>332</v>
      </c>
      <c r="G193" s="29">
        <f t="shared" si="284"/>
        <v>332</v>
      </c>
      <c r="H193" s="4" t="s">
        <v>0</v>
      </c>
      <c r="I193" s="11" t="str">
        <f t="shared" si="0"/>
        <v>12-11</v>
      </c>
      <c r="J193" s="14">
        <f t="shared" si="3"/>
        <v>316</v>
      </c>
      <c r="K193" s="15">
        <f t="shared" si="3"/>
        <v>316</v>
      </c>
      <c r="L193" s="17">
        <f t="shared" si="4"/>
        <v>332</v>
      </c>
      <c r="M193" s="18">
        <f t="shared" si="5"/>
        <v>316</v>
      </c>
      <c r="N193" s="14">
        <f t="shared" si="6"/>
        <v>332</v>
      </c>
      <c r="O193" s="15">
        <f t="shared" si="6"/>
        <v>332</v>
      </c>
      <c r="P193" s="17">
        <f t="shared" si="7"/>
        <v>316</v>
      </c>
      <c r="Q193" s="18">
        <f t="shared" si="8"/>
        <v>332</v>
      </c>
      <c r="R193" s="4" t="s">
        <v>0</v>
      </c>
      <c r="S193" s="16" t="str">
        <f t="shared" si="9"/>
        <v>12-11</v>
      </c>
      <c r="T193" s="14">
        <f t="shared" si="10"/>
        <v>316</v>
      </c>
      <c r="U193" s="18">
        <f t="shared" si="11"/>
        <v>434</v>
      </c>
      <c r="V193" s="14">
        <f t="shared" si="300"/>
        <v>332</v>
      </c>
      <c r="W193" s="18">
        <f t="shared" si="12"/>
        <v>434</v>
      </c>
      <c r="X193" s="14">
        <f t="shared" si="301"/>
        <v>332</v>
      </c>
      <c r="Y193" s="18">
        <f t="shared" si="13"/>
        <v>418</v>
      </c>
      <c r="Z193" s="14">
        <f t="shared" si="302"/>
        <v>316</v>
      </c>
      <c r="AA193" s="18">
        <f t="shared" si="14"/>
        <v>418</v>
      </c>
      <c r="AB193" s="4" t="s">
        <v>0</v>
      </c>
    </row>
    <row r="194" spans="1:28">
      <c r="A194" s="9" t="s">
        <v>106</v>
      </c>
      <c r="B194" s="24"/>
      <c r="C194" s="26"/>
      <c r="D194" s="25">
        <f t="shared" si="296"/>
        <v>332</v>
      </c>
      <c r="E194" s="29">
        <f t="shared" ref="E194" si="306">E193</f>
        <v>316</v>
      </c>
      <c r="F194" s="25">
        <f t="shared" si="298"/>
        <v>348</v>
      </c>
      <c r="G194" s="29">
        <f t="shared" ref="G194:G257" si="307">G193</f>
        <v>332</v>
      </c>
      <c r="H194" s="4" t="s">
        <v>0</v>
      </c>
      <c r="I194" s="11" t="str">
        <f t="shared" si="0"/>
        <v>12-10</v>
      </c>
      <c r="J194" s="14">
        <f t="shared" si="3"/>
        <v>332</v>
      </c>
      <c r="K194" s="15">
        <f t="shared" si="3"/>
        <v>316</v>
      </c>
      <c r="L194" s="17">
        <f t="shared" si="4"/>
        <v>348</v>
      </c>
      <c r="M194" s="18">
        <f t="shared" si="5"/>
        <v>316</v>
      </c>
      <c r="N194" s="14">
        <f t="shared" si="6"/>
        <v>348</v>
      </c>
      <c r="O194" s="15">
        <f t="shared" si="6"/>
        <v>332</v>
      </c>
      <c r="P194" s="17">
        <f t="shared" si="7"/>
        <v>332</v>
      </c>
      <c r="Q194" s="18">
        <f t="shared" si="8"/>
        <v>332</v>
      </c>
      <c r="R194" s="4" t="s">
        <v>0</v>
      </c>
      <c r="S194" s="16" t="str">
        <f t="shared" si="9"/>
        <v>12-10</v>
      </c>
      <c r="T194" s="14">
        <f t="shared" si="10"/>
        <v>332</v>
      </c>
      <c r="U194" s="18">
        <f t="shared" si="11"/>
        <v>434</v>
      </c>
      <c r="V194" s="14">
        <f t="shared" si="300"/>
        <v>348</v>
      </c>
      <c r="W194" s="18">
        <f t="shared" si="12"/>
        <v>434</v>
      </c>
      <c r="X194" s="14">
        <f t="shared" si="301"/>
        <v>348</v>
      </c>
      <c r="Y194" s="18">
        <f t="shared" si="13"/>
        <v>418</v>
      </c>
      <c r="Z194" s="14">
        <f t="shared" si="302"/>
        <v>332</v>
      </c>
      <c r="AA194" s="18">
        <f t="shared" si="14"/>
        <v>418</v>
      </c>
      <c r="AB194" s="4" t="s">
        <v>0</v>
      </c>
    </row>
    <row r="195" spans="1:28">
      <c r="A195" s="9" t="s">
        <v>105</v>
      </c>
      <c r="B195" s="24"/>
      <c r="C195" s="26"/>
      <c r="D195" s="25">
        <f t="shared" si="296"/>
        <v>349</v>
      </c>
      <c r="E195" s="29">
        <f t="shared" ref="E195" si="308">E194</f>
        <v>316</v>
      </c>
      <c r="F195" s="25">
        <f t="shared" si="298"/>
        <v>365</v>
      </c>
      <c r="G195" s="29">
        <f t="shared" si="307"/>
        <v>332</v>
      </c>
      <c r="H195" s="4" t="s">
        <v>0</v>
      </c>
      <c r="I195" s="11" t="str">
        <f t="shared" si="0"/>
        <v>12-08</v>
      </c>
      <c r="J195" s="14">
        <f t="shared" si="3"/>
        <v>349</v>
      </c>
      <c r="K195" s="15">
        <f t="shared" si="3"/>
        <v>316</v>
      </c>
      <c r="L195" s="17">
        <f t="shared" si="4"/>
        <v>365</v>
      </c>
      <c r="M195" s="18">
        <f t="shared" si="5"/>
        <v>316</v>
      </c>
      <c r="N195" s="14">
        <f t="shared" si="6"/>
        <v>365</v>
      </c>
      <c r="O195" s="15">
        <f t="shared" si="6"/>
        <v>332</v>
      </c>
      <c r="P195" s="17">
        <f t="shared" si="7"/>
        <v>349</v>
      </c>
      <c r="Q195" s="18">
        <f t="shared" si="8"/>
        <v>332</v>
      </c>
      <c r="R195" s="4" t="s">
        <v>0</v>
      </c>
      <c r="S195" s="16" t="str">
        <f t="shared" si="9"/>
        <v>12-08</v>
      </c>
      <c r="T195" s="14">
        <f t="shared" si="10"/>
        <v>349</v>
      </c>
      <c r="U195" s="18">
        <f t="shared" si="11"/>
        <v>434</v>
      </c>
      <c r="V195" s="14">
        <f t="shared" si="300"/>
        <v>365</v>
      </c>
      <c r="W195" s="18">
        <f t="shared" si="12"/>
        <v>434</v>
      </c>
      <c r="X195" s="14">
        <f t="shared" si="301"/>
        <v>365</v>
      </c>
      <c r="Y195" s="18">
        <f t="shared" si="13"/>
        <v>418</v>
      </c>
      <c r="Z195" s="14">
        <f t="shared" si="302"/>
        <v>349</v>
      </c>
      <c r="AA195" s="18">
        <f t="shared" si="14"/>
        <v>418</v>
      </c>
      <c r="AB195" s="4" t="s">
        <v>0</v>
      </c>
    </row>
    <row r="196" spans="1:28">
      <c r="A196" s="9" t="s">
        <v>104</v>
      </c>
      <c r="B196" s="24"/>
      <c r="C196" s="26"/>
      <c r="D196" s="25">
        <f t="shared" si="296"/>
        <v>365</v>
      </c>
      <c r="E196" s="29">
        <f t="shared" ref="E196" si="309">E195</f>
        <v>316</v>
      </c>
      <c r="F196" s="25">
        <f t="shared" si="298"/>
        <v>381</v>
      </c>
      <c r="G196" s="29">
        <f t="shared" si="307"/>
        <v>332</v>
      </c>
      <c r="H196" s="4" t="s">
        <v>0</v>
      </c>
      <c r="I196" s="11" t="str">
        <f t="shared" si="0"/>
        <v>12-07</v>
      </c>
      <c r="J196" s="14">
        <f t="shared" si="3"/>
        <v>365</v>
      </c>
      <c r="K196" s="15">
        <f t="shared" si="3"/>
        <v>316</v>
      </c>
      <c r="L196" s="17">
        <f t="shared" si="4"/>
        <v>381</v>
      </c>
      <c r="M196" s="18">
        <f t="shared" si="5"/>
        <v>316</v>
      </c>
      <c r="N196" s="14">
        <f t="shared" si="6"/>
        <v>381</v>
      </c>
      <c r="O196" s="15">
        <f t="shared" si="6"/>
        <v>332</v>
      </c>
      <c r="P196" s="17">
        <f t="shared" si="7"/>
        <v>365</v>
      </c>
      <c r="Q196" s="18">
        <f t="shared" si="8"/>
        <v>332</v>
      </c>
      <c r="R196" s="4" t="s">
        <v>0</v>
      </c>
      <c r="S196" s="16" t="str">
        <f t="shared" si="9"/>
        <v>12-07</v>
      </c>
      <c r="T196" s="14">
        <f t="shared" si="10"/>
        <v>365</v>
      </c>
      <c r="U196" s="18">
        <f t="shared" si="11"/>
        <v>434</v>
      </c>
      <c r="V196" s="14">
        <f t="shared" si="300"/>
        <v>381</v>
      </c>
      <c r="W196" s="18">
        <f t="shared" si="12"/>
        <v>434</v>
      </c>
      <c r="X196" s="14">
        <f t="shared" si="301"/>
        <v>381</v>
      </c>
      <c r="Y196" s="18">
        <f t="shared" si="13"/>
        <v>418</v>
      </c>
      <c r="Z196" s="14">
        <f t="shared" si="302"/>
        <v>365</v>
      </c>
      <c r="AA196" s="18">
        <f t="shared" si="14"/>
        <v>418</v>
      </c>
      <c r="AB196" s="4" t="s">
        <v>0</v>
      </c>
    </row>
    <row r="197" spans="1:28">
      <c r="A197" s="9" t="s">
        <v>103</v>
      </c>
      <c r="B197" s="24"/>
      <c r="C197" s="26"/>
      <c r="D197" s="25">
        <f t="shared" si="296"/>
        <v>381</v>
      </c>
      <c r="E197" s="29">
        <f t="shared" ref="E197" si="310">E196</f>
        <v>316</v>
      </c>
      <c r="F197" s="25">
        <f t="shared" si="298"/>
        <v>397</v>
      </c>
      <c r="G197" s="29">
        <f t="shared" si="307"/>
        <v>332</v>
      </c>
      <c r="H197" s="4" t="s">
        <v>0</v>
      </c>
      <c r="I197" s="11" t="str">
        <f t="shared" si="0"/>
        <v>12-06</v>
      </c>
      <c r="J197" s="14">
        <f t="shared" si="3"/>
        <v>381</v>
      </c>
      <c r="K197" s="15">
        <f t="shared" si="3"/>
        <v>316</v>
      </c>
      <c r="L197" s="17">
        <f t="shared" si="4"/>
        <v>397</v>
      </c>
      <c r="M197" s="18">
        <f t="shared" si="5"/>
        <v>316</v>
      </c>
      <c r="N197" s="14">
        <f t="shared" si="6"/>
        <v>397</v>
      </c>
      <c r="O197" s="15">
        <f t="shared" si="6"/>
        <v>332</v>
      </c>
      <c r="P197" s="17">
        <f t="shared" si="7"/>
        <v>381</v>
      </c>
      <c r="Q197" s="18">
        <f t="shared" si="8"/>
        <v>332</v>
      </c>
      <c r="R197" s="4" t="s">
        <v>0</v>
      </c>
      <c r="S197" s="16" t="str">
        <f t="shared" si="9"/>
        <v>12-06</v>
      </c>
      <c r="T197" s="14">
        <f t="shared" si="10"/>
        <v>381</v>
      </c>
      <c r="U197" s="18">
        <f t="shared" si="11"/>
        <v>434</v>
      </c>
      <c r="V197" s="14">
        <f t="shared" si="300"/>
        <v>397</v>
      </c>
      <c r="W197" s="18">
        <f t="shared" si="12"/>
        <v>434</v>
      </c>
      <c r="X197" s="14">
        <f t="shared" si="301"/>
        <v>397</v>
      </c>
      <c r="Y197" s="18">
        <f t="shared" si="13"/>
        <v>418</v>
      </c>
      <c r="Z197" s="14">
        <f t="shared" si="302"/>
        <v>381</v>
      </c>
      <c r="AA197" s="18">
        <f t="shared" si="14"/>
        <v>418</v>
      </c>
      <c r="AB197" s="4" t="s">
        <v>0</v>
      </c>
    </row>
    <row r="198" spans="1:28">
      <c r="A198" s="9" t="s">
        <v>102</v>
      </c>
      <c r="B198" s="24"/>
      <c r="C198" s="26"/>
      <c r="D198" s="25">
        <f t="shared" si="296"/>
        <v>397</v>
      </c>
      <c r="E198" s="29">
        <f t="shared" ref="E198" si="311">E197</f>
        <v>316</v>
      </c>
      <c r="F198" s="25">
        <f t="shared" si="298"/>
        <v>413</v>
      </c>
      <c r="G198" s="29">
        <f t="shared" si="307"/>
        <v>332</v>
      </c>
      <c r="H198" s="4" t="s">
        <v>0</v>
      </c>
      <c r="I198" s="11" t="str">
        <f t="shared" si="0"/>
        <v>12-05</v>
      </c>
      <c r="J198" s="14">
        <f t="shared" si="3"/>
        <v>397</v>
      </c>
      <c r="K198" s="15">
        <f t="shared" si="3"/>
        <v>316</v>
      </c>
      <c r="L198" s="17">
        <f t="shared" si="4"/>
        <v>413</v>
      </c>
      <c r="M198" s="18">
        <f t="shared" si="5"/>
        <v>316</v>
      </c>
      <c r="N198" s="14">
        <f t="shared" si="6"/>
        <v>413</v>
      </c>
      <c r="O198" s="15">
        <f t="shared" si="6"/>
        <v>332</v>
      </c>
      <c r="P198" s="17">
        <f t="shared" si="7"/>
        <v>397</v>
      </c>
      <c r="Q198" s="18">
        <f t="shared" si="8"/>
        <v>332</v>
      </c>
      <c r="R198" s="4" t="s">
        <v>0</v>
      </c>
      <c r="S198" s="16" t="str">
        <f t="shared" si="9"/>
        <v>12-05</v>
      </c>
      <c r="T198" s="14">
        <f t="shared" si="10"/>
        <v>397</v>
      </c>
      <c r="U198" s="18">
        <f t="shared" si="11"/>
        <v>434</v>
      </c>
      <c r="V198" s="14">
        <f t="shared" si="300"/>
        <v>413</v>
      </c>
      <c r="W198" s="18">
        <f t="shared" si="12"/>
        <v>434</v>
      </c>
      <c r="X198" s="14">
        <f t="shared" si="301"/>
        <v>413</v>
      </c>
      <c r="Y198" s="18">
        <f t="shared" si="13"/>
        <v>418</v>
      </c>
      <c r="Z198" s="14">
        <f t="shared" si="302"/>
        <v>397</v>
      </c>
      <c r="AA198" s="18">
        <f t="shared" si="14"/>
        <v>418</v>
      </c>
      <c r="AB198" s="4" t="s">
        <v>0</v>
      </c>
    </row>
    <row r="199" spans="1:28">
      <c r="A199" s="9" t="s">
        <v>101</v>
      </c>
      <c r="B199" s="24"/>
      <c r="C199" s="26"/>
      <c r="D199" s="25">
        <f t="shared" si="296"/>
        <v>413</v>
      </c>
      <c r="E199" s="29">
        <f t="shared" ref="E199" si="312">E198</f>
        <v>316</v>
      </c>
      <c r="F199" s="25">
        <f t="shared" si="298"/>
        <v>429</v>
      </c>
      <c r="G199" s="29">
        <f t="shared" si="307"/>
        <v>332</v>
      </c>
      <c r="H199" s="4" t="s">
        <v>0</v>
      </c>
      <c r="I199" s="11" t="str">
        <f t="shared" si="0"/>
        <v>12-03</v>
      </c>
      <c r="J199" s="14">
        <f t="shared" si="3"/>
        <v>413</v>
      </c>
      <c r="K199" s="15">
        <f t="shared" si="3"/>
        <v>316</v>
      </c>
      <c r="L199" s="17">
        <f t="shared" si="4"/>
        <v>429</v>
      </c>
      <c r="M199" s="18">
        <f t="shared" si="5"/>
        <v>316</v>
      </c>
      <c r="N199" s="14">
        <f t="shared" si="6"/>
        <v>429</v>
      </c>
      <c r="O199" s="15">
        <f t="shared" si="6"/>
        <v>332</v>
      </c>
      <c r="P199" s="17">
        <f t="shared" si="7"/>
        <v>413</v>
      </c>
      <c r="Q199" s="18">
        <f t="shared" si="8"/>
        <v>332</v>
      </c>
      <c r="R199" s="4" t="s">
        <v>0</v>
      </c>
      <c r="S199" s="16" t="str">
        <f t="shared" si="9"/>
        <v>12-03</v>
      </c>
      <c r="T199" s="14">
        <f t="shared" si="10"/>
        <v>413</v>
      </c>
      <c r="U199" s="18">
        <f t="shared" si="11"/>
        <v>434</v>
      </c>
      <c r="V199" s="14">
        <f t="shared" si="300"/>
        <v>429</v>
      </c>
      <c r="W199" s="18">
        <f t="shared" si="12"/>
        <v>434</v>
      </c>
      <c r="X199" s="14">
        <f t="shared" si="301"/>
        <v>429</v>
      </c>
      <c r="Y199" s="18">
        <f t="shared" si="13"/>
        <v>418</v>
      </c>
      <c r="Z199" s="14">
        <f t="shared" si="302"/>
        <v>413</v>
      </c>
      <c r="AA199" s="18">
        <f t="shared" si="14"/>
        <v>418</v>
      </c>
      <c r="AB199" s="4" t="s">
        <v>0</v>
      </c>
    </row>
    <row r="200" spans="1:28">
      <c r="A200" s="9" t="s">
        <v>100</v>
      </c>
      <c r="B200" s="24"/>
      <c r="C200" s="26"/>
      <c r="D200" s="25">
        <f t="shared" si="296"/>
        <v>429</v>
      </c>
      <c r="E200" s="29">
        <f t="shared" ref="E200" si="313">E199</f>
        <v>316</v>
      </c>
      <c r="F200" s="25">
        <f t="shared" si="298"/>
        <v>445</v>
      </c>
      <c r="G200" s="29">
        <f t="shared" si="307"/>
        <v>332</v>
      </c>
      <c r="H200" s="4" t="s">
        <v>0</v>
      </c>
      <c r="I200" s="11" t="str">
        <f t="shared" si="0"/>
        <v>12-02</v>
      </c>
      <c r="J200" s="14">
        <f t="shared" si="3"/>
        <v>429</v>
      </c>
      <c r="K200" s="15">
        <f t="shared" si="3"/>
        <v>316</v>
      </c>
      <c r="L200" s="17">
        <f t="shared" si="4"/>
        <v>445</v>
      </c>
      <c r="M200" s="18">
        <f t="shared" si="5"/>
        <v>316</v>
      </c>
      <c r="N200" s="14">
        <f t="shared" si="6"/>
        <v>445</v>
      </c>
      <c r="O200" s="15">
        <f t="shared" si="6"/>
        <v>332</v>
      </c>
      <c r="P200" s="17">
        <f t="shared" si="7"/>
        <v>429</v>
      </c>
      <c r="Q200" s="18">
        <f t="shared" si="8"/>
        <v>332</v>
      </c>
      <c r="R200" s="4" t="s">
        <v>0</v>
      </c>
      <c r="S200" s="16" t="str">
        <f t="shared" si="9"/>
        <v>12-02</v>
      </c>
      <c r="T200" s="14">
        <f t="shared" si="10"/>
        <v>429</v>
      </c>
      <c r="U200" s="18">
        <f t="shared" si="11"/>
        <v>434</v>
      </c>
      <c r="V200" s="14">
        <f t="shared" si="300"/>
        <v>445</v>
      </c>
      <c r="W200" s="18">
        <f t="shared" si="12"/>
        <v>434</v>
      </c>
      <c r="X200" s="14">
        <f t="shared" si="301"/>
        <v>445</v>
      </c>
      <c r="Y200" s="18">
        <f t="shared" si="13"/>
        <v>418</v>
      </c>
      <c r="Z200" s="14">
        <f t="shared" si="302"/>
        <v>429</v>
      </c>
      <c r="AA200" s="18">
        <f t="shared" si="14"/>
        <v>418</v>
      </c>
      <c r="AB200" s="4" t="s">
        <v>0</v>
      </c>
    </row>
    <row r="201" spans="1:28">
      <c r="A201" s="9" t="s">
        <v>99</v>
      </c>
      <c r="B201" s="24"/>
      <c r="C201" s="26"/>
      <c r="D201" s="25">
        <f t="shared" si="296"/>
        <v>445</v>
      </c>
      <c r="E201" s="29">
        <f t="shared" ref="E201" si="314">E200</f>
        <v>316</v>
      </c>
      <c r="F201" s="25">
        <f t="shared" si="298"/>
        <v>461</v>
      </c>
      <c r="G201" s="29">
        <f t="shared" si="307"/>
        <v>332</v>
      </c>
      <c r="H201" s="4" t="s">
        <v>0</v>
      </c>
      <c r="I201" s="11" t="str">
        <f t="shared" si="0"/>
        <v>12-01</v>
      </c>
      <c r="J201" s="14">
        <f t="shared" si="3"/>
        <v>445</v>
      </c>
      <c r="K201" s="15">
        <f t="shared" si="3"/>
        <v>316</v>
      </c>
      <c r="L201" s="17">
        <f t="shared" si="4"/>
        <v>461</v>
      </c>
      <c r="M201" s="18">
        <f t="shared" si="5"/>
        <v>316</v>
      </c>
      <c r="N201" s="14">
        <f t="shared" si="6"/>
        <v>461</v>
      </c>
      <c r="O201" s="15">
        <f t="shared" si="6"/>
        <v>332</v>
      </c>
      <c r="P201" s="17">
        <f t="shared" si="7"/>
        <v>445</v>
      </c>
      <c r="Q201" s="18">
        <f t="shared" si="8"/>
        <v>332</v>
      </c>
      <c r="R201" s="4" t="s">
        <v>0</v>
      </c>
      <c r="S201" s="16" t="str">
        <f t="shared" si="9"/>
        <v>12-01</v>
      </c>
      <c r="T201" s="14">
        <f t="shared" si="10"/>
        <v>445</v>
      </c>
      <c r="U201" s="18">
        <f t="shared" si="11"/>
        <v>434</v>
      </c>
      <c r="V201" s="14">
        <f t="shared" si="300"/>
        <v>461</v>
      </c>
      <c r="W201" s="18">
        <f t="shared" si="12"/>
        <v>434</v>
      </c>
      <c r="X201" s="14">
        <f t="shared" si="301"/>
        <v>461</v>
      </c>
      <c r="Y201" s="18">
        <f t="shared" si="13"/>
        <v>418</v>
      </c>
      <c r="Z201" s="14">
        <f t="shared" si="302"/>
        <v>445</v>
      </c>
      <c r="AA201" s="18">
        <f t="shared" si="14"/>
        <v>418</v>
      </c>
      <c r="AB201" s="4" t="s">
        <v>0</v>
      </c>
    </row>
    <row r="202" spans="1:28">
      <c r="A202" s="9" t="s">
        <v>195</v>
      </c>
      <c r="B202" s="24"/>
      <c r="C202" s="26">
        <v>3</v>
      </c>
      <c r="D202" s="25">
        <f t="shared" si="296"/>
        <v>268</v>
      </c>
      <c r="E202" s="28">
        <f t="shared" ref="E202" si="315">ROUND(E$166+19.9*$C202, 0)</f>
        <v>336</v>
      </c>
      <c r="F202" s="25">
        <f t="shared" si="298"/>
        <v>284</v>
      </c>
      <c r="G202" s="28">
        <f t="shared" ref="G202" si="316">ROUND(G$166+19.9*$C202, 0)</f>
        <v>352</v>
      </c>
      <c r="H202" s="4" t="s">
        <v>0</v>
      </c>
      <c r="I202" s="11" t="str">
        <f t="shared" si="0"/>
        <v>11-15</v>
      </c>
      <c r="J202" s="14">
        <f t="shared" si="3"/>
        <v>268</v>
      </c>
      <c r="K202" s="15">
        <f t="shared" si="3"/>
        <v>336</v>
      </c>
      <c r="L202" s="17">
        <f t="shared" si="4"/>
        <v>284</v>
      </c>
      <c r="M202" s="18">
        <f t="shared" si="5"/>
        <v>336</v>
      </c>
      <c r="N202" s="14">
        <f t="shared" si="6"/>
        <v>284</v>
      </c>
      <c r="O202" s="15">
        <f t="shared" si="6"/>
        <v>352</v>
      </c>
      <c r="P202" s="17">
        <f t="shared" si="7"/>
        <v>268</v>
      </c>
      <c r="Q202" s="18">
        <f t="shared" si="8"/>
        <v>352</v>
      </c>
      <c r="R202" s="4" t="s">
        <v>0</v>
      </c>
      <c r="S202" s="16" t="str">
        <f t="shared" si="9"/>
        <v>11-15</v>
      </c>
      <c r="T202" s="14">
        <f t="shared" si="10"/>
        <v>268</v>
      </c>
      <c r="U202" s="18">
        <f t="shared" si="11"/>
        <v>414</v>
      </c>
      <c r="V202" s="14">
        <f t="shared" si="300"/>
        <v>284</v>
      </c>
      <c r="W202" s="18">
        <f t="shared" si="12"/>
        <v>414</v>
      </c>
      <c r="X202" s="14">
        <f t="shared" si="301"/>
        <v>284</v>
      </c>
      <c r="Y202" s="18">
        <f t="shared" si="13"/>
        <v>398</v>
      </c>
      <c r="Z202" s="14">
        <f t="shared" si="302"/>
        <v>268</v>
      </c>
      <c r="AA202" s="18">
        <f t="shared" si="14"/>
        <v>398</v>
      </c>
      <c r="AB202" s="4" t="s">
        <v>0</v>
      </c>
    </row>
    <row r="203" spans="1:28">
      <c r="A203" s="9" t="s">
        <v>194</v>
      </c>
      <c r="B203" s="24"/>
      <c r="C203" s="26"/>
      <c r="D203" s="25">
        <f t="shared" si="296"/>
        <v>284</v>
      </c>
      <c r="E203" s="29">
        <f t="shared" ref="E203" si="317">E202</f>
        <v>336</v>
      </c>
      <c r="F203" s="25">
        <f t="shared" si="298"/>
        <v>300</v>
      </c>
      <c r="G203" s="29">
        <f t="shared" si="307"/>
        <v>352</v>
      </c>
      <c r="H203" s="4" t="s">
        <v>0</v>
      </c>
      <c r="I203" s="11" t="str">
        <f t="shared" si="0"/>
        <v>11-13</v>
      </c>
      <c r="J203" s="14">
        <f t="shared" si="3"/>
        <v>284</v>
      </c>
      <c r="K203" s="15">
        <f t="shared" si="3"/>
        <v>336</v>
      </c>
      <c r="L203" s="17">
        <f t="shared" si="4"/>
        <v>300</v>
      </c>
      <c r="M203" s="18">
        <f t="shared" si="5"/>
        <v>336</v>
      </c>
      <c r="N203" s="14">
        <f t="shared" si="6"/>
        <v>300</v>
      </c>
      <c r="O203" s="15">
        <f t="shared" si="6"/>
        <v>352</v>
      </c>
      <c r="P203" s="17">
        <f t="shared" si="7"/>
        <v>284</v>
      </c>
      <c r="Q203" s="18">
        <f t="shared" si="8"/>
        <v>352</v>
      </c>
      <c r="R203" s="4" t="s">
        <v>0</v>
      </c>
      <c r="S203" s="16" t="str">
        <f t="shared" si="9"/>
        <v>11-13</v>
      </c>
      <c r="T203" s="14">
        <f t="shared" si="10"/>
        <v>284</v>
      </c>
      <c r="U203" s="18">
        <f t="shared" si="11"/>
        <v>414</v>
      </c>
      <c r="V203" s="14">
        <f t="shared" si="300"/>
        <v>300</v>
      </c>
      <c r="W203" s="18">
        <f t="shared" si="12"/>
        <v>414</v>
      </c>
      <c r="X203" s="14">
        <f t="shared" si="301"/>
        <v>300</v>
      </c>
      <c r="Y203" s="18">
        <f t="shared" si="13"/>
        <v>398</v>
      </c>
      <c r="Z203" s="14">
        <f t="shared" si="302"/>
        <v>284</v>
      </c>
      <c r="AA203" s="18">
        <f t="shared" si="14"/>
        <v>398</v>
      </c>
      <c r="AB203" s="4" t="s">
        <v>0</v>
      </c>
    </row>
    <row r="204" spans="1:28">
      <c r="A204" s="9" t="s">
        <v>98</v>
      </c>
      <c r="B204" s="24"/>
      <c r="C204" s="26"/>
      <c r="D204" s="25">
        <f t="shared" si="296"/>
        <v>300</v>
      </c>
      <c r="E204" s="29">
        <f t="shared" ref="E204" si="318">E203</f>
        <v>336</v>
      </c>
      <c r="F204" s="25">
        <f t="shared" si="298"/>
        <v>316</v>
      </c>
      <c r="G204" s="29">
        <f t="shared" si="307"/>
        <v>352</v>
      </c>
      <c r="H204" s="4" t="s">
        <v>0</v>
      </c>
      <c r="I204" s="11" t="str">
        <f t="shared" si="0"/>
        <v>11-12</v>
      </c>
      <c r="J204" s="14">
        <f t="shared" si="3"/>
        <v>300</v>
      </c>
      <c r="K204" s="15">
        <f t="shared" si="3"/>
        <v>336</v>
      </c>
      <c r="L204" s="17">
        <f t="shared" si="4"/>
        <v>316</v>
      </c>
      <c r="M204" s="18">
        <f t="shared" si="5"/>
        <v>336</v>
      </c>
      <c r="N204" s="14">
        <f t="shared" si="6"/>
        <v>316</v>
      </c>
      <c r="O204" s="15">
        <f t="shared" si="6"/>
        <v>352</v>
      </c>
      <c r="P204" s="17">
        <f t="shared" si="7"/>
        <v>300</v>
      </c>
      <c r="Q204" s="18">
        <f t="shared" si="8"/>
        <v>352</v>
      </c>
      <c r="R204" s="4" t="s">
        <v>0</v>
      </c>
      <c r="S204" s="16" t="str">
        <f t="shared" si="9"/>
        <v>11-12</v>
      </c>
      <c r="T204" s="14">
        <f t="shared" si="10"/>
        <v>300</v>
      </c>
      <c r="U204" s="18">
        <f t="shared" si="11"/>
        <v>414</v>
      </c>
      <c r="V204" s="14">
        <f t="shared" si="300"/>
        <v>316</v>
      </c>
      <c r="W204" s="18">
        <f t="shared" si="12"/>
        <v>414</v>
      </c>
      <c r="X204" s="14">
        <f t="shared" si="301"/>
        <v>316</v>
      </c>
      <c r="Y204" s="18">
        <f t="shared" si="13"/>
        <v>398</v>
      </c>
      <c r="Z204" s="14">
        <f t="shared" si="302"/>
        <v>300</v>
      </c>
      <c r="AA204" s="18">
        <f t="shared" si="14"/>
        <v>398</v>
      </c>
      <c r="AB204" s="4" t="s">
        <v>0</v>
      </c>
    </row>
    <row r="205" spans="1:28">
      <c r="A205" s="9" t="s">
        <v>97</v>
      </c>
      <c r="B205" s="24"/>
      <c r="C205" s="26"/>
      <c r="D205" s="25">
        <f t="shared" si="296"/>
        <v>316</v>
      </c>
      <c r="E205" s="29">
        <f t="shared" ref="E205" si="319">E204</f>
        <v>336</v>
      </c>
      <c r="F205" s="25">
        <f t="shared" si="298"/>
        <v>332</v>
      </c>
      <c r="G205" s="29">
        <f t="shared" si="307"/>
        <v>352</v>
      </c>
      <c r="H205" s="4" t="s">
        <v>0</v>
      </c>
      <c r="I205" s="11" t="str">
        <f t="shared" si="0"/>
        <v>11-11</v>
      </c>
      <c r="J205" s="14">
        <f t="shared" si="3"/>
        <v>316</v>
      </c>
      <c r="K205" s="15">
        <f t="shared" si="3"/>
        <v>336</v>
      </c>
      <c r="L205" s="17">
        <f t="shared" si="4"/>
        <v>332</v>
      </c>
      <c r="M205" s="18">
        <f t="shared" si="5"/>
        <v>336</v>
      </c>
      <c r="N205" s="14">
        <f t="shared" si="6"/>
        <v>332</v>
      </c>
      <c r="O205" s="15">
        <f t="shared" si="6"/>
        <v>352</v>
      </c>
      <c r="P205" s="17">
        <f t="shared" si="7"/>
        <v>316</v>
      </c>
      <c r="Q205" s="18">
        <f t="shared" si="8"/>
        <v>352</v>
      </c>
      <c r="R205" s="4" t="s">
        <v>0</v>
      </c>
      <c r="S205" s="16" t="str">
        <f t="shared" si="9"/>
        <v>11-11</v>
      </c>
      <c r="T205" s="14">
        <f t="shared" si="10"/>
        <v>316</v>
      </c>
      <c r="U205" s="18">
        <f t="shared" si="11"/>
        <v>414</v>
      </c>
      <c r="V205" s="14">
        <f t="shared" si="300"/>
        <v>332</v>
      </c>
      <c r="W205" s="18">
        <f t="shared" si="12"/>
        <v>414</v>
      </c>
      <c r="X205" s="14">
        <f t="shared" si="301"/>
        <v>332</v>
      </c>
      <c r="Y205" s="18">
        <f t="shared" si="13"/>
        <v>398</v>
      </c>
      <c r="Z205" s="14">
        <f t="shared" si="302"/>
        <v>316</v>
      </c>
      <c r="AA205" s="18">
        <f t="shared" si="14"/>
        <v>398</v>
      </c>
      <c r="AB205" s="4" t="s">
        <v>0</v>
      </c>
    </row>
    <row r="206" spans="1:28">
      <c r="A206" s="9" t="s">
        <v>96</v>
      </c>
      <c r="B206" s="24"/>
      <c r="C206" s="26"/>
      <c r="D206" s="25">
        <f t="shared" si="296"/>
        <v>332</v>
      </c>
      <c r="E206" s="29">
        <f t="shared" ref="E206" si="320">E205</f>
        <v>336</v>
      </c>
      <c r="F206" s="25">
        <f t="shared" si="298"/>
        <v>348</v>
      </c>
      <c r="G206" s="29">
        <f t="shared" si="307"/>
        <v>352</v>
      </c>
      <c r="H206" s="4" t="s">
        <v>0</v>
      </c>
      <c r="I206" s="11" t="str">
        <f t="shared" si="0"/>
        <v>11-10</v>
      </c>
      <c r="J206" s="14">
        <f t="shared" si="3"/>
        <v>332</v>
      </c>
      <c r="K206" s="15">
        <f t="shared" si="3"/>
        <v>336</v>
      </c>
      <c r="L206" s="17">
        <f t="shared" si="4"/>
        <v>348</v>
      </c>
      <c r="M206" s="18">
        <f t="shared" si="5"/>
        <v>336</v>
      </c>
      <c r="N206" s="14">
        <f t="shared" si="6"/>
        <v>348</v>
      </c>
      <c r="O206" s="15">
        <f t="shared" si="6"/>
        <v>352</v>
      </c>
      <c r="P206" s="17">
        <f t="shared" si="7"/>
        <v>332</v>
      </c>
      <c r="Q206" s="18">
        <f t="shared" si="8"/>
        <v>352</v>
      </c>
      <c r="R206" s="4" t="s">
        <v>0</v>
      </c>
      <c r="S206" s="16" t="str">
        <f t="shared" si="9"/>
        <v>11-10</v>
      </c>
      <c r="T206" s="14">
        <f t="shared" si="10"/>
        <v>332</v>
      </c>
      <c r="U206" s="18">
        <f t="shared" si="11"/>
        <v>414</v>
      </c>
      <c r="V206" s="14">
        <f t="shared" si="300"/>
        <v>348</v>
      </c>
      <c r="W206" s="18">
        <f t="shared" si="12"/>
        <v>414</v>
      </c>
      <c r="X206" s="14">
        <f t="shared" si="301"/>
        <v>348</v>
      </c>
      <c r="Y206" s="18">
        <f t="shared" si="13"/>
        <v>398</v>
      </c>
      <c r="Z206" s="14">
        <f t="shared" si="302"/>
        <v>332</v>
      </c>
      <c r="AA206" s="18">
        <f t="shared" si="14"/>
        <v>398</v>
      </c>
      <c r="AB206" s="4" t="s">
        <v>0</v>
      </c>
    </row>
    <row r="207" spans="1:28">
      <c r="A207" s="9" t="s">
        <v>95</v>
      </c>
      <c r="B207" s="24"/>
      <c r="C207" s="26"/>
      <c r="D207" s="25">
        <f t="shared" si="296"/>
        <v>349</v>
      </c>
      <c r="E207" s="29">
        <f t="shared" ref="E207" si="321">E206</f>
        <v>336</v>
      </c>
      <c r="F207" s="25">
        <f t="shared" si="298"/>
        <v>365</v>
      </c>
      <c r="G207" s="29">
        <f t="shared" si="307"/>
        <v>352</v>
      </c>
      <c r="H207" s="4" t="s">
        <v>0</v>
      </c>
      <c r="I207" s="11" t="str">
        <f t="shared" si="0"/>
        <v>11-08</v>
      </c>
      <c r="J207" s="14">
        <f t="shared" si="3"/>
        <v>349</v>
      </c>
      <c r="K207" s="15">
        <f t="shared" si="3"/>
        <v>336</v>
      </c>
      <c r="L207" s="17">
        <f t="shared" si="4"/>
        <v>365</v>
      </c>
      <c r="M207" s="18">
        <f t="shared" si="5"/>
        <v>336</v>
      </c>
      <c r="N207" s="14">
        <f t="shared" si="6"/>
        <v>365</v>
      </c>
      <c r="O207" s="15">
        <f t="shared" si="6"/>
        <v>352</v>
      </c>
      <c r="P207" s="17">
        <f t="shared" si="7"/>
        <v>349</v>
      </c>
      <c r="Q207" s="18">
        <f t="shared" si="8"/>
        <v>352</v>
      </c>
      <c r="R207" s="4" t="s">
        <v>0</v>
      </c>
      <c r="S207" s="16" t="str">
        <f t="shared" si="9"/>
        <v>11-08</v>
      </c>
      <c r="T207" s="14">
        <f t="shared" si="10"/>
        <v>349</v>
      </c>
      <c r="U207" s="18">
        <f t="shared" si="11"/>
        <v>414</v>
      </c>
      <c r="V207" s="14">
        <f t="shared" si="300"/>
        <v>365</v>
      </c>
      <c r="W207" s="18">
        <f t="shared" si="12"/>
        <v>414</v>
      </c>
      <c r="X207" s="14">
        <f t="shared" si="301"/>
        <v>365</v>
      </c>
      <c r="Y207" s="18">
        <f t="shared" si="13"/>
        <v>398</v>
      </c>
      <c r="Z207" s="14">
        <f t="shared" si="302"/>
        <v>349</v>
      </c>
      <c r="AA207" s="18">
        <f t="shared" si="14"/>
        <v>398</v>
      </c>
      <c r="AB207" s="4" t="s">
        <v>0</v>
      </c>
    </row>
    <row r="208" spans="1:28">
      <c r="A208" s="9" t="s">
        <v>94</v>
      </c>
      <c r="B208" s="24"/>
      <c r="C208" s="26"/>
      <c r="D208" s="25">
        <f t="shared" si="296"/>
        <v>365</v>
      </c>
      <c r="E208" s="29">
        <f t="shared" ref="E208" si="322">E207</f>
        <v>336</v>
      </c>
      <c r="F208" s="25">
        <f t="shared" si="298"/>
        <v>381</v>
      </c>
      <c r="G208" s="29">
        <f t="shared" si="307"/>
        <v>352</v>
      </c>
      <c r="H208" s="4" t="s">
        <v>0</v>
      </c>
      <c r="I208" s="11" t="str">
        <f t="shared" si="0"/>
        <v>11-07</v>
      </c>
      <c r="J208" s="14">
        <f t="shared" si="3"/>
        <v>365</v>
      </c>
      <c r="K208" s="15">
        <f t="shared" si="3"/>
        <v>336</v>
      </c>
      <c r="L208" s="17">
        <f t="shared" si="4"/>
        <v>381</v>
      </c>
      <c r="M208" s="18">
        <f t="shared" si="5"/>
        <v>336</v>
      </c>
      <c r="N208" s="14">
        <f t="shared" si="6"/>
        <v>381</v>
      </c>
      <c r="O208" s="15">
        <f t="shared" si="6"/>
        <v>352</v>
      </c>
      <c r="P208" s="17">
        <f t="shared" si="7"/>
        <v>365</v>
      </c>
      <c r="Q208" s="18">
        <f t="shared" si="8"/>
        <v>352</v>
      </c>
      <c r="R208" s="4" t="s">
        <v>0</v>
      </c>
      <c r="S208" s="16" t="str">
        <f t="shared" si="9"/>
        <v>11-07</v>
      </c>
      <c r="T208" s="14">
        <f t="shared" si="10"/>
        <v>365</v>
      </c>
      <c r="U208" s="18">
        <f t="shared" si="11"/>
        <v>414</v>
      </c>
      <c r="V208" s="14">
        <f t="shared" si="300"/>
        <v>381</v>
      </c>
      <c r="W208" s="18">
        <f t="shared" si="12"/>
        <v>414</v>
      </c>
      <c r="X208" s="14">
        <f t="shared" si="301"/>
        <v>381</v>
      </c>
      <c r="Y208" s="18">
        <f t="shared" si="13"/>
        <v>398</v>
      </c>
      <c r="Z208" s="14">
        <f t="shared" si="302"/>
        <v>365</v>
      </c>
      <c r="AA208" s="18">
        <f t="shared" si="14"/>
        <v>398</v>
      </c>
      <c r="AB208" s="4" t="s">
        <v>0</v>
      </c>
    </row>
    <row r="209" spans="1:28">
      <c r="A209" s="9" t="s">
        <v>93</v>
      </c>
      <c r="B209" s="24"/>
      <c r="C209" s="26"/>
      <c r="D209" s="25">
        <f t="shared" si="296"/>
        <v>381</v>
      </c>
      <c r="E209" s="29">
        <f t="shared" ref="E209" si="323">E208</f>
        <v>336</v>
      </c>
      <c r="F209" s="25">
        <f t="shared" si="298"/>
        <v>397</v>
      </c>
      <c r="G209" s="29">
        <f t="shared" si="307"/>
        <v>352</v>
      </c>
      <c r="H209" s="4" t="s">
        <v>0</v>
      </c>
      <c r="I209" s="11" t="str">
        <f t="shared" si="0"/>
        <v>11-06</v>
      </c>
      <c r="J209" s="14">
        <f t="shared" si="3"/>
        <v>381</v>
      </c>
      <c r="K209" s="15">
        <f t="shared" si="3"/>
        <v>336</v>
      </c>
      <c r="L209" s="17">
        <f t="shared" si="4"/>
        <v>397</v>
      </c>
      <c r="M209" s="18">
        <f t="shared" si="5"/>
        <v>336</v>
      </c>
      <c r="N209" s="14">
        <f t="shared" si="6"/>
        <v>397</v>
      </c>
      <c r="O209" s="15">
        <f t="shared" si="6"/>
        <v>352</v>
      </c>
      <c r="P209" s="17">
        <f t="shared" si="7"/>
        <v>381</v>
      </c>
      <c r="Q209" s="18">
        <f t="shared" si="8"/>
        <v>352</v>
      </c>
      <c r="R209" s="4" t="s">
        <v>0</v>
      </c>
      <c r="S209" s="16" t="str">
        <f t="shared" si="9"/>
        <v>11-06</v>
      </c>
      <c r="T209" s="14">
        <f t="shared" si="10"/>
        <v>381</v>
      </c>
      <c r="U209" s="18">
        <f t="shared" si="11"/>
        <v>414</v>
      </c>
      <c r="V209" s="14">
        <f t="shared" si="300"/>
        <v>397</v>
      </c>
      <c r="W209" s="18">
        <f t="shared" si="12"/>
        <v>414</v>
      </c>
      <c r="X209" s="14">
        <f t="shared" si="301"/>
        <v>397</v>
      </c>
      <c r="Y209" s="18">
        <f t="shared" si="13"/>
        <v>398</v>
      </c>
      <c r="Z209" s="14">
        <f t="shared" si="302"/>
        <v>381</v>
      </c>
      <c r="AA209" s="18">
        <f t="shared" si="14"/>
        <v>398</v>
      </c>
      <c r="AB209" s="4" t="s">
        <v>0</v>
      </c>
    </row>
    <row r="210" spans="1:28">
      <c r="A210" s="9" t="s">
        <v>92</v>
      </c>
      <c r="B210" s="24"/>
      <c r="C210" s="26"/>
      <c r="D210" s="25">
        <f t="shared" si="296"/>
        <v>397</v>
      </c>
      <c r="E210" s="29">
        <f t="shared" ref="E210" si="324">E209</f>
        <v>336</v>
      </c>
      <c r="F210" s="25">
        <f t="shared" si="298"/>
        <v>413</v>
      </c>
      <c r="G210" s="29">
        <f t="shared" si="307"/>
        <v>352</v>
      </c>
      <c r="H210" s="4" t="s">
        <v>0</v>
      </c>
      <c r="I210" s="11" t="str">
        <f t="shared" si="0"/>
        <v>11-05</v>
      </c>
      <c r="J210" s="14">
        <f t="shared" si="3"/>
        <v>397</v>
      </c>
      <c r="K210" s="15">
        <f t="shared" si="3"/>
        <v>336</v>
      </c>
      <c r="L210" s="17">
        <f t="shared" si="4"/>
        <v>413</v>
      </c>
      <c r="M210" s="18">
        <f t="shared" si="5"/>
        <v>336</v>
      </c>
      <c r="N210" s="14">
        <f t="shared" si="6"/>
        <v>413</v>
      </c>
      <c r="O210" s="15">
        <f t="shared" si="6"/>
        <v>352</v>
      </c>
      <c r="P210" s="17">
        <f t="shared" si="7"/>
        <v>397</v>
      </c>
      <c r="Q210" s="18">
        <f t="shared" si="8"/>
        <v>352</v>
      </c>
      <c r="R210" s="4" t="s">
        <v>0</v>
      </c>
      <c r="S210" s="16" t="str">
        <f t="shared" si="9"/>
        <v>11-05</v>
      </c>
      <c r="T210" s="14">
        <f t="shared" si="10"/>
        <v>397</v>
      </c>
      <c r="U210" s="18">
        <f t="shared" si="11"/>
        <v>414</v>
      </c>
      <c r="V210" s="14">
        <f t="shared" si="300"/>
        <v>413</v>
      </c>
      <c r="W210" s="18">
        <f t="shared" si="12"/>
        <v>414</v>
      </c>
      <c r="X210" s="14">
        <f t="shared" si="301"/>
        <v>413</v>
      </c>
      <c r="Y210" s="18">
        <f t="shared" si="13"/>
        <v>398</v>
      </c>
      <c r="Z210" s="14">
        <f t="shared" si="302"/>
        <v>397</v>
      </c>
      <c r="AA210" s="18">
        <f t="shared" si="14"/>
        <v>398</v>
      </c>
      <c r="AB210" s="4" t="s">
        <v>0</v>
      </c>
    </row>
    <row r="211" spans="1:28">
      <c r="A211" s="9" t="s">
        <v>91</v>
      </c>
      <c r="B211" s="24"/>
      <c r="C211" s="26"/>
      <c r="D211" s="25">
        <f t="shared" si="296"/>
        <v>413</v>
      </c>
      <c r="E211" s="29">
        <f t="shared" ref="E211" si="325">E210</f>
        <v>336</v>
      </c>
      <c r="F211" s="25">
        <f t="shared" si="298"/>
        <v>429</v>
      </c>
      <c r="G211" s="29">
        <f t="shared" si="307"/>
        <v>352</v>
      </c>
      <c r="H211" s="4" t="s">
        <v>0</v>
      </c>
      <c r="I211" s="11" t="str">
        <f t="shared" si="0"/>
        <v>11-03</v>
      </c>
      <c r="J211" s="14">
        <f t="shared" si="3"/>
        <v>413</v>
      </c>
      <c r="K211" s="15">
        <f t="shared" si="3"/>
        <v>336</v>
      </c>
      <c r="L211" s="17">
        <f t="shared" si="4"/>
        <v>429</v>
      </c>
      <c r="M211" s="18">
        <f t="shared" si="5"/>
        <v>336</v>
      </c>
      <c r="N211" s="14">
        <f t="shared" si="6"/>
        <v>429</v>
      </c>
      <c r="O211" s="15">
        <f t="shared" si="6"/>
        <v>352</v>
      </c>
      <c r="P211" s="17">
        <f t="shared" si="7"/>
        <v>413</v>
      </c>
      <c r="Q211" s="18">
        <f t="shared" si="8"/>
        <v>352</v>
      </c>
      <c r="R211" s="4" t="s">
        <v>0</v>
      </c>
      <c r="S211" s="16" t="str">
        <f t="shared" si="9"/>
        <v>11-03</v>
      </c>
      <c r="T211" s="14">
        <f t="shared" si="10"/>
        <v>413</v>
      </c>
      <c r="U211" s="18">
        <f t="shared" si="11"/>
        <v>414</v>
      </c>
      <c r="V211" s="14">
        <f t="shared" si="300"/>
        <v>429</v>
      </c>
      <c r="W211" s="18">
        <f t="shared" si="12"/>
        <v>414</v>
      </c>
      <c r="X211" s="14">
        <f t="shared" si="301"/>
        <v>429</v>
      </c>
      <c r="Y211" s="18">
        <f t="shared" si="13"/>
        <v>398</v>
      </c>
      <c r="Z211" s="14">
        <f t="shared" si="302"/>
        <v>413</v>
      </c>
      <c r="AA211" s="18">
        <f t="shared" si="14"/>
        <v>398</v>
      </c>
      <c r="AB211" s="4" t="s">
        <v>0</v>
      </c>
    </row>
    <row r="212" spans="1:28">
      <c r="A212" s="9" t="s">
        <v>90</v>
      </c>
      <c r="B212" s="24"/>
      <c r="C212" s="26"/>
      <c r="D212" s="25">
        <f t="shared" si="296"/>
        <v>429</v>
      </c>
      <c r="E212" s="29">
        <f t="shared" ref="E212" si="326">E211</f>
        <v>336</v>
      </c>
      <c r="F212" s="25">
        <f t="shared" si="298"/>
        <v>445</v>
      </c>
      <c r="G212" s="29">
        <f t="shared" si="307"/>
        <v>352</v>
      </c>
      <c r="H212" s="4" t="s">
        <v>0</v>
      </c>
      <c r="I212" s="11" t="str">
        <f t="shared" si="0"/>
        <v>11-02</v>
      </c>
      <c r="J212" s="14">
        <f t="shared" si="3"/>
        <v>429</v>
      </c>
      <c r="K212" s="15">
        <f t="shared" si="3"/>
        <v>336</v>
      </c>
      <c r="L212" s="17">
        <f t="shared" si="4"/>
        <v>445</v>
      </c>
      <c r="M212" s="18">
        <f t="shared" si="5"/>
        <v>336</v>
      </c>
      <c r="N212" s="14">
        <f t="shared" si="6"/>
        <v>445</v>
      </c>
      <c r="O212" s="15">
        <f t="shared" si="6"/>
        <v>352</v>
      </c>
      <c r="P212" s="17">
        <f t="shared" si="7"/>
        <v>429</v>
      </c>
      <c r="Q212" s="18">
        <f t="shared" si="8"/>
        <v>352</v>
      </c>
      <c r="R212" s="4" t="s">
        <v>0</v>
      </c>
      <c r="S212" s="16" t="str">
        <f t="shared" si="9"/>
        <v>11-02</v>
      </c>
      <c r="T212" s="14">
        <f t="shared" si="10"/>
        <v>429</v>
      </c>
      <c r="U212" s="18">
        <f t="shared" si="11"/>
        <v>414</v>
      </c>
      <c r="V212" s="14">
        <f t="shared" si="300"/>
        <v>445</v>
      </c>
      <c r="W212" s="18">
        <f t="shared" si="12"/>
        <v>414</v>
      </c>
      <c r="X212" s="14">
        <f t="shared" si="301"/>
        <v>445</v>
      </c>
      <c r="Y212" s="18">
        <f t="shared" si="13"/>
        <v>398</v>
      </c>
      <c r="Z212" s="14">
        <f t="shared" si="302"/>
        <v>429</v>
      </c>
      <c r="AA212" s="18">
        <f t="shared" si="14"/>
        <v>398</v>
      </c>
      <c r="AB212" s="4" t="s">
        <v>0</v>
      </c>
    </row>
    <row r="213" spans="1:28">
      <c r="A213" s="9" t="s">
        <v>89</v>
      </c>
      <c r="B213" s="24"/>
      <c r="C213" s="26"/>
      <c r="D213" s="25">
        <f t="shared" si="296"/>
        <v>445</v>
      </c>
      <c r="E213" s="29">
        <f t="shared" ref="E213" si="327">E212</f>
        <v>336</v>
      </c>
      <c r="F213" s="25">
        <f t="shared" si="298"/>
        <v>461</v>
      </c>
      <c r="G213" s="29">
        <f t="shared" si="307"/>
        <v>352</v>
      </c>
      <c r="H213" s="4" t="s">
        <v>0</v>
      </c>
      <c r="I213" s="11" t="str">
        <f t="shared" si="0"/>
        <v>11-01</v>
      </c>
      <c r="J213" s="14">
        <f t="shared" si="3"/>
        <v>445</v>
      </c>
      <c r="K213" s="15">
        <f t="shared" si="3"/>
        <v>336</v>
      </c>
      <c r="L213" s="17">
        <f t="shared" si="4"/>
        <v>461</v>
      </c>
      <c r="M213" s="18">
        <f t="shared" si="5"/>
        <v>336</v>
      </c>
      <c r="N213" s="14">
        <f t="shared" si="6"/>
        <v>461</v>
      </c>
      <c r="O213" s="15">
        <f t="shared" si="6"/>
        <v>352</v>
      </c>
      <c r="P213" s="17">
        <f t="shared" si="7"/>
        <v>445</v>
      </c>
      <c r="Q213" s="18">
        <f t="shared" si="8"/>
        <v>352</v>
      </c>
      <c r="R213" s="4" t="s">
        <v>0</v>
      </c>
      <c r="S213" s="16" t="str">
        <f t="shared" si="9"/>
        <v>11-01</v>
      </c>
      <c r="T213" s="14">
        <f t="shared" si="10"/>
        <v>445</v>
      </c>
      <c r="U213" s="18">
        <f t="shared" si="11"/>
        <v>414</v>
      </c>
      <c r="V213" s="14">
        <f t="shared" si="300"/>
        <v>461</v>
      </c>
      <c r="W213" s="18">
        <f t="shared" si="12"/>
        <v>414</v>
      </c>
      <c r="X213" s="14">
        <f t="shared" si="301"/>
        <v>461</v>
      </c>
      <c r="Y213" s="18">
        <f t="shared" si="13"/>
        <v>398</v>
      </c>
      <c r="Z213" s="14">
        <f t="shared" si="302"/>
        <v>445</v>
      </c>
      <c r="AA213" s="18">
        <f t="shared" si="14"/>
        <v>398</v>
      </c>
      <c r="AB213" s="4" t="s">
        <v>0</v>
      </c>
    </row>
    <row r="214" spans="1:28">
      <c r="A214" s="9" t="s">
        <v>188</v>
      </c>
      <c r="B214" s="24"/>
      <c r="C214" s="26">
        <v>4</v>
      </c>
      <c r="D214" s="25">
        <f t="shared" si="296"/>
        <v>268</v>
      </c>
      <c r="E214" s="28">
        <f t="shared" ref="E214" si="328">ROUND(E$166+19.9*$C214, 0)</f>
        <v>356</v>
      </c>
      <c r="F214" s="25">
        <f t="shared" si="298"/>
        <v>284</v>
      </c>
      <c r="G214" s="28">
        <f t="shared" ref="G214" si="329">ROUND(G$166+19.9*$C214, 0)</f>
        <v>372</v>
      </c>
      <c r="H214" s="4" t="s">
        <v>0</v>
      </c>
      <c r="I214" s="11" t="str">
        <f t="shared" si="0"/>
        <v>10-15</v>
      </c>
      <c r="J214" s="14">
        <f t="shared" si="3"/>
        <v>268</v>
      </c>
      <c r="K214" s="15">
        <f t="shared" si="3"/>
        <v>356</v>
      </c>
      <c r="L214" s="17">
        <f t="shared" si="4"/>
        <v>284</v>
      </c>
      <c r="M214" s="18">
        <f t="shared" si="5"/>
        <v>356</v>
      </c>
      <c r="N214" s="14">
        <f t="shared" si="6"/>
        <v>284</v>
      </c>
      <c r="O214" s="15">
        <f t="shared" si="6"/>
        <v>372</v>
      </c>
      <c r="P214" s="17">
        <f t="shared" si="7"/>
        <v>268</v>
      </c>
      <c r="Q214" s="18">
        <f t="shared" si="8"/>
        <v>372</v>
      </c>
      <c r="R214" s="4" t="s">
        <v>0</v>
      </c>
      <c r="S214" s="16" t="str">
        <f t="shared" si="9"/>
        <v>10-15</v>
      </c>
      <c r="T214" s="14">
        <f t="shared" si="10"/>
        <v>268</v>
      </c>
      <c r="U214" s="18">
        <f t="shared" si="11"/>
        <v>394</v>
      </c>
      <c r="V214" s="14">
        <f t="shared" si="300"/>
        <v>284</v>
      </c>
      <c r="W214" s="18">
        <f t="shared" si="12"/>
        <v>394</v>
      </c>
      <c r="X214" s="14">
        <f t="shared" si="301"/>
        <v>284</v>
      </c>
      <c r="Y214" s="18">
        <f t="shared" si="13"/>
        <v>378</v>
      </c>
      <c r="Z214" s="14">
        <f t="shared" si="302"/>
        <v>268</v>
      </c>
      <c r="AA214" s="18">
        <f t="shared" si="14"/>
        <v>378</v>
      </c>
      <c r="AB214" s="4" t="s">
        <v>0</v>
      </c>
    </row>
    <row r="215" spans="1:28">
      <c r="A215" s="9" t="s">
        <v>187</v>
      </c>
      <c r="B215" s="24"/>
      <c r="C215" s="26"/>
      <c r="D215" s="25">
        <f t="shared" si="296"/>
        <v>284</v>
      </c>
      <c r="E215" s="29">
        <f t="shared" ref="E215" si="330">E214</f>
        <v>356</v>
      </c>
      <c r="F215" s="25">
        <f t="shared" si="298"/>
        <v>300</v>
      </c>
      <c r="G215" s="29">
        <f t="shared" si="307"/>
        <v>372</v>
      </c>
      <c r="H215" s="4" t="s">
        <v>0</v>
      </c>
      <c r="I215" s="11" t="str">
        <f t="shared" si="0"/>
        <v>10-13</v>
      </c>
      <c r="J215" s="14">
        <f t="shared" si="3"/>
        <v>284</v>
      </c>
      <c r="K215" s="15">
        <f t="shared" si="3"/>
        <v>356</v>
      </c>
      <c r="L215" s="17">
        <f t="shared" si="4"/>
        <v>300</v>
      </c>
      <c r="M215" s="18">
        <f t="shared" si="5"/>
        <v>356</v>
      </c>
      <c r="N215" s="14">
        <f t="shared" si="6"/>
        <v>300</v>
      </c>
      <c r="O215" s="15">
        <f t="shared" si="6"/>
        <v>372</v>
      </c>
      <c r="P215" s="17">
        <f t="shared" si="7"/>
        <v>284</v>
      </c>
      <c r="Q215" s="18">
        <f t="shared" si="8"/>
        <v>372</v>
      </c>
      <c r="R215" s="4" t="s">
        <v>0</v>
      </c>
      <c r="S215" s="16" t="str">
        <f t="shared" si="9"/>
        <v>10-13</v>
      </c>
      <c r="T215" s="14">
        <f t="shared" si="10"/>
        <v>284</v>
      </c>
      <c r="U215" s="18">
        <f t="shared" si="11"/>
        <v>394</v>
      </c>
      <c r="V215" s="14">
        <f t="shared" si="300"/>
        <v>300</v>
      </c>
      <c r="W215" s="18">
        <f t="shared" si="12"/>
        <v>394</v>
      </c>
      <c r="X215" s="14">
        <f t="shared" si="301"/>
        <v>300</v>
      </c>
      <c r="Y215" s="18">
        <f t="shared" si="13"/>
        <v>378</v>
      </c>
      <c r="Z215" s="14">
        <f t="shared" si="302"/>
        <v>284</v>
      </c>
      <c r="AA215" s="18">
        <f t="shared" si="14"/>
        <v>378</v>
      </c>
      <c r="AB215" s="4" t="s">
        <v>0</v>
      </c>
    </row>
    <row r="216" spans="1:28">
      <c r="A216" s="9" t="s">
        <v>88</v>
      </c>
      <c r="B216" s="24"/>
      <c r="C216" s="26"/>
      <c r="D216" s="25">
        <f t="shared" si="296"/>
        <v>300</v>
      </c>
      <c r="E216" s="29">
        <f t="shared" ref="E216" si="331">E215</f>
        <v>356</v>
      </c>
      <c r="F216" s="25">
        <f t="shared" si="298"/>
        <v>316</v>
      </c>
      <c r="G216" s="29">
        <f t="shared" si="307"/>
        <v>372</v>
      </c>
      <c r="H216" s="4" t="s">
        <v>0</v>
      </c>
      <c r="I216" s="11" t="str">
        <f t="shared" si="0"/>
        <v>10-12</v>
      </c>
      <c r="J216" s="14">
        <f t="shared" si="3"/>
        <v>300</v>
      </c>
      <c r="K216" s="15">
        <f t="shared" si="3"/>
        <v>356</v>
      </c>
      <c r="L216" s="17">
        <f t="shared" si="4"/>
        <v>316</v>
      </c>
      <c r="M216" s="18">
        <f t="shared" si="5"/>
        <v>356</v>
      </c>
      <c r="N216" s="14">
        <f t="shared" si="6"/>
        <v>316</v>
      </c>
      <c r="O216" s="15">
        <f t="shared" si="6"/>
        <v>372</v>
      </c>
      <c r="P216" s="17">
        <f t="shared" si="7"/>
        <v>300</v>
      </c>
      <c r="Q216" s="18">
        <f t="shared" si="8"/>
        <v>372</v>
      </c>
      <c r="R216" s="4" t="s">
        <v>0</v>
      </c>
      <c r="S216" s="16" t="str">
        <f t="shared" si="9"/>
        <v>10-12</v>
      </c>
      <c r="T216" s="14">
        <f t="shared" si="10"/>
        <v>300</v>
      </c>
      <c r="U216" s="18">
        <f t="shared" si="11"/>
        <v>394</v>
      </c>
      <c r="V216" s="14">
        <f t="shared" si="300"/>
        <v>316</v>
      </c>
      <c r="W216" s="18">
        <f t="shared" si="12"/>
        <v>394</v>
      </c>
      <c r="X216" s="14">
        <f t="shared" si="301"/>
        <v>316</v>
      </c>
      <c r="Y216" s="18">
        <f t="shared" si="13"/>
        <v>378</v>
      </c>
      <c r="Z216" s="14">
        <f t="shared" si="302"/>
        <v>300</v>
      </c>
      <c r="AA216" s="18">
        <f t="shared" si="14"/>
        <v>378</v>
      </c>
      <c r="AB216" s="4" t="s">
        <v>0</v>
      </c>
    </row>
    <row r="217" spans="1:28">
      <c r="A217" s="9" t="s">
        <v>87</v>
      </c>
      <c r="B217" s="24"/>
      <c r="C217" s="26"/>
      <c r="D217" s="25">
        <f t="shared" si="296"/>
        <v>316</v>
      </c>
      <c r="E217" s="29">
        <f t="shared" ref="E217" si="332">E216</f>
        <v>356</v>
      </c>
      <c r="F217" s="25">
        <f t="shared" si="298"/>
        <v>332</v>
      </c>
      <c r="G217" s="29">
        <f t="shared" si="307"/>
        <v>372</v>
      </c>
      <c r="H217" s="4" t="s">
        <v>0</v>
      </c>
      <c r="I217" s="11" t="str">
        <f t="shared" si="0"/>
        <v>10-11</v>
      </c>
      <c r="J217" s="14">
        <f t="shared" si="3"/>
        <v>316</v>
      </c>
      <c r="K217" s="15">
        <f t="shared" si="3"/>
        <v>356</v>
      </c>
      <c r="L217" s="17">
        <f t="shared" si="4"/>
        <v>332</v>
      </c>
      <c r="M217" s="18">
        <f t="shared" si="5"/>
        <v>356</v>
      </c>
      <c r="N217" s="14">
        <f t="shared" si="6"/>
        <v>332</v>
      </c>
      <c r="O217" s="15">
        <f t="shared" si="6"/>
        <v>372</v>
      </c>
      <c r="P217" s="17">
        <f t="shared" si="7"/>
        <v>316</v>
      </c>
      <c r="Q217" s="18">
        <f t="shared" si="8"/>
        <v>372</v>
      </c>
      <c r="R217" s="4" t="s">
        <v>0</v>
      </c>
      <c r="S217" s="16" t="str">
        <f t="shared" si="9"/>
        <v>10-11</v>
      </c>
      <c r="T217" s="14">
        <f t="shared" si="10"/>
        <v>316</v>
      </c>
      <c r="U217" s="18">
        <f t="shared" si="11"/>
        <v>394</v>
      </c>
      <c r="V217" s="14">
        <f t="shared" si="300"/>
        <v>332</v>
      </c>
      <c r="W217" s="18">
        <f t="shared" si="12"/>
        <v>394</v>
      </c>
      <c r="X217" s="14">
        <f t="shared" si="301"/>
        <v>332</v>
      </c>
      <c r="Y217" s="18">
        <f t="shared" si="13"/>
        <v>378</v>
      </c>
      <c r="Z217" s="14">
        <f t="shared" si="302"/>
        <v>316</v>
      </c>
      <c r="AA217" s="18">
        <f t="shared" si="14"/>
        <v>378</v>
      </c>
      <c r="AB217" s="4" t="s">
        <v>0</v>
      </c>
    </row>
    <row r="218" spans="1:28">
      <c r="A218" s="9" t="s">
        <v>86</v>
      </c>
      <c r="B218" s="24"/>
      <c r="C218" s="26"/>
      <c r="D218" s="25">
        <f t="shared" si="296"/>
        <v>332</v>
      </c>
      <c r="E218" s="29">
        <f t="shared" ref="E218" si="333">E217</f>
        <v>356</v>
      </c>
      <c r="F218" s="25">
        <f t="shared" si="298"/>
        <v>348</v>
      </c>
      <c r="G218" s="29">
        <f t="shared" si="307"/>
        <v>372</v>
      </c>
      <c r="H218" s="4" t="s">
        <v>0</v>
      </c>
      <c r="I218" s="11" t="str">
        <f t="shared" si="0"/>
        <v>10-10</v>
      </c>
      <c r="J218" s="14">
        <f t="shared" si="3"/>
        <v>332</v>
      </c>
      <c r="K218" s="15">
        <f t="shared" si="3"/>
        <v>356</v>
      </c>
      <c r="L218" s="17">
        <f t="shared" si="4"/>
        <v>348</v>
      </c>
      <c r="M218" s="18">
        <f t="shared" si="5"/>
        <v>356</v>
      </c>
      <c r="N218" s="14">
        <f t="shared" si="6"/>
        <v>348</v>
      </c>
      <c r="O218" s="15">
        <f t="shared" si="6"/>
        <v>372</v>
      </c>
      <c r="P218" s="17">
        <f t="shared" si="7"/>
        <v>332</v>
      </c>
      <c r="Q218" s="18">
        <f t="shared" si="8"/>
        <v>372</v>
      </c>
      <c r="R218" s="4" t="s">
        <v>0</v>
      </c>
      <c r="S218" s="16" t="str">
        <f t="shared" si="9"/>
        <v>10-10</v>
      </c>
      <c r="T218" s="14">
        <f t="shared" si="10"/>
        <v>332</v>
      </c>
      <c r="U218" s="18">
        <f t="shared" si="11"/>
        <v>394</v>
      </c>
      <c r="V218" s="14">
        <f t="shared" si="300"/>
        <v>348</v>
      </c>
      <c r="W218" s="18">
        <f t="shared" si="12"/>
        <v>394</v>
      </c>
      <c r="X218" s="14">
        <f t="shared" si="301"/>
        <v>348</v>
      </c>
      <c r="Y218" s="18">
        <f t="shared" si="13"/>
        <v>378</v>
      </c>
      <c r="Z218" s="14">
        <f t="shared" si="302"/>
        <v>332</v>
      </c>
      <c r="AA218" s="18">
        <f t="shared" si="14"/>
        <v>378</v>
      </c>
      <c r="AB218" s="4" t="s">
        <v>0</v>
      </c>
    </row>
    <row r="219" spans="1:28">
      <c r="A219" s="9" t="s">
        <v>85</v>
      </c>
      <c r="B219" s="24"/>
      <c r="C219" s="26"/>
      <c r="D219" s="25">
        <f t="shared" si="296"/>
        <v>349</v>
      </c>
      <c r="E219" s="29">
        <f t="shared" ref="E219" si="334">E218</f>
        <v>356</v>
      </c>
      <c r="F219" s="25">
        <f t="shared" si="298"/>
        <v>365</v>
      </c>
      <c r="G219" s="29">
        <f t="shared" si="307"/>
        <v>372</v>
      </c>
      <c r="H219" s="4" t="s">
        <v>0</v>
      </c>
      <c r="I219" s="11" t="str">
        <f t="shared" si="0"/>
        <v>10-08</v>
      </c>
      <c r="J219" s="14">
        <f t="shared" si="3"/>
        <v>349</v>
      </c>
      <c r="K219" s="15">
        <f t="shared" si="3"/>
        <v>356</v>
      </c>
      <c r="L219" s="17">
        <f t="shared" si="4"/>
        <v>365</v>
      </c>
      <c r="M219" s="18">
        <f t="shared" si="5"/>
        <v>356</v>
      </c>
      <c r="N219" s="14">
        <f t="shared" si="6"/>
        <v>365</v>
      </c>
      <c r="O219" s="15">
        <f t="shared" si="6"/>
        <v>372</v>
      </c>
      <c r="P219" s="17">
        <f t="shared" si="7"/>
        <v>349</v>
      </c>
      <c r="Q219" s="18">
        <f t="shared" si="8"/>
        <v>372</v>
      </c>
      <c r="R219" s="4" t="s">
        <v>0</v>
      </c>
      <c r="S219" s="16" t="str">
        <f t="shared" si="9"/>
        <v>10-08</v>
      </c>
      <c r="T219" s="14">
        <f t="shared" si="10"/>
        <v>349</v>
      </c>
      <c r="U219" s="18">
        <f t="shared" si="11"/>
        <v>394</v>
      </c>
      <c r="V219" s="14">
        <f t="shared" si="300"/>
        <v>365</v>
      </c>
      <c r="W219" s="18">
        <f t="shared" si="12"/>
        <v>394</v>
      </c>
      <c r="X219" s="14">
        <f t="shared" si="301"/>
        <v>365</v>
      </c>
      <c r="Y219" s="18">
        <f t="shared" si="13"/>
        <v>378</v>
      </c>
      <c r="Z219" s="14">
        <f t="shared" si="302"/>
        <v>349</v>
      </c>
      <c r="AA219" s="18">
        <f t="shared" si="14"/>
        <v>378</v>
      </c>
      <c r="AB219" s="4" t="s">
        <v>0</v>
      </c>
    </row>
    <row r="220" spans="1:28">
      <c r="A220" s="9" t="s">
        <v>84</v>
      </c>
      <c r="B220" s="24"/>
      <c r="C220" s="26"/>
      <c r="D220" s="25">
        <f t="shared" si="296"/>
        <v>365</v>
      </c>
      <c r="E220" s="29">
        <f t="shared" ref="E220" si="335">E219</f>
        <v>356</v>
      </c>
      <c r="F220" s="25">
        <f t="shared" si="298"/>
        <v>381</v>
      </c>
      <c r="G220" s="29">
        <f t="shared" si="307"/>
        <v>372</v>
      </c>
      <c r="H220" s="4" t="s">
        <v>0</v>
      </c>
      <c r="I220" s="11" t="str">
        <f t="shared" si="0"/>
        <v>10-07</v>
      </c>
      <c r="J220" s="14">
        <f t="shared" si="3"/>
        <v>365</v>
      </c>
      <c r="K220" s="15">
        <f t="shared" si="3"/>
        <v>356</v>
      </c>
      <c r="L220" s="17">
        <f t="shared" si="4"/>
        <v>381</v>
      </c>
      <c r="M220" s="18">
        <f t="shared" si="5"/>
        <v>356</v>
      </c>
      <c r="N220" s="14">
        <f t="shared" si="6"/>
        <v>381</v>
      </c>
      <c r="O220" s="15">
        <f t="shared" si="6"/>
        <v>372</v>
      </c>
      <c r="P220" s="17">
        <f t="shared" si="7"/>
        <v>365</v>
      </c>
      <c r="Q220" s="18">
        <f t="shared" si="8"/>
        <v>372</v>
      </c>
      <c r="R220" s="4" t="s">
        <v>0</v>
      </c>
      <c r="S220" s="16" t="str">
        <f t="shared" si="9"/>
        <v>10-07</v>
      </c>
      <c r="T220" s="14">
        <f t="shared" si="10"/>
        <v>365</v>
      </c>
      <c r="U220" s="18">
        <f t="shared" si="11"/>
        <v>394</v>
      </c>
      <c r="V220" s="14">
        <f t="shared" si="300"/>
        <v>381</v>
      </c>
      <c r="W220" s="18">
        <f t="shared" si="12"/>
        <v>394</v>
      </c>
      <c r="X220" s="14">
        <f t="shared" si="301"/>
        <v>381</v>
      </c>
      <c r="Y220" s="18">
        <f t="shared" si="13"/>
        <v>378</v>
      </c>
      <c r="Z220" s="14">
        <f t="shared" si="302"/>
        <v>365</v>
      </c>
      <c r="AA220" s="18">
        <f t="shared" si="14"/>
        <v>378</v>
      </c>
      <c r="AB220" s="4" t="s">
        <v>0</v>
      </c>
    </row>
    <row r="221" spans="1:28">
      <c r="A221" s="9" t="s">
        <v>83</v>
      </c>
      <c r="B221" s="24"/>
      <c r="C221" s="26"/>
      <c r="D221" s="25">
        <f t="shared" si="296"/>
        <v>381</v>
      </c>
      <c r="E221" s="29">
        <f t="shared" ref="E221" si="336">E220</f>
        <v>356</v>
      </c>
      <c r="F221" s="25">
        <f t="shared" si="298"/>
        <v>397</v>
      </c>
      <c r="G221" s="29">
        <f t="shared" si="307"/>
        <v>372</v>
      </c>
      <c r="H221" s="4" t="s">
        <v>0</v>
      </c>
      <c r="I221" s="11" t="str">
        <f t="shared" si="0"/>
        <v>10-06</v>
      </c>
      <c r="J221" s="14">
        <f t="shared" si="3"/>
        <v>381</v>
      </c>
      <c r="K221" s="15">
        <f t="shared" si="3"/>
        <v>356</v>
      </c>
      <c r="L221" s="17">
        <f t="shared" si="4"/>
        <v>397</v>
      </c>
      <c r="M221" s="18">
        <f t="shared" si="5"/>
        <v>356</v>
      </c>
      <c r="N221" s="14">
        <f t="shared" si="6"/>
        <v>397</v>
      </c>
      <c r="O221" s="15">
        <f t="shared" si="6"/>
        <v>372</v>
      </c>
      <c r="P221" s="17">
        <f t="shared" si="7"/>
        <v>381</v>
      </c>
      <c r="Q221" s="18">
        <f t="shared" si="8"/>
        <v>372</v>
      </c>
      <c r="R221" s="4" t="s">
        <v>0</v>
      </c>
      <c r="S221" s="16" t="str">
        <f t="shared" si="9"/>
        <v>10-06</v>
      </c>
      <c r="T221" s="14">
        <f t="shared" si="10"/>
        <v>381</v>
      </c>
      <c r="U221" s="18">
        <f t="shared" si="11"/>
        <v>394</v>
      </c>
      <c r="V221" s="14">
        <f t="shared" si="300"/>
        <v>397</v>
      </c>
      <c r="W221" s="18">
        <f t="shared" si="12"/>
        <v>394</v>
      </c>
      <c r="X221" s="14">
        <f t="shared" si="301"/>
        <v>397</v>
      </c>
      <c r="Y221" s="18">
        <f t="shared" si="13"/>
        <v>378</v>
      </c>
      <c r="Z221" s="14">
        <f t="shared" si="302"/>
        <v>381</v>
      </c>
      <c r="AA221" s="18">
        <f t="shared" si="14"/>
        <v>378</v>
      </c>
      <c r="AB221" s="4" t="s">
        <v>0</v>
      </c>
    </row>
    <row r="222" spans="1:28">
      <c r="A222" s="9" t="s">
        <v>82</v>
      </c>
      <c r="B222" s="24"/>
      <c r="C222" s="26"/>
      <c r="D222" s="25">
        <f t="shared" si="296"/>
        <v>397</v>
      </c>
      <c r="E222" s="29">
        <f t="shared" ref="E222" si="337">E221</f>
        <v>356</v>
      </c>
      <c r="F222" s="25">
        <f t="shared" si="298"/>
        <v>413</v>
      </c>
      <c r="G222" s="29">
        <f t="shared" si="307"/>
        <v>372</v>
      </c>
      <c r="H222" s="4" t="s">
        <v>0</v>
      </c>
      <c r="I222" s="11" t="str">
        <f t="shared" si="0"/>
        <v>10-05</v>
      </c>
      <c r="J222" s="14">
        <f t="shared" si="3"/>
        <v>397</v>
      </c>
      <c r="K222" s="15">
        <f t="shared" si="3"/>
        <v>356</v>
      </c>
      <c r="L222" s="17">
        <f t="shared" si="4"/>
        <v>413</v>
      </c>
      <c r="M222" s="18">
        <f t="shared" si="5"/>
        <v>356</v>
      </c>
      <c r="N222" s="14">
        <f t="shared" si="6"/>
        <v>413</v>
      </c>
      <c r="O222" s="15">
        <f t="shared" si="6"/>
        <v>372</v>
      </c>
      <c r="P222" s="17">
        <f t="shared" si="7"/>
        <v>397</v>
      </c>
      <c r="Q222" s="18">
        <f t="shared" si="8"/>
        <v>372</v>
      </c>
      <c r="R222" s="4" t="s">
        <v>0</v>
      </c>
      <c r="S222" s="16" t="str">
        <f t="shared" si="9"/>
        <v>10-05</v>
      </c>
      <c r="T222" s="14">
        <f t="shared" si="10"/>
        <v>397</v>
      </c>
      <c r="U222" s="18">
        <f t="shared" si="11"/>
        <v>394</v>
      </c>
      <c r="V222" s="14">
        <f t="shared" si="300"/>
        <v>413</v>
      </c>
      <c r="W222" s="18">
        <f t="shared" si="12"/>
        <v>394</v>
      </c>
      <c r="X222" s="14">
        <f t="shared" si="301"/>
        <v>413</v>
      </c>
      <c r="Y222" s="18">
        <f t="shared" si="13"/>
        <v>378</v>
      </c>
      <c r="Z222" s="14">
        <f t="shared" si="302"/>
        <v>397</v>
      </c>
      <c r="AA222" s="18">
        <f t="shared" si="14"/>
        <v>378</v>
      </c>
      <c r="AB222" s="4" t="s">
        <v>0</v>
      </c>
    </row>
    <row r="223" spans="1:28">
      <c r="A223" s="9" t="s">
        <v>81</v>
      </c>
      <c r="B223" s="24"/>
      <c r="C223" s="26"/>
      <c r="D223" s="25">
        <f t="shared" si="296"/>
        <v>413</v>
      </c>
      <c r="E223" s="29">
        <f t="shared" ref="E223" si="338">E222</f>
        <v>356</v>
      </c>
      <c r="F223" s="25">
        <f t="shared" si="298"/>
        <v>429</v>
      </c>
      <c r="G223" s="29">
        <f t="shared" si="307"/>
        <v>372</v>
      </c>
      <c r="H223" s="4" t="s">
        <v>0</v>
      </c>
      <c r="I223" s="11" t="str">
        <f t="shared" si="0"/>
        <v>10-03</v>
      </c>
      <c r="J223" s="14">
        <f t="shared" si="3"/>
        <v>413</v>
      </c>
      <c r="K223" s="15">
        <f t="shared" si="3"/>
        <v>356</v>
      </c>
      <c r="L223" s="17">
        <f t="shared" si="4"/>
        <v>429</v>
      </c>
      <c r="M223" s="18">
        <f t="shared" si="5"/>
        <v>356</v>
      </c>
      <c r="N223" s="14">
        <f t="shared" si="6"/>
        <v>429</v>
      </c>
      <c r="O223" s="15">
        <f t="shared" si="6"/>
        <v>372</v>
      </c>
      <c r="P223" s="17">
        <f t="shared" si="7"/>
        <v>413</v>
      </c>
      <c r="Q223" s="18">
        <f t="shared" si="8"/>
        <v>372</v>
      </c>
      <c r="R223" s="4" t="s">
        <v>0</v>
      </c>
      <c r="S223" s="16" t="str">
        <f t="shared" si="9"/>
        <v>10-03</v>
      </c>
      <c r="T223" s="14">
        <f t="shared" si="10"/>
        <v>413</v>
      </c>
      <c r="U223" s="18">
        <f t="shared" si="11"/>
        <v>394</v>
      </c>
      <c r="V223" s="14">
        <f t="shared" si="300"/>
        <v>429</v>
      </c>
      <c r="W223" s="18">
        <f t="shared" si="12"/>
        <v>394</v>
      </c>
      <c r="X223" s="14">
        <f t="shared" si="301"/>
        <v>429</v>
      </c>
      <c r="Y223" s="18">
        <f t="shared" si="13"/>
        <v>378</v>
      </c>
      <c r="Z223" s="14">
        <f t="shared" si="302"/>
        <v>413</v>
      </c>
      <c r="AA223" s="18">
        <f t="shared" si="14"/>
        <v>378</v>
      </c>
      <c r="AB223" s="4" t="s">
        <v>0</v>
      </c>
    </row>
    <row r="224" spans="1:28">
      <c r="A224" s="9" t="s">
        <v>80</v>
      </c>
      <c r="B224" s="24"/>
      <c r="C224" s="26"/>
      <c r="D224" s="25">
        <f t="shared" si="296"/>
        <v>429</v>
      </c>
      <c r="E224" s="29">
        <f t="shared" ref="E224" si="339">E223</f>
        <v>356</v>
      </c>
      <c r="F224" s="25">
        <f t="shared" si="298"/>
        <v>445</v>
      </c>
      <c r="G224" s="29">
        <f t="shared" si="307"/>
        <v>372</v>
      </c>
      <c r="H224" s="4" t="s">
        <v>0</v>
      </c>
      <c r="I224" s="11" t="str">
        <f t="shared" si="0"/>
        <v>10-02</v>
      </c>
      <c r="J224" s="14">
        <f t="shared" si="3"/>
        <v>429</v>
      </c>
      <c r="K224" s="15">
        <f t="shared" si="3"/>
        <v>356</v>
      </c>
      <c r="L224" s="17">
        <f t="shared" si="4"/>
        <v>445</v>
      </c>
      <c r="M224" s="18">
        <f t="shared" si="5"/>
        <v>356</v>
      </c>
      <c r="N224" s="14">
        <f t="shared" si="6"/>
        <v>445</v>
      </c>
      <c r="O224" s="15">
        <f t="shared" si="6"/>
        <v>372</v>
      </c>
      <c r="P224" s="17">
        <f t="shared" si="7"/>
        <v>429</v>
      </c>
      <c r="Q224" s="18">
        <f t="shared" si="8"/>
        <v>372</v>
      </c>
      <c r="R224" s="4" t="s">
        <v>0</v>
      </c>
      <c r="S224" s="16" t="str">
        <f t="shared" si="9"/>
        <v>10-02</v>
      </c>
      <c r="T224" s="14">
        <f t="shared" si="10"/>
        <v>429</v>
      </c>
      <c r="U224" s="18">
        <f t="shared" si="11"/>
        <v>394</v>
      </c>
      <c r="V224" s="14">
        <f t="shared" si="300"/>
        <v>445</v>
      </c>
      <c r="W224" s="18">
        <f t="shared" si="12"/>
        <v>394</v>
      </c>
      <c r="X224" s="14">
        <f t="shared" si="301"/>
        <v>445</v>
      </c>
      <c r="Y224" s="18">
        <f t="shared" si="13"/>
        <v>378</v>
      </c>
      <c r="Z224" s="14">
        <f t="shared" si="302"/>
        <v>429</v>
      </c>
      <c r="AA224" s="18">
        <f t="shared" si="14"/>
        <v>378</v>
      </c>
      <c r="AB224" s="4" t="s">
        <v>0</v>
      </c>
    </row>
    <row r="225" spans="1:28">
      <c r="A225" s="9" t="s">
        <v>79</v>
      </c>
      <c r="B225" s="24"/>
      <c r="C225" s="26"/>
      <c r="D225" s="25">
        <f t="shared" si="296"/>
        <v>445</v>
      </c>
      <c r="E225" s="29">
        <f t="shared" ref="E225" si="340">E224</f>
        <v>356</v>
      </c>
      <c r="F225" s="25">
        <f t="shared" si="298"/>
        <v>461</v>
      </c>
      <c r="G225" s="29">
        <f t="shared" si="307"/>
        <v>372</v>
      </c>
      <c r="H225" s="4" t="s">
        <v>0</v>
      </c>
      <c r="I225" s="11" t="str">
        <f t="shared" si="0"/>
        <v>10-01</v>
      </c>
      <c r="J225" s="14">
        <f t="shared" si="3"/>
        <v>445</v>
      </c>
      <c r="K225" s="15">
        <f t="shared" si="3"/>
        <v>356</v>
      </c>
      <c r="L225" s="17">
        <f t="shared" si="4"/>
        <v>461</v>
      </c>
      <c r="M225" s="18">
        <f t="shared" si="5"/>
        <v>356</v>
      </c>
      <c r="N225" s="14">
        <f t="shared" si="6"/>
        <v>461</v>
      </c>
      <c r="O225" s="15">
        <f t="shared" si="6"/>
        <v>372</v>
      </c>
      <c r="P225" s="17">
        <f t="shared" si="7"/>
        <v>445</v>
      </c>
      <c r="Q225" s="18">
        <f t="shared" si="8"/>
        <v>372</v>
      </c>
      <c r="R225" s="4" t="s">
        <v>0</v>
      </c>
      <c r="S225" s="16" t="str">
        <f t="shared" si="9"/>
        <v>10-01</v>
      </c>
      <c r="T225" s="14">
        <f t="shared" si="10"/>
        <v>445</v>
      </c>
      <c r="U225" s="18">
        <f t="shared" si="11"/>
        <v>394</v>
      </c>
      <c r="V225" s="14">
        <f t="shared" si="300"/>
        <v>461</v>
      </c>
      <c r="W225" s="18">
        <f t="shared" si="12"/>
        <v>394</v>
      </c>
      <c r="X225" s="14">
        <f t="shared" si="301"/>
        <v>461</v>
      </c>
      <c r="Y225" s="18">
        <f t="shared" si="13"/>
        <v>378</v>
      </c>
      <c r="Z225" s="14">
        <f t="shared" si="302"/>
        <v>445</v>
      </c>
      <c r="AA225" s="18">
        <f t="shared" si="14"/>
        <v>378</v>
      </c>
      <c r="AB225" s="4" t="s">
        <v>0</v>
      </c>
    </row>
    <row r="226" spans="1:28">
      <c r="A226" s="9" t="s">
        <v>181</v>
      </c>
      <c r="B226" s="24"/>
      <c r="C226" s="26">
        <v>5</v>
      </c>
      <c r="D226" s="25">
        <f t="shared" si="296"/>
        <v>268</v>
      </c>
      <c r="E226" s="28">
        <f t="shared" ref="E226" si="341">ROUND(E$166+19.9*$C226, 0)</f>
        <v>376</v>
      </c>
      <c r="F226" s="25">
        <f t="shared" si="298"/>
        <v>284</v>
      </c>
      <c r="G226" s="28">
        <f t="shared" ref="G226" si="342">ROUND(G$166+19.9*$C226, 0)</f>
        <v>392</v>
      </c>
      <c r="H226" s="4" t="s">
        <v>0</v>
      </c>
      <c r="I226" s="11" t="str">
        <f t="shared" si="0"/>
        <v>08-15</v>
      </c>
      <c r="J226" s="14">
        <f t="shared" si="3"/>
        <v>268</v>
      </c>
      <c r="K226" s="15">
        <f t="shared" si="3"/>
        <v>376</v>
      </c>
      <c r="L226" s="17">
        <f t="shared" si="4"/>
        <v>284</v>
      </c>
      <c r="M226" s="18">
        <f t="shared" si="5"/>
        <v>376</v>
      </c>
      <c r="N226" s="14">
        <f t="shared" si="6"/>
        <v>284</v>
      </c>
      <c r="O226" s="15">
        <f t="shared" si="6"/>
        <v>392</v>
      </c>
      <c r="P226" s="17">
        <f t="shared" si="7"/>
        <v>268</v>
      </c>
      <c r="Q226" s="18">
        <f t="shared" si="8"/>
        <v>392</v>
      </c>
      <c r="R226" s="4" t="s">
        <v>0</v>
      </c>
      <c r="S226" s="16" t="str">
        <f t="shared" si="9"/>
        <v>08-15</v>
      </c>
      <c r="T226" s="14">
        <f t="shared" si="10"/>
        <v>268</v>
      </c>
      <c r="U226" s="18">
        <f t="shared" si="11"/>
        <v>374</v>
      </c>
      <c r="V226" s="14">
        <f t="shared" si="300"/>
        <v>284</v>
      </c>
      <c r="W226" s="18">
        <f t="shared" si="12"/>
        <v>374</v>
      </c>
      <c r="X226" s="14">
        <f t="shared" si="301"/>
        <v>284</v>
      </c>
      <c r="Y226" s="18">
        <f t="shared" si="13"/>
        <v>358</v>
      </c>
      <c r="Z226" s="14">
        <f t="shared" si="302"/>
        <v>268</v>
      </c>
      <c r="AA226" s="18">
        <f t="shared" si="14"/>
        <v>358</v>
      </c>
      <c r="AB226" s="4" t="s">
        <v>0</v>
      </c>
    </row>
    <row r="227" spans="1:28">
      <c r="A227" s="9" t="s">
        <v>180</v>
      </c>
      <c r="B227" s="24"/>
      <c r="C227" s="26"/>
      <c r="D227" s="25">
        <f t="shared" si="296"/>
        <v>284</v>
      </c>
      <c r="E227" s="29">
        <f t="shared" ref="E227" si="343">E226</f>
        <v>376</v>
      </c>
      <c r="F227" s="25">
        <f t="shared" si="298"/>
        <v>300</v>
      </c>
      <c r="G227" s="29">
        <f t="shared" si="307"/>
        <v>392</v>
      </c>
      <c r="H227" s="4" t="s">
        <v>0</v>
      </c>
      <c r="I227" s="11" t="str">
        <f t="shared" si="0"/>
        <v>08-13</v>
      </c>
      <c r="J227" s="14">
        <f t="shared" si="3"/>
        <v>284</v>
      </c>
      <c r="K227" s="15">
        <f t="shared" si="3"/>
        <v>376</v>
      </c>
      <c r="L227" s="17">
        <f t="shared" si="4"/>
        <v>300</v>
      </c>
      <c r="M227" s="18">
        <f t="shared" si="5"/>
        <v>376</v>
      </c>
      <c r="N227" s="14">
        <f t="shared" si="6"/>
        <v>300</v>
      </c>
      <c r="O227" s="15">
        <f t="shared" si="6"/>
        <v>392</v>
      </c>
      <c r="P227" s="17">
        <f t="shared" si="7"/>
        <v>284</v>
      </c>
      <c r="Q227" s="18">
        <f t="shared" si="8"/>
        <v>392</v>
      </c>
      <c r="R227" s="4" t="s">
        <v>0</v>
      </c>
      <c r="S227" s="16" t="str">
        <f t="shared" si="9"/>
        <v>08-13</v>
      </c>
      <c r="T227" s="14">
        <f t="shared" si="10"/>
        <v>284</v>
      </c>
      <c r="U227" s="18">
        <f t="shared" si="11"/>
        <v>374</v>
      </c>
      <c r="V227" s="14">
        <f t="shared" si="300"/>
        <v>300</v>
      </c>
      <c r="W227" s="18">
        <f t="shared" si="12"/>
        <v>374</v>
      </c>
      <c r="X227" s="14">
        <f t="shared" si="301"/>
        <v>300</v>
      </c>
      <c r="Y227" s="18">
        <f t="shared" si="13"/>
        <v>358</v>
      </c>
      <c r="Z227" s="14">
        <f t="shared" si="302"/>
        <v>284</v>
      </c>
      <c r="AA227" s="18">
        <f t="shared" si="14"/>
        <v>358</v>
      </c>
      <c r="AB227" s="4" t="s">
        <v>0</v>
      </c>
    </row>
    <row r="228" spans="1:28">
      <c r="A228" s="9" t="s">
        <v>78</v>
      </c>
      <c r="B228" s="24"/>
      <c r="C228" s="26"/>
      <c r="D228" s="25">
        <f t="shared" si="296"/>
        <v>300</v>
      </c>
      <c r="E228" s="29">
        <f t="shared" ref="E228" si="344">E227</f>
        <v>376</v>
      </c>
      <c r="F228" s="25">
        <f t="shared" si="298"/>
        <v>316</v>
      </c>
      <c r="G228" s="29">
        <f t="shared" si="307"/>
        <v>392</v>
      </c>
      <c r="H228" s="4" t="s">
        <v>0</v>
      </c>
      <c r="I228" s="11" t="str">
        <f t="shared" si="0"/>
        <v>08-12</v>
      </c>
      <c r="J228" s="14">
        <f t="shared" si="3"/>
        <v>300</v>
      </c>
      <c r="K228" s="15">
        <f t="shared" si="3"/>
        <v>376</v>
      </c>
      <c r="L228" s="17">
        <f t="shared" si="4"/>
        <v>316</v>
      </c>
      <c r="M228" s="18">
        <f t="shared" si="5"/>
        <v>376</v>
      </c>
      <c r="N228" s="14">
        <f t="shared" si="6"/>
        <v>316</v>
      </c>
      <c r="O228" s="15">
        <f t="shared" si="6"/>
        <v>392</v>
      </c>
      <c r="P228" s="17">
        <f t="shared" si="7"/>
        <v>300</v>
      </c>
      <c r="Q228" s="18">
        <f t="shared" si="8"/>
        <v>392</v>
      </c>
      <c r="R228" s="4" t="s">
        <v>0</v>
      </c>
      <c r="S228" s="16" t="str">
        <f t="shared" si="9"/>
        <v>08-12</v>
      </c>
      <c r="T228" s="14">
        <f t="shared" si="10"/>
        <v>300</v>
      </c>
      <c r="U228" s="18">
        <f t="shared" si="11"/>
        <v>374</v>
      </c>
      <c r="V228" s="14">
        <f t="shared" si="300"/>
        <v>316</v>
      </c>
      <c r="W228" s="18">
        <f t="shared" si="12"/>
        <v>374</v>
      </c>
      <c r="X228" s="14">
        <f t="shared" si="301"/>
        <v>316</v>
      </c>
      <c r="Y228" s="18">
        <f t="shared" si="13"/>
        <v>358</v>
      </c>
      <c r="Z228" s="14">
        <f t="shared" si="302"/>
        <v>300</v>
      </c>
      <c r="AA228" s="18">
        <f t="shared" si="14"/>
        <v>358</v>
      </c>
      <c r="AB228" s="4" t="s">
        <v>0</v>
      </c>
    </row>
    <row r="229" spans="1:28">
      <c r="A229" s="9" t="s">
        <v>77</v>
      </c>
      <c r="B229" s="24"/>
      <c r="C229" s="26"/>
      <c r="D229" s="25">
        <f t="shared" si="296"/>
        <v>316</v>
      </c>
      <c r="E229" s="29">
        <f t="shared" ref="E229" si="345">E228</f>
        <v>376</v>
      </c>
      <c r="F229" s="25">
        <f t="shared" si="298"/>
        <v>332</v>
      </c>
      <c r="G229" s="29">
        <f t="shared" si="307"/>
        <v>392</v>
      </c>
      <c r="H229" s="4" t="s">
        <v>0</v>
      </c>
      <c r="I229" s="11" t="str">
        <f t="shared" si="0"/>
        <v>08-11</v>
      </c>
      <c r="J229" s="14">
        <f t="shared" si="3"/>
        <v>316</v>
      </c>
      <c r="K229" s="15">
        <f t="shared" si="3"/>
        <v>376</v>
      </c>
      <c r="L229" s="17">
        <f t="shared" si="4"/>
        <v>332</v>
      </c>
      <c r="M229" s="18">
        <f t="shared" si="5"/>
        <v>376</v>
      </c>
      <c r="N229" s="14">
        <f t="shared" si="6"/>
        <v>332</v>
      </c>
      <c r="O229" s="15">
        <f t="shared" si="6"/>
        <v>392</v>
      </c>
      <c r="P229" s="17">
        <f t="shared" si="7"/>
        <v>316</v>
      </c>
      <c r="Q229" s="18">
        <f t="shared" si="8"/>
        <v>392</v>
      </c>
      <c r="R229" s="4" t="s">
        <v>0</v>
      </c>
      <c r="S229" s="16" t="str">
        <f t="shared" si="9"/>
        <v>08-11</v>
      </c>
      <c r="T229" s="14">
        <f t="shared" si="10"/>
        <v>316</v>
      </c>
      <c r="U229" s="18">
        <f t="shared" si="11"/>
        <v>374</v>
      </c>
      <c r="V229" s="14">
        <f t="shared" si="300"/>
        <v>332</v>
      </c>
      <c r="W229" s="18">
        <f t="shared" si="12"/>
        <v>374</v>
      </c>
      <c r="X229" s="14">
        <f t="shared" si="301"/>
        <v>332</v>
      </c>
      <c r="Y229" s="18">
        <f t="shared" si="13"/>
        <v>358</v>
      </c>
      <c r="Z229" s="14">
        <f t="shared" si="302"/>
        <v>316</v>
      </c>
      <c r="AA229" s="18">
        <f t="shared" si="14"/>
        <v>358</v>
      </c>
      <c r="AB229" s="4" t="s">
        <v>0</v>
      </c>
    </row>
    <row r="230" spans="1:28">
      <c r="A230" s="9" t="s">
        <v>76</v>
      </c>
      <c r="B230" s="24"/>
      <c r="C230" s="26"/>
      <c r="D230" s="25">
        <f t="shared" si="296"/>
        <v>332</v>
      </c>
      <c r="E230" s="29">
        <f t="shared" ref="E230" si="346">E229</f>
        <v>376</v>
      </c>
      <c r="F230" s="25">
        <f t="shared" si="298"/>
        <v>348</v>
      </c>
      <c r="G230" s="29">
        <f t="shared" si="307"/>
        <v>392</v>
      </c>
      <c r="H230" s="4" t="s">
        <v>0</v>
      </c>
      <c r="I230" s="11" t="str">
        <f t="shared" si="0"/>
        <v>08-10</v>
      </c>
      <c r="J230" s="14">
        <f t="shared" si="3"/>
        <v>332</v>
      </c>
      <c r="K230" s="15">
        <f t="shared" si="3"/>
        <v>376</v>
      </c>
      <c r="L230" s="17">
        <f t="shared" si="4"/>
        <v>348</v>
      </c>
      <c r="M230" s="18">
        <f t="shared" si="5"/>
        <v>376</v>
      </c>
      <c r="N230" s="14">
        <f t="shared" si="6"/>
        <v>348</v>
      </c>
      <c r="O230" s="15">
        <f t="shared" si="6"/>
        <v>392</v>
      </c>
      <c r="P230" s="17">
        <f t="shared" si="7"/>
        <v>332</v>
      </c>
      <c r="Q230" s="18">
        <f t="shared" si="8"/>
        <v>392</v>
      </c>
      <c r="R230" s="4" t="s">
        <v>0</v>
      </c>
      <c r="S230" s="16" t="str">
        <f t="shared" si="9"/>
        <v>08-10</v>
      </c>
      <c r="T230" s="14">
        <f t="shared" si="10"/>
        <v>332</v>
      </c>
      <c r="U230" s="18">
        <f t="shared" si="11"/>
        <v>374</v>
      </c>
      <c r="V230" s="14">
        <f t="shared" si="300"/>
        <v>348</v>
      </c>
      <c r="W230" s="18">
        <f t="shared" si="12"/>
        <v>374</v>
      </c>
      <c r="X230" s="14">
        <f t="shared" si="301"/>
        <v>348</v>
      </c>
      <c r="Y230" s="18">
        <f t="shared" si="13"/>
        <v>358</v>
      </c>
      <c r="Z230" s="14">
        <f t="shared" si="302"/>
        <v>332</v>
      </c>
      <c r="AA230" s="18">
        <f t="shared" si="14"/>
        <v>358</v>
      </c>
      <c r="AB230" s="4" t="s">
        <v>0</v>
      </c>
    </row>
    <row r="231" spans="1:28">
      <c r="A231" s="9" t="s">
        <v>75</v>
      </c>
      <c r="B231" s="24"/>
      <c r="C231" s="26"/>
      <c r="D231" s="25">
        <f t="shared" si="296"/>
        <v>349</v>
      </c>
      <c r="E231" s="29">
        <f t="shared" ref="E231" si="347">E230</f>
        <v>376</v>
      </c>
      <c r="F231" s="25">
        <f t="shared" si="298"/>
        <v>365</v>
      </c>
      <c r="G231" s="29">
        <f t="shared" si="307"/>
        <v>392</v>
      </c>
      <c r="H231" s="4" t="s">
        <v>0</v>
      </c>
      <c r="I231" s="11" t="str">
        <f t="shared" si="0"/>
        <v>08-08</v>
      </c>
      <c r="J231" s="14">
        <f t="shared" si="3"/>
        <v>349</v>
      </c>
      <c r="K231" s="15">
        <f t="shared" si="3"/>
        <v>376</v>
      </c>
      <c r="L231" s="17">
        <f t="shared" si="4"/>
        <v>365</v>
      </c>
      <c r="M231" s="18">
        <f t="shared" si="5"/>
        <v>376</v>
      </c>
      <c r="N231" s="14">
        <f t="shared" si="6"/>
        <v>365</v>
      </c>
      <c r="O231" s="15">
        <f t="shared" si="6"/>
        <v>392</v>
      </c>
      <c r="P231" s="17">
        <f t="shared" si="7"/>
        <v>349</v>
      </c>
      <c r="Q231" s="18">
        <f t="shared" si="8"/>
        <v>392</v>
      </c>
      <c r="R231" s="4" t="s">
        <v>0</v>
      </c>
      <c r="S231" s="16" t="str">
        <f t="shared" si="9"/>
        <v>08-08</v>
      </c>
      <c r="T231" s="14">
        <f t="shared" si="10"/>
        <v>349</v>
      </c>
      <c r="U231" s="18">
        <f t="shared" si="11"/>
        <v>374</v>
      </c>
      <c r="V231" s="14">
        <f t="shared" si="300"/>
        <v>365</v>
      </c>
      <c r="W231" s="18">
        <f t="shared" si="12"/>
        <v>374</v>
      </c>
      <c r="X231" s="14">
        <f t="shared" si="301"/>
        <v>365</v>
      </c>
      <c r="Y231" s="18">
        <f t="shared" si="13"/>
        <v>358</v>
      </c>
      <c r="Z231" s="14">
        <f t="shared" si="302"/>
        <v>349</v>
      </c>
      <c r="AA231" s="18">
        <f t="shared" si="14"/>
        <v>358</v>
      </c>
      <c r="AB231" s="4" t="s">
        <v>0</v>
      </c>
    </row>
    <row r="232" spans="1:28">
      <c r="A232" s="9" t="s">
        <v>74</v>
      </c>
      <c r="B232" s="24"/>
      <c r="C232" s="26"/>
      <c r="D232" s="25">
        <f t="shared" si="296"/>
        <v>365</v>
      </c>
      <c r="E232" s="29">
        <f t="shared" ref="E232" si="348">E231</f>
        <v>376</v>
      </c>
      <c r="F232" s="25">
        <f t="shared" si="298"/>
        <v>381</v>
      </c>
      <c r="G232" s="29">
        <f t="shared" si="307"/>
        <v>392</v>
      </c>
      <c r="H232" s="4" t="s">
        <v>0</v>
      </c>
      <c r="I232" s="11" t="str">
        <f t="shared" si="0"/>
        <v>08-07</v>
      </c>
      <c r="J232" s="14">
        <f t="shared" si="3"/>
        <v>365</v>
      </c>
      <c r="K232" s="15">
        <f t="shared" si="3"/>
        <v>376</v>
      </c>
      <c r="L232" s="17">
        <f t="shared" si="4"/>
        <v>381</v>
      </c>
      <c r="M232" s="18">
        <f t="shared" si="5"/>
        <v>376</v>
      </c>
      <c r="N232" s="14">
        <f t="shared" si="6"/>
        <v>381</v>
      </c>
      <c r="O232" s="15">
        <f t="shared" si="6"/>
        <v>392</v>
      </c>
      <c r="P232" s="17">
        <f t="shared" si="7"/>
        <v>365</v>
      </c>
      <c r="Q232" s="18">
        <f t="shared" si="8"/>
        <v>392</v>
      </c>
      <c r="R232" s="4" t="s">
        <v>0</v>
      </c>
      <c r="S232" s="16" t="str">
        <f t="shared" si="9"/>
        <v>08-07</v>
      </c>
      <c r="T232" s="14">
        <f t="shared" si="10"/>
        <v>365</v>
      </c>
      <c r="U232" s="18">
        <f t="shared" si="11"/>
        <v>374</v>
      </c>
      <c r="V232" s="14">
        <f t="shared" si="300"/>
        <v>381</v>
      </c>
      <c r="W232" s="18">
        <f t="shared" si="12"/>
        <v>374</v>
      </c>
      <c r="X232" s="14">
        <f t="shared" si="301"/>
        <v>381</v>
      </c>
      <c r="Y232" s="18">
        <f t="shared" si="13"/>
        <v>358</v>
      </c>
      <c r="Z232" s="14">
        <f t="shared" si="302"/>
        <v>365</v>
      </c>
      <c r="AA232" s="18">
        <f t="shared" si="14"/>
        <v>358</v>
      </c>
      <c r="AB232" s="4" t="s">
        <v>0</v>
      </c>
    </row>
    <row r="233" spans="1:28">
      <c r="A233" s="9" t="s">
        <v>73</v>
      </c>
      <c r="B233" s="24"/>
      <c r="C233" s="26"/>
      <c r="D233" s="25">
        <f t="shared" si="296"/>
        <v>381</v>
      </c>
      <c r="E233" s="29">
        <f t="shared" ref="E233" si="349">E232</f>
        <v>376</v>
      </c>
      <c r="F233" s="25">
        <f t="shared" si="298"/>
        <v>397</v>
      </c>
      <c r="G233" s="29">
        <f t="shared" si="307"/>
        <v>392</v>
      </c>
      <c r="H233" s="4" t="s">
        <v>0</v>
      </c>
      <c r="I233" s="11" t="str">
        <f t="shared" si="0"/>
        <v>08-06</v>
      </c>
      <c r="J233" s="14">
        <f t="shared" si="3"/>
        <v>381</v>
      </c>
      <c r="K233" s="15">
        <f t="shared" si="3"/>
        <v>376</v>
      </c>
      <c r="L233" s="17">
        <f t="shared" si="4"/>
        <v>397</v>
      </c>
      <c r="M233" s="18">
        <f t="shared" si="5"/>
        <v>376</v>
      </c>
      <c r="N233" s="14">
        <f t="shared" si="6"/>
        <v>397</v>
      </c>
      <c r="O233" s="15">
        <f t="shared" si="6"/>
        <v>392</v>
      </c>
      <c r="P233" s="17">
        <f t="shared" si="7"/>
        <v>381</v>
      </c>
      <c r="Q233" s="18">
        <f t="shared" si="8"/>
        <v>392</v>
      </c>
      <c r="R233" s="4" t="s">
        <v>0</v>
      </c>
      <c r="S233" s="16" t="str">
        <f t="shared" si="9"/>
        <v>08-06</v>
      </c>
      <c r="T233" s="14">
        <f t="shared" si="10"/>
        <v>381</v>
      </c>
      <c r="U233" s="18">
        <f t="shared" si="11"/>
        <v>374</v>
      </c>
      <c r="V233" s="14">
        <f t="shared" si="300"/>
        <v>397</v>
      </c>
      <c r="W233" s="18">
        <f t="shared" si="12"/>
        <v>374</v>
      </c>
      <c r="X233" s="14">
        <f t="shared" si="301"/>
        <v>397</v>
      </c>
      <c r="Y233" s="18">
        <f t="shared" si="13"/>
        <v>358</v>
      </c>
      <c r="Z233" s="14">
        <f t="shared" si="302"/>
        <v>381</v>
      </c>
      <c r="AA233" s="18">
        <f t="shared" si="14"/>
        <v>358</v>
      </c>
      <c r="AB233" s="4" t="s">
        <v>0</v>
      </c>
    </row>
    <row r="234" spans="1:28">
      <c r="A234" s="9" t="s">
        <v>72</v>
      </c>
      <c r="B234" s="24"/>
      <c r="C234" s="26"/>
      <c r="D234" s="25">
        <f t="shared" si="296"/>
        <v>397</v>
      </c>
      <c r="E234" s="29">
        <f t="shared" ref="E234" si="350">E233</f>
        <v>376</v>
      </c>
      <c r="F234" s="25">
        <f t="shared" si="298"/>
        <v>413</v>
      </c>
      <c r="G234" s="29">
        <f t="shared" si="307"/>
        <v>392</v>
      </c>
      <c r="H234" s="4" t="s">
        <v>0</v>
      </c>
      <c r="I234" s="11" t="str">
        <f t="shared" si="0"/>
        <v>08-05</v>
      </c>
      <c r="J234" s="14">
        <f t="shared" si="3"/>
        <v>397</v>
      </c>
      <c r="K234" s="15">
        <f t="shared" si="3"/>
        <v>376</v>
      </c>
      <c r="L234" s="17">
        <f t="shared" si="4"/>
        <v>413</v>
      </c>
      <c r="M234" s="18">
        <f t="shared" si="5"/>
        <v>376</v>
      </c>
      <c r="N234" s="14">
        <f t="shared" si="6"/>
        <v>413</v>
      </c>
      <c r="O234" s="15">
        <f t="shared" si="6"/>
        <v>392</v>
      </c>
      <c r="P234" s="17">
        <f t="shared" si="7"/>
        <v>397</v>
      </c>
      <c r="Q234" s="18">
        <f t="shared" si="8"/>
        <v>392</v>
      </c>
      <c r="R234" s="4" t="s">
        <v>0</v>
      </c>
      <c r="S234" s="16" t="str">
        <f t="shared" si="9"/>
        <v>08-05</v>
      </c>
      <c r="T234" s="14">
        <f t="shared" si="10"/>
        <v>397</v>
      </c>
      <c r="U234" s="18">
        <f t="shared" si="11"/>
        <v>374</v>
      </c>
      <c r="V234" s="14">
        <f t="shared" si="300"/>
        <v>413</v>
      </c>
      <c r="W234" s="18">
        <f t="shared" si="12"/>
        <v>374</v>
      </c>
      <c r="X234" s="14">
        <f t="shared" si="301"/>
        <v>413</v>
      </c>
      <c r="Y234" s="18">
        <f t="shared" si="13"/>
        <v>358</v>
      </c>
      <c r="Z234" s="14">
        <f t="shared" si="302"/>
        <v>397</v>
      </c>
      <c r="AA234" s="18">
        <f t="shared" si="14"/>
        <v>358</v>
      </c>
      <c r="AB234" s="4" t="s">
        <v>0</v>
      </c>
    </row>
    <row r="235" spans="1:28">
      <c r="A235" s="9" t="s">
        <v>71</v>
      </c>
      <c r="B235" s="24"/>
      <c r="C235" s="26"/>
      <c r="D235" s="25">
        <f t="shared" si="296"/>
        <v>413</v>
      </c>
      <c r="E235" s="29">
        <f t="shared" ref="E235" si="351">E234</f>
        <v>376</v>
      </c>
      <c r="F235" s="25">
        <f t="shared" si="298"/>
        <v>429</v>
      </c>
      <c r="G235" s="29">
        <f t="shared" si="307"/>
        <v>392</v>
      </c>
      <c r="H235" s="4" t="s">
        <v>0</v>
      </c>
      <c r="I235" s="11" t="str">
        <f t="shared" si="0"/>
        <v>08-03</v>
      </c>
      <c r="J235" s="14">
        <f t="shared" si="3"/>
        <v>413</v>
      </c>
      <c r="K235" s="15">
        <f t="shared" si="3"/>
        <v>376</v>
      </c>
      <c r="L235" s="17">
        <f t="shared" si="4"/>
        <v>429</v>
      </c>
      <c r="M235" s="18">
        <f t="shared" si="5"/>
        <v>376</v>
      </c>
      <c r="N235" s="14">
        <f t="shared" si="6"/>
        <v>429</v>
      </c>
      <c r="O235" s="15">
        <f t="shared" si="6"/>
        <v>392</v>
      </c>
      <c r="P235" s="17">
        <f t="shared" si="7"/>
        <v>413</v>
      </c>
      <c r="Q235" s="18">
        <f t="shared" si="8"/>
        <v>392</v>
      </c>
      <c r="R235" s="4" t="s">
        <v>0</v>
      </c>
      <c r="S235" s="16" t="str">
        <f t="shared" si="9"/>
        <v>08-03</v>
      </c>
      <c r="T235" s="14">
        <f t="shared" si="10"/>
        <v>413</v>
      </c>
      <c r="U235" s="18">
        <f t="shared" si="11"/>
        <v>374</v>
      </c>
      <c r="V235" s="14">
        <f t="shared" si="300"/>
        <v>429</v>
      </c>
      <c r="W235" s="18">
        <f t="shared" si="12"/>
        <v>374</v>
      </c>
      <c r="X235" s="14">
        <f t="shared" si="301"/>
        <v>429</v>
      </c>
      <c r="Y235" s="18">
        <f t="shared" si="13"/>
        <v>358</v>
      </c>
      <c r="Z235" s="14">
        <f t="shared" si="302"/>
        <v>413</v>
      </c>
      <c r="AA235" s="18">
        <f t="shared" si="14"/>
        <v>358</v>
      </c>
      <c r="AB235" s="4" t="s">
        <v>0</v>
      </c>
    </row>
    <row r="236" spans="1:28">
      <c r="A236" s="9" t="s">
        <v>70</v>
      </c>
      <c r="B236" s="24"/>
      <c r="C236" s="26"/>
      <c r="D236" s="25">
        <f t="shared" si="296"/>
        <v>429</v>
      </c>
      <c r="E236" s="29">
        <f t="shared" ref="E236" si="352">E235</f>
        <v>376</v>
      </c>
      <c r="F236" s="25">
        <f t="shared" si="298"/>
        <v>445</v>
      </c>
      <c r="G236" s="29">
        <f t="shared" si="307"/>
        <v>392</v>
      </c>
      <c r="H236" s="4" t="s">
        <v>0</v>
      </c>
      <c r="I236" s="11" t="str">
        <f t="shared" si="0"/>
        <v>08-02</v>
      </c>
      <c r="J236" s="14">
        <f t="shared" si="3"/>
        <v>429</v>
      </c>
      <c r="K236" s="15">
        <f t="shared" si="3"/>
        <v>376</v>
      </c>
      <c r="L236" s="17">
        <f t="shared" si="4"/>
        <v>445</v>
      </c>
      <c r="M236" s="18">
        <f t="shared" si="5"/>
        <v>376</v>
      </c>
      <c r="N236" s="14">
        <f t="shared" si="6"/>
        <v>445</v>
      </c>
      <c r="O236" s="15">
        <f t="shared" si="6"/>
        <v>392</v>
      </c>
      <c r="P236" s="17">
        <f t="shared" si="7"/>
        <v>429</v>
      </c>
      <c r="Q236" s="18">
        <f t="shared" si="8"/>
        <v>392</v>
      </c>
      <c r="R236" s="4" t="s">
        <v>0</v>
      </c>
      <c r="S236" s="16" t="str">
        <f t="shared" si="9"/>
        <v>08-02</v>
      </c>
      <c r="T236" s="14">
        <f t="shared" si="10"/>
        <v>429</v>
      </c>
      <c r="U236" s="18">
        <f t="shared" si="11"/>
        <v>374</v>
      </c>
      <c r="V236" s="14">
        <f t="shared" si="300"/>
        <v>445</v>
      </c>
      <c r="W236" s="18">
        <f t="shared" si="12"/>
        <v>374</v>
      </c>
      <c r="X236" s="14">
        <f t="shared" si="301"/>
        <v>445</v>
      </c>
      <c r="Y236" s="18">
        <f t="shared" si="13"/>
        <v>358</v>
      </c>
      <c r="Z236" s="14">
        <f t="shared" si="302"/>
        <v>429</v>
      </c>
      <c r="AA236" s="18">
        <f t="shared" si="14"/>
        <v>358</v>
      </c>
      <c r="AB236" s="4" t="s">
        <v>0</v>
      </c>
    </row>
    <row r="237" spans="1:28">
      <c r="A237" s="9" t="s">
        <v>69</v>
      </c>
      <c r="B237" s="24"/>
      <c r="C237" s="26"/>
      <c r="D237" s="25">
        <f t="shared" si="296"/>
        <v>445</v>
      </c>
      <c r="E237" s="29">
        <f t="shared" ref="E237" si="353">E236</f>
        <v>376</v>
      </c>
      <c r="F237" s="25">
        <f t="shared" si="298"/>
        <v>461</v>
      </c>
      <c r="G237" s="29">
        <f t="shared" si="307"/>
        <v>392</v>
      </c>
      <c r="H237" s="4" t="s">
        <v>0</v>
      </c>
      <c r="I237" s="11" t="str">
        <f t="shared" si="0"/>
        <v>08-01</v>
      </c>
      <c r="J237" s="14">
        <f t="shared" si="3"/>
        <v>445</v>
      </c>
      <c r="K237" s="15">
        <f t="shared" si="3"/>
        <v>376</v>
      </c>
      <c r="L237" s="17">
        <f t="shared" si="4"/>
        <v>461</v>
      </c>
      <c r="M237" s="18">
        <f t="shared" si="5"/>
        <v>376</v>
      </c>
      <c r="N237" s="14">
        <f t="shared" si="6"/>
        <v>461</v>
      </c>
      <c r="O237" s="15">
        <f t="shared" si="6"/>
        <v>392</v>
      </c>
      <c r="P237" s="17">
        <f t="shared" si="7"/>
        <v>445</v>
      </c>
      <c r="Q237" s="18">
        <f t="shared" si="8"/>
        <v>392</v>
      </c>
      <c r="R237" s="4" t="s">
        <v>0</v>
      </c>
      <c r="S237" s="16" t="str">
        <f t="shared" si="9"/>
        <v>08-01</v>
      </c>
      <c r="T237" s="14">
        <f t="shared" si="10"/>
        <v>445</v>
      </c>
      <c r="U237" s="18">
        <f t="shared" si="11"/>
        <v>374</v>
      </c>
      <c r="V237" s="14">
        <f t="shared" si="300"/>
        <v>461</v>
      </c>
      <c r="W237" s="18">
        <f t="shared" si="12"/>
        <v>374</v>
      </c>
      <c r="X237" s="14">
        <f t="shared" si="301"/>
        <v>461</v>
      </c>
      <c r="Y237" s="18">
        <f t="shared" si="13"/>
        <v>358</v>
      </c>
      <c r="Z237" s="14">
        <f t="shared" si="302"/>
        <v>445</v>
      </c>
      <c r="AA237" s="18">
        <f t="shared" si="14"/>
        <v>358</v>
      </c>
      <c r="AB237" s="4" t="s">
        <v>0</v>
      </c>
    </row>
    <row r="238" spans="1:28">
      <c r="A238" s="9" t="s">
        <v>174</v>
      </c>
      <c r="B238" s="24"/>
      <c r="C238" s="26">
        <v>6</v>
      </c>
      <c r="D238" s="25">
        <f t="shared" si="296"/>
        <v>268</v>
      </c>
      <c r="E238" s="28">
        <f t="shared" ref="E238" si="354">ROUND(E$166+19.9*$C238, 0)</f>
        <v>395</v>
      </c>
      <c r="F238" s="25">
        <f t="shared" si="298"/>
        <v>284</v>
      </c>
      <c r="G238" s="28">
        <f t="shared" ref="G238" si="355">ROUND(G$166+19.9*$C238, 0)</f>
        <v>411</v>
      </c>
      <c r="H238" s="4" t="s">
        <v>0</v>
      </c>
      <c r="I238" s="11" t="str">
        <f t="shared" ref="I238:I300" si="356">A238</f>
        <v>07-15</v>
      </c>
      <c r="J238" s="14">
        <f t="shared" si="3"/>
        <v>268</v>
      </c>
      <c r="K238" s="15">
        <f t="shared" si="3"/>
        <v>395</v>
      </c>
      <c r="L238" s="17">
        <f t="shared" si="4"/>
        <v>284</v>
      </c>
      <c r="M238" s="18">
        <f t="shared" si="5"/>
        <v>395</v>
      </c>
      <c r="N238" s="14">
        <f t="shared" si="6"/>
        <v>284</v>
      </c>
      <c r="O238" s="15">
        <f t="shared" si="6"/>
        <v>411</v>
      </c>
      <c r="P238" s="17">
        <f t="shared" si="7"/>
        <v>268</v>
      </c>
      <c r="Q238" s="18">
        <f t="shared" si="8"/>
        <v>411</v>
      </c>
      <c r="R238" s="4" t="s">
        <v>0</v>
      </c>
      <c r="S238" s="16" t="str">
        <f t="shared" si="9"/>
        <v>07-15</v>
      </c>
      <c r="T238" s="14">
        <f t="shared" si="10"/>
        <v>268</v>
      </c>
      <c r="U238" s="18">
        <f t="shared" si="11"/>
        <v>355</v>
      </c>
      <c r="V238" s="14">
        <f t="shared" si="300"/>
        <v>284</v>
      </c>
      <c r="W238" s="18">
        <f t="shared" si="12"/>
        <v>355</v>
      </c>
      <c r="X238" s="14">
        <f t="shared" si="301"/>
        <v>284</v>
      </c>
      <c r="Y238" s="18">
        <f t="shared" si="13"/>
        <v>339</v>
      </c>
      <c r="Z238" s="14">
        <f t="shared" si="302"/>
        <v>268</v>
      </c>
      <c r="AA238" s="18">
        <f t="shared" si="14"/>
        <v>339</v>
      </c>
      <c r="AB238" s="4" t="s">
        <v>0</v>
      </c>
    </row>
    <row r="239" spans="1:28">
      <c r="A239" s="9" t="s">
        <v>173</v>
      </c>
      <c r="B239" s="24"/>
      <c r="C239" s="26"/>
      <c r="D239" s="25">
        <f t="shared" si="296"/>
        <v>284</v>
      </c>
      <c r="E239" s="29">
        <f t="shared" ref="E239" si="357">E238</f>
        <v>395</v>
      </c>
      <c r="F239" s="25">
        <f t="shared" si="298"/>
        <v>300</v>
      </c>
      <c r="G239" s="29">
        <f t="shared" si="307"/>
        <v>411</v>
      </c>
      <c r="H239" s="4" t="s">
        <v>0</v>
      </c>
      <c r="I239" s="11" t="str">
        <f t="shared" si="356"/>
        <v>07-13</v>
      </c>
      <c r="J239" s="14">
        <f t="shared" ref="J239:K301" si="358">IF(D239&lt;&gt;"",D239,0)</f>
        <v>284</v>
      </c>
      <c r="K239" s="15">
        <f t="shared" si="358"/>
        <v>395</v>
      </c>
      <c r="L239" s="17">
        <f t="shared" ref="L239:L301" si="359">N239</f>
        <v>300</v>
      </c>
      <c r="M239" s="18">
        <f t="shared" ref="M239:M301" si="360">K239</f>
        <v>395</v>
      </c>
      <c r="N239" s="14">
        <f t="shared" ref="N239:O301" si="361">IF(F239&lt;&gt;"",F239,0)</f>
        <v>300</v>
      </c>
      <c r="O239" s="15">
        <f t="shared" si="361"/>
        <v>411</v>
      </c>
      <c r="P239" s="17">
        <f t="shared" ref="P239:P301" si="362">J239</f>
        <v>284</v>
      </c>
      <c r="Q239" s="18">
        <f t="shared" ref="Q239:Q301" si="363">O239</f>
        <v>411</v>
      </c>
      <c r="R239" s="4" t="s">
        <v>0</v>
      </c>
      <c r="S239" s="16" t="str">
        <f t="shared" ref="S239:S301" si="364">I239</f>
        <v>07-13</v>
      </c>
      <c r="T239" s="14">
        <f t="shared" ref="T239:T301" si="365">IF(J239&lt;&gt;"",J239,"")</f>
        <v>284</v>
      </c>
      <c r="U239" s="18">
        <f t="shared" ref="U239:U301" si="366">IF(K239&lt;&gt;"",U$6-K239,"")</f>
        <v>355</v>
      </c>
      <c r="V239" s="14">
        <f t="shared" si="300"/>
        <v>300</v>
      </c>
      <c r="W239" s="18">
        <f t="shared" ref="W239:W301" si="367">IF(M239&lt;&gt;"",W$6-M239,"")</f>
        <v>355</v>
      </c>
      <c r="X239" s="14">
        <f t="shared" si="301"/>
        <v>300</v>
      </c>
      <c r="Y239" s="18">
        <f t="shared" ref="Y239:Y301" si="368">IF(O239&lt;&gt;"",Y$6-O239,"")</f>
        <v>339</v>
      </c>
      <c r="Z239" s="14">
        <f t="shared" si="302"/>
        <v>284</v>
      </c>
      <c r="AA239" s="18">
        <f t="shared" ref="AA239:AA301" si="369">IF(Q239&lt;&gt;"",AA$6-Q239,"")</f>
        <v>339</v>
      </c>
      <c r="AB239" s="4" t="s">
        <v>0</v>
      </c>
    </row>
    <row r="240" spans="1:28">
      <c r="A240" s="9" t="s">
        <v>68</v>
      </c>
      <c r="B240" s="24"/>
      <c r="C240" s="26"/>
      <c r="D240" s="25">
        <f t="shared" si="296"/>
        <v>300</v>
      </c>
      <c r="E240" s="29">
        <f t="shared" ref="E240" si="370">E239</f>
        <v>395</v>
      </c>
      <c r="F240" s="25">
        <f t="shared" si="298"/>
        <v>316</v>
      </c>
      <c r="G240" s="29">
        <f t="shared" si="307"/>
        <v>411</v>
      </c>
      <c r="H240" s="4" t="s">
        <v>0</v>
      </c>
      <c r="I240" s="11" t="str">
        <f t="shared" si="356"/>
        <v>07-12</v>
      </c>
      <c r="J240" s="14">
        <f t="shared" si="358"/>
        <v>300</v>
      </c>
      <c r="K240" s="15">
        <f t="shared" si="358"/>
        <v>395</v>
      </c>
      <c r="L240" s="17">
        <f t="shared" si="359"/>
        <v>316</v>
      </c>
      <c r="M240" s="18">
        <f t="shared" si="360"/>
        <v>395</v>
      </c>
      <c r="N240" s="14">
        <f t="shared" si="361"/>
        <v>316</v>
      </c>
      <c r="O240" s="15">
        <f t="shared" si="361"/>
        <v>411</v>
      </c>
      <c r="P240" s="17">
        <f t="shared" si="362"/>
        <v>300</v>
      </c>
      <c r="Q240" s="18">
        <f t="shared" si="363"/>
        <v>411</v>
      </c>
      <c r="R240" s="4" t="s">
        <v>0</v>
      </c>
      <c r="S240" s="16" t="str">
        <f t="shared" si="364"/>
        <v>07-12</v>
      </c>
      <c r="T240" s="14">
        <f t="shared" si="365"/>
        <v>300</v>
      </c>
      <c r="U240" s="18">
        <f t="shared" si="366"/>
        <v>355</v>
      </c>
      <c r="V240" s="14">
        <f t="shared" si="300"/>
        <v>316</v>
      </c>
      <c r="W240" s="18">
        <f t="shared" si="367"/>
        <v>355</v>
      </c>
      <c r="X240" s="14">
        <f t="shared" si="301"/>
        <v>316</v>
      </c>
      <c r="Y240" s="18">
        <f t="shared" si="368"/>
        <v>339</v>
      </c>
      <c r="Z240" s="14">
        <f t="shared" si="302"/>
        <v>300</v>
      </c>
      <c r="AA240" s="18">
        <f t="shared" si="369"/>
        <v>339</v>
      </c>
      <c r="AB240" s="4" t="s">
        <v>0</v>
      </c>
    </row>
    <row r="241" spans="1:28">
      <c r="A241" s="9" t="s">
        <v>67</v>
      </c>
      <c r="B241" s="24"/>
      <c r="C241" s="26"/>
      <c r="D241" s="25">
        <f t="shared" si="296"/>
        <v>316</v>
      </c>
      <c r="E241" s="29">
        <f t="shared" ref="E241" si="371">E240</f>
        <v>395</v>
      </c>
      <c r="F241" s="25">
        <f t="shared" si="298"/>
        <v>332</v>
      </c>
      <c r="G241" s="29">
        <f t="shared" si="307"/>
        <v>411</v>
      </c>
      <c r="H241" s="4" t="s">
        <v>0</v>
      </c>
      <c r="I241" s="11" t="str">
        <f t="shared" si="356"/>
        <v>07-11</v>
      </c>
      <c r="J241" s="14">
        <f t="shared" si="358"/>
        <v>316</v>
      </c>
      <c r="K241" s="15">
        <f t="shared" si="358"/>
        <v>395</v>
      </c>
      <c r="L241" s="17">
        <f t="shared" si="359"/>
        <v>332</v>
      </c>
      <c r="M241" s="18">
        <f t="shared" si="360"/>
        <v>395</v>
      </c>
      <c r="N241" s="14">
        <f t="shared" si="361"/>
        <v>332</v>
      </c>
      <c r="O241" s="15">
        <f t="shared" si="361"/>
        <v>411</v>
      </c>
      <c r="P241" s="17">
        <f t="shared" si="362"/>
        <v>316</v>
      </c>
      <c r="Q241" s="18">
        <f t="shared" si="363"/>
        <v>411</v>
      </c>
      <c r="R241" s="4" t="s">
        <v>0</v>
      </c>
      <c r="S241" s="16" t="str">
        <f t="shared" si="364"/>
        <v>07-11</v>
      </c>
      <c r="T241" s="14">
        <f t="shared" si="365"/>
        <v>316</v>
      </c>
      <c r="U241" s="18">
        <f t="shared" si="366"/>
        <v>355</v>
      </c>
      <c r="V241" s="14">
        <f t="shared" si="300"/>
        <v>332</v>
      </c>
      <c r="W241" s="18">
        <f t="shared" si="367"/>
        <v>355</v>
      </c>
      <c r="X241" s="14">
        <f t="shared" si="301"/>
        <v>332</v>
      </c>
      <c r="Y241" s="18">
        <f t="shared" si="368"/>
        <v>339</v>
      </c>
      <c r="Z241" s="14">
        <f t="shared" si="302"/>
        <v>316</v>
      </c>
      <c r="AA241" s="18">
        <f t="shared" si="369"/>
        <v>339</v>
      </c>
      <c r="AB241" s="4" t="s">
        <v>0</v>
      </c>
    </row>
    <row r="242" spans="1:28">
      <c r="A242" s="9" t="s">
        <v>66</v>
      </c>
      <c r="B242" s="24"/>
      <c r="C242" s="26"/>
      <c r="D242" s="25">
        <f t="shared" si="296"/>
        <v>332</v>
      </c>
      <c r="E242" s="29">
        <f t="shared" ref="E242" si="372">E241</f>
        <v>395</v>
      </c>
      <c r="F242" s="25">
        <f t="shared" si="298"/>
        <v>348</v>
      </c>
      <c r="G242" s="29">
        <f t="shared" si="307"/>
        <v>411</v>
      </c>
      <c r="H242" s="4" t="s">
        <v>0</v>
      </c>
      <c r="I242" s="11" t="str">
        <f t="shared" si="356"/>
        <v>07-10</v>
      </c>
      <c r="J242" s="14">
        <f t="shared" si="358"/>
        <v>332</v>
      </c>
      <c r="K242" s="15">
        <f t="shared" si="358"/>
        <v>395</v>
      </c>
      <c r="L242" s="17">
        <f t="shared" si="359"/>
        <v>348</v>
      </c>
      <c r="M242" s="18">
        <f t="shared" si="360"/>
        <v>395</v>
      </c>
      <c r="N242" s="14">
        <f t="shared" si="361"/>
        <v>348</v>
      </c>
      <c r="O242" s="15">
        <f t="shared" si="361"/>
        <v>411</v>
      </c>
      <c r="P242" s="17">
        <f t="shared" si="362"/>
        <v>332</v>
      </c>
      <c r="Q242" s="18">
        <f t="shared" si="363"/>
        <v>411</v>
      </c>
      <c r="R242" s="4" t="s">
        <v>0</v>
      </c>
      <c r="S242" s="16" t="str">
        <f t="shared" si="364"/>
        <v>07-10</v>
      </c>
      <c r="T242" s="14">
        <f t="shared" si="365"/>
        <v>332</v>
      </c>
      <c r="U242" s="18">
        <f t="shared" si="366"/>
        <v>355</v>
      </c>
      <c r="V242" s="14">
        <f t="shared" si="300"/>
        <v>348</v>
      </c>
      <c r="W242" s="18">
        <f t="shared" si="367"/>
        <v>355</v>
      </c>
      <c r="X242" s="14">
        <f t="shared" si="301"/>
        <v>348</v>
      </c>
      <c r="Y242" s="18">
        <f t="shared" si="368"/>
        <v>339</v>
      </c>
      <c r="Z242" s="14">
        <f t="shared" si="302"/>
        <v>332</v>
      </c>
      <c r="AA242" s="18">
        <f t="shared" si="369"/>
        <v>339</v>
      </c>
      <c r="AB242" s="4" t="s">
        <v>0</v>
      </c>
    </row>
    <row r="243" spans="1:28">
      <c r="A243" s="9" t="s">
        <v>65</v>
      </c>
      <c r="B243" s="24"/>
      <c r="C243" s="26"/>
      <c r="D243" s="25">
        <f t="shared" si="296"/>
        <v>349</v>
      </c>
      <c r="E243" s="29">
        <f t="shared" ref="E243" si="373">E242</f>
        <v>395</v>
      </c>
      <c r="F243" s="25">
        <f t="shared" si="298"/>
        <v>365</v>
      </c>
      <c r="G243" s="29">
        <f t="shared" si="307"/>
        <v>411</v>
      </c>
      <c r="H243" s="4" t="s">
        <v>0</v>
      </c>
      <c r="I243" s="11" t="str">
        <f t="shared" si="356"/>
        <v>07-08</v>
      </c>
      <c r="J243" s="14">
        <f t="shared" si="358"/>
        <v>349</v>
      </c>
      <c r="K243" s="15">
        <f t="shared" si="358"/>
        <v>395</v>
      </c>
      <c r="L243" s="17">
        <f t="shared" si="359"/>
        <v>365</v>
      </c>
      <c r="M243" s="18">
        <f t="shared" si="360"/>
        <v>395</v>
      </c>
      <c r="N243" s="14">
        <f t="shared" si="361"/>
        <v>365</v>
      </c>
      <c r="O243" s="15">
        <f t="shared" si="361"/>
        <v>411</v>
      </c>
      <c r="P243" s="17">
        <f t="shared" si="362"/>
        <v>349</v>
      </c>
      <c r="Q243" s="18">
        <f t="shared" si="363"/>
        <v>411</v>
      </c>
      <c r="R243" s="4" t="s">
        <v>0</v>
      </c>
      <c r="S243" s="16" t="str">
        <f t="shared" si="364"/>
        <v>07-08</v>
      </c>
      <c r="T243" s="14">
        <f t="shared" si="365"/>
        <v>349</v>
      </c>
      <c r="U243" s="18">
        <f t="shared" si="366"/>
        <v>355</v>
      </c>
      <c r="V243" s="14">
        <f t="shared" si="300"/>
        <v>365</v>
      </c>
      <c r="W243" s="18">
        <f t="shared" si="367"/>
        <v>355</v>
      </c>
      <c r="X243" s="14">
        <f t="shared" si="301"/>
        <v>365</v>
      </c>
      <c r="Y243" s="18">
        <f t="shared" si="368"/>
        <v>339</v>
      </c>
      <c r="Z243" s="14">
        <f t="shared" si="302"/>
        <v>349</v>
      </c>
      <c r="AA243" s="18">
        <f t="shared" si="369"/>
        <v>339</v>
      </c>
      <c r="AB243" s="4" t="s">
        <v>0</v>
      </c>
    </row>
    <row r="244" spans="1:28">
      <c r="A244" s="9" t="s">
        <v>64</v>
      </c>
      <c r="B244" s="24"/>
      <c r="C244" s="26"/>
      <c r="D244" s="25">
        <f t="shared" si="296"/>
        <v>365</v>
      </c>
      <c r="E244" s="29">
        <f t="shared" ref="E244" si="374">E243</f>
        <v>395</v>
      </c>
      <c r="F244" s="25">
        <f t="shared" si="298"/>
        <v>381</v>
      </c>
      <c r="G244" s="29">
        <f t="shared" si="307"/>
        <v>411</v>
      </c>
      <c r="H244" s="4" t="s">
        <v>0</v>
      </c>
      <c r="I244" s="11" t="str">
        <f t="shared" si="356"/>
        <v>07-07</v>
      </c>
      <c r="J244" s="14">
        <f t="shared" si="358"/>
        <v>365</v>
      </c>
      <c r="K244" s="15">
        <f t="shared" si="358"/>
        <v>395</v>
      </c>
      <c r="L244" s="17">
        <f t="shared" si="359"/>
        <v>381</v>
      </c>
      <c r="M244" s="18">
        <f t="shared" si="360"/>
        <v>395</v>
      </c>
      <c r="N244" s="14">
        <f t="shared" si="361"/>
        <v>381</v>
      </c>
      <c r="O244" s="15">
        <f t="shared" si="361"/>
        <v>411</v>
      </c>
      <c r="P244" s="17">
        <f t="shared" si="362"/>
        <v>365</v>
      </c>
      <c r="Q244" s="18">
        <f t="shared" si="363"/>
        <v>411</v>
      </c>
      <c r="R244" s="4" t="s">
        <v>0</v>
      </c>
      <c r="S244" s="16" t="str">
        <f t="shared" si="364"/>
        <v>07-07</v>
      </c>
      <c r="T244" s="14">
        <f t="shared" si="365"/>
        <v>365</v>
      </c>
      <c r="U244" s="18">
        <f t="shared" si="366"/>
        <v>355</v>
      </c>
      <c r="V244" s="14">
        <f t="shared" si="300"/>
        <v>381</v>
      </c>
      <c r="W244" s="18">
        <f t="shared" si="367"/>
        <v>355</v>
      </c>
      <c r="X244" s="14">
        <f t="shared" si="301"/>
        <v>381</v>
      </c>
      <c r="Y244" s="18">
        <f t="shared" si="368"/>
        <v>339</v>
      </c>
      <c r="Z244" s="14">
        <f t="shared" si="302"/>
        <v>365</v>
      </c>
      <c r="AA244" s="18">
        <f t="shared" si="369"/>
        <v>339</v>
      </c>
      <c r="AB244" s="4" t="s">
        <v>0</v>
      </c>
    </row>
    <row r="245" spans="1:28">
      <c r="A245" s="9" t="s">
        <v>63</v>
      </c>
      <c r="B245" s="24"/>
      <c r="C245" s="26"/>
      <c r="D245" s="25">
        <f t="shared" si="296"/>
        <v>381</v>
      </c>
      <c r="E245" s="29">
        <f t="shared" ref="E245" si="375">E244</f>
        <v>395</v>
      </c>
      <c r="F245" s="25">
        <f t="shared" si="298"/>
        <v>397</v>
      </c>
      <c r="G245" s="29">
        <f t="shared" si="307"/>
        <v>411</v>
      </c>
      <c r="H245" s="4" t="s">
        <v>0</v>
      </c>
      <c r="I245" s="11" t="str">
        <f t="shared" si="356"/>
        <v>07-06</v>
      </c>
      <c r="J245" s="14">
        <f t="shared" si="358"/>
        <v>381</v>
      </c>
      <c r="K245" s="15">
        <f t="shared" si="358"/>
        <v>395</v>
      </c>
      <c r="L245" s="17">
        <f t="shared" si="359"/>
        <v>397</v>
      </c>
      <c r="M245" s="18">
        <f t="shared" si="360"/>
        <v>395</v>
      </c>
      <c r="N245" s="14">
        <f t="shared" si="361"/>
        <v>397</v>
      </c>
      <c r="O245" s="15">
        <f t="shared" si="361"/>
        <v>411</v>
      </c>
      <c r="P245" s="17">
        <f t="shared" si="362"/>
        <v>381</v>
      </c>
      <c r="Q245" s="18">
        <f t="shared" si="363"/>
        <v>411</v>
      </c>
      <c r="R245" s="4" t="s">
        <v>0</v>
      </c>
      <c r="S245" s="16" t="str">
        <f t="shared" si="364"/>
        <v>07-06</v>
      </c>
      <c r="T245" s="14">
        <f t="shared" si="365"/>
        <v>381</v>
      </c>
      <c r="U245" s="18">
        <f t="shared" si="366"/>
        <v>355</v>
      </c>
      <c r="V245" s="14">
        <f t="shared" si="300"/>
        <v>397</v>
      </c>
      <c r="W245" s="18">
        <f t="shared" si="367"/>
        <v>355</v>
      </c>
      <c r="X245" s="14">
        <f t="shared" si="301"/>
        <v>397</v>
      </c>
      <c r="Y245" s="18">
        <f t="shared" si="368"/>
        <v>339</v>
      </c>
      <c r="Z245" s="14">
        <f t="shared" si="302"/>
        <v>381</v>
      </c>
      <c r="AA245" s="18">
        <f t="shared" si="369"/>
        <v>339</v>
      </c>
      <c r="AB245" s="4" t="s">
        <v>0</v>
      </c>
    </row>
    <row r="246" spans="1:28">
      <c r="A246" s="9" t="s">
        <v>62</v>
      </c>
      <c r="B246" s="24"/>
      <c r="C246" s="26"/>
      <c r="D246" s="25">
        <f t="shared" si="296"/>
        <v>397</v>
      </c>
      <c r="E246" s="29">
        <f t="shared" ref="E246" si="376">E245</f>
        <v>395</v>
      </c>
      <c r="F246" s="25">
        <f t="shared" si="298"/>
        <v>413</v>
      </c>
      <c r="G246" s="29">
        <f t="shared" si="307"/>
        <v>411</v>
      </c>
      <c r="H246" s="4" t="s">
        <v>0</v>
      </c>
      <c r="I246" s="11" t="str">
        <f t="shared" si="356"/>
        <v>07-05</v>
      </c>
      <c r="J246" s="14">
        <f t="shared" si="358"/>
        <v>397</v>
      </c>
      <c r="K246" s="15">
        <f t="shared" si="358"/>
        <v>395</v>
      </c>
      <c r="L246" s="17">
        <f t="shared" si="359"/>
        <v>413</v>
      </c>
      <c r="M246" s="18">
        <f t="shared" si="360"/>
        <v>395</v>
      </c>
      <c r="N246" s="14">
        <f t="shared" si="361"/>
        <v>413</v>
      </c>
      <c r="O246" s="15">
        <f t="shared" si="361"/>
        <v>411</v>
      </c>
      <c r="P246" s="17">
        <f t="shared" si="362"/>
        <v>397</v>
      </c>
      <c r="Q246" s="18">
        <f t="shared" si="363"/>
        <v>411</v>
      </c>
      <c r="R246" s="4" t="s">
        <v>0</v>
      </c>
      <c r="S246" s="16" t="str">
        <f t="shared" si="364"/>
        <v>07-05</v>
      </c>
      <c r="T246" s="14">
        <f t="shared" si="365"/>
        <v>397</v>
      </c>
      <c r="U246" s="18">
        <f t="shared" si="366"/>
        <v>355</v>
      </c>
      <c r="V246" s="14">
        <f t="shared" si="300"/>
        <v>413</v>
      </c>
      <c r="W246" s="18">
        <f t="shared" si="367"/>
        <v>355</v>
      </c>
      <c r="X246" s="14">
        <f t="shared" si="301"/>
        <v>413</v>
      </c>
      <c r="Y246" s="18">
        <f t="shared" si="368"/>
        <v>339</v>
      </c>
      <c r="Z246" s="14">
        <f t="shared" si="302"/>
        <v>397</v>
      </c>
      <c r="AA246" s="18">
        <f t="shared" si="369"/>
        <v>339</v>
      </c>
      <c r="AB246" s="4" t="s">
        <v>0</v>
      </c>
    </row>
    <row r="247" spans="1:28">
      <c r="A247" s="9" t="s">
        <v>3</v>
      </c>
      <c r="B247" s="24"/>
      <c r="C247" s="26"/>
      <c r="D247" s="25">
        <f t="shared" si="296"/>
        <v>413</v>
      </c>
      <c r="E247" s="29">
        <f t="shared" ref="E247" si="377">E246</f>
        <v>395</v>
      </c>
      <c r="F247" s="25">
        <f t="shared" si="298"/>
        <v>429</v>
      </c>
      <c r="G247" s="29">
        <f t="shared" si="307"/>
        <v>411</v>
      </c>
      <c r="H247" s="4" t="s">
        <v>0</v>
      </c>
      <c r="I247" s="11" t="str">
        <f t="shared" si="356"/>
        <v>07-03</v>
      </c>
      <c r="J247" s="14">
        <f t="shared" si="358"/>
        <v>413</v>
      </c>
      <c r="K247" s="15">
        <f t="shared" si="358"/>
        <v>395</v>
      </c>
      <c r="L247" s="17">
        <f t="shared" si="359"/>
        <v>429</v>
      </c>
      <c r="M247" s="18">
        <f t="shared" si="360"/>
        <v>395</v>
      </c>
      <c r="N247" s="14">
        <f t="shared" si="361"/>
        <v>429</v>
      </c>
      <c r="O247" s="15">
        <f t="shared" si="361"/>
        <v>411</v>
      </c>
      <c r="P247" s="17">
        <f t="shared" si="362"/>
        <v>413</v>
      </c>
      <c r="Q247" s="18">
        <f t="shared" si="363"/>
        <v>411</v>
      </c>
      <c r="R247" s="4" t="s">
        <v>0</v>
      </c>
      <c r="S247" s="16" t="str">
        <f t="shared" si="364"/>
        <v>07-03</v>
      </c>
      <c r="T247" s="14">
        <f t="shared" si="365"/>
        <v>413</v>
      </c>
      <c r="U247" s="18">
        <f t="shared" si="366"/>
        <v>355</v>
      </c>
      <c r="V247" s="14">
        <f t="shared" si="300"/>
        <v>429</v>
      </c>
      <c r="W247" s="18">
        <f t="shared" si="367"/>
        <v>355</v>
      </c>
      <c r="X247" s="14">
        <f t="shared" si="301"/>
        <v>429</v>
      </c>
      <c r="Y247" s="18">
        <f t="shared" si="368"/>
        <v>339</v>
      </c>
      <c r="Z247" s="14">
        <f t="shared" si="302"/>
        <v>413</v>
      </c>
      <c r="AA247" s="18">
        <f t="shared" si="369"/>
        <v>339</v>
      </c>
      <c r="AB247" s="4" t="s">
        <v>0</v>
      </c>
    </row>
    <row r="248" spans="1:28">
      <c r="A248" s="9" t="s">
        <v>61</v>
      </c>
      <c r="B248" s="24"/>
      <c r="C248" s="26"/>
      <c r="D248" s="25">
        <f t="shared" si="296"/>
        <v>429</v>
      </c>
      <c r="E248" s="29">
        <f t="shared" ref="E248" si="378">E247</f>
        <v>395</v>
      </c>
      <c r="F248" s="25">
        <f t="shared" si="298"/>
        <v>445</v>
      </c>
      <c r="G248" s="29">
        <f t="shared" si="307"/>
        <v>411</v>
      </c>
      <c r="H248" s="4" t="s">
        <v>0</v>
      </c>
      <c r="I248" s="11" t="str">
        <f t="shared" si="356"/>
        <v>07-02</v>
      </c>
      <c r="J248" s="14">
        <f t="shared" si="358"/>
        <v>429</v>
      </c>
      <c r="K248" s="15">
        <f t="shared" si="358"/>
        <v>395</v>
      </c>
      <c r="L248" s="17">
        <f t="shared" si="359"/>
        <v>445</v>
      </c>
      <c r="M248" s="18">
        <f t="shared" si="360"/>
        <v>395</v>
      </c>
      <c r="N248" s="14">
        <f t="shared" si="361"/>
        <v>445</v>
      </c>
      <c r="O248" s="15">
        <f t="shared" si="361"/>
        <v>411</v>
      </c>
      <c r="P248" s="17">
        <f t="shared" si="362"/>
        <v>429</v>
      </c>
      <c r="Q248" s="18">
        <f t="shared" si="363"/>
        <v>411</v>
      </c>
      <c r="R248" s="4" t="s">
        <v>0</v>
      </c>
      <c r="S248" s="16" t="str">
        <f t="shared" si="364"/>
        <v>07-02</v>
      </c>
      <c r="T248" s="14">
        <f t="shared" si="365"/>
        <v>429</v>
      </c>
      <c r="U248" s="18">
        <f t="shared" si="366"/>
        <v>355</v>
      </c>
      <c r="V248" s="14">
        <f t="shared" si="300"/>
        <v>445</v>
      </c>
      <c r="W248" s="18">
        <f t="shared" si="367"/>
        <v>355</v>
      </c>
      <c r="X248" s="14">
        <f t="shared" si="301"/>
        <v>445</v>
      </c>
      <c r="Y248" s="18">
        <f t="shared" si="368"/>
        <v>339</v>
      </c>
      <c r="Z248" s="14">
        <f t="shared" si="302"/>
        <v>429</v>
      </c>
      <c r="AA248" s="18">
        <f t="shared" si="369"/>
        <v>339</v>
      </c>
      <c r="AB248" s="4" t="s">
        <v>0</v>
      </c>
    </row>
    <row r="249" spans="1:28">
      <c r="A249" s="9" t="s">
        <v>60</v>
      </c>
      <c r="B249" s="24"/>
      <c r="C249" s="26"/>
      <c r="D249" s="25">
        <f t="shared" si="296"/>
        <v>445</v>
      </c>
      <c r="E249" s="29">
        <f t="shared" ref="E249" si="379">E248</f>
        <v>395</v>
      </c>
      <c r="F249" s="25">
        <f t="shared" si="298"/>
        <v>461</v>
      </c>
      <c r="G249" s="29">
        <f t="shared" si="307"/>
        <v>411</v>
      </c>
      <c r="H249" s="4" t="s">
        <v>0</v>
      </c>
      <c r="I249" s="11" t="str">
        <f t="shared" si="356"/>
        <v>07-01</v>
      </c>
      <c r="J249" s="14">
        <f t="shared" si="358"/>
        <v>445</v>
      </c>
      <c r="K249" s="15">
        <f t="shared" si="358"/>
        <v>395</v>
      </c>
      <c r="L249" s="17">
        <f t="shared" si="359"/>
        <v>461</v>
      </c>
      <c r="M249" s="18">
        <f t="shared" si="360"/>
        <v>395</v>
      </c>
      <c r="N249" s="14">
        <f t="shared" si="361"/>
        <v>461</v>
      </c>
      <c r="O249" s="15">
        <f t="shared" si="361"/>
        <v>411</v>
      </c>
      <c r="P249" s="17">
        <f t="shared" si="362"/>
        <v>445</v>
      </c>
      <c r="Q249" s="18">
        <f t="shared" si="363"/>
        <v>411</v>
      </c>
      <c r="R249" s="4" t="s">
        <v>0</v>
      </c>
      <c r="S249" s="16" t="str">
        <f t="shared" si="364"/>
        <v>07-01</v>
      </c>
      <c r="T249" s="14">
        <f t="shared" si="365"/>
        <v>445</v>
      </c>
      <c r="U249" s="18">
        <f t="shared" si="366"/>
        <v>355</v>
      </c>
      <c r="V249" s="14">
        <f t="shared" si="300"/>
        <v>461</v>
      </c>
      <c r="W249" s="18">
        <f t="shared" si="367"/>
        <v>355</v>
      </c>
      <c r="X249" s="14">
        <f t="shared" si="301"/>
        <v>461</v>
      </c>
      <c r="Y249" s="18">
        <f t="shared" si="368"/>
        <v>339</v>
      </c>
      <c r="Z249" s="14">
        <f t="shared" si="302"/>
        <v>445</v>
      </c>
      <c r="AA249" s="18">
        <f t="shared" si="369"/>
        <v>339</v>
      </c>
      <c r="AB249" s="4" t="s">
        <v>0</v>
      </c>
    </row>
    <row r="250" spans="1:28">
      <c r="A250" s="9" t="s">
        <v>168</v>
      </c>
      <c r="B250" s="24"/>
      <c r="C250" s="26">
        <v>7</v>
      </c>
      <c r="D250" s="25">
        <f t="shared" si="296"/>
        <v>268</v>
      </c>
      <c r="E250" s="28">
        <f t="shared" ref="E250" si="380">ROUND(E$166+19.9*$C250, 0)</f>
        <v>415</v>
      </c>
      <c r="F250" s="25">
        <f t="shared" si="298"/>
        <v>284</v>
      </c>
      <c r="G250" s="28">
        <f t="shared" ref="G250" si="381">ROUND(G$166+19.9*$C250, 0)</f>
        <v>431</v>
      </c>
      <c r="H250" s="4" t="s">
        <v>0</v>
      </c>
      <c r="I250" s="11" t="str">
        <f t="shared" si="356"/>
        <v>06-15</v>
      </c>
      <c r="J250" s="14">
        <f t="shared" si="358"/>
        <v>268</v>
      </c>
      <c r="K250" s="15">
        <f t="shared" si="358"/>
        <v>415</v>
      </c>
      <c r="L250" s="17">
        <f t="shared" si="359"/>
        <v>284</v>
      </c>
      <c r="M250" s="18">
        <f t="shared" si="360"/>
        <v>415</v>
      </c>
      <c r="N250" s="14">
        <f t="shared" si="361"/>
        <v>284</v>
      </c>
      <c r="O250" s="15">
        <f t="shared" si="361"/>
        <v>431</v>
      </c>
      <c r="P250" s="17">
        <f t="shared" si="362"/>
        <v>268</v>
      </c>
      <c r="Q250" s="18">
        <f t="shared" si="363"/>
        <v>431</v>
      </c>
      <c r="R250" s="4" t="s">
        <v>0</v>
      </c>
      <c r="S250" s="16" t="str">
        <f t="shared" si="364"/>
        <v>06-15</v>
      </c>
      <c r="T250" s="14">
        <f t="shared" si="365"/>
        <v>268</v>
      </c>
      <c r="U250" s="18">
        <f t="shared" si="366"/>
        <v>335</v>
      </c>
      <c r="V250" s="14">
        <f t="shared" si="300"/>
        <v>284</v>
      </c>
      <c r="W250" s="18">
        <f t="shared" si="367"/>
        <v>335</v>
      </c>
      <c r="X250" s="14">
        <f t="shared" si="301"/>
        <v>284</v>
      </c>
      <c r="Y250" s="18">
        <f t="shared" si="368"/>
        <v>319</v>
      </c>
      <c r="Z250" s="14">
        <f t="shared" si="302"/>
        <v>268</v>
      </c>
      <c r="AA250" s="18">
        <f t="shared" si="369"/>
        <v>319</v>
      </c>
      <c r="AB250" s="4" t="s">
        <v>0</v>
      </c>
    </row>
    <row r="251" spans="1:28">
      <c r="A251" s="9" t="s">
        <v>167</v>
      </c>
      <c r="B251" s="24"/>
      <c r="C251" s="26"/>
      <c r="D251" s="25">
        <f t="shared" si="296"/>
        <v>284</v>
      </c>
      <c r="E251" s="29">
        <f t="shared" ref="E251" si="382">E250</f>
        <v>415</v>
      </c>
      <c r="F251" s="25">
        <f t="shared" si="298"/>
        <v>300</v>
      </c>
      <c r="G251" s="29">
        <f t="shared" si="307"/>
        <v>431</v>
      </c>
      <c r="H251" s="4" t="s">
        <v>0</v>
      </c>
      <c r="I251" s="11" t="str">
        <f t="shared" si="356"/>
        <v>06-13</v>
      </c>
      <c r="J251" s="14">
        <f t="shared" si="358"/>
        <v>284</v>
      </c>
      <c r="K251" s="15">
        <f t="shared" si="358"/>
        <v>415</v>
      </c>
      <c r="L251" s="17">
        <f t="shared" si="359"/>
        <v>300</v>
      </c>
      <c r="M251" s="18">
        <f t="shared" si="360"/>
        <v>415</v>
      </c>
      <c r="N251" s="14">
        <f t="shared" si="361"/>
        <v>300</v>
      </c>
      <c r="O251" s="15">
        <f t="shared" si="361"/>
        <v>431</v>
      </c>
      <c r="P251" s="17">
        <f t="shared" si="362"/>
        <v>284</v>
      </c>
      <c r="Q251" s="18">
        <f t="shared" si="363"/>
        <v>431</v>
      </c>
      <c r="R251" s="4" t="s">
        <v>0</v>
      </c>
      <c r="S251" s="16" t="str">
        <f t="shared" si="364"/>
        <v>06-13</v>
      </c>
      <c r="T251" s="14">
        <f t="shared" si="365"/>
        <v>284</v>
      </c>
      <c r="U251" s="18">
        <f t="shared" si="366"/>
        <v>335</v>
      </c>
      <c r="V251" s="14">
        <f t="shared" si="300"/>
        <v>300</v>
      </c>
      <c r="W251" s="18">
        <f t="shared" si="367"/>
        <v>335</v>
      </c>
      <c r="X251" s="14">
        <f t="shared" si="301"/>
        <v>300</v>
      </c>
      <c r="Y251" s="18">
        <f t="shared" si="368"/>
        <v>319</v>
      </c>
      <c r="Z251" s="14">
        <f t="shared" si="302"/>
        <v>284</v>
      </c>
      <c r="AA251" s="18">
        <f t="shared" si="369"/>
        <v>319</v>
      </c>
      <c r="AB251" s="4" t="s">
        <v>0</v>
      </c>
    </row>
    <row r="252" spans="1:28">
      <c r="A252" s="9" t="s">
        <v>59</v>
      </c>
      <c r="B252" s="24"/>
      <c r="C252" s="26"/>
      <c r="D252" s="25">
        <f t="shared" si="296"/>
        <v>300</v>
      </c>
      <c r="E252" s="29">
        <f t="shared" ref="E252" si="383">E251</f>
        <v>415</v>
      </c>
      <c r="F252" s="25">
        <f t="shared" si="298"/>
        <v>316</v>
      </c>
      <c r="G252" s="29">
        <f t="shared" si="307"/>
        <v>431</v>
      </c>
      <c r="H252" s="4" t="s">
        <v>0</v>
      </c>
      <c r="I252" s="11" t="str">
        <f t="shared" si="356"/>
        <v>06-12</v>
      </c>
      <c r="J252" s="14">
        <f t="shared" si="358"/>
        <v>300</v>
      </c>
      <c r="K252" s="15">
        <f t="shared" si="358"/>
        <v>415</v>
      </c>
      <c r="L252" s="17">
        <f t="shared" si="359"/>
        <v>316</v>
      </c>
      <c r="M252" s="18">
        <f t="shared" si="360"/>
        <v>415</v>
      </c>
      <c r="N252" s="14">
        <f t="shared" si="361"/>
        <v>316</v>
      </c>
      <c r="O252" s="15">
        <f t="shared" si="361"/>
        <v>431</v>
      </c>
      <c r="P252" s="17">
        <f t="shared" si="362"/>
        <v>300</v>
      </c>
      <c r="Q252" s="18">
        <f t="shared" si="363"/>
        <v>431</v>
      </c>
      <c r="R252" s="4" t="s">
        <v>0</v>
      </c>
      <c r="S252" s="16" t="str">
        <f t="shared" si="364"/>
        <v>06-12</v>
      </c>
      <c r="T252" s="14">
        <f t="shared" si="365"/>
        <v>300</v>
      </c>
      <c r="U252" s="18">
        <f t="shared" si="366"/>
        <v>335</v>
      </c>
      <c r="V252" s="14">
        <f t="shared" si="300"/>
        <v>316</v>
      </c>
      <c r="W252" s="18">
        <f t="shared" si="367"/>
        <v>335</v>
      </c>
      <c r="X252" s="14">
        <f t="shared" si="301"/>
        <v>316</v>
      </c>
      <c r="Y252" s="18">
        <f t="shared" si="368"/>
        <v>319</v>
      </c>
      <c r="Z252" s="14">
        <f t="shared" si="302"/>
        <v>300</v>
      </c>
      <c r="AA252" s="18">
        <f t="shared" si="369"/>
        <v>319</v>
      </c>
      <c r="AB252" s="4" t="s">
        <v>0</v>
      </c>
    </row>
    <row r="253" spans="1:28">
      <c r="A253" s="9" t="s">
        <v>58</v>
      </c>
      <c r="B253" s="24"/>
      <c r="C253" s="26"/>
      <c r="D253" s="25">
        <f t="shared" si="296"/>
        <v>316</v>
      </c>
      <c r="E253" s="29">
        <f t="shared" ref="E253" si="384">E252</f>
        <v>415</v>
      </c>
      <c r="F253" s="25">
        <f t="shared" si="298"/>
        <v>332</v>
      </c>
      <c r="G253" s="29">
        <f t="shared" si="307"/>
        <v>431</v>
      </c>
      <c r="H253" s="4" t="s">
        <v>0</v>
      </c>
      <c r="I253" s="11" t="str">
        <f t="shared" si="356"/>
        <v>06-11</v>
      </c>
      <c r="J253" s="14">
        <f t="shared" si="358"/>
        <v>316</v>
      </c>
      <c r="K253" s="15">
        <f t="shared" si="358"/>
        <v>415</v>
      </c>
      <c r="L253" s="17">
        <f t="shared" si="359"/>
        <v>332</v>
      </c>
      <c r="M253" s="18">
        <f t="shared" si="360"/>
        <v>415</v>
      </c>
      <c r="N253" s="14">
        <f t="shared" si="361"/>
        <v>332</v>
      </c>
      <c r="O253" s="15">
        <f t="shared" si="361"/>
        <v>431</v>
      </c>
      <c r="P253" s="17">
        <f t="shared" si="362"/>
        <v>316</v>
      </c>
      <c r="Q253" s="18">
        <f t="shared" si="363"/>
        <v>431</v>
      </c>
      <c r="R253" s="4" t="s">
        <v>0</v>
      </c>
      <c r="S253" s="16" t="str">
        <f t="shared" si="364"/>
        <v>06-11</v>
      </c>
      <c r="T253" s="14">
        <f t="shared" si="365"/>
        <v>316</v>
      </c>
      <c r="U253" s="18">
        <f t="shared" si="366"/>
        <v>335</v>
      </c>
      <c r="V253" s="14">
        <f t="shared" si="300"/>
        <v>332</v>
      </c>
      <c r="W253" s="18">
        <f t="shared" si="367"/>
        <v>335</v>
      </c>
      <c r="X253" s="14">
        <f t="shared" si="301"/>
        <v>332</v>
      </c>
      <c r="Y253" s="18">
        <f t="shared" si="368"/>
        <v>319</v>
      </c>
      <c r="Z253" s="14">
        <f t="shared" si="302"/>
        <v>316</v>
      </c>
      <c r="AA253" s="18">
        <f t="shared" si="369"/>
        <v>319</v>
      </c>
      <c r="AB253" s="4" t="s">
        <v>0</v>
      </c>
    </row>
    <row r="254" spans="1:28">
      <c r="A254" s="9" t="s">
        <v>57</v>
      </c>
      <c r="B254" s="24"/>
      <c r="C254" s="26"/>
      <c r="D254" s="25">
        <f t="shared" ref="D254:D297" si="385">D242</f>
        <v>332</v>
      </c>
      <c r="E254" s="29">
        <f t="shared" ref="E254" si="386">E253</f>
        <v>415</v>
      </c>
      <c r="F254" s="25">
        <f t="shared" ref="F254:F297" si="387">F242</f>
        <v>348</v>
      </c>
      <c r="G254" s="29">
        <f t="shared" si="307"/>
        <v>431</v>
      </c>
      <c r="H254" s="4" t="s">
        <v>0</v>
      </c>
      <c r="I254" s="11" t="str">
        <f t="shared" si="356"/>
        <v>06-10</v>
      </c>
      <c r="J254" s="14">
        <f t="shared" si="358"/>
        <v>332</v>
      </c>
      <c r="K254" s="15">
        <f t="shared" si="358"/>
        <v>415</v>
      </c>
      <c r="L254" s="17">
        <f t="shared" si="359"/>
        <v>348</v>
      </c>
      <c r="M254" s="18">
        <f t="shared" si="360"/>
        <v>415</v>
      </c>
      <c r="N254" s="14">
        <f t="shared" si="361"/>
        <v>348</v>
      </c>
      <c r="O254" s="15">
        <f t="shared" si="361"/>
        <v>431</v>
      </c>
      <c r="P254" s="17">
        <f t="shared" si="362"/>
        <v>332</v>
      </c>
      <c r="Q254" s="18">
        <f t="shared" si="363"/>
        <v>431</v>
      </c>
      <c r="R254" s="4" t="s">
        <v>0</v>
      </c>
      <c r="S254" s="16" t="str">
        <f t="shared" si="364"/>
        <v>06-10</v>
      </c>
      <c r="T254" s="14">
        <f t="shared" si="365"/>
        <v>332</v>
      </c>
      <c r="U254" s="18">
        <f t="shared" si="366"/>
        <v>335</v>
      </c>
      <c r="V254" s="14">
        <f t="shared" ref="V254:V307" si="388">IF(L254&lt;&gt;"",L254,"")</f>
        <v>348</v>
      </c>
      <c r="W254" s="18">
        <f t="shared" si="367"/>
        <v>335</v>
      </c>
      <c r="X254" s="14">
        <f t="shared" ref="X254:X307" si="389">IF(N254&lt;&gt;"",N254,"")</f>
        <v>348</v>
      </c>
      <c r="Y254" s="18">
        <f t="shared" si="368"/>
        <v>319</v>
      </c>
      <c r="Z254" s="14">
        <f t="shared" ref="Z254:Z307" si="390">IF(P254&lt;&gt;"",P254,"")</f>
        <v>332</v>
      </c>
      <c r="AA254" s="18">
        <f t="shared" si="369"/>
        <v>319</v>
      </c>
      <c r="AB254" s="4" t="s">
        <v>0</v>
      </c>
    </row>
    <row r="255" spans="1:28">
      <c r="A255" s="9" t="s">
        <v>56</v>
      </c>
      <c r="B255" s="24"/>
      <c r="C255" s="26"/>
      <c r="D255" s="25">
        <f t="shared" si="385"/>
        <v>349</v>
      </c>
      <c r="E255" s="29">
        <f t="shared" ref="E255" si="391">E254</f>
        <v>415</v>
      </c>
      <c r="F255" s="25">
        <f t="shared" si="387"/>
        <v>365</v>
      </c>
      <c r="G255" s="29">
        <f t="shared" si="307"/>
        <v>431</v>
      </c>
      <c r="H255" s="4" t="s">
        <v>0</v>
      </c>
      <c r="I255" s="11" t="str">
        <f t="shared" si="356"/>
        <v>06-08</v>
      </c>
      <c r="J255" s="14">
        <f t="shared" si="358"/>
        <v>349</v>
      </c>
      <c r="K255" s="15">
        <f t="shared" si="358"/>
        <v>415</v>
      </c>
      <c r="L255" s="17">
        <f t="shared" si="359"/>
        <v>365</v>
      </c>
      <c r="M255" s="18">
        <f t="shared" si="360"/>
        <v>415</v>
      </c>
      <c r="N255" s="14">
        <f t="shared" si="361"/>
        <v>365</v>
      </c>
      <c r="O255" s="15">
        <f t="shared" si="361"/>
        <v>431</v>
      </c>
      <c r="P255" s="17">
        <f t="shared" si="362"/>
        <v>349</v>
      </c>
      <c r="Q255" s="18">
        <f t="shared" si="363"/>
        <v>431</v>
      </c>
      <c r="R255" s="4" t="s">
        <v>0</v>
      </c>
      <c r="S255" s="16" t="str">
        <f t="shared" si="364"/>
        <v>06-08</v>
      </c>
      <c r="T255" s="14">
        <f t="shared" si="365"/>
        <v>349</v>
      </c>
      <c r="U255" s="18">
        <f t="shared" si="366"/>
        <v>335</v>
      </c>
      <c r="V255" s="14">
        <f t="shared" si="388"/>
        <v>365</v>
      </c>
      <c r="W255" s="18">
        <f t="shared" si="367"/>
        <v>335</v>
      </c>
      <c r="X255" s="14">
        <f t="shared" si="389"/>
        <v>365</v>
      </c>
      <c r="Y255" s="18">
        <f t="shared" si="368"/>
        <v>319</v>
      </c>
      <c r="Z255" s="14">
        <f t="shared" si="390"/>
        <v>349</v>
      </c>
      <c r="AA255" s="18">
        <f t="shared" si="369"/>
        <v>319</v>
      </c>
      <c r="AB255" s="4" t="s">
        <v>0</v>
      </c>
    </row>
    <row r="256" spans="1:28">
      <c r="A256" s="9" t="s">
        <v>55</v>
      </c>
      <c r="B256" s="24"/>
      <c r="C256" s="26"/>
      <c r="D256" s="25">
        <f t="shared" si="385"/>
        <v>365</v>
      </c>
      <c r="E256" s="29">
        <f t="shared" ref="E256" si="392">E255</f>
        <v>415</v>
      </c>
      <c r="F256" s="25">
        <f t="shared" si="387"/>
        <v>381</v>
      </c>
      <c r="G256" s="29">
        <f t="shared" si="307"/>
        <v>431</v>
      </c>
      <c r="H256" s="4" t="s">
        <v>0</v>
      </c>
      <c r="I256" s="11" t="str">
        <f t="shared" si="356"/>
        <v>06-07</v>
      </c>
      <c r="J256" s="14">
        <f t="shared" si="358"/>
        <v>365</v>
      </c>
      <c r="K256" s="15">
        <f t="shared" si="358"/>
        <v>415</v>
      </c>
      <c r="L256" s="17">
        <f t="shared" si="359"/>
        <v>381</v>
      </c>
      <c r="M256" s="18">
        <f t="shared" si="360"/>
        <v>415</v>
      </c>
      <c r="N256" s="14">
        <f t="shared" si="361"/>
        <v>381</v>
      </c>
      <c r="O256" s="15">
        <f t="shared" si="361"/>
        <v>431</v>
      </c>
      <c r="P256" s="17">
        <f t="shared" si="362"/>
        <v>365</v>
      </c>
      <c r="Q256" s="18">
        <f t="shared" si="363"/>
        <v>431</v>
      </c>
      <c r="R256" s="4" t="s">
        <v>0</v>
      </c>
      <c r="S256" s="16" t="str">
        <f t="shared" si="364"/>
        <v>06-07</v>
      </c>
      <c r="T256" s="14">
        <f t="shared" si="365"/>
        <v>365</v>
      </c>
      <c r="U256" s="18">
        <f t="shared" si="366"/>
        <v>335</v>
      </c>
      <c r="V256" s="14">
        <f t="shared" si="388"/>
        <v>381</v>
      </c>
      <c r="W256" s="18">
        <f t="shared" si="367"/>
        <v>335</v>
      </c>
      <c r="X256" s="14">
        <f t="shared" si="389"/>
        <v>381</v>
      </c>
      <c r="Y256" s="18">
        <f t="shared" si="368"/>
        <v>319</v>
      </c>
      <c r="Z256" s="14">
        <f t="shared" si="390"/>
        <v>365</v>
      </c>
      <c r="AA256" s="18">
        <f t="shared" si="369"/>
        <v>319</v>
      </c>
      <c r="AB256" s="4" t="s">
        <v>0</v>
      </c>
    </row>
    <row r="257" spans="1:28">
      <c r="A257" s="9" t="s">
        <v>54</v>
      </c>
      <c r="B257" s="24"/>
      <c r="C257" s="26"/>
      <c r="D257" s="25">
        <f t="shared" si="385"/>
        <v>381</v>
      </c>
      <c r="E257" s="29">
        <f t="shared" ref="E257" si="393">E256</f>
        <v>415</v>
      </c>
      <c r="F257" s="25">
        <f t="shared" si="387"/>
        <v>397</v>
      </c>
      <c r="G257" s="29">
        <f t="shared" si="307"/>
        <v>431</v>
      </c>
      <c r="H257" s="4" t="s">
        <v>0</v>
      </c>
      <c r="I257" s="11" t="str">
        <f t="shared" si="356"/>
        <v>06-06</v>
      </c>
      <c r="J257" s="14">
        <f t="shared" si="358"/>
        <v>381</v>
      </c>
      <c r="K257" s="15">
        <f t="shared" si="358"/>
        <v>415</v>
      </c>
      <c r="L257" s="17">
        <f t="shared" si="359"/>
        <v>397</v>
      </c>
      <c r="M257" s="18">
        <f t="shared" si="360"/>
        <v>415</v>
      </c>
      <c r="N257" s="14">
        <f t="shared" si="361"/>
        <v>397</v>
      </c>
      <c r="O257" s="15">
        <f t="shared" si="361"/>
        <v>431</v>
      </c>
      <c r="P257" s="17">
        <f t="shared" si="362"/>
        <v>381</v>
      </c>
      <c r="Q257" s="18">
        <f t="shared" si="363"/>
        <v>431</v>
      </c>
      <c r="R257" s="4" t="s">
        <v>0</v>
      </c>
      <c r="S257" s="16" t="str">
        <f t="shared" si="364"/>
        <v>06-06</v>
      </c>
      <c r="T257" s="14">
        <f t="shared" si="365"/>
        <v>381</v>
      </c>
      <c r="U257" s="18">
        <f t="shared" si="366"/>
        <v>335</v>
      </c>
      <c r="V257" s="14">
        <f t="shared" si="388"/>
        <v>397</v>
      </c>
      <c r="W257" s="18">
        <f t="shared" si="367"/>
        <v>335</v>
      </c>
      <c r="X257" s="14">
        <f t="shared" si="389"/>
        <v>397</v>
      </c>
      <c r="Y257" s="18">
        <f t="shared" si="368"/>
        <v>319</v>
      </c>
      <c r="Z257" s="14">
        <f t="shared" si="390"/>
        <v>381</v>
      </c>
      <c r="AA257" s="18">
        <f t="shared" si="369"/>
        <v>319</v>
      </c>
      <c r="AB257" s="4" t="s">
        <v>0</v>
      </c>
    </row>
    <row r="258" spans="1:28">
      <c r="A258" s="9" t="s">
        <v>53</v>
      </c>
      <c r="B258" s="24"/>
      <c r="C258" s="26"/>
      <c r="D258" s="25">
        <f t="shared" si="385"/>
        <v>397</v>
      </c>
      <c r="E258" s="29">
        <f t="shared" ref="E258" si="394">E257</f>
        <v>415</v>
      </c>
      <c r="F258" s="25">
        <f t="shared" si="387"/>
        <v>413</v>
      </c>
      <c r="G258" s="29">
        <f t="shared" ref="G258:G307" si="395">G257</f>
        <v>431</v>
      </c>
      <c r="H258" s="4" t="s">
        <v>0</v>
      </c>
      <c r="I258" s="11" t="str">
        <f t="shared" si="356"/>
        <v>06-05</v>
      </c>
      <c r="J258" s="14">
        <f t="shared" si="358"/>
        <v>397</v>
      </c>
      <c r="K258" s="15">
        <f t="shared" si="358"/>
        <v>415</v>
      </c>
      <c r="L258" s="17">
        <f t="shared" si="359"/>
        <v>413</v>
      </c>
      <c r="M258" s="18">
        <f t="shared" si="360"/>
        <v>415</v>
      </c>
      <c r="N258" s="14">
        <f t="shared" si="361"/>
        <v>413</v>
      </c>
      <c r="O258" s="15">
        <f t="shared" si="361"/>
        <v>431</v>
      </c>
      <c r="P258" s="17">
        <f t="shared" si="362"/>
        <v>397</v>
      </c>
      <c r="Q258" s="18">
        <f t="shared" si="363"/>
        <v>431</v>
      </c>
      <c r="R258" s="4" t="s">
        <v>0</v>
      </c>
      <c r="S258" s="16" t="str">
        <f t="shared" si="364"/>
        <v>06-05</v>
      </c>
      <c r="T258" s="14">
        <f t="shared" si="365"/>
        <v>397</v>
      </c>
      <c r="U258" s="18">
        <f t="shared" si="366"/>
        <v>335</v>
      </c>
      <c r="V258" s="14">
        <f t="shared" si="388"/>
        <v>413</v>
      </c>
      <c r="W258" s="18">
        <f t="shared" si="367"/>
        <v>335</v>
      </c>
      <c r="X258" s="14">
        <f t="shared" si="389"/>
        <v>413</v>
      </c>
      <c r="Y258" s="18">
        <f t="shared" si="368"/>
        <v>319</v>
      </c>
      <c r="Z258" s="14">
        <f t="shared" si="390"/>
        <v>397</v>
      </c>
      <c r="AA258" s="18">
        <f t="shared" si="369"/>
        <v>319</v>
      </c>
      <c r="AB258" s="4" t="s">
        <v>0</v>
      </c>
    </row>
    <row r="259" spans="1:28">
      <c r="A259" s="9" t="s">
        <v>52</v>
      </c>
      <c r="B259" s="24"/>
      <c r="C259" s="26"/>
      <c r="D259" s="25">
        <f t="shared" si="385"/>
        <v>413</v>
      </c>
      <c r="E259" s="29">
        <f t="shared" ref="E259" si="396">E258</f>
        <v>415</v>
      </c>
      <c r="F259" s="25">
        <f t="shared" si="387"/>
        <v>429</v>
      </c>
      <c r="G259" s="29">
        <f t="shared" si="395"/>
        <v>431</v>
      </c>
      <c r="H259" s="4" t="s">
        <v>0</v>
      </c>
      <c r="I259" s="11" t="str">
        <f t="shared" si="356"/>
        <v>06-03</v>
      </c>
      <c r="J259" s="14">
        <f t="shared" si="358"/>
        <v>413</v>
      </c>
      <c r="K259" s="15">
        <f t="shared" si="358"/>
        <v>415</v>
      </c>
      <c r="L259" s="17">
        <f t="shared" si="359"/>
        <v>429</v>
      </c>
      <c r="M259" s="18">
        <f t="shared" si="360"/>
        <v>415</v>
      </c>
      <c r="N259" s="14">
        <f t="shared" si="361"/>
        <v>429</v>
      </c>
      <c r="O259" s="15">
        <f t="shared" si="361"/>
        <v>431</v>
      </c>
      <c r="P259" s="17">
        <f t="shared" si="362"/>
        <v>413</v>
      </c>
      <c r="Q259" s="18">
        <f t="shared" si="363"/>
        <v>431</v>
      </c>
      <c r="R259" s="4" t="s">
        <v>0</v>
      </c>
      <c r="S259" s="16" t="str">
        <f t="shared" si="364"/>
        <v>06-03</v>
      </c>
      <c r="T259" s="14">
        <f t="shared" si="365"/>
        <v>413</v>
      </c>
      <c r="U259" s="18">
        <f t="shared" si="366"/>
        <v>335</v>
      </c>
      <c r="V259" s="14">
        <f t="shared" si="388"/>
        <v>429</v>
      </c>
      <c r="W259" s="18">
        <f t="shared" si="367"/>
        <v>335</v>
      </c>
      <c r="X259" s="14">
        <f t="shared" si="389"/>
        <v>429</v>
      </c>
      <c r="Y259" s="18">
        <f t="shared" si="368"/>
        <v>319</v>
      </c>
      <c r="Z259" s="14">
        <f t="shared" si="390"/>
        <v>413</v>
      </c>
      <c r="AA259" s="18">
        <f t="shared" si="369"/>
        <v>319</v>
      </c>
      <c r="AB259" s="4" t="s">
        <v>0</v>
      </c>
    </row>
    <row r="260" spans="1:28">
      <c r="A260" s="9" t="s">
        <v>51</v>
      </c>
      <c r="B260" s="24"/>
      <c r="C260" s="26"/>
      <c r="D260" s="25">
        <f t="shared" si="385"/>
        <v>429</v>
      </c>
      <c r="E260" s="29">
        <f t="shared" ref="E260" si="397">E259</f>
        <v>415</v>
      </c>
      <c r="F260" s="25">
        <f t="shared" si="387"/>
        <v>445</v>
      </c>
      <c r="G260" s="29">
        <f t="shared" si="395"/>
        <v>431</v>
      </c>
      <c r="H260" s="4" t="s">
        <v>0</v>
      </c>
      <c r="I260" s="11" t="str">
        <f t="shared" si="356"/>
        <v>06-02</v>
      </c>
      <c r="J260" s="14">
        <f t="shared" si="358"/>
        <v>429</v>
      </c>
      <c r="K260" s="15">
        <f t="shared" si="358"/>
        <v>415</v>
      </c>
      <c r="L260" s="17">
        <f t="shared" si="359"/>
        <v>445</v>
      </c>
      <c r="M260" s="18">
        <f t="shared" si="360"/>
        <v>415</v>
      </c>
      <c r="N260" s="14">
        <f t="shared" si="361"/>
        <v>445</v>
      </c>
      <c r="O260" s="15">
        <f t="shared" si="361"/>
        <v>431</v>
      </c>
      <c r="P260" s="17">
        <f t="shared" si="362"/>
        <v>429</v>
      </c>
      <c r="Q260" s="18">
        <f t="shared" si="363"/>
        <v>431</v>
      </c>
      <c r="R260" s="4" t="s">
        <v>0</v>
      </c>
      <c r="S260" s="16" t="str">
        <f t="shared" si="364"/>
        <v>06-02</v>
      </c>
      <c r="T260" s="14">
        <f t="shared" si="365"/>
        <v>429</v>
      </c>
      <c r="U260" s="18">
        <f t="shared" si="366"/>
        <v>335</v>
      </c>
      <c r="V260" s="14">
        <f t="shared" si="388"/>
        <v>445</v>
      </c>
      <c r="W260" s="18">
        <f t="shared" si="367"/>
        <v>335</v>
      </c>
      <c r="X260" s="14">
        <f t="shared" si="389"/>
        <v>445</v>
      </c>
      <c r="Y260" s="18">
        <f t="shared" si="368"/>
        <v>319</v>
      </c>
      <c r="Z260" s="14">
        <f t="shared" si="390"/>
        <v>429</v>
      </c>
      <c r="AA260" s="18">
        <f t="shared" si="369"/>
        <v>319</v>
      </c>
      <c r="AB260" s="4" t="s">
        <v>0</v>
      </c>
    </row>
    <row r="261" spans="1:28">
      <c r="A261" s="9" t="s">
        <v>50</v>
      </c>
      <c r="B261" s="24"/>
      <c r="C261" s="26"/>
      <c r="D261" s="25">
        <f t="shared" si="385"/>
        <v>445</v>
      </c>
      <c r="E261" s="29">
        <f t="shared" ref="E261" si="398">E260</f>
        <v>415</v>
      </c>
      <c r="F261" s="25">
        <f t="shared" si="387"/>
        <v>461</v>
      </c>
      <c r="G261" s="29">
        <f t="shared" si="395"/>
        <v>431</v>
      </c>
      <c r="H261" s="4" t="s">
        <v>0</v>
      </c>
      <c r="I261" s="11" t="str">
        <f t="shared" si="356"/>
        <v>06-01</v>
      </c>
      <c r="J261" s="14">
        <f t="shared" si="358"/>
        <v>445</v>
      </c>
      <c r="K261" s="15">
        <f t="shared" si="358"/>
        <v>415</v>
      </c>
      <c r="L261" s="17">
        <f t="shared" si="359"/>
        <v>461</v>
      </c>
      <c r="M261" s="18">
        <f t="shared" si="360"/>
        <v>415</v>
      </c>
      <c r="N261" s="14">
        <f t="shared" si="361"/>
        <v>461</v>
      </c>
      <c r="O261" s="15">
        <f t="shared" si="361"/>
        <v>431</v>
      </c>
      <c r="P261" s="17">
        <f t="shared" si="362"/>
        <v>445</v>
      </c>
      <c r="Q261" s="18">
        <f t="shared" si="363"/>
        <v>431</v>
      </c>
      <c r="R261" s="4" t="s">
        <v>0</v>
      </c>
      <c r="S261" s="16" t="str">
        <f t="shared" si="364"/>
        <v>06-01</v>
      </c>
      <c r="T261" s="14">
        <f t="shared" si="365"/>
        <v>445</v>
      </c>
      <c r="U261" s="18">
        <f t="shared" si="366"/>
        <v>335</v>
      </c>
      <c r="V261" s="14">
        <f t="shared" si="388"/>
        <v>461</v>
      </c>
      <c r="W261" s="18">
        <f t="shared" si="367"/>
        <v>335</v>
      </c>
      <c r="X261" s="14">
        <f t="shared" si="389"/>
        <v>461</v>
      </c>
      <c r="Y261" s="18">
        <f t="shared" si="368"/>
        <v>319</v>
      </c>
      <c r="Z261" s="14">
        <f t="shared" si="390"/>
        <v>445</v>
      </c>
      <c r="AA261" s="18">
        <f t="shared" si="369"/>
        <v>319</v>
      </c>
      <c r="AB261" s="4" t="s">
        <v>0</v>
      </c>
    </row>
    <row r="262" spans="1:28">
      <c r="A262" s="9" t="s">
        <v>162</v>
      </c>
      <c r="B262" s="24"/>
      <c r="C262" s="26">
        <v>8</v>
      </c>
      <c r="D262" s="25">
        <f t="shared" si="385"/>
        <v>268</v>
      </c>
      <c r="E262" s="28">
        <f t="shared" ref="E262" si="399">ROUND(E$166+19.9*$C262, 0)</f>
        <v>435</v>
      </c>
      <c r="F262" s="25">
        <f t="shared" si="387"/>
        <v>284</v>
      </c>
      <c r="G262" s="28">
        <f t="shared" ref="G262" si="400">ROUND(G$166+19.9*$C262, 0)</f>
        <v>451</v>
      </c>
      <c r="H262" s="4" t="s">
        <v>0</v>
      </c>
      <c r="I262" s="11" t="str">
        <f t="shared" si="356"/>
        <v>05-15</v>
      </c>
      <c r="J262" s="14">
        <f t="shared" si="358"/>
        <v>268</v>
      </c>
      <c r="K262" s="15">
        <f t="shared" si="358"/>
        <v>435</v>
      </c>
      <c r="L262" s="17">
        <f t="shared" si="359"/>
        <v>284</v>
      </c>
      <c r="M262" s="18">
        <f t="shared" si="360"/>
        <v>435</v>
      </c>
      <c r="N262" s="14">
        <f t="shared" si="361"/>
        <v>284</v>
      </c>
      <c r="O262" s="15">
        <f t="shared" si="361"/>
        <v>451</v>
      </c>
      <c r="P262" s="17">
        <f t="shared" si="362"/>
        <v>268</v>
      </c>
      <c r="Q262" s="18">
        <f t="shared" si="363"/>
        <v>451</v>
      </c>
      <c r="R262" s="4" t="s">
        <v>0</v>
      </c>
      <c r="S262" s="16" t="str">
        <f t="shared" si="364"/>
        <v>05-15</v>
      </c>
      <c r="T262" s="14">
        <f t="shared" si="365"/>
        <v>268</v>
      </c>
      <c r="U262" s="18">
        <f t="shared" si="366"/>
        <v>315</v>
      </c>
      <c r="V262" s="14">
        <f t="shared" si="388"/>
        <v>284</v>
      </c>
      <c r="W262" s="18">
        <f t="shared" si="367"/>
        <v>315</v>
      </c>
      <c r="X262" s="14">
        <f t="shared" si="389"/>
        <v>284</v>
      </c>
      <c r="Y262" s="18">
        <f t="shared" si="368"/>
        <v>299</v>
      </c>
      <c r="Z262" s="14">
        <f t="shared" si="390"/>
        <v>268</v>
      </c>
      <c r="AA262" s="18">
        <f t="shared" si="369"/>
        <v>299</v>
      </c>
      <c r="AB262" s="4" t="s">
        <v>0</v>
      </c>
    </row>
    <row r="263" spans="1:28">
      <c r="A263" s="9" t="s">
        <v>161</v>
      </c>
      <c r="B263" s="24"/>
      <c r="C263" s="26"/>
      <c r="D263" s="25">
        <f t="shared" si="385"/>
        <v>284</v>
      </c>
      <c r="E263" s="29">
        <f t="shared" ref="E263" si="401">E262</f>
        <v>435</v>
      </c>
      <c r="F263" s="25">
        <f t="shared" si="387"/>
        <v>300</v>
      </c>
      <c r="G263" s="29">
        <f t="shared" si="395"/>
        <v>451</v>
      </c>
      <c r="H263" s="4" t="s">
        <v>0</v>
      </c>
      <c r="I263" s="11" t="str">
        <f t="shared" si="356"/>
        <v>05-13</v>
      </c>
      <c r="J263" s="14">
        <f t="shared" si="358"/>
        <v>284</v>
      </c>
      <c r="K263" s="15">
        <f t="shared" si="358"/>
        <v>435</v>
      </c>
      <c r="L263" s="17">
        <f t="shared" si="359"/>
        <v>300</v>
      </c>
      <c r="M263" s="18">
        <f t="shared" si="360"/>
        <v>435</v>
      </c>
      <c r="N263" s="14">
        <f t="shared" si="361"/>
        <v>300</v>
      </c>
      <c r="O263" s="15">
        <f t="shared" si="361"/>
        <v>451</v>
      </c>
      <c r="P263" s="17">
        <f t="shared" si="362"/>
        <v>284</v>
      </c>
      <c r="Q263" s="18">
        <f t="shared" si="363"/>
        <v>451</v>
      </c>
      <c r="R263" s="4" t="s">
        <v>0</v>
      </c>
      <c r="S263" s="16" t="str">
        <f t="shared" si="364"/>
        <v>05-13</v>
      </c>
      <c r="T263" s="14">
        <f t="shared" si="365"/>
        <v>284</v>
      </c>
      <c r="U263" s="18">
        <f t="shared" si="366"/>
        <v>315</v>
      </c>
      <c r="V263" s="14">
        <f t="shared" si="388"/>
        <v>300</v>
      </c>
      <c r="W263" s="18">
        <f t="shared" si="367"/>
        <v>315</v>
      </c>
      <c r="X263" s="14">
        <f t="shared" si="389"/>
        <v>300</v>
      </c>
      <c r="Y263" s="18">
        <f t="shared" si="368"/>
        <v>299</v>
      </c>
      <c r="Z263" s="14">
        <f t="shared" si="390"/>
        <v>284</v>
      </c>
      <c r="AA263" s="18">
        <f t="shared" si="369"/>
        <v>299</v>
      </c>
      <c r="AB263" s="4" t="s">
        <v>0</v>
      </c>
    </row>
    <row r="264" spans="1:28">
      <c r="A264" s="9" t="s">
        <v>49</v>
      </c>
      <c r="B264" s="24"/>
      <c r="C264" s="26"/>
      <c r="D264" s="25">
        <f t="shared" si="385"/>
        <v>300</v>
      </c>
      <c r="E264" s="29">
        <f t="shared" ref="E264" si="402">E263</f>
        <v>435</v>
      </c>
      <c r="F264" s="25">
        <f t="shared" si="387"/>
        <v>316</v>
      </c>
      <c r="G264" s="29">
        <f t="shared" si="395"/>
        <v>451</v>
      </c>
      <c r="H264" s="4" t="s">
        <v>0</v>
      </c>
      <c r="I264" s="11" t="str">
        <f t="shared" si="356"/>
        <v>05-12</v>
      </c>
      <c r="J264" s="14">
        <f t="shared" si="358"/>
        <v>300</v>
      </c>
      <c r="K264" s="15">
        <f t="shared" si="358"/>
        <v>435</v>
      </c>
      <c r="L264" s="17">
        <f t="shared" si="359"/>
        <v>316</v>
      </c>
      <c r="M264" s="18">
        <f t="shared" si="360"/>
        <v>435</v>
      </c>
      <c r="N264" s="14">
        <f t="shared" si="361"/>
        <v>316</v>
      </c>
      <c r="O264" s="15">
        <f t="shared" si="361"/>
        <v>451</v>
      </c>
      <c r="P264" s="17">
        <f t="shared" si="362"/>
        <v>300</v>
      </c>
      <c r="Q264" s="18">
        <f t="shared" si="363"/>
        <v>451</v>
      </c>
      <c r="R264" s="4" t="s">
        <v>0</v>
      </c>
      <c r="S264" s="16" t="str">
        <f t="shared" si="364"/>
        <v>05-12</v>
      </c>
      <c r="T264" s="14">
        <f t="shared" si="365"/>
        <v>300</v>
      </c>
      <c r="U264" s="18">
        <f t="shared" si="366"/>
        <v>315</v>
      </c>
      <c r="V264" s="14">
        <f t="shared" si="388"/>
        <v>316</v>
      </c>
      <c r="W264" s="18">
        <f t="shared" si="367"/>
        <v>315</v>
      </c>
      <c r="X264" s="14">
        <f t="shared" si="389"/>
        <v>316</v>
      </c>
      <c r="Y264" s="18">
        <f t="shared" si="368"/>
        <v>299</v>
      </c>
      <c r="Z264" s="14">
        <f t="shared" si="390"/>
        <v>300</v>
      </c>
      <c r="AA264" s="18">
        <f t="shared" si="369"/>
        <v>299</v>
      </c>
      <c r="AB264" s="4" t="s">
        <v>0</v>
      </c>
    </row>
    <row r="265" spans="1:28">
      <c r="A265" s="9" t="s">
        <v>48</v>
      </c>
      <c r="B265" s="24"/>
      <c r="C265" s="26"/>
      <c r="D265" s="25">
        <f t="shared" si="385"/>
        <v>316</v>
      </c>
      <c r="E265" s="29">
        <f t="shared" ref="E265" si="403">E264</f>
        <v>435</v>
      </c>
      <c r="F265" s="25">
        <f t="shared" si="387"/>
        <v>332</v>
      </c>
      <c r="G265" s="29">
        <f t="shared" si="395"/>
        <v>451</v>
      </c>
      <c r="H265" s="4" t="s">
        <v>0</v>
      </c>
      <c r="I265" s="11" t="str">
        <f t="shared" si="356"/>
        <v>05-11</v>
      </c>
      <c r="J265" s="14">
        <f t="shared" si="358"/>
        <v>316</v>
      </c>
      <c r="K265" s="15">
        <f t="shared" si="358"/>
        <v>435</v>
      </c>
      <c r="L265" s="17">
        <f t="shared" si="359"/>
        <v>332</v>
      </c>
      <c r="M265" s="18">
        <f t="shared" si="360"/>
        <v>435</v>
      </c>
      <c r="N265" s="14">
        <f t="shared" si="361"/>
        <v>332</v>
      </c>
      <c r="O265" s="15">
        <f t="shared" si="361"/>
        <v>451</v>
      </c>
      <c r="P265" s="17">
        <f t="shared" si="362"/>
        <v>316</v>
      </c>
      <c r="Q265" s="18">
        <f t="shared" si="363"/>
        <v>451</v>
      </c>
      <c r="R265" s="4" t="s">
        <v>0</v>
      </c>
      <c r="S265" s="16" t="str">
        <f t="shared" si="364"/>
        <v>05-11</v>
      </c>
      <c r="T265" s="14">
        <f t="shared" si="365"/>
        <v>316</v>
      </c>
      <c r="U265" s="18">
        <f t="shared" si="366"/>
        <v>315</v>
      </c>
      <c r="V265" s="14">
        <f t="shared" si="388"/>
        <v>332</v>
      </c>
      <c r="W265" s="18">
        <f t="shared" si="367"/>
        <v>315</v>
      </c>
      <c r="X265" s="14">
        <f t="shared" si="389"/>
        <v>332</v>
      </c>
      <c r="Y265" s="18">
        <f t="shared" si="368"/>
        <v>299</v>
      </c>
      <c r="Z265" s="14">
        <f t="shared" si="390"/>
        <v>316</v>
      </c>
      <c r="AA265" s="18">
        <f t="shared" si="369"/>
        <v>299</v>
      </c>
      <c r="AB265" s="4" t="s">
        <v>0</v>
      </c>
    </row>
    <row r="266" spans="1:28">
      <c r="A266" s="9" t="s">
        <v>47</v>
      </c>
      <c r="B266" s="24"/>
      <c r="C266" s="26"/>
      <c r="D266" s="25">
        <f t="shared" si="385"/>
        <v>332</v>
      </c>
      <c r="E266" s="29">
        <f t="shared" ref="E266" si="404">E265</f>
        <v>435</v>
      </c>
      <c r="F266" s="25">
        <f t="shared" si="387"/>
        <v>348</v>
      </c>
      <c r="G266" s="29">
        <f t="shared" si="395"/>
        <v>451</v>
      </c>
      <c r="H266" s="4" t="s">
        <v>0</v>
      </c>
      <c r="I266" s="11" t="str">
        <f t="shared" si="356"/>
        <v>05-10</v>
      </c>
      <c r="J266" s="14">
        <f t="shared" si="358"/>
        <v>332</v>
      </c>
      <c r="K266" s="15">
        <f t="shared" si="358"/>
        <v>435</v>
      </c>
      <c r="L266" s="17">
        <f t="shared" si="359"/>
        <v>348</v>
      </c>
      <c r="M266" s="18">
        <f t="shared" si="360"/>
        <v>435</v>
      </c>
      <c r="N266" s="14">
        <f t="shared" si="361"/>
        <v>348</v>
      </c>
      <c r="O266" s="15">
        <f t="shared" si="361"/>
        <v>451</v>
      </c>
      <c r="P266" s="17">
        <f t="shared" si="362"/>
        <v>332</v>
      </c>
      <c r="Q266" s="18">
        <f t="shared" si="363"/>
        <v>451</v>
      </c>
      <c r="R266" s="4" t="s">
        <v>0</v>
      </c>
      <c r="S266" s="16" t="str">
        <f t="shared" si="364"/>
        <v>05-10</v>
      </c>
      <c r="T266" s="14">
        <f t="shared" si="365"/>
        <v>332</v>
      </c>
      <c r="U266" s="18">
        <f t="shared" si="366"/>
        <v>315</v>
      </c>
      <c r="V266" s="14">
        <f t="shared" si="388"/>
        <v>348</v>
      </c>
      <c r="W266" s="18">
        <f t="shared" si="367"/>
        <v>315</v>
      </c>
      <c r="X266" s="14">
        <f t="shared" si="389"/>
        <v>348</v>
      </c>
      <c r="Y266" s="18">
        <f t="shared" si="368"/>
        <v>299</v>
      </c>
      <c r="Z266" s="14">
        <f t="shared" si="390"/>
        <v>332</v>
      </c>
      <c r="AA266" s="18">
        <f t="shared" si="369"/>
        <v>299</v>
      </c>
      <c r="AB266" s="4" t="s">
        <v>0</v>
      </c>
    </row>
    <row r="267" spans="1:28">
      <c r="A267" s="9" t="s">
        <v>46</v>
      </c>
      <c r="B267" s="24"/>
      <c r="C267" s="26"/>
      <c r="D267" s="25">
        <f t="shared" si="385"/>
        <v>349</v>
      </c>
      <c r="E267" s="29">
        <f t="shared" ref="E267" si="405">E266</f>
        <v>435</v>
      </c>
      <c r="F267" s="25">
        <f t="shared" si="387"/>
        <v>365</v>
      </c>
      <c r="G267" s="29">
        <f t="shared" si="395"/>
        <v>451</v>
      </c>
      <c r="H267" s="4" t="s">
        <v>0</v>
      </c>
      <c r="I267" s="11" t="str">
        <f t="shared" si="356"/>
        <v>05-08</v>
      </c>
      <c r="J267" s="14">
        <f t="shared" si="358"/>
        <v>349</v>
      </c>
      <c r="K267" s="15">
        <f t="shared" si="358"/>
        <v>435</v>
      </c>
      <c r="L267" s="17">
        <f t="shared" si="359"/>
        <v>365</v>
      </c>
      <c r="M267" s="18">
        <f t="shared" si="360"/>
        <v>435</v>
      </c>
      <c r="N267" s="14">
        <f t="shared" si="361"/>
        <v>365</v>
      </c>
      <c r="O267" s="15">
        <f t="shared" si="361"/>
        <v>451</v>
      </c>
      <c r="P267" s="17">
        <f t="shared" si="362"/>
        <v>349</v>
      </c>
      <c r="Q267" s="18">
        <f t="shared" si="363"/>
        <v>451</v>
      </c>
      <c r="R267" s="4" t="s">
        <v>0</v>
      </c>
      <c r="S267" s="16" t="str">
        <f t="shared" si="364"/>
        <v>05-08</v>
      </c>
      <c r="T267" s="14">
        <f t="shared" si="365"/>
        <v>349</v>
      </c>
      <c r="U267" s="18">
        <f t="shared" si="366"/>
        <v>315</v>
      </c>
      <c r="V267" s="14">
        <f t="shared" si="388"/>
        <v>365</v>
      </c>
      <c r="W267" s="18">
        <f t="shared" si="367"/>
        <v>315</v>
      </c>
      <c r="X267" s="14">
        <f t="shared" si="389"/>
        <v>365</v>
      </c>
      <c r="Y267" s="18">
        <f t="shared" si="368"/>
        <v>299</v>
      </c>
      <c r="Z267" s="14">
        <f t="shared" si="390"/>
        <v>349</v>
      </c>
      <c r="AA267" s="18">
        <f t="shared" si="369"/>
        <v>299</v>
      </c>
      <c r="AB267" s="4" t="s">
        <v>0</v>
      </c>
    </row>
    <row r="268" spans="1:28">
      <c r="A268" s="9" t="s">
        <v>45</v>
      </c>
      <c r="B268" s="24"/>
      <c r="C268" s="26"/>
      <c r="D268" s="25">
        <f t="shared" si="385"/>
        <v>365</v>
      </c>
      <c r="E268" s="29">
        <f t="shared" ref="E268" si="406">E267</f>
        <v>435</v>
      </c>
      <c r="F268" s="25">
        <f t="shared" si="387"/>
        <v>381</v>
      </c>
      <c r="G268" s="29">
        <f t="shared" si="395"/>
        <v>451</v>
      </c>
      <c r="H268" s="4" t="s">
        <v>0</v>
      </c>
      <c r="I268" s="11" t="str">
        <f t="shared" si="356"/>
        <v>05-07</v>
      </c>
      <c r="J268" s="14">
        <f t="shared" si="358"/>
        <v>365</v>
      </c>
      <c r="K268" s="15">
        <f t="shared" si="358"/>
        <v>435</v>
      </c>
      <c r="L268" s="17">
        <f t="shared" si="359"/>
        <v>381</v>
      </c>
      <c r="M268" s="18">
        <f t="shared" si="360"/>
        <v>435</v>
      </c>
      <c r="N268" s="14">
        <f t="shared" si="361"/>
        <v>381</v>
      </c>
      <c r="O268" s="15">
        <f t="shared" si="361"/>
        <v>451</v>
      </c>
      <c r="P268" s="17">
        <f t="shared" si="362"/>
        <v>365</v>
      </c>
      <c r="Q268" s="18">
        <f t="shared" si="363"/>
        <v>451</v>
      </c>
      <c r="R268" s="4" t="s">
        <v>0</v>
      </c>
      <c r="S268" s="16" t="str">
        <f t="shared" si="364"/>
        <v>05-07</v>
      </c>
      <c r="T268" s="14">
        <f t="shared" si="365"/>
        <v>365</v>
      </c>
      <c r="U268" s="18">
        <f t="shared" si="366"/>
        <v>315</v>
      </c>
      <c r="V268" s="14">
        <f t="shared" si="388"/>
        <v>381</v>
      </c>
      <c r="W268" s="18">
        <f t="shared" si="367"/>
        <v>315</v>
      </c>
      <c r="X268" s="14">
        <f t="shared" si="389"/>
        <v>381</v>
      </c>
      <c r="Y268" s="18">
        <f t="shared" si="368"/>
        <v>299</v>
      </c>
      <c r="Z268" s="14">
        <f t="shared" si="390"/>
        <v>365</v>
      </c>
      <c r="AA268" s="18">
        <f t="shared" si="369"/>
        <v>299</v>
      </c>
      <c r="AB268" s="4" t="s">
        <v>0</v>
      </c>
    </row>
    <row r="269" spans="1:28">
      <c r="A269" s="9" t="s">
        <v>44</v>
      </c>
      <c r="B269" s="24"/>
      <c r="C269" s="26"/>
      <c r="D269" s="25">
        <f t="shared" si="385"/>
        <v>381</v>
      </c>
      <c r="E269" s="29">
        <f t="shared" ref="E269" si="407">E268</f>
        <v>435</v>
      </c>
      <c r="F269" s="25">
        <f t="shared" si="387"/>
        <v>397</v>
      </c>
      <c r="G269" s="29">
        <f t="shared" si="395"/>
        <v>451</v>
      </c>
      <c r="H269" s="4" t="s">
        <v>0</v>
      </c>
      <c r="I269" s="11" t="str">
        <f t="shared" si="356"/>
        <v>05-06</v>
      </c>
      <c r="J269" s="14">
        <f t="shared" si="358"/>
        <v>381</v>
      </c>
      <c r="K269" s="15">
        <f t="shared" si="358"/>
        <v>435</v>
      </c>
      <c r="L269" s="17">
        <f t="shared" si="359"/>
        <v>397</v>
      </c>
      <c r="M269" s="18">
        <f t="shared" si="360"/>
        <v>435</v>
      </c>
      <c r="N269" s="14">
        <f t="shared" si="361"/>
        <v>397</v>
      </c>
      <c r="O269" s="15">
        <f t="shared" si="361"/>
        <v>451</v>
      </c>
      <c r="P269" s="17">
        <f t="shared" si="362"/>
        <v>381</v>
      </c>
      <c r="Q269" s="18">
        <f t="shared" si="363"/>
        <v>451</v>
      </c>
      <c r="R269" s="4" t="s">
        <v>0</v>
      </c>
      <c r="S269" s="16" t="str">
        <f t="shared" si="364"/>
        <v>05-06</v>
      </c>
      <c r="T269" s="14">
        <f t="shared" si="365"/>
        <v>381</v>
      </c>
      <c r="U269" s="18">
        <f t="shared" si="366"/>
        <v>315</v>
      </c>
      <c r="V269" s="14">
        <f t="shared" si="388"/>
        <v>397</v>
      </c>
      <c r="W269" s="18">
        <f t="shared" si="367"/>
        <v>315</v>
      </c>
      <c r="X269" s="14">
        <f t="shared" si="389"/>
        <v>397</v>
      </c>
      <c r="Y269" s="18">
        <f t="shared" si="368"/>
        <v>299</v>
      </c>
      <c r="Z269" s="14">
        <f t="shared" si="390"/>
        <v>381</v>
      </c>
      <c r="AA269" s="18">
        <f t="shared" si="369"/>
        <v>299</v>
      </c>
      <c r="AB269" s="4" t="s">
        <v>0</v>
      </c>
    </row>
    <row r="270" spans="1:28">
      <c r="A270" s="9" t="s">
        <v>43</v>
      </c>
      <c r="B270" s="24"/>
      <c r="C270" s="26"/>
      <c r="D270" s="25">
        <f t="shared" si="385"/>
        <v>397</v>
      </c>
      <c r="E270" s="29">
        <f t="shared" ref="E270" si="408">E269</f>
        <v>435</v>
      </c>
      <c r="F270" s="25">
        <f t="shared" si="387"/>
        <v>413</v>
      </c>
      <c r="G270" s="29">
        <f t="shared" si="395"/>
        <v>451</v>
      </c>
      <c r="H270" s="4" t="s">
        <v>0</v>
      </c>
      <c r="I270" s="11" t="str">
        <f t="shared" si="356"/>
        <v>05-05</v>
      </c>
      <c r="J270" s="14">
        <f t="shared" si="358"/>
        <v>397</v>
      </c>
      <c r="K270" s="15">
        <f t="shared" si="358"/>
        <v>435</v>
      </c>
      <c r="L270" s="17">
        <f t="shared" si="359"/>
        <v>413</v>
      </c>
      <c r="M270" s="18">
        <f t="shared" si="360"/>
        <v>435</v>
      </c>
      <c r="N270" s="14">
        <f t="shared" si="361"/>
        <v>413</v>
      </c>
      <c r="O270" s="15">
        <f t="shared" si="361"/>
        <v>451</v>
      </c>
      <c r="P270" s="17">
        <f t="shared" si="362"/>
        <v>397</v>
      </c>
      <c r="Q270" s="18">
        <f t="shared" si="363"/>
        <v>451</v>
      </c>
      <c r="R270" s="4" t="s">
        <v>0</v>
      </c>
      <c r="S270" s="16" t="str">
        <f t="shared" si="364"/>
        <v>05-05</v>
      </c>
      <c r="T270" s="14">
        <f t="shared" si="365"/>
        <v>397</v>
      </c>
      <c r="U270" s="18">
        <f t="shared" si="366"/>
        <v>315</v>
      </c>
      <c r="V270" s="14">
        <f t="shared" si="388"/>
        <v>413</v>
      </c>
      <c r="W270" s="18">
        <f t="shared" si="367"/>
        <v>315</v>
      </c>
      <c r="X270" s="14">
        <f t="shared" si="389"/>
        <v>413</v>
      </c>
      <c r="Y270" s="18">
        <f t="shared" si="368"/>
        <v>299</v>
      </c>
      <c r="Z270" s="14">
        <f t="shared" si="390"/>
        <v>397</v>
      </c>
      <c r="AA270" s="18">
        <f t="shared" si="369"/>
        <v>299</v>
      </c>
      <c r="AB270" s="4" t="s">
        <v>0</v>
      </c>
    </row>
    <row r="271" spans="1:28">
      <c r="A271" s="9" t="s">
        <v>42</v>
      </c>
      <c r="B271" s="24"/>
      <c r="C271" s="26"/>
      <c r="D271" s="25">
        <f t="shared" si="385"/>
        <v>413</v>
      </c>
      <c r="E271" s="29">
        <f t="shared" ref="E271" si="409">E270</f>
        <v>435</v>
      </c>
      <c r="F271" s="25">
        <f t="shared" si="387"/>
        <v>429</v>
      </c>
      <c r="G271" s="29">
        <f t="shared" si="395"/>
        <v>451</v>
      </c>
      <c r="H271" s="4" t="s">
        <v>0</v>
      </c>
      <c r="I271" s="11" t="str">
        <f t="shared" si="356"/>
        <v>05-03</v>
      </c>
      <c r="J271" s="14">
        <f t="shared" si="358"/>
        <v>413</v>
      </c>
      <c r="K271" s="15">
        <f t="shared" si="358"/>
        <v>435</v>
      </c>
      <c r="L271" s="17">
        <f t="shared" si="359"/>
        <v>429</v>
      </c>
      <c r="M271" s="18">
        <f t="shared" si="360"/>
        <v>435</v>
      </c>
      <c r="N271" s="14">
        <f t="shared" si="361"/>
        <v>429</v>
      </c>
      <c r="O271" s="15">
        <f t="shared" si="361"/>
        <v>451</v>
      </c>
      <c r="P271" s="17">
        <f t="shared" si="362"/>
        <v>413</v>
      </c>
      <c r="Q271" s="18">
        <f t="shared" si="363"/>
        <v>451</v>
      </c>
      <c r="R271" s="4" t="s">
        <v>0</v>
      </c>
      <c r="S271" s="16" t="str">
        <f t="shared" si="364"/>
        <v>05-03</v>
      </c>
      <c r="T271" s="14">
        <f t="shared" si="365"/>
        <v>413</v>
      </c>
      <c r="U271" s="18">
        <f t="shared" si="366"/>
        <v>315</v>
      </c>
      <c r="V271" s="14">
        <f t="shared" si="388"/>
        <v>429</v>
      </c>
      <c r="W271" s="18">
        <f t="shared" si="367"/>
        <v>315</v>
      </c>
      <c r="X271" s="14">
        <f t="shared" si="389"/>
        <v>429</v>
      </c>
      <c r="Y271" s="18">
        <f t="shared" si="368"/>
        <v>299</v>
      </c>
      <c r="Z271" s="14">
        <f t="shared" si="390"/>
        <v>413</v>
      </c>
      <c r="AA271" s="18">
        <f t="shared" si="369"/>
        <v>299</v>
      </c>
      <c r="AB271" s="4" t="s">
        <v>0</v>
      </c>
    </row>
    <row r="272" spans="1:28">
      <c r="A272" s="9" t="s">
        <v>41</v>
      </c>
      <c r="B272" s="24"/>
      <c r="C272" s="26"/>
      <c r="D272" s="25">
        <f t="shared" si="385"/>
        <v>429</v>
      </c>
      <c r="E272" s="29">
        <f t="shared" ref="E272" si="410">E271</f>
        <v>435</v>
      </c>
      <c r="F272" s="25">
        <f t="shared" si="387"/>
        <v>445</v>
      </c>
      <c r="G272" s="29">
        <f t="shared" si="395"/>
        <v>451</v>
      </c>
      <c r="H272" s="4" t="s">
        <v>0</v>
      </c>
      <c r="I272" s="11" t="str">
        <f t="shared" si="356"/>
        <v>05-02</v>
      </c>
      <c r="J272" s="14">
        <f t="shared" si="358"/>
        <v>429</v>
      </c>
      <c r="K272" s="15">
        <f t="shared" si="358"/>
        <v>435</v>
      </c>
      <c r="L272" s="17">
        <f t="shared" si="359"/>
        <v>445</v>
      </c>
      <c r="M272" s="18">
        <f t="shared" si="360"/>
        <v>435</v>
      </c>
      <c r="N272" s="14">
        <f t="shared" si="361"/>
        <v>445</v>
      </c>
      <c r="O272" s="15">
        <f t="shared" si="361"/>
        <v>451</v>
      </c>
      <c r="P272" s="17">
        <f t="shared" si="362"/>
        <v>429</v>
      </c>
      <c r="Q272" s="18">
        <f t="shared" si="363"/>
        <v>451</v>
      </c>
      <c r="R272" s="4" t="s">
        <v>0</v>
      </c>
      <c r="S272" s="16" t="str">
        <f t="shared" si="364"/>
        <v>05-02</v>
      </c>
      <c r="T272" s="14">
        <f t="shared" si="365"/>
        <v>429</v>
      </c>
      <c r="U272" s="18">
        <f t="shared" si="366"/>
        <v>315</v>
      </c>
      <c r="V272" s="14">
        <f t="shared" si="388"/>
        <v>445</v>
      </c>
      <c r="W272" s="18">
        <f t="shared" si="367"/>
        <v>315</v>
      </c>
      <c r="X272" s="14">
        <f t="shared" si="389"/>
        <v>445</v>
      </c>
      <c r="Y272" s="18">
        <f t="shared" si="368"/>
        <v>299</v>
      </c>
      <c r="Z272" s="14">
        <f t="shared" si="390"/>
        <v>429</v>
      </c>
      <c r="AA272" s="18">
        <f t="shared" si="369"/>
        <v>299</v>
      </c>
      <c r="AB272" s="4" t="s">
        <v>0</v>
      </c>
    </row>
    <row r="273" spans="1:28">
      <c r="A273" s="9" t="s">
        <v>40</v>
      </c>
      <c r="B273" s="24"/>
      <c r="C273" s="26"/>
      <c r="D273" s="25">
        <f t="shared" si="385"/>
        <v>445</v>
      </c>
      <c r="E273" s="29">
        <f t="shared" ref="E273" si="411">E272</f>
        <v>435</v>
      </c>
      <c r="F273" s="25">
        <f t="shared" si="387"/>
        <v>461</v>
      </c>
      <c r="G273" s="29">
        <f t="shared" si="395"/>
        <v>451</v>
      </c>
      <c r="H273" s="4" t="s">
        <v>0</v>
      </c>
      <c r="I273" s="11" t="str">
        <f t="shared" si="356"/>
        <v>05-01</v>
      </c>
      <c r="J273" s="14">
        <f t="shared" si="358"/>
        <v>445</v>
      </c>
      <c r="K273" s="15">
        <f t="shared" si="358"/>
        <v>435</v>
      </c>
      <c r="L273" s="17">
        <f t="shared" si="359"/>
        <v>461</v>
      </c>
      <c r="M273" s="18">
        <f t="shared" si="360"/>
        <v>435</v>
      </c>
      <c r="N273" s="14">
        <f t="shared" si="361"/>
        <v>461</v>
      </c>
      <c r="O273" s="15">
        <f t="shared" si="361"/>
        <v>451</v>
      </c>
      <c r="P273" s="17">
        <f t="shared" si="362"/>
        <v>445</v>
      </c>
      <c r="Q273" s="18">
        <f t="shared" si="363"/>
        <v>451</v>
      </c>
      <c r="R273" s="4" t="s">
        <v>0</v>
      </c>
      <c r="S273" s="16" t="str">
        <f t="shared" si="364"/>
        <v>05-01</v>
      </c>
      <c r="T273" s="14">
        <f t="shared" si="365"/>
        <v>445</v>
      </c>
      <c r="U273" s="18">
        <f t="shared" si="366"/>
        <v>315</v>
      </c>
      <c r="V273" s="14">
        <f t="shared" si="388"/>
        <v>461</v>
      </c>
      <c r="W273" s="18">
        <f t="shared" si="367"/>
        <v>315</v>
      </c>
      <c r="X273" s="14">
        <f t="shared" si="389"/>
        <v>461</v>
      </c>
      <c r="Y273" s="18">
        <f t="shared" si="368"/>
        <v>299</v>
      </c>
      <c r="Z273" s="14">
        <f t="shared" si="390"/>
        <v>445</v>
      </c>
      <c r="AA273" s="18">
        <f t="shared" si="369"/>
        <v>299</v>
      </c>
      <c r="AB273" s="4" t="s">
        <v>0</v>
      </c>
    </row>
    <row r="274" spans="1:28">
      <c r="A274" s="9" t="s">
        <v>155</v>
      </c>
      <c r="B274" s="24"/>
      <c r="C274" s="26">
        <v>9</v>
      </c>
      <c r="D274" s="25">
        <f t="shared" si="385"/>
        <v>268</v>
      </c>
      <c r="E274" s="28">
        <f t="shared" ref="E274" si="412">ROUND(E$166+19.9*$C274, 0)</f>
        <v>455</v>
      </c>
      <c r="F274" s="25">
        <f t="shared" si="387"/>
        <v>284</v>
      </c>
      <c r="G274" s="28">
        <f t="shared" ref="G274" si="413">ROUND(G$166+19.9*$C274, 0)</f>
        <v>471</v>
      </c>
      <c r="H274" s="4" t="s">
        <v>0</v>
      </c>
      <c r="I274" s="11" t="str">
        <f t="shared" si="356"/>
        <v>03-15</v>
      </c>
      <c r="J274" s="14">
        <f t="shared" si="358"/>
        <v>268</v>
      </c>
      <c r="K274" s="15">
        <f t="shared" si="358"/>
        <v>455</v>
      </c>
      <c r="L274" s="17">
        <f t="shared" si="359"/>
        <v>284</v>
      </c>
      <c r="M274" s="18">
        <f t="shared" si="360"/>
        <v>455</v>
      </c>
      <c r="N274" s="14">
        <f t="shared" si="361"/>
        <v>284</v>
      </c>
      <c r="O274" s="15">
        <f t="shared" si="361"/>
        <v>471</v>
      </c>
      <c r="P274" s="17">
        <f t="shared" si="362"/>
        <v>268</v>
      </c>
      <c r="Q274" s="18">
        <f t="shared" si="363"/>
        <v>471</v>
      </c>
      <c r="R274" s="4" t="s">
        <v>0</v>
      </c>
      <c r="S274" s="16" t="str">
        <f t="shared" si="364"/>
        <v>03-15</v>
      </c>
      <c r="T274" s="14">
        <f t="shared" si="365"/>
        <v>268</v>
      </c>
      <c r="U274" s="18">
        <f t="shared" si="366"/>
        <v>295</v>
      </c>
      <c r="V274" s="14">
        <f t="shared" si="388"/>
        <v>284</v>
      </c>
      <c r="W274" s="18">
        <f t="shared" si="367"/>
        <v>295</v>
      </c>
      <c r="X274" s="14">
        <f t="shared" si="389"/>
        <v>284</v>
      </c>
      <c r="Y274" s="18">
        <f t="shared" si="368"/>
        <v>279</v>
      </c>
      <c r="Z274" s="14">
        <f t="shared" si="390"/>
        <v>268</v>
      </c>
      <c r="AA274" s="18">
        <f t="shared" si="369"/>
        <v>279</v>
      </c>
      <c r="AB274" s="4" t="s">
        <v>0</v>
      </c>
    </row>
    <row r="275" spans="1:28">
      <c r="A275" s="9" t="s">
        <v>154</v>
      </c>
      <c r="B275" s="24"/>
      <c r="C275" s="26"/>
      <c r="D275" s="25">
        <f t="shared" si="385"/>
        <v>284</v>
      </c>
      <c r="E275" s="29">
        <f t="shared" ref="E275" si="414">E274</f>
        <v>455</v>
      </c>
      <c r="F275" s="25">
        <f t="shared" si="387"/>
        <v>300</v>
      </c>
      <c r="G275" s="29">
        <f t="shared" si="395"/>
        <v>471</v>
      </c>
      <c r="H275" s="4" t="s">
        <v>0</v>
      </c>
      <c r="I275" s="11" t="str">
        <f t="shared" si="356"/>
        <v>03-13</v>
      </c>
      <c r="J275" s="14">
        <f t="shared" si="358"/>
        <v>284</v>
      </c>
      <c r="K275" s="15">
        <f t="shared" si="358"/>
        <v>455</v>
      </c>
      <c r="L275" s="17">
        <f t="shared" si="359"/>
        <v>300</v>
      </c>
      <c r="M275" s="18">
        <f t="shared" si="360"/>
        <v>455</v>
      </c>
      <c r="N275" s="14">
        <f t="shared" si="361"/>
        <v>300</v>
      </c>
      <c r="O275" s="15">
        <f t="shared" si="361"/>
        <v>471</v>
      </c>
      <c r="P275" s="17">
        <f t="shared" si="362"/>
        <v>284</v>
      </c>
      <c r="Q275" s="18">
        <f t="shared" si="363"/>
        <v>471</v>
      </c>
      <c r="R275" s="4" t="s">
        <v>0</v>
      </c>
      <c r="S275" s="16" t="str">
        <f t="shared" si="364"/>
        <v>03-13</v>
      </c>
      <c r="T275" s="14">
        <f t="shared" si="365"/>
        <v>284</v>
      </c>
      <c r="U275" s="18">
        <f t="shared" si="366"/>
        <v>295</v>
      </c>
      <c r="V275" s="14">
        <f t="shared" si="388"/>
        <v>300</v>
      </c>
      <c r="W275" s="18">
        <f t="shared" si="367"/>
        <v>295</v>
      </c>
      <c r="X275" s="14">
        <f t="shared" si="389"/>
        <v>300</v>
      </c>
      <c r="Y275" s="18">
        <f t="shared" si="368"/>
        <v>279</v>
      </c>
      <c r="Z275" s="14">
        <f t="shared" si="390"/>
        <v>284</v>
      </c>
      <c r="AA275" s="18">
        <f t="shared" si="369"/>
        <v>279</v>
      </c>
      <c r="AB275" s="4" t="s">
        <v>0</v>
      </c>
    </row>
    <row r="276" spans="1:28">
      <c r="A276" s="9" t="s">
        <v>39</v>
      </c>
      <c r="B276" s="24"/>
      <c r="C276" s="26"/>
      <c r="D276" s="25">
        <f t="shared" si="385"/>
        <v>300</v>
      </c>
      <c r="E276" s="29">
        <f t="shared" ref="E276" si="415">E275</f>
        <v>455</v>
      </c>
      <c r="F276" s="25">
        <f t="shared" si="387"/>
        <v>316</v>
      </c>
      <c r="G276" s="29">
        <f t="shared" si="395"/>
        <v>471</v>
      </c>
      <c r="H276" s="4" t="s">
        <v>0</v>
      </c>
      <c r="I276" s="11" t="str">
        <f t="shared" si="356"/>
        <v>03-12</v>
      </c>
      <c r="J276" s="14">
        <f t="shared" si="358"/>
        <v>300</v>
      </c>
      <c r="K276" s="15">
        <f t="shared" si="358"/>
        <v>455</v>
      </c>
      <c r="L276" s="17">
        <f t="shared" si="359"/>
        <v>316</v>
      </c>
      <c r="M276" s="18">
        <f t="shared" si="360"/>
        <v>455</v>
      </c>
      <c r="N276" s="14">
        <f t="shared" si="361"/>
        <v>316</v>
      </c>
      <c r="O276" s="15">
        <f t="shared" si="361"/>
        <v>471</v>
      </c>
      <c r="P276" s="17">
        <f t="shared" si="362"/>
        <v>300</v>
      </c>
      <c r="Q276" s="18">
        <f t="shared" si="363"/>
        <v>471</v>
      </c>
      <c r="R276" s="4" t="s">
        <v>0</v>
      </c>
      <c r="S276" s="16" t="str">
        <f t="shared" si="364"/>
        <v>03-12</v>
      </c>
      <c r="T276" s="14">
        <f t="shared" si="365"/>
        <v>300</v>
      </c>
      <c r="U276" s="18">
        <f t="shared" si="366"/>
        <v>295</v>
      </c>
      <c r="V276" s="14">
        <f t="shared" si="388"/>
        <v>316</v>
      </c>
      <c r="W276" s="18">
        <f t="shared" si="367"/>
        <v>295</v>
      </c>
      <c r="X276" s="14">
        <f t="shared" si="389"/>
        <v>316</v>
      </c>
      <c r="Y276" s="18">
        <f t="shared" si="368"/>
        <v>279</v>
      </c>
      <c r="Z276" s="14">
        <f t="shared" si="390"/>
        <v>300</v>
      </c>
      <c r="AA276" s="18">
        <f t="shared" si="369"/>
        <v>279</v>
      </c>
      <c r="AB276" s="4" t="s">
        <v>0</v>
      </c>
    </row>
    <row r="277" spans="1:28">
      <c r="A277" s="9" t="s">
        <v>38</v>
      </c>
      <c r="B277" s="24"/>
      <c r="C277" s="26"/>
      <c r="D277" s="25">
        <f t="shared" si="385"/>
        <v>316</v>
      </c>
      <c r="E277" s="29">
        <f t="shared" ref="E277" si="416">E276</f>
        <v>455</v>
      </c>
      <c r="F277" s="25">
        <f t="shared" si="387"/>
        <v>332</v>
      </c>
      <c r="G277" s="29">
        <f t="shared" si="395"/>
        <v>471</v>
      </c>
      <c r="H277" s="4" t="s">
        <v>0</v>
      </c>
      <c r="I277" s="11" t="str">
        <f t="shared" si="356"/>
        <v>03-11</v>
      </c>
      <c r="J277" s="14">
        <f t="shared" si="358"/>
        <v>316</v>
      </c>
      <c r="K277" s="15">
        <f t="shared" si="358"/>
        <v>455</v>
      </c>
      <c r="L277" s="17">
        <f t="shared" si="359"/>
        <v>332</v>
      </c>
      <c r="M277" s="18">
        <f t="shared" si="360"/>
        <v>455</v>
      </c>
      <c r="N277" s="14">
        <f t="shared" si="361"/>
        <v>332</v>
      </c>
      <c r="O277" s="15">
        <f t="shared" si="361"/>
        <v>471</v>
      </c>
      <c r="P277" s="17">
        <f t="shared" si="362"/>
        <v>316</v>
      </c>
      <c r="Q277" s="18">
        <f t="shared" si="363"/>
        <v>471</v>
      </c>
      <c r="R277" s="4" t="s">
        <v>0</v>
      </c>
      <c r="S277" s="16" t="str">
        <f t="shared" si="364"/>
        <v>03-11</v>
      </c>
      <c r="T277" s="14">
        <f t="shared" si="365"/>
        <v>316</v>
      </c>
      <c r="U277" s="18">
        <f t="shared" si="366"/>
        <v>295</v>
      </c>
      <c r="V277" s="14">
        <f t="shared" si="388"/>
        <v>332</v>
      </c>
      <c r="W277" s="18">
        <f t="shared" si="367"/>
        <v>295</v>
      </c>
      <c r="X277" s="14">
        <f t="shared" si="389"/>
        <v>332</v>
      </c>
      <c r="Y277" s="18">
        <f t="shared" si="368"/>
        <v>279</v>
      </c>
      <c r="Z277" s="14">
        <f t="shared" si="390"/>
        <v>316</v>
      </c>
      <c r="AA277" s="18">
        <f t="shared" si="369"/>
        <v>279</v>
      </c>
      <c r="AB277" s="4" t="s">
        <v>0</v>
      </c>
    </row>
    <row r="278" spans="1:28">
      <c r="A278" s="9" t="s">
        <v>37</v>
      </c>
      <c r="B278" s="24"/>
      <c r="C278" s="26"/>
      <c r="D278" s="25">
        <f t="shared" si="385"/>
        <v>332</v>
      </c>
      <c r="E278" s="29">
        <f t="shared" ref="E278" si="417">E277</f>
        <v>455</v>
      </c>
      <c r="F278" s="25">
        <f t="shared" si="387"/>
        <v>348</v>
      </c>
      <c r="G278" s="29">
        <f t="shared" si="395"/>
        <v>471</v>
      </c>
      <c r="H278" s="4" t="s">
        <v>0</v>
      </c>
      <c r="I278" s="11" t="str">
        <f t="shared" si="356"/>
        <v>03-10</v>
      </c>
      <c r="J278" s="14">
        <f t="shared" si="358"/>
        <v>332</v>
      </c>
      <c r="K278" s="15">
        <f t="shared" si="358"/>
        <v>455</v>
      </c>
      <c r="L278" s="17">
        <f t="shared" si="359"/>
        <v>348</v>
      </c>
      <c r="M278" s="18">
        <f t="shared" si="360"/>
        <v>455</v>
      </c>
      <c r="N278" s="14">
        <f t="shared" si="361"/>
        <v>348</v>
      </c>
      <c r="O278" s="15">
        <f t="shared" si="361"/>
        <v>471</v>
      </c>
      <c r="P278" s="17">
        <f t="shared" si="362"/>
        <v>332</v>
      </c>
      <c r="Q278" s="18">
        <f t="shared" si="363"/>
        <v>471</v>
      </c>
      <c r="R278" s="4" t="s">
        <v>0</v>
      </c>
      <c r="S278" s="16" t="str">
        <f t="shared" si="364"/>
        <v>03-10</v>
      </c>
      <c r="T278" s="14">
        <f t="shared" si="365"/>
        <v>332</v>
      </c>
      <c r="U278" s="18">
        <f t="shared" si="366"/>
        <v>295</v>
      </c>
      <c r="V278" s="14">
        <f t="shared" si="388"/>
        <v>348</v>
      </c>
      <c r="W278" s="18">
        <f t="shared" si="367"/>
        <v>295</v>
      </c>
      <c r="X278" s="14">
        <f t="shared" si="389"/>
        <v>348</v>
      </c>
      <c r="Y278" s="18">
        <f t="shared" si="368"/>
        <v>279</v>
      </c>
      <c r="Z278" s="14">
        <f t="shared" si="390"/>
        <v>332</v>
      </c>
      <c r="AA278" s="18">
        <f t="shared" si="369"/>
        <v>279</v>
      </c>
      <c r="AB278" s="4" t="s">
        <v>0</v>
      </c>
    </row>
    <row r="279" spans="1:28">
      <c r="A279" s="9" t="s">
        <v>36</v>
      </c>
      <c r="B279" s="24"/>
      <c r="C279" s="26"/>
      <c r="D279" s="25">
        <f t="shared" si="385"/>
        <v>349</v>
      </c>
      <c r="E279" s="29">
        <f t="shared" ref="E279" si="418">E278</f>
        <v>455</v>
      </c>
      <c r="F279" s="25">
        <f t="shared" si="387"/>
        <v>365</v>
      </c>
      <c r="G279" s="29">
        <f t="shared" si="395"/>
        <v>471</v>
      </c>
      <c r="H279" s="4" t="s">
        <v>0</v>
      </c>
      <c r="I279" s="11" t="str">
        <f t="shared" si="356"/>
        <v>03-08</v>
      </c>
      <c r="J279" s="14">
        <f t="shared" si="358"/>
        <v>349</v>
      </c>
      <c r="K279" s="15">
        <f t="shared" si="358"/>
        <v>455</v>
      </c>
      <c r="L279" s="17">
        <f t="shared" si="359"/>
        <v>365</v>
      </c>
      <c r="M279" s="18">
        <f t="shared" si="360"/>
        <v>455</v>
      </c>
      <c r="N279" s="14">
        <f t="shared" si="361"/>
        <v>365</v>
      </c>
      <c r="O279" s="15">
        <f t="shared" si="361"/>
        <v>471</v>
      </c>
      <c r="P279" s="17">
        <f t="shared" si="362"/>
        <v>349</v>
      </c>
      <c r="Q279" s="18">
        <f t="shared" si="363"/>
        <v>471</v>
      </c>
      <c r="R279" s="4" t="s">
        <v>0</v>
      </c>
      <c r="S279" s="16" t="str">
        <f t="shared" si="364"/>
        <v>03-08</v>
      </c>
      <c r="T279" s="14">
        <f t="shared" si="365"/>
        <v>349</v>
      </c>
      <c r="U279" s="18">
        <f t="shared" si="366"/>
        <v>295</v>
      </c>
      <c r="V279" s="14">
        <f t="shared" si="388"/>
        <v>365</v>
      </c>
      <c r="W279" s="18">
        <f t="shared" si="367"/>
        <v>295</v>
      </c>
      <c r="X279" s="14">
        <f t="shared" si="389"/>
        <v>365</v>
      </c>
      <c r="Y279" s="18">
        <f t="shared" si="368"/>
        <v>279</v>
      </c>
      <c r="Z279" s="14">
        <f t="shared" si="390"/>
        <v>349</v>
      </c>
      <c r="AA279" s="18">
        <f t="shared" si="369"/>
        <v>279</v>
      </c>
      <c r="AB279" s="4" t="s">
        <v>0</v>
      </c>
    </row>
    <row r="280" spans="1:28">
      <c r="A280" s="9" t="s">
        <v>35</v>
      </c>
      <c r="B280" s="24"/>
      <c r="C280" s="26"/>
      <c r="D280" s="25">
        <f t="shared" si="385"/>
        <v>365</v>
      </c>
      <c r="E280" s="29">
        <f t="shared" ref="E280" si="419">E279</f>
        <v>455</v>
      </c>
      <c r="F280" s="25">
        <f t="shared" si="387"/>
        <v>381</v>
      </c>
      <c r="G280" s="29">
        <f t="shared" si="395"/>
        <v>471</v>
      </c>
      <c r="H280" s="4" t="s">
        <v>0</v>
      </c>
      <c r="I280" s="11" t="str">
        <f t="shared" si="356"/>
        <v>03-07</v>
      </c>
      <c r="J280" s="14">
        <f t="shared" si="358"/>
        <v>365</v>
      </c>
      <c r="K280" s="15">
        <f t="shared" si="358"/>
        <v>455</v>
      </c>
      <c r="L280" s="17">
        <f t="shared" si="359"/>
        <v>381</v>
      </c>
      <c r="M280" s="18">
        <f t="shared" si="360"/>
        <v>455</v>
      </c>
      <c r="N280" s="14">
        <f t="shared" si="361"/>
        <v>381</v>
      </c>
      <c r="O280" s="15">
        <f t="shared" si="361"/>
        <v>471</v>
      </c>
      <c r="P280" s="17">
        <f t="shared" si="362"/>
        <v>365</v>
      </c>
      <c r="Q280" s="18">
        <f t="shared" si="363"/>
        <v>471</v>
      </c>
      <c r="R280" s="4" t="s">
        <v>0</v>
      </c>
      <c r="S280" s="16" t="str">
        <f t="shared" si="364"/>
        <v>03-07</v>
      </c>
      <c r="T280" s="14">
        <f t="shared" si="365"/>
        <v>365</v>
      </c>
      <c r="U280" s="18">
        <f t="shared" si="366"/>
        <v>295</v>
      </c>
      <c r="V280" s="14">
        <f t="shared" si="388"/>
        <v>381</v>
      </c>
      <c r="W280" s="18">
        <f t="shared" si="367"/>
        <v>295</v>
      </c>
      <c r="X280" s="14">
        <f t="shared" si="389"/>
        <v>381</v>
      </c>
      <c r="Y280" s="18">
        <f t="shared" si="368"/>
        <v>279</v>
      </c>
      <c r="Z280" s="14">
        <f t="shared" si="390"/>
        <v>365</v>
      </c>
      <c r="AA280" s="18">
        <f t="shared" si="369"/>
        <v>279</v>
      </c>
      <c r="AB280" s="4" t="s">
        <v>0</v>
      </c>
    </row>
    <row r="281" spans="1:28">
      <c r="A281" s="9" t="s">
        <v>34</v>
      </c>
      <c r="B281" s="24"/>
      <c r="C281" s="26"/>
      <c r="D281" s="25">
        <f t="shared" si="385"/>
        <v>381</v>
      </c>
      <c r="E281" s="29">
        <f t="shared" ref="E281" si="420">E280</f>
        <v>455</v>
      </c>
      <c r="F281" s="25">
        <f t="shared" si="387"/>
        <v>397</v>
      </c>
      <c r="G281" s="29">
        <f t="shared" si="395"/>
        <v>471</v>
      </c>
      <c r="H281" s="4" t="s">
        <v>0</v>
      </c>
      <c r="I281" s="11" t="str">
        <f t="shared" si="356"/>
        <v>03-06</v>
      </c>
      <c r="J281" s="14">
        <f t="shared" si="358"/>
        <v>381</v>
      </c>
      <c r="K281" s="15">
        <f t="shared" si="358"/>
        <v>455</v>
      </c>
      <c r="L281" s="17">
        <f t="shared" si="359"/>
        <v>397</v>
      </c>
      <c r="M281" s="18">
        <f t="shared" si="360"/>
        <v>455</v>
      </c>
      <c r="N281" s="14">
        <f t="shared" si="361"/>
        <v>397</v>
      </c>
      <c r="O281" s="15">
        <f t="shared" si="361"/>
        <v>471</v>
      </c>
      <c r="P281" s="17">
        <f t="shared" si="362"/>
        <v>381</v>
      </c>
      <c r="Q281" s="18">
        <f t="shared" si="363"/>
        <v>471</v>
      </c>
      <c r="R281" s="4" t="s">
        <v>0</v>
      </c>
      <c r="S281" s="16" t="str">
        <f t="shared" si="364"/>
        <v>03-06</v>
      </c>
      <c r="T281" s="14">
        <f t="shared" si="365"/>
        <v>381</v>
      </c>
      <c r="U281" s="18">
        <f t="shared" si="366"/>
        <v>295</v>
      </c>
      <c r="V281" s="14">
        <f t="shared" si="388"/>
        <v>397</v>
      </c>
      <c r="W281" s="18">
        <f t="shared" si="367"/>
        <v>295</v>
      </c>
      <c r="X281" s="14">
        <f t="shared" si="389"/>
        <v>397</v>
      </c>
      <c r="Y281" s="18">
        <f t="shared" si="368"/>
        <v>279</v>
      </c>
      <c r="Z281" s="14">
        <f t="shared" si="390"/>
        <v>381</v>
      </c>
      <c r="AA281" s="18">
        <f t="shared" si="369"/>
        <v>279</v>
      </c>
      <c r="AB281" s="4" t="s">
        <v>0</v>
      </c>
    </row>
    <row r="282" spans="1:28">
      <c r="A282" s="9" t="s">
        <v>33</v>
      </c>
      <c r="B282" s="24"/>
      <c r="C282" s="26"/>
      <c r="D282" s="25">
        <f t="shared" si="385"/>
        <v>397</v>
      </c>
      <c r="E282" s="29">
        <f t="shared" ref="E282" si="421">E281</f>
        <v>455</v>
      </c>
      <c r="F282" s="25">
        <f t="shared" si="387"/>
        <v>413</v>
      </c>
      <c r="G282" s="29">
        <f t="shared" si="395"/>
        <v>471</v>
      </c>
      <c r="H282" s="4" t="s">
        <v>0</v>
      </c>
      <c r="I282" s="11" t="str">
        <f t="shared" si="356"/>
        <v>03-05</v>
      </c>
      <c r="J282" s="14">
        <f t="shared" si="358"/>
        <v>397</v>
      </c>
      <c r="K282" s="15">
        <f t="shared" si="358"/>
        <v>455</v>
      </c>
      <c r="L282" s="17">
        <f t="shared" si="359"/>
        <v>413</v>
      </c>
      <c r="M282" s="18">
        <f t="shared" si="360"/>
        <v>455</v>
      </c>
      <c r="N282" s="14">
        <f t="shared" si="361"/>
        <v>413</v>
      </c>
      <c r="O282" s="15">
        <f t="shared" si="361"/>
        <v>471</v>
      </c>
      <c r="P282" s="17">
        <f t="shared" si="362"/>
        <v>397</v>
      </c>
      <c r="Q282" s="18">
        <f t="shared" si="363"/>
        <v>471</v>
      </c>
      <c r="R282" s="4" t="s">
        <v>0</v>
      </c>
      <c r="S282" s="16" t="str">
        <f t="shared" si="364"/>
        <v>03-05</v>
      </c>
      <c r="T282" s="14">
        <f t="shared" si="365"/>
        <v>397</v>
      </c>
      <c r="U282" s="18">
        <f t="shared" si="366"/>
        <v>295</v>
      </c>
      <c r="V282" s="14">
        <f t="shared" si="388"/>
        <v>413</v>
      </c>
      <c r="W282" s="18">
        <f t="shared" si="367"/>
        <v>295</v>
      </c>
      <c r="X282" s="14">
        <f t="shared" si="389"/>
        <v>413</v>
      </c>
      <c r="Y282" s="18">
        <f t="shared" si="368"/>
        <v>279</v>
      </c>
      <c r="Z282" s="14">
        <f t="shared" si="390"/>
        <v>397</v>
      </c>
      <c r="AA282" s="18">
        <f t="shared" si="369"/>
        <v>279</v>
      </c>
      <c r="AB282" s="4" t="s">
        <v>0</v>
      </c>
    </row>
    <row r="283" spans="1:28">
      <c r="A283" s="9" t="s">
        <v>32</v>
      </c>
      <c r="B283" s="24"/>
      <c r="C283" s="26"/>
      <c r="D283" s="25">
        <f t="shared" si="385"/>
        <v>413</v>
      </c>
      <c r="E283" s="29">
        <f t="shared" ref="E283" si="422">E282</f>
        <v>455</v>
      </c>
      <c r="F283" s="25">
        <f t="shared" si="387"/>
        <v>429</v>
      </c>
      <c r="G283" s="29">
        <f t="shared" si="395"/>
        <v>471</v>
      </c>
      <c r="H283" s="4" t="s">
        <v>0</v>
      </c>
      <c r="I283" s="11" t="str">
        <f t="shared" si="356"/>
        <v>03-03</v>
      </c>
      <c r="J283" s="14">
        <f t="shared" si="358"/>
        <v>413</v>
      </c>
      <c r="K283" s="15">
        <f t="shared" si="358"/>
        <v>455</v>
      </c>
      <c r="L283" s="17">
        <f t="shared" si="359"/>
        <v>429</v>
      </c>
      <c r="M283" s="18">
        <f t="shared" si="360"/>
        <v>455</v>
      </c>
      <c r="N283" s="14">
        <f t="shared" si="361"/>
        <v>429</v>
      </c>
      <c r="O283" s="15">
        <f t="shared" si="361"/>
        <v>471</v>
      </c>
      <c r="P283" s="17">
        <f t="shared" si="362"/>
        <v>413</v>
      </c>
      <c r="Q283" s="18">
        <f t="shared" si="363"/>
        <v>471</v>
      </c>
      <c r="R283" s="4" t="s">
        <v>0</v>
      </c>
      <c r="S283" s="16" t="str">
        <f t="shared" si="364"/>
        <v>03-03</v>
      </c>
      <c r="T283" s="14">
        <f t="shared" si="365"/>
        <v>413</v>
      </c>
      <c r="U283" s="18">
        <f t="shared" si="366"/>
        <v>295</v>
      </c>
      <c r="V283" s="14">
        <f t="shared" si="388"/>
        <v>429</v>
      </c>
      <c r="W283" s="18">
        <f t="shared" si="367"/>
        <v>295</v>
      </c>
      <c r="X283" s="14">
        <f t="shared" si="389"/>
        <v>429</v>
      </c>
      <c r="Y283" s="18">
        <f t="shared" si="368"/>
        <v>279</v>
      </c>
      <c r="Z283" s="14">
        <f t="shared" si="390"/>
        <v>413</v>
      </c>
      <c r="AA283" s="18">
        <f t="shared" si="369"/>
        <v>279</v>
      </c>
      <c r="AB283" s="4" t="s">
        <v>0</v>
      </c>
    </row>
    <row r="284" spans="1:28">
      <c r="A284" s="9" t="s">
        <v>31</v>
      </c>
      <c r="B284" s="24"/>
      <c r="C284" s="26"/>
      <c r="D284" s="25">
        <f t="shared" si="385"/>
        <v>429</v>
      </c>
      <c r="E284" s="29">
        <f t="shared" ref="E284" si="423">E283</f>
        <v>455</v>
      </c>
      <c r="F284" s="25">
        <f t="shared" si="387"/>
        <v>445</v>
      </c>
      <c r="G284" s="29">
        <f t="shared" si="395"/>
        <v>471</v>
      </c>
      <c r="H284" s="4" t="s">
        <v>0</v>
      </c>
      <c r="I284" s="11" t="str">
        <f t="shared" si="356"/>
        <v>03-02</v>
      </c>
      <c r="J284" s="14">
        <f t="shared" si="358"/>
        <v>429</v>
      </c>
      <c r="K284" s="15">
        <f t="shared" si="358"/>
        <v>455</v>
      </c>
      <c r="L284" s="17">
        <f t="shared" si="359"/>
        <v>445</v>
      </c>
      <c r="M284" s="18">
        <f t="shared" si="360"/>
        <v>455</v>
      </c>
      <c r="N284" s="14">
        <f t="shared" si="361"/>
        <v>445</v>
      </c>
      <c r="O284" s="15">
        <f t="shared" si="361"/>
        <v>471</v>
      </c>
      <c r="P284" s="17">
        <f t="shared" si="362"/>
        <v>429</v>
      </c>
      <c r="Q284" s="18">
        <f t="shared" si="363"/>
        <v>471</v>
      </c>
      <c r="R284" s="4" t="s">
        <v>0</v>
      </c>
      <c r="S284" s="16" t="str">
        <f t="shared" si="364"/>
        <v>03-02</v>
      </c>
      <c r="T284" s="14">
        <f t="shared" si="365"/>
        <v>429</v>
      </c>
      <c r="U284" s="18">
        <f t="shared" si="366"/>
        <v>295</v>
      </c>
      <c r="V284" s="14">
        <f t="shared" si="388"/>
        <v>445</v>
      </c>
      <c r="W284" s="18">
        <f t="shared" si="367"/>
        <v>295</v>
      </c>
      <c r="X284" s="14">
        <f t="shared" si="389"/>
        <v>445</v>
      </c>
      <c r="Y284" s="18">
        <f t="shared" si="368"/>
        <v>279</v>
      </c>
      <c r="Z284" s="14">
        <f t="shared" si="390"/>
        <v>429</v>
      </c>
      <c r="AA284" s="18">
        <f t="shared" si="369"/>
        <v>279</v>
      </c>
      <c r="AB284" s="4" t="s">
        <v>0</v>
      </c>
    </row>
    <row r="285" spans="1:28">
      <c r="A285" s="9" t="s">
        <v>30</v>
      </c>
      <c r="B285" s="24"/>
      <c r="C285" s="26"/>
      <c r="D285" s="25">
        <f t="shared" si="385"/>
        <v>445</v>
      </c>
      <c r="E285" s="29">
        <f t="shared" ref="E285" si="424">E284</f>
        <v>455</v>
      </c>
      <c r="F285" s="25">
        <f t="shared" si="387"/>
        <v>461</v>
      </c>
      <c r="G285" s="29">
        <f t="shared" si="395"/>
        <v>471</v>
      </c>
      <c r="H285" s="4" t="s">
        <v>0</v>
      </c>
      <c r="I285" s="11" t="str">
        <f t="shared" si="356"/>
        <v>03-01</v>
      </c>
      <c r="J285" s="14">
        <f t="shared" si="358"/>
        <v>445</v>
      </c>
      <c r="K285" s="15">
        <f t="shared" si="358"/>
        <v>455</v>
      </c>
      <c r="L285" s="17">
        <f t="shared" si="359"/>
        <v>461</v>
      </c>
      <c r="M285" s="18">
        <f t="shared" si="360"/>
        <v>455</v>
      </c>
      <c r="N285" s="14">
        <f t="shared" si="361"/>
        <v>461</v>
      </c>
      <c r="O285" s="15">
        <f t="shared" si="361"/>
        <v>471</v>
      </c>
      <c r="P285" s="17">
        <f t="shared" si="362"/>
        <v>445</v>
      </c>
      <c r="Q285" s="18">
        <f t="shared" si="363"/>
        <v>471</v>
      </c>
      <c r="R285" s="4" t="s">
        <v>0</v>
      </c>
      <c r="S285" s="16" t="str">
        <f t="shared" si="364"/>
        <v>03-01</v>
      </c>
      <c r="T285" s="14">
        <f t="shared" si="365"/>
        <v>445</v>
      </c>
      <c r="U285" s="18">
        <f t="shared" si="366"/>
        <v>295</v>
      </c>
      <c r="V285" s="14">
        <f t="shared" si="388"/>
        <v>461</v>
      </c>
      <c r="W285" s="18">
        <f t="shared" si="367"/>
        <v>295</v>
      </c>
      <c r="X285" s="14">
        <f t="shared" si="389"/>
        <v>461</v>
      </c>
      <c r="Y285" s="18">
        <f t="shared" si="368"/>
        <v>279</v>
      </c>
      <c r="Z285" s="14">
        <f t="shared" si="390"/>
        <v>445</v>
      </c>
      <c r="AA285" s="18">
        <f t="shared" si="369"/>
        <v>279</v>
      </c>
      <c r="AB285" s="4" t="s">
        <v>0</v>
      </c>
    </row>
    <row r="286" spans="1:28">
      <c r="A286" s="9" t="s">
        <v>149</v>
      </c>
      <c r="B286" s="24"/>
      <c r="C286" s="26">
        <v>10</v>
      </c>
      <c r="D286" s="25">
        <f t="shared" si="385"/>
        <v>268</v>
      </c>
      <c r="E286" s="28">
        <f t="shared" ref="E286:E298" si="425">ROUND(E$166+19.9*$C286, 0)</f>
        <v>475</v>
      </c>
      <c r="F286" s="25">
        <f t="shared" si="387"/>
        <v>284</v>
      </c>
      <c r="G286" s="28">
        <f t="shared" ref="G286:G298" si="426">ROUND(G$166+19.9*$C286, 0)</f>
        <v>491</v>
      </c>
      <c r="H286" s="4" t="s">
        <v>0</v>
      </c>
      <c r="I286" s="11" t="str">
        <f t="shared" si="356"/>
        <v>02-15</v>
      </c>
      <c r="J286" s="14">
        <f t="shared" si="358"/>
        <v>268</v>
      </c>
      <c r="K286" s="15">
        <f t="shared" si="358"/>
        <v>475</v>
      </c>
      <c r="L286" s="17">
        <f t="shared" si="359"/>
        <v>284</v>
      </c>
      <c r="M286" s="18">
        <f t="shared" si="360"/>
        <v>475</v>
      </c>
      <c r="N286" s="14">
        <f t="shared" si="361"/>
        <v>284</v>
      </c>
      <c r="O286" s="15">
        <f t="shared" si="361"/>
        <v>491</v>
      </c>
      <c r="P286" s="17">
        <f t="shared" si="362"/>
        <v>268</v>
      </c>
      <c r="Q286" s="18">
        <f t="shared" si="363"/>
        <v>491</v>
      </c>
      <c r="R286" s="4" t="s">
        <v>0</v>
      </c>
      <c r="S286" s="16" t="str">
        <f t="shared" si="364"/>
        <v>02-15</v>
      </c>
      <c r="T286" s="14">
        <f t="shared" si="365"/>
        <v>268</v>
      </c>
      <c r="U286" s="18">
        <f t="shared" si="366"/>
        <v>275</v>
      </c>
      <c r="V286" s="14">
        <f t="shared" si="388"/>
        <v>284</v>
      </c>
      <c r="W286" s="18">
        <f t="shared" si="367"/>
        <v>275</v>
      </c>
      <c r="X286" s="14">
        <f t="shared" si="389"/>
        <v>284</v>
      </c>
      <c r="Y286" s="18">
        <f t="shared" si="368"/>
        <v>259</v>
      </c>
      <c r="Z286" s="14">
        <f t="shared" si="390"/>
        <v>268</v>
      </c>
      <c r="AA286" s="18">
        <f t="shared" si="369"/>
        <v>259</v>
      </c>
      <c r="AB286" s="4" t="s">
        <v>0</v>
      </c>
    </row>
    <row r="287" spans="1:28">
      <c r="A287" s="9" t="s">
        <v>148</v>
      </c>
      <c r="B287" s="24"/>
      <c r="C287" s="26"/>
      <c r="D287" s="25">
        <f t="shared" si="385"/>
        <v>284</v>
      </c>
      <c r="E287" s="29">
        <f t="shared" ref="E287" si="427">E286</f>
        <v>475</v>
      </c>
      <c r="F287" s="25">
        <f t="shared" si="387"/>
        <v>300</v>
      </c>
      <c r="G287" s="29">
        <f t="shared" si="395"/>
        <v>491</v>
      </c>
      <c r="H287" s="4" t="s">
        <v>0</v>
      </c>
      <c r="I287" s="11" t="str">
        <f t="shared" si="356"/>
        <v>02-13</v>
      </c>
      <c r="J287" s="14">
        <f t="shared" si="358"/>
        <v>284</v>
      </c>
      <c r="K287" s="15">
        <f t="shared" si="358"/>
        <v>475</v>
      </c>
      <c r="L287" s="17">
        <f t="shared" si="359"/>
        <v>300</v>
      </c>
      <c r="M287" s="18">
        <f t="shared" si="360"/>
        <v>475</v>
      </c>
      <c r="N287" s="14">
        <f t="shared" si="361"/>
        <v>300</v>
      </c>
      <c r="O287" s="15">
        <f t="shared" si="361"/>
        <v>491</v>
      </c>
      <c r="P287" s="17">
        <f t="shared" si="362"/>
        <v>284</v>
      </c>
      <c r="Q287" s="18">
        <f t="shared" si="363"/>
        <v>491</v>
      </c>
      <c r="R287" s="4" t="s">
        <v>0</v>
      </c>
      <c r="S287" s="16" t="str">
        <f t="shared" si="364"/>
        <v>02-13</v>
      </c>
      <c r="T287" s="14">
        <f t="shared" si="365"/>
        <v>284</v>
      </c>
      <c r="U287" s="18">
        <f t="shared" si="366"/>
        <v>275</v>
      </c>
      <c r="V287" s="14">
        <f t="shared" si="388"/>
        <v>300</v>
      </c>
      <c r="W287" s="18">
        <f t="shared" si="367"/>
        <v>275</v>
      </c>
      <c r="X287" s="14">
        <f t="shared" si="389"/>
        <v>300</v>
      </c>
      <c r="Y287" s="18">
        <f t="shared" si="368"/>
        <v>259</v>
      </c>
      <c r="Z287" s="14">
        <f t="shared" si="390"/>
        <v>284</v>
      </c>
      <c r="AA287" s="18">
        <f t="shared" si="369"/>
        <v>259</v>
      </c>
      <c r="AB287" s="4" t="s">
        <v>0</v>
      </c>
    </row>
    <row r="288" spans="1:28">
      <c r="A288" s="9" t="s">
        <v>29</v>
      </c>
      <c r="B288" s="24"/>
      <c r="C288" s="26"/>
      <c r="D288" s="25">
        <f t="shared" si="385"/>
        <v>300</v>
      </c>
      <c r="E288" s="29">
        <f t="shared" ref="E288" si="428">E287</f>
        <v>475</v>
      </c>
      <c r="F288" s="25">
        <f t="shared" si="387"/>
        <v>316</v>
      </c>
      <c r="G288" s="29">
        <f t="shared" si="395"/>
        <v>491</v>
      </c>
      <c r="H288" s="4" t="s">
        <v>0</v>
      </c>
      <c r="I288" s="11" t="str">
        <f t="shared" si="356"/>
        <v>02-12</v>
      </c>
      <c r="J288" s="14">
        <f t="shared" si="358"/>
        <v>300</v>
      </c>
      <c r="K288" s="15">
        <f t="shared" si="358"/>
        <v>475</v>
      </c>
      <c r="L288" s="17">
        <f t="shared" si="359"/>
        <v>316</v>
      </c>
      <c r="M288" s="18">
        <f t="shared" si="360"/>
        <v>475</v>
      </c>
      <c r="N288" s="14">
        <f t="shared" si="361"/>
        <v>316</v>
      </c>
      <c r="O288" s="15">
        <f t="shared" si="361"/>
        <v>491</v>
      </c>
      <c r="P288" s="17">
        <f t="shared" si="362"/>
        <v>300</v>
      </c>
      <c r="Q288" s="18">
        <f t="shared" si="363"/>
        <v>491</v>
      </c>
      <c r="R288" s="4" t="s">
        <v>0</v>
      </c>
      <c r="S288" s="16" t="str">
        <f t="shared" si="364"/>
        <v>02-12</v>
      </c>
      <c r="T288" s="14">
        <f t="shared" si="365"/>
        <v>300</v>
      </c>
      <c r="U288" s="18">
        <f t="shared" si="366"/>
        <v>275</v>
      </c>
      <c r="V288" s="14">
        <f t="shared" si="388"/>
        <v>316</v>
      </c>
      <c r="W288" s="18">
        <f t="shared" si="367"/>
        <v>275</v>
      </c>
      <c r="X288" s="14">
        <f t="shared" si="389"/>
        <v>316</v>
      </c>
      <c r="Y288" s="18">
        <f t="shared" si="368"/>
        <v>259</v>
      </c>
      <c r="Z288" s="14">
        <f t="shared" si="390"/>
        <v>300</v>
      </c>
      <c r="AA288" s="18">
        <f t="shared" si="369"/>
        <v>259</v>
      </c>
      <c r="AB288" s="4" t="s">
        <v>0</v>
      </c>
    </row>
    <row r="289" spans="1:28">
      <c r="A289" s="9" t="s">
        <v>28</v>
      </c>
      <c r="B289" s="24"/>
      <c r="C289" s="26"/>
      <c r="D289" s="25">
        <f t="shared" si="385"/>
        <v>316</v>
      </c>
      <c r="E289" s="29">
        <f t="shared" ref="E289" si="429">E288</f>
        <v>475</v>
      </c>
      <c r="F289" s="25">
        <f t="shared" si="387"/>
        <v>332</v>
      </c>
      <c r="G289" s="29">
        <f t="shared" si="395"/>
        <v>491</v>
      </c>
      <c r="H289" s="4" t="s">
        <v>0</v>
      </c>
      <c r="I289" s="11" t="str">
        <f t="shared" si="356"/>
        <v>02-11</v>
      </c>
      <c r="J289" s="14">
        <f t="shared" si="358"/>
        <v>316</v>
      </c>
      <c r="K289" s="15">
        <f t="shared" si="358"/>
        <v>475</v>
      </c>
      <c r="L289" s="17">
        <f t="shared" si="359"/>
        <v>332</v>
      </c>
      <c r="M289" s="18">
        <f t="shared" si="360"/>
        <v>475</v>
      </c>
      <c r="N289" s="14">
        <f t="shared" si="361"/>
        <v>332</v>
      </c>
      <c r="O289" s="15">
        <f t="shared" si="361"/>
        <v>491</v>
      </c>
      <c r="P289" s="17">
        <f t="shared" si="362"/>
        <v>316</v>
      </c>
      <c r="Q289" s="18">
        <f t="shared" si="363"/>
        <v>491</v>
      </c>
      <c r="R289" s="4" t="s">
        <v>0</v>
      </c>
      <c r="S289" s="16" t="str">
        <f t="shared" si="364"/>
        <v>02-11</v>
      </c>
      <c r="T289" s="14">
        <f t="shared" si="365"/>
        <v>316</v>
      </c>
      <c r="U289" s="18">
        <f t="shared" si="366"/>
        <v>275</v>
      </c>
      <c r="V289" s="14">
        <f t="shared" si="388"/>
        <v>332</v>
      </c>
      <c r="W289" s="18">
        <f t="shared" si="367"/>
        <v>275</v>
      </c>
      <c r="X289" s="14">
        <f t="shared" si="389"/>
        <v>332</v>
      </c>
      <c r="Y289" s="18">
        <f t="shared" si="368"/>
        <v>259</v>
      </c>
      <c r="Z289" s="14">
        <f t="shared" si="390"/>
        <v>316</v>
      </c>
      <c r="AA289" s="18">
        <f t="shared" si="369"/>
        <v>259</v>
      </c>
      <c r="AB289" s="4" t="s">
        <v>0</v>
      </c>
    </row>
    <row r="290" spans="1:28">
      <c r="A290" s="9" t="s">
        <v>27</v>
      </c>
      <c r="B290" s="24"/>
      <c r="C290" s="26"/>
      <c r="D290" s="25">
        <f t="shared" si="385"/>
        <v>332</v>
      </c>
      <c r="E290" s="29">
        <f t="shared" ref="E290" si="430">E289</f>
        <v>475</v>
      </c>
      <c r="F290" s="25">
        <f t="shared" si="387"/>
        <v>348</v>
      </c>
      <c r="G290" s="29">
        <f t="shared" si="395"/>
        <v>491</v>
      </c>
      <c r="H290" s="4" t="s">
        <v>0</v>
      </c>
      <c r="I290" s="11" t="str">
        <f t="shared" si="356"/>
        <v>02-10</v>
      </c>
      <c r="J290" s="14">
        <f t="shared" si="358"/>
        <v>332</v>
      </c>
      <c r="K290" s="15">
        <f t="shared" si="358"/>
        <v>475</v>
      </c>
      <c r="L290" s="17">
        <f t="shared" si="359"/>
        <v>348</v>
      </c>
      <c r="M290" s="18">
        <f t="shared" si="360"/>
        <v>475</v>
      </c>
      <c r="N290" s="14">
        <f t="shared" si="361"/>
        <v>348</v>
      </c>
      <c r="O290" s="15">
        <f t="shared" si="361"/>
        <v>491</v>
      </c>
      <c r="P290" s="17">
        <f t="shared" si="362"/>
        <v>332</v>
      </c>
      <c r="Q290" s="18">
        <f t="shared" si="363"/>
        <v>491</v>
      </c>
      <c r="R290" s="4" t="s">
        <v>0</v>
      </c>
      <c r="S290" s="16" t="str">
        <f t="shared" si="364"/>
        <v>02-10</v>
      </c>
      <c r="T290" s="14">
        <f t="shared" si="365"/>
        <v>332</v>
      </c>
      <c r="U290" s="18">
        <f t="shared" si="366"/>
        <v>275</v>
      </c>
      <c r="V290" s="14">
        <f t="shared" si="388"/>
        <v>348</v>
      </c>
      <c r="W290" s="18">
        <f t="shared" si="367"/>
        <v>275</v>
      </c>
      <c r="X290" s="14">
        <f t="shared" si="389"/>
        <v>348</v>
      </c>
      <c r="Y290" s="18">
        <f t="shared" si="368"/>
        <v>259</v>
      </c>
      <c r="Z290" s="14">
        <f t="shared" si="390"/>
        <v>332</v>
      </c>
      <c r="AA290" s="18">
        <f t="shared" si="369"/>
        <v>259</v>
      </c>
      <c r="AB290" s="4" t="s">
        <v>0</v>
      </c>
    </row>
    <row r="291" spans="1:28">
      <c r="A291" s="9" t="s">
        <v>26</v>
      </c>
      <c r="B291" s="24"/>
      <c r="C291" s="26"/>
      <c r="D291" s="25">
        <f t="shared" si="385"/>
        <v>349</v>
      </c>
      <c r="E291" s="29">
        <f t="shared" ref="E291" si="431">E290</f>
        <v>475</v>
      </c>
      <c r="F291" s="25">
        <f t="shared" si="387"/>
        <v>365</v>
      </c>
      <c r="G291" s="29">
        <f t="shared" si="395"/>
        <v>491</v>
      </c>
      <c r="H291" s="4" t="s">
        <v>0</v>
      </c>
      <c r="I291" s="11" t="str">
        <f t="shared" si="356"/>
        <v>02-08</v>
      </c>
      <c r="J291" s="14">
        <f t="shared" si="358"/>
        <v>349</v>
      </c>
      <c r="K291" s="15">
        <f t="shared" si="358"/>
        <v>475</v>
      </c>
      <c r="L291" s="17">
        <f t="shared" si="359"/>
        <v>365</v>
      </c>
      <c r="M291" s="18">
        <f t="shared" si="360"/>
        <v>475</v>
      </c>
      <c r="N291" s="14">
        <f t="shared" si="361"/>
        <v>365</v>
      </c>
      <c r="O291" s="15">
        <f t="shared" si="361"/>
        <v>491</v>
      </c>
      <c r="P291" s="17">
        <f t="shared" si="362"/>
        <v>349</v>
      </c>
      <c r="Q291" s="18">
        <f t="shared" si="363"/>
        <v>491</v>
      </c>
      <c r="R291" s="4" t="s">
        <v>0</v>
      </c>
      <c r="S291" s="16" t="str">
        <f t="shared" si="364"/>
        <v>02-08</v>
      </c>
      <c r="T291" s="14">
        <f t="shared" si="365"/>
        <v>349</v>
      </c>
      <c r="U291" s="18">
        <f t="shared" si="366"/>
        <v>275</v>
      </c>
      <c r="V291" s="14">
        <f t="shared" si="388"/>
        <v>365</v>
      </c>
      <c r="W291" s="18">
        <f t="shared" si="367"/>
        <v>275</v>
      </c>
      <c r="X291" s="14">
        <f t="shared" si="389"/>
        <v>365</v>
      </c>
      <c r="Y291" s="18">
        <f t="shared" si="368"/>
        <v>259</v>
      </c>
      <c r="Z291" s="14">
        <f t="shared" si="390"/>
        <v>349</v>
      </c>
      <c r="AA291" s="18">
        <f t="shared" si="369"/>
        <v>259</v>
      </c>
      <c r="AB291" s="4" t="s">
        <v>0</v>
      </c>
    </row>
    <row r="292" spans="1:28">
      <c r="A292" s="9" t="s">
        <v>25</v>
      </c>
      <c r="B292" s="24"/>
      <c r="C292" s="26"/>
      <c r="D292" s="25">
        <f t="shared" si="385"/>
        <v>365</v>
      </c>
      <c r="E292" s="29">
        <f t="shared" ref="E292" si="432">E291</f>
        <v>475</v>
      </c>
      <c r="F292" s="25">
        <f t="shared" si="387"/>
        <v>381</v>
      </c>
      <c r="G292" s="29">
        <f t="shared" si="395"/>
        <v>491</v>
      </c>
      <c r="H292" s="4" t="s">
        <v>0</v>
      </c>
      <c r="I292" s="11" t="str">
        <f t="shared" si="356"/>
        <v>02-07</v>
      </c>
      <c r="J292" s="14">
        <f t="shared" si="358"/>
        <v>365</v>
      </c>
      <c r="K292" s="15">
        <f t="shared" si="358"/>
        <v>475</v>
      </c>
      <c r="L292" s="17">
        <f t="shared" si="359"/>
        <v>381</v>
      </c>
      <c r="M292" s="18">
        <f t="shared" si="360"/>
        <v>475</v>
      </c>
      <c r="N292" s="14">
        <f t="shared" si="361"/>
        <v>381</v>
      </c>
      <c r="O292" s="15">
        <f t="shared" si="361"/>
        <v>491</v>
      </c>
      <c r="P292" s="17">
        <f t="shared" si="362"/>
        <v>365</v>
      </c>
      <c r="Q292" s="18">
        <f t="shared" si="363"/>
        <v>491</v>
      </c>
      <c r="R292" s="4" t="s">
        <v>0</v>
      </c>
      <c r="S292" s="16" t="str">
        <f t="shared" si="364"/>
        <v>02-07</v>
      </c>
      <c r="T292" s="14">
        <f t="shared" si="365"/>
        <v>365</v>
      </c>
      <c r="U292" s="18">
        <f t="shared" si="366"/>
        <v>275</v>
      </c>
      <c r="V292" s="14">
        <f t="shared" si="388"/>
        <v>381</v>
      </c>
      <c r="W292" s="18">
        <f t="shared" si="367"/>
        <v>275</v>
      </c>
      <c r="X292" s="14">
        <f t="shared" si="389"/>
        <v>381</v>
      </c>
      <c r="Y292" s="18">
        <f t="shared" si="368"/>
        <v>259</v>
      </c>
      <c r="Z292" s="14">
        <f t="shared" si="390"/>
        <v>365</v>
      </c>
      <c r="AA292" s="18">
        <f t="shared" si="369"/>
        <v>259</v>
      </c>
      <c r="AB292" s="4" t="s">
        <v>0</v>
      </c>
    </row>
    <row r="293" spans="1:28">
      <c r="A293" s="9" t="s">
        <v>24</v>
      </c>
      <c r="B293" s="24"/>
      <c r="C293" s="26"/>
      <c r="D293" s="25">
        <f t="shared" si="385"/>
        <v>381</v>
      </c>
      <c r="E293" s="29">
        <f t="shared" ref="E293" si="433">E292</f>
        <v>475</v>
      </c>
      <c r="F293" s="25">
        <f t="shared" si="387"/>
        <v>397</v>
      </c>
      <c r="G293" s="29">
        <f t="shared" si="395"/>
        <v>491</v>
      </c>
      <c r="H293" s="4" t="s">
        <v>0</v>
      </c>
      <c r="I293" s="11" t="str">
        <f t="shared" si="356"/>
        <v>02-06</v>
      </c>
      <c r="J293" s="14">
        <f t="shared" si="358"/>
        <v>381</v>
      </c>
      <c r="K293" s="15">
        <f t="shared" si="358"/>
        <v>475</v>
      </c>
      <c r="L293" s="17">
        <f t="shared" si="359"/>
        <v>397</v>
      </c>
      <c r="M293" s="18">
        <f t="shared" si="360"/>
        <v>475</v>
      </c>
      <c r="N293" s="14">
        <f t="shared" si="361"/>
        <v>397</v>
      </c>
      <c r="O293" s="15">
        <f t="shared" si="361"/>
        <v>491</v>
      </c>
      <c r="P293" s="17">
        <f t="shared" si="362"/>
        <v>381</v>
      </c>
      <c r="Q293" s="18">
        <f t="shared" si="363"/>
        <v>491</v>
      </c>
      <c r="R293" s="4" t="s">
        <v>0</v>
      </c>
      <c r="S293" s="16" t="str">
        <f t="shared" si="364"/>
        <v>02-06</v>
      </c>
      <c r="T293" s="14">
        <f t="shared" si="365"/>
        <v>381</v>
      </c>
      <c r="U293" s="18">
        <f t="shared" si="366"/>
        <v>275</v>
      </c>
      <c r="V293" s="14">
        <f t="shared" si="388"/>
        <v>397</v>
      </c>
      <c r="W293" s="18">
        <f t="shared" si="367"/>
        <v>275</v>
      </c>
      <c r="X293" s="14">
        <f t="shared" si="389"/>
        <v>397</v>
      </c>
      <c r="Y293" s="18">
        <f t="shared" si="368"/>
        <v>259</v>
      </c>
      <c r="Z293" s="14">
        <f t="shared" si="390"/>
        <v>381</v>
      </c>
      <c r="AA293" s="18">
        <f t="shared" si="369"/>
        <v>259</v>
      </c>
      <c r="AB293" s="4" t="s">
        <v>0</v>
      </c>
    </row>
    <row r="294" spans="1:28">
      <c r="A294" s="9" t="s">
        <v>23</v>
      </c>
      <c r="B294" s="24"/>
      <c r="C294" s="26"/>
      <c r="D294" s="25">
        <f t="shared" si="385"/>
        <v>397</v>
      </c>
      <c r="E294" s="29">
        <f t="shared" ref="E294" si="434">E293</f>
        <v>475</v>
      </c>
      <c r="F294" s="25">
        <f t="shared" si="387"/>
        <v>413</v>
      </c>
      <c r="G294" s="29">
        <f t="shared" si="395"/>
        <v>491</v>
      </c>
      <c r="H294" s="4" t="s">
        <v>0</v>
      </c>
      <c r="I294" s="11" t="str">
        <f t="shared" si="356"/>
        <v>02-05</v>
      </c>
      <c r="J294" s="14">
        <f t="shared" si="358"/>
        <v>397</v>
      </c>
      <c r="K294" s="15">
        <f t="shared" si="358"/>
        <v>475</v>
      </c>
      <c r="L294" s="17">
        <f t="shared" si="359"/>
        <v>413</v>
      </c>
      <c r="M294" s="18">
        <f t="shared" si="360"/>
        <v>475</v>
      </c>
      <c r="N294" s="14">
        <f t="shared" si="361"/>
        <v>413</v>
      </c>
      <c r="O294" s="15">
        <f t="shared" si="361"/>
        <v>491</v>
      </c>
      <c r="P294" s="17">
        <f t="shared" si="362"/>
        <v>397</v>
      </c>
      <c r="Q294" s="18">
        <f t="shared" si="363"/>
        <v>491</v>
      </c>
      <c r="R294" s="4" t="s">
        <v>0</v>
      </c>
      <c r="S294" s="16" t="str">
        <f t="shared" si="364"/>
        <v>02-05</v>
      </c>
      <c r="T294" s="14">
        <f t="shared" si="365"/>
        <v>397</v>
      </c>
      <c r="U294" s="18">
        <f t="shared" si="366"/>
        <v>275</v>
      </c>
      <c r="V294" s="14">
        <f t="shared" si="388"/>
        <v>413</v>
      </c>
      <c r="W294" s="18">
        <f t="shared" si="367"/>
        <v>275</v>
      </c>
      <c r="X294" s="14">
        <f t="shared" si="389"/>
        <v>413</v>
      </c>
      <c r="Y294" s="18">
        <f t="shared" si="368"/>
        <v>259</v>
      </c>
      <c r="Z294" s="14">
        <f t="shared" si="390"/>
        <v>397</v>
      </c>
      <c r="AA294" s="18">
        <f t="shared" si="369"/>
        <v>259</v>
      </c>
      <c r="AB294" s="4" t="s">
        <v>0</v>
      </c>
    </row>
    <row r="295" spans="1:28">
      <c r="A295" s="9" t="s">
        <v>22</v>
      </c>
      <c r="B295" s="24"/>
      <c r="C295" s="26"/>
      <c r="D295" s="25">
        <f t="shared" si="385"/>
        <v>413</v>
      </c>
      <c r="E295" s="29">
        <f t="shared" ref="E295" si="435">E294</f>
        <v>475</v>
      </c>
      <c r="F295" s="25">
        <f t="shared" si="387"/>
        <v>429</v>
      </c>
      <c r="G295" s="29">
        <f t="shared" si="395"/>
        <v>491</v>
      </c>
      <c r="H295" s="4" t="s">
        <v>0</v>
      </c>
      <c r="I295" s="11" t="str">
        <f t="shared" si="356"/>
        <v>02-03</v>
      </c>
      <c r="J295" s="14">
        <f t="shared" si="358"/>
        <v>413</v>
      </c>
      <c r="K295" s="15">
        <f t="shared" si="358"/>
        <v>475</v>
      </c>
      <c r="L295" s="17">
        <f t="shared" si="359"/>
        <v>429</v>
      </c>
      <c r="M295" s="18">
        <f t="shared" si="360"/>
        <v>475</v>
      </c>
      <c r="N295" s="14">
        <f t="shared" si="361"/>
        <v>429</v>
      </c>
      <c r="O295" s="15">
        <f t="shared" si="361"/>
        <v>491</v>
      </c>
      <c r="P295" s="17">
        <f t="shared" si="362"/>
        <v>413</v>
      </c>
      <c r="Q295" s="18">
        <f t="shared" si="363"/>
        <v>491</v>
      </c>
      <c r="R295" s="4" t="s">
        <v>0</v>
      </c>
      <c r="S295" s="16" t="str">
        <f t="shared" si="364"/>
        <v>02-03</v>
      </c>
      <c r="T295" s="14">
        <f t="shared" si="365"/>
        <v>413</v>
      </c>
      <c r="U295" s="18">
        <f t="shared" si="366"/>
        <v>275</v>
      </c>
      <c r="V295" s="14">
        <f t="shared" si="388"/>
        <v>429</v>
      </c>
      <c r="W295" s="18">
        <f t="shared" si="367"/>
        <v>275</v>
      </c>
      <c r="X295" s="14">
        <f t="shared" si="389"/>
        <v>429</v>
      </c>
      <c r="Y295" s="18">
        <f t="shared" si="368"/>
        <v>259</v>
      </c>
      <c r="Z295" s="14">
        <f t="shared" si="390"/>
        <v>413</v>
      </c>
      <c r="AA295" s="18">
        <f t="shared" si="369"/>
        <v>259</v>
      </c>
      <c r="AB295" s="4" t="s">
        <v>0</v>
      </c>
    </row>
    <row r="296" spans="1:28">
      <c r="A296" s="9" t="s">
        <v>21</v>
      </c>
      <c r="B296" s="24"/>
      <c r="C296" s="26"/>
      <c r="D296" s="25">
        <f t="shared" si="385"/>
        <v>429</v>
      </c>
      <c r="E296" s="29">
        <f t="shared" ref="E296" si="436">E295</f>
        <v>475</v>
      </c>
      <c r="F296" s="25">
        <f t="shared" si="387"/>
        <v>445</v>
      </c>
      <c r="G296" s="29">
        <f t="shared" si="395"/>
        <v>491</v>
      </c>
      <c r="H296" s="4" t="s">
        <v>0</v>
      </c>
      <c r="I296" s="11" t="str">
        <f t="shared" si="356"/>
        <v>02-02</v>
      </c>
      <c r="J296" s="14">
        <f t="shared" si="358"/>
        <v>429</v>
      </c>
      <c r="K296" s="15">
        <f t="shared" si="358"/>
        <v>475</v>
      </c>
      <c r="L296" s="17">
        <f t="shared" si="359"/>
        <v>445</v>
      </c>
      <c r="M296" s="18">
        <f t="shared" si="360"/>
        <v>475</v>
      </c>
      <c r="N296" s="14">
        <f t="shared" si="361"/>
        <v>445</v>
      </c>
      <c r="O296" s="15">
        <f t="shared" si="361"/>
        <v>491</v>
      </c>
      <c r="P296" s="17">
        <f t="shared" si="362"/>
        <v>429</v>
      </c>
      <c r="Q296" s="18">
        <f t="shared" si="363"/>
        <v>491</v>
      </c>
      <c r="R296" s="4" t="s">
        <v>0</v>
      </c>
      <c r="S296" s="16" t="str">
        <f t="shared" si="364"/>
        <v>02-02</v>
      </c>
      <c r="T296" s="14">
        <f t="shared" si="365"/>
        <v>429</v>
      </c>
      <c r="U296" s="18">
        <f t="shared" si="366"/>
        <v>275</v>
      </c>
      <c r="V296" s="14">
        <f t="shared" si="388"/>
        <v>445</v>
      </c>
      <c r="W296" s="18">
        <f t="shared" si="367"/>
        <v>275</v>
      </c>
      <c r="X296" s="14">
        <f t="shared" si="389"/>
        <v>445</v>
      </c>
      <c r="Y296" s="18">
        <f t="shared" si="368"/>
        <v>259</v>
      </c>
      <c r="Z296" s="14">
        <f t="shared" si="390"/>
        <v>429</v>
      </c>
      <c r="AA296" s="18">
        <f t="shared" si="369"/>
        <v>259</v>
      </c>
      <c r="AB296" s="4" t="s">
        <v>0</v>
      </c>
    </row>
    <row r="297" spans="1:28">
      <c r="A297" s="9" t="s">
        <v>20</v>
      </c>
      <c r="B297" s="24"/>
      <c r="C297" s="26"/>
      <c r="D297" s="25">
        <f t="shared" si="385"/>
        <v>445</v>
      </c>
      <c r="E297" s="29">
        <f t="shared" ref="E297" si="437">E296</f>
        <v>475</v>
      </c>
      <c r="F297" s="25">
        <f t="shared" si="387"/>
        <v>461</v>
      </c>
      <c r="G297" s="29">
        <f t="shared" si="395"/>
        <v>491</v>
      </c>
      <c r="H297" s="4" t="s">
        <v>0</v>
      </c>
      <c r="I297" s="11" t="str">
        <f t="shared" si="356"/>
        <v>02-01</v>
      </c>
      <c r="J297" s="14">
        <f t="shared" si="358"/>
        <v>445</v>
      </c>
      <c r="K297" s="15">
        <f t="shared" si="358"/>
        <v>475</v>
      </c>
      <c r="L297" s="17">
        <f t="shared" si="359"/>
        <v>461</v>
      </c>
      <c r="M297" s="18">
        <f t="shared" si="360"/>
        <v>475</v>
      </c>
      <c r="N297" s="14">
        <f t="shared" si="361"/>
        <v>461</v>
      </c>
      <c r="O297" s="15">
        <f t="shared" si="361"/>
        <v>491</v>
      </c>
      <c r="P297" s="17">
        <f t="shared" si="362"/>
        <v>445</v>
      </c>
      <c r="Q297" s="18">
        <f t="shared" si="363"/>
        <v>491</v>
      </c>
      <c r="R297" s="4" t="s">
        <v>0</v>
      </c>
      <c r="S297" s="16" t="str">
        <f t="shared" si="364"/>
        <v>02-01</v>
      </c>
      <c r="T297" s="14">
        <f t="shared" si="365"/>
        <v>445</v>
      </c>
      <c r="U297" s="18">
        <f t="shared" si="366"/>
        <v>275</v>
      </c>
      <c r="V297" s="14">
        <f t="shared" si="388"/>
        <v>461</v>
      </c>
      <c r="W297" s="18">
        <f t="shared" si="367"/>
        <v>275</v>
      </c>
      <c r="X297" s="14">
        <f t="shared" si="389"/>
        <v>461</v>
      </c>
      <c r="Y297" s="18">
        <f t="shared" si="368"/>
        <v>259</v>
      </c>
      <c r="Z297" s="14">
        <f t="shared" si="390"/>
        <v>445</v>
      </c>
      <c r="AA297" s="18">
        <f t="shared" si="369"/>
        <v>259</v>
      </c>
      <c r="AB297" s="4" t="s">
        <v>0</v>
      </c>
    </row>
    <row r="298" spans="1:28">
      <c r="A298" s="9" t="s">
        <v>11</v>
      </c>
      <c r="B298" s="24"/>
      <c r="C298" s="26">
        <v>11</v>
      </c>
      <c r="D298" s="25">
        <f>D287</f>
        <v>284</v>
      </c>
      <c r="E298" s="28">
        <f t="shared" si="425"/>
        <v>495</v>
      </c>
      <c r="F298" s="25">
        <f>F287</f>
        <v>300</v>
      </c>
      <c r="G298" s="28">
        <f t="shared" si="426"/>
        <v>511</v>
      </c>
      <c r="H298" s="4" t="s">
        <v>0</v>
      </c>
      <c r="I298" s="11" t="str">
        <f t="shared" si="356"/>
        <v>01-12</v>
      </c>
      <c r="J298" s="14">
        <f t="shared" si="358"/>
        <v>284</v>
      </c>
      <c r="K298" s="15">
        <f t="shared" si="358"/>
        <v>495</v>
      </c>
      <c r="L298" s="17">
        <f t="shared" si="359"/>
        <v>300</v>
      </c>
      <c r="M298" s="18">
        <f t="shared" si="360"/>
        <v>495</v>
      </c>
      <c r="N298" s="14">
        <f t="shared" si="361"/>
        <v>300</v>
      </c>
      <c r="O298" s="15">
        <f t="shared" si="361"/>
        <v>511</v>
      </c>
      <c r="P298" s="17">
        <f t="shared" si="362"/>
        <v>284</v>
      </c>
      <c r="Q298" s="18">
        <f t="shared" si="363"/>
        <v>511</v>
      </c>
      <c r="R298" s="4" t="s">
        <v>0</v>
      </c>
      <c r="S298" s="16" t="str">
        <f t="shared" si="364"/>
        <v>01-12</v>
      </c>
      <c r="T298" s="14">
        <f t="shared" si="365"/>
        <v>284</v>
      </c>
      <c r="U298" s="18">
        <f t="shared" si="366"/>
        <v>255</v>
      </c>
      <c r="V298" s="14">
        <f t="shared" si="388"/>
        <v>300</v>
      </c>
      <c r="W298" s="18">
        <f t="shared" si="367"/>
        <v>255</v>
      </c>
      <c r="X298" s="14">
        <f t="shared" si="389"/>
        <v>300</v>
      </c>
      <c r="Y298" s="18">
        <f t="shared" si="368"/>
        <v>239</v>
      </c>
      <c r="Z298" s="14">
        <f t="shared" si="390"/>
        <v>284</v>
      </c>
      <c r="AA298" s="18">
        <f t="shared" si="369"/>
        <v>239</v>
      </c>
      <c r="AB298" s="4" t="s">
        <v>0</v>
      </c>
    </row>
    <row r="299" spans="1:28">
      <c r="A299" s="9" t="s">
        <v>10</v>
      </c>
      <c r="B299" s="24"/>
      <c r="C299" s="26"/>
      <c r="D299" s="25">
        <f>D288</f>
        <v>300</v>
      </c>
      <c r="E299" s="29">
        <f t="shared" ref="E299" si="438">E298</f>
        <v>495</v>
      </c>
      <c r="F299" s="25">
        <f>F288</f>
        <v>316</v>
      </c>
      <c r="G299" s="29">
        <f t="shared" si="395"/>
        <v>511</v>
      </c>
      <c r="H299" s="4" t="s">
        <v>0</v>
      </c>
      <c r="I299" s="11" t="str">
        <f t="shared" si="356"/>
        <v>01-11</v>
      </c>
      <c r="J299" s="14">
        <f t="shared" si="358"/>
        <v>300</v>
      </c>
      <c r="K299" s="15">
        <f t="shared" si="358"/>
        <v>495</v>
      </c>
      <c r="L299" s="17">
        <f t="shared" si="359"/>
        <v>316</v>
      </c>
      <c r="M299" s="18">
        <f t="shared" si="360"/>
        <v>495</v>
      </c>
      <c r="N299" s="14">
        <f t="shared" si="361"/>
        <v>316</v>
      </c>
      <c r="O299" s="15">
        <f t="shared" si="361"/>
        <v>511</v>
      </c>
      <c r="P299" s="17">
        <f t="shared" si="362"/>
        <v>300</v>
      </c>
      <c r="Q299" s="18">
        <f t="shared" si="363"/>
        <v>511</v>
      </c>
      <c r="R299" s="4" t="s">
        <v>0</v>
      </c>
      <c r="S299" s="16" t="str">
        <f t="shared" si="364"/>
        <v>01-11</v>
      </c>
      <c r="T299" s="14">
        <f t="shared" si="365"/>
        <v>300</v>
      </c>
      <c r="U299" s="18">
        <f t="shared" si="366"/>
        <v>255</v>
      </c>
      <c r="V299" s="14">
        <f t="shared" si="388"/>
        <v>316</v>
      </c>
      <c r="W299" s="18">
        <f t="shared" si="367"/>
        <v>255</v>
      </c>
      <c r="X299" s="14">
        <f t="shared" si="389"/>
        <v>316</v>
      </c>
      <c r="Y299" s="18">
        <f t="shared" si="368"/>
        <v>239</v>
      </c>
      <c r="Z299" s="14">
        <f t="shared" si="390"/>
        <v>300</v>
      </c>
      <c r="AA299" s="18">
        <f t="shared" si="369"/>
        <v>239</v>
      </c>
      <c r="AB299" s="4" t="s">
        <v>0</v>
      </c>
    </row>
    <row r="300" spans="1:28">
      <c r="A300" s="9" t="s">
        <v>9</v>
      </c>
      <c r="B300" s="24"/>
      <c r="C300" s="26"/>
      <c r="D300" s="25">
        <f>D289</f>
        <v>316</v>
      </c>
      <c r="E300" s="29">
        <f t="shared" ref="E300" si="439">E299</f>
        <v>495</v>
      </c>
      <c r="F300" s="25">
        <f>F289</f>
        <v>332</v>
      </c>
      <c r="G300" s="29">
        <f t="shared" si="395"/>
        <v>511</v>
      </c>
      <c r="H300" s="4" t="s">
        <v>0</v>
      </c>
      <c r="I300" s="11" t="str">
        <f t="shared" si="356"/>
        <v>01-10</v>
      </c>
      <c r="J300" s="14">
        <f t="shared" si="358"/>
        <v>316</v>
      </c>
      <c r="K300" s="15">
        <f t="shared" si="358"/>
        <v>495</v>
      </c>
      <c r="L300" s="17">
        <f t="shared" si="359"/>
        <v>332</v>
      </c>
      <c r="M300" s="18">
        <f t="shared" si="360"/>
        <v>495</v>
      </c>
      <c r="N300" s="14">
        <f t="shared" si="361"/>
        <v>332</v>
      </c>
      <c r="O300" s="15">
        <f t="shared" si="361"/>
        <v>511</v>
      </c>
      <c r="P300" s="17">
        <f t="shared" si="362"/>
        <v>316</v>
      </c>
      <c r="Q300" s="18">
        <f t="shared" si="363"/>
        <v>511</v>
      </c>
      <c r="R300" s="4" t="s">
        <v>0</v>
      </c>
      <c r="S300" s="16" t="str">
        <f t="shared" si="364"/>
        <v>01-10</v>
      </c>
      <c r="T300" s="14">
        <f t="shared" si="365"/>
        <v>316</v>
      </c>
      <c r="U300" s="18">
        <f t="shared" si="366"/>
        <v>255</v>
      </c>
      <c r="V300" s="14">
        <f t="shared" si="388"/>
        <v>332</v>
      </c>
      <c r="W300" s="18">
        <f t="shared" si="367"/>
        <v>255</v>
      </c>
      <c r="X300" s="14">
        <f t="shared" si="389"/>
        <v>332</v>
      </c>
      <c r="Y300" s="18">
        <f t="shared" si="368"/>
        <v>239</v>
      </c>
      <c r="Z300" s="14">
        <f t="shared" si="390"/>
        <v>316</v>
      </c>
      <c r="AA300" s="18">
        <f t="shared" si="369"/>
        <v>239</v>
      </c>
      <c r="AB300" s="4" t="s">
        <v>0</v>
      </c>
    </row>
    <row r="301" spans="1:28">
      <c r="A301" s="9" t="s">
        <v>8</v>
      </c>
      <c r="B301" s="24"/>
      <c r="C301" s="26"/>
      <c r="D301" s="25">
        <f t="shared" ref="D301:D307" si="440">D290</f>
        <v>332</v>
      </c>
      <c r="E301" s="29">
        <f t="shared" ref="E301" si="441">E300</f>
        <v>495</v>
      </c>
      <c r="F301" s="25">
        <f t="shared" ref="F301:F307" si="442">F290</f>
        <v>348</v>
      </c>
      <c r="G301" s="29">
        <f t="shared" si="395"/>
        <v>511</v>
      </c>
      <c r="H301" s="4" t="s">
        <v>0</v>
      </c>
      <c r="I301" s="11" t="str">
        <f t="shared" ref="I301:I307" si="443">A301</f>
        <v>01-08</v>
      </c>
      <c r="J301" s="14">
        <f t="shared" si="358"/>
        <v>332</v>
      </c>
      <c r="K301" s="15">
        <f t="shared" si="358"/>
        <v>495</v>
      </c>
      <c r="L301" s="17">
        <f t="shared" si="359"/>
        <v>348</v>
      </c>
      <c r="M301" s="18">
        <f t="shared" si="360"/>
        <v>495</v>
      </c>
      <c r="N301" s="14">
        <f t="shared" si="361"/>
        <v>348</v>
      </c>
      <c r="O301" s="15">
        <f t="shared" si="361"/>
        <v>511</v>
      </c>
      <c r="P301" s="17">
        <f t="shared" si="362"/>
        <v>332</v>
      </c>
      <c r="Q301" s="18">
        <f t="shared" si="363"/>
        <v>511</v>
      </c>
      <c r="R301" s="4" t="s">
        <v>0</v>
      </c>
      <c r="S301" s="16" t="str">
        <f t="shared" si="364"/>
        <v>01-08</v>
      </c>
      <c r="T301" s="14">
        <f t="shared" si="365"/>
        <v>332</v>
      </c>
      <c r="U301" s="18">
        <f t="shared" si="366"/>
        <v>255</v>
      </c>
      <c r="V301" s="14">
        <f t="shared" si="388"/>
        <v>348</v>
      </c>
      <c r="W301" s="18">
        <f t="shared" si="367"/>
        <v>255</v>
      </c>
      <c r="X301" s="14">
        <f t="shared" si="389"/>
        <v>348</v>
      </c>
      <c r="Y301" s="18">
        <f t="shared" si="368"/>
        <v>239</v>
      </c>
      <c r="Z301" s="14">
        <f t="shared" si="390"/>
        <v>332</v>
      </c>
      <c r="AA301" s="18">
        <f t="shared" si="369"/>
        <v>239</v>
      </c>
      <c r="AB301" s="4" t="s">
        <v>0</v>
      </c>
    </row>
    <row r="302" spans="1:28">
      <c r="A302" s="9" t="s">
        <v>7</v>
      </c>
      <c r="B302" s="24"/>
      <c r="C302" s="26"/>
      <c r="D302" s="25">
        <f t="shared" si="440"/>
        <v>349</v>
      </c>
      <c r="E302" s="29">
        <f t="shared" ref="E302" si="444">E301</f>
        <v>495</v>
      </c>
      <c r="F302" s="25">
        <f t="shared" si="442"/>
        <v>365</v>
      </c>
      <c r="G302" s="29">
        <f t="shared" si="395"/>
        <v>511</v>
      </c>
      <c r="H302" s="4" t="s">
        <v>0</v>
      </c>
      <c r="I302" s="11" t="str">
        <f t="shared" si="443"/>
        <v>01-07</v>
      </c>
      <c r="J302" s="14">
        <f t="shared" ref="J302:K307" si="445">IF(D302&lt;&gt;"",D302,0)</f>
        <v>349</v>
      </c>
      <c r="K302" s="15">
        <f t="shared" si="445"/>
        <v>495</v>
      </c>
      <c r="L302" s="17">
        <f t="shared" ref="L302:L307" si="446">N302</f>
        <v>365</v>
      </c>
      <c r="M302" s="18">
        <f t="shared" ref="M302:M307" si="447">K302</f>
        <v>495</v>
      </c>
      <c r="N302" s="14">
        <f t="shared" ref="N302:O307" si="448">IF(F302&lt;&gt;"",F302,0)</f>
        <v>365</v>
      </c>
      <c r="O302" s="15">
        <f t="shared" si="448"/>
        <v>511</v>
      </c>
      <c r="P302" s="17">
        <f t="shared" ref="P302:P307" si="449">J302</f>
        <v>349</v>
      </c>
      <c r="Q302" s="18">
        <f t="shared" ref="Q302:Q307" si="450">O302</f>
        <v>511</v>
      </c>
      <c r="R302" s="4" t="s">
        <v>0</v>
      </c>
      <c r="S302" s="16" t="str">
        <f t="shared" ref="S302:S307" si="451">I302</f>
        <v>01-07</v>
      </c>
      <c r="T302" s="14">
        <f t="shared" ref="T302:T307" si="452">IF(J302&lt;&gt;"",J302,"")</f>
        <v>349</v>
      </c>
      <c r="U302" s="18">
        <f t="shared" ref="U302:U307" si="453">IF(K302&lt;&gt;"",U$6-K302,"")</f>
        <v>255</v>
      </c>
      <c r="V302" s="14">
        <f t="shared" si="388"/>
        <v>365</v>
      </c>
      <c r="W302" s="18">
        <f t="shared" ref="W302:W307" si="454">IF(M302&lt;&gt;"",W$6-M302,"")</f>
        <v>255</v>
      </c>
      <c r="X302" s="14">
        <f t="shared" si="389"/>
        <v>365</v>
      </c>
      <c r="Y302" s="18">
        <f t="shared" ref="Y302:Y307" si="455">IF(O302&lt;&gt;"",Y$6-O302,"")</f>
        <v>239</v>
      </c>
      <c r="Z302" s="14">
        <f t="shared" si="390"/>
        <v>349</v>
      </c>
      <c r="AA302" s="18">
        <f t="shared" ref="AA302:AA307" si="456">IF(Q302&lt;&gt;"",AA$6-Q302,"")</f>
        <v>239</v>
      </c>
      <c r="AB302" s="4" t="s">
        <v>0</v>
      </c>
    </row>
    <row r="303" spans="1:28">
      <c r="A303" s="9" t="s">
        <v>6</v>
      </c>
      <c r="B303" s="24"/>
      <c r="C303" s="26"/>
      <c r="D303" s="25">
        <f t="shared" si="440"/>
        <v>365</v>
      </c>
      <c r="E303" s="29">
        <f t="shared" ref="E303" si="457">E302</f>
        <v>495</v>
      </c>
      <c r="F303" s="25">
        <f t="shared" si="442"/>
        <v>381</v>
      </c>
      <c r="G303" s="29">
        <f t="shared" si="395"/>
        <v>511</v>
      </c>
      <c r="H303" s="4" t="s">
        <v>0</v>
      </c>
      <c r="I303" s="11" t="str">
        <f t="shared" si="443"/>
        <v>01-06</v>
      </c>
      <c r="J303" s="14">
        <f t="shared" si="445"/>
        <v>365</v>
      </c>
      <c r="K303" s="15">
        <f t="shared" si="445"/>
        <v>495</v>
      </c>
      <c r="L303" s="17">
        <f t="shared" si="446"/>
        <v>381</v>
      </c>
      <c r="M303" s="18">
        <f t="shared" si="447"/>
        <v>495</v>
      </c>
      <c r="N303" s="14">
        <f t="shared" si="448"/>
        <v>381</v>
      </c>
      <c r="O303" s="15">
        <f t="shared" si="448"/>
        <v>511</v>
      </c>
      <c r="P303" s="17">
        <f t="shared" si="449"/>
        <v>365</v>
      </c>
      <c r="Q303" s="18">
        <f t="shared" si="450"/>
        <v>511</v>
      </c>
      <c r="R303" s="4" t="s">
        <v>0</v>
      </c>
      <c r="S303" s="16" t="str">
        <f t="shared" si="451"/>
        <v>01-06</v>
      </c>
      <c r="T303" s="14">
        <f t="shared" si="452"/>
        <v>365</v>
      </c>
      <c r="U303" s="18">
        <f t="shared" si="453"/>
        <v>255</v>
      </c>
      <c r="V303" s="14">
        <f t="shared" si="388"/>
        <v>381</v>
      </c>
      <c r="W303" s="18">
        <f t="shared" si="454"/>
        <v>255</v>
      </c>
      <c r="X303" s="14">
        <f t="shared" si="389"/>
        <v>381</v>
      </c>
      <c r="Y303" s="18">
        <f t="shared" si="455"/>
        <v>239</v>
      </c>
      <c r="Z303" s="14">
        <f t="shared" si="390"/>
        <v>365</v>
      </c>
      <c r="AA303" s="18">
        <f t="shared" si="456"/>
        <v>239</v>
      </c>
      <c r="AB303" s="4" t="s">
        <v>0</v>
      </c>
    </row>
    <row r="304" spans="1:28">
      <c r="A304" s="9" t="s">
        <v>5</v>
      </c>
      <c r="B304" s="24"/>
      <c r="C304" s="26"/>
      <c r="D304" s="25">
        <f t="shared" si="440"/>
        <v>381</v>
      </c>
      <c r="E304" s="29">
        <f t="shared" ref="E304" si="458">E303</f>
        <v>495</v>
      </c>
      <c r="F304" s="25">
        <f t="shared" si="442"/>
        <v>397</v>
      </c>
      <c r="G304" s="29">
        <f t="shared" si="395"/>
        <v>511</v>
      </c>
      <c r="H304" s="4" t="s">
        <v>0</v>
      </c>
      <c r="I304" s="11" t="str">
        <f t="shared" si="443"/>
        <v>01-05</v>
      </c>
      <c r="J304" s="14">
        <f t="shared" si="445"/>
        <v>381</v>
      </c>
      <c r="K304" s="15">
        <f t="shared" si="445"/>
        <v>495</v>
      </c>
      <c r="L304" s="17">
        <f t="shared" si="446"/>
        <v>397</v>
      </c>
      <c r="M304" s="18">
        <f t="shared" si="447"/>
        <v>495</v>
      </c>
      <c r="N304" s="14">
        <f t="shared" si="448"/>
        <v>397</v>
      </c>
      <c r="O304" s="15">
        <f t="shared" si="448"/>
        <v>511</v>
      </c>
      <c r="P304" s="17">
        <f t="shared" si="449"/>
        <v>381</v>
      </c>
      <c r="Q304" s="18">
        <f t="shared" si="450"/>
        <v>511</v>
      </c>
      <c r="R304" s="4" t="s">
        <v>0</v>
      </c>
      <c r="S304" s="16" t="str">
        <f t="shared" si="451"/>
        <v>01-05</v>
      </c>
      <c r="T304" s="14">
        <f t="shared" si="452"/>
        <v>381</v>
      </c>
      <c r="U304" s="18">
        <f t="shared" si="453"/>
        <v>255</v>
      </c>
      <c r="V304" s="14">
        <f t="shared" si="388"/>
        <v>397</v>
      </c>
      <c r="W304" s="18">
        <f t="shared" si="454"/>
        <v>255</v>
      </c>
      <c r="X304" s="14">
        <f t="shared" si="389"/>
        <v>397</v>
      </c>
      <c r="Y304" s="18">
        <f t="shared" si="455"/>
        <v>239</v>
      </c>
      <c r="Z304" s="14">
        <f t="shared" si="390"/>
        <v>381</v>
      </c>
      <c r="AA304" s="18">
        <f t="shared" si="456"/>
        <v>239</v>
      </c>
      <c r="AB304" s="4" t="s">
        <v>0</v>
      </c>
    </row>
    <row r="305" spans="1:28">
      <c r="A305" s="9" t="s">
        <v>4</v>
      </c>
      <c r="B305" s="24"/>
      <c r="C305" s="26"/>
      <c r="D305" s="25">
        <f t="shared" si="440"/>
        <v>397</v>
      </c>
      <c r="E305" s="29">
        <f t="shared" ref="E305" si="459">E304</f>
        <v>495</v>
      </c>
      <c r="F305" s="25">
        <f t="shared" si="442"/>
        <v>413</v>
      </c>
      <c r="G305" s="29">
        <f t="shared" si="395"/>
        <v>511</v>
      </c>
      <c r="H305" s="4" t="s">
        <v>0</v>
      </c>
      <c r="I305" s="11" t="str">
        <f t="shared" si="443"/>
        <v>01-03</v>
      </c>
      <c r="J305" s="14">
        <f t="shared" si="445"/>
        <v>397</v>
      </c>
      <c r="K305" s="15">
        <f t="shared" si="445"/>
        <v>495</v>
      </c>
      <c r="L305" s="17">
        <f t="shared" si="446"/>
        <v>413</v>
      </c>
      <c r="M305" s="18">
        <f t="shared" si="447"/>
        <v>495</v>
      </c>
      <c r="N305" s="14">
        <f t="shared" si="448"/>
        <v>413</v>
      </c>
      <c r="O305" s="15">
        <f t="shared" si="448"/>
        <v>511</v>
      </c>
      <c r="P305" s="17">
        <f t="shared" si="449"/>
        <v>397</v>
      </c>
      <c r="Q305" s="18">
        <f t="shared" si="450"/>
        <v>511</v>
      </c>
      <c r="R305" s="4" t="s">
        <v>0</v>
      </c>
      <c r="S305" s="16" t="str">
        <f t="shared" si="451"/>
        <v>01-03</v>
      </c>
      <c r="T305" s="14">
        <f t="shared" si="452"/>
        <v>397</v>
      </c>
      <c r="U305" s="18">
        <f t="shared" si="453"/>
        <v>255</v>
      </c>
      <c r="V305" s="14">
        <f t="shared" si="388"/>
        <v>413</v>
      </c>
      <c r="W305" s="18">
        <f t="shared" si="454"/>
        <v>255</v>
      </c>
      <c r="X305" s="14">
        <f t="shared" si="389"/>
        <v>413</v>
      </c>
      <c r="Y305" s="18">
        <f t="shared" si="455"/>
        <v>239</v>
      </c>
      <c r="Z305" s="14">
        <f t="shared" si="390"/>
        <v>397</v>
      </c>
      <c r="AA305" s="18">
        <f t="shared" si="456"/>
        <v>239</v>
      </c>
      <c r="AB305" s="4" t="s">
        <v>0</v>
      </c>
    </row>
    <row r="306" spans="1:28">
      <c r="A306" s="9" t="s">
        <v>142</v>
      </c>
      <c r="B306" s="24"/>
      <c r="C306" s="26"/>
      <c r="D306" s="25">
        <f t="shared" si="440"/>
        <v>413</v>
      </c>
      <c r="E306" s="29">
        <f t="shared" ref="E306" si="460">E305</f>
        <v>495</v>
      </c>
      <c r="F306" s="25">
        <f t="shared" si="442"/>
        <v>429</v>
      </c>
      <c r="G306" s="29">
        <f t="shared" si="395"/>
        <v>511</v>
      </c>
      <c r="H306" s="4" t="s">
        <v>0</v>
      </c>
      <c r="I306" s="11" t="str">
        <f t="shared" si="443"/>
        <v>01-02</v>
      </c>
      <c r="J306" s="14">
        <f t="shared" si="445"/>
        <v>413</v>
      </c>
      <c r="K306" s="15">
        <f t="shared" si="445"/>
        <v>495</v>
      </c>
      <c r="L306" s="17">
        <f t="shared" si="446"/>
        <v>429</v>
      </c>
      <c r="M306" s="18">
        <f t="shared" si="447"/>
        <v>495</v>
      </c>
      <c r="N306" s="14">
        <f t="shared" si="448"/>
        <v>429</v>
      </c>
      <c r="O306" s="15">
        <f t="shared" si="448"/>
        <v>511</v>
      </c>
      <c r="P306" s="17">
        <f t="shared" si="449"/>
        <v>413</v>
      </c>
      <c r="Q306" s="18">
        <f t="shared" si="450"/>
        <v>511</v>
      </c>
      <c r="R306" s="4" t="s">
        <v>0</v>
      </c>
      <c r="S306" s="16" t="str">
        <f t="shared" si="451"/>
        <v>01-02</v>
      </c>
      <c r="T306" s="14">
        <f t="shared" si="452"/>
        <v>413</v>
      </c>
      <c r="U306" s="18">
        <f t="shared" si="453"/>
        <v>255</v>
      </c>
      <c r="V306" s="14">
        <f t="shared" si="388"/>
        <v>429</v>
      </c>
      <c r="W306" s="18">
        <f t="shared" si="454"/>
        <v>255</v>
      </c>
      <c r="X306" s="14">
        <f t="shared" si="389"/>
        <v>429</v>
      </c>
      <c r="Y306" s="18">
        <f t="shared" si="455"/>
        <v>239</v>
      </c>
      <c r="Z306" s="14">
        <f t="shared" si="390"/>
        <v>413</v>
      </c>
      <c r="AA306" s="18">
        <f t="shared" si="456"/>
        <v>239</v>
      </c>
      <c r="AB306" s="4" t="s">
        <v>0</v>
      </c>
    </row>
    <row r="307" spans="1:28">
      <c r="A307" s="9" t="s">
        <v>141</v>
      </c>
      <c r="B307" s="24"/>
      <c r="C307" s="26"/>
      <c r="D307" s="25">
        <f t="shared" si="440"/>
        <v>429</v>
      </c>
      <c r="E307" s="29">
        <f t="shared" ref="E307" si="461">E306</f>
        <v>495</v>
      </c>
      <c r="F307" s="25">
        <f t="shared" si="442"/>
        <v>445</v>
      </c>
      <c r="G307" s="29">
        <f t="shared" si="395"/>
        <v>511</v>
      </c>
      <c r="H307" s="4" t="s">
        <v>0</v>
      </c>
      <c r="I307" s="11" t="str">
        <f t="shared" si="443"/>
        <v>01-01</v>
      </c>
      <c r="J307" s="14">
        <f t="shared" si="445"/>
        <v>429</v>
      </c>
      <c r="K307" s="15">
        <f t="shared" si="445"/>
        <v>495</v>
      </c>
      <c r="L307" s="17">
        <f t="shared" si="446"/>
        <v>445</v>
      </c>
      <c r="M307" s="18">
        <f t="shared" si="447"/>
        <v>495</v>
      </c>
      <c r="N307" s="14">
        <f t="shared" si="448"/>
        <v>445</v>
      </c>
      <c r="O307" s="15">
        <f t="shared" si="448"/>
        <v>511</v>
      </c>
      <c r="P307" s="17">
        <f t="shared" si="449"/>
        <v>429</v>
      </c>
      <c r="Q307" s="18">
        <f t="shared" si="450"/>
        <v>511</v>
      </c>
      <c r="R307" s="4" t="s">
        <v>0</v>
      </c>
      <c r="S307" s="16" t="str">
        <f t="shared" si="451"/>
        <v>01-01</v>
      </c>
      <c r="T307" s="14">
        <f t="shared" si="452"/>
        <v>429</v>
      </c>
      <c r="U307" s="18">
        <f t="shared" si="453"/>
        <v>255</v>
      </c>
      <c r="V307" s="14">
        <f t="shared" si="388"/>
        <v>445</v>
      </c>
      <c r="W307" s="18">
        <f t="shared" si="454"/>
        <v>255</v>
      </c>
      <c r="X307" s="14">
        <f t="shared" si="389"/>
        <v>445</v>
      </c>
      <c r="Y307" s="18">
        <f t="shared" si="455"/>
        <v>239</v>
      </c>
      <c r="Z307" s="14">
        <f t="shared" si="390"/>
        <v>429</v>
      </c>
      <c r="AA307" s="18">
        <f t="shared" si="456"/>
        <v>239</v>
      </c>
      <c r="AB307" s="4" t="s">
        <v>0</v>
      </c>
    </row>
  </sheetData>
  <autoFilter ref="A10:AB307" xr:uid="{00000000-0001-0000-0000-000000000000}"/>
  <mergeCells count="2">
    <mergeCell ref="D3:G3"/>
    <mergeCell ref="D4:G4"/>
  </mergeCells>
  <phoneticPr fontId="1"/>
  <hyperlinks>
    <hyperlink ref="N4" r:id="rId1" xr:uid="{90623BDE-5A50-47B2-B310-3F91298E3AAA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20E8-568F-4F2E-A0AF-6874AD574257}">
  <sheetPr codeName="Sheet8">
    <pageSetUpPr fitToPage="1"/>
  </sheetPr>
  <dimension ref="A1:AB191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SEC_11_3_親C.json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SEC_11_3_親C.png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457</v>
      </c>
      <c r="B11" s="30" t="s">
        <v>698</v>
      </c>
      <c r="C11" s="26"/>
      <c r="D11" s="27">
        <v>56</v>
      </c>
      <c r="E11" s="31">
        <v>78</v>
      </c>
      <c r="F11" s="31">
        <v>71</v>
      </c>
      <c r="G11" s="31">
        <v>95</v>
      </c>
      <c r="H11" s="4" t="s">
        <v>0</v>
      </c>
      <c r="I11" s="16" t="str">
        <f t="shared" ref="I11:I191" si="0">A11</f>
        <v>10-28</v>
      </c>
      <c r="J11" s="14">
        <f>IF(D11&lt;&gt;"",D11,0)</f>
        <v>56</v>
      </c>
      <c r="K11" s="15">
        <f>IF(E11&lt;&gt;"",E11,0)</f>
        <v>78</v>
      </c>
      <c r="L11" s="17">
        <f>N11</f>
        <v>71</v>
      </c>
      <c r="M11" s="18">
        <f>K11</f>
        <v>78</v>
      </c>
      <c r="N11" s="14">
        <f>IF(F11&lt;&gt;"",F11,0)</f>
        <v>71</v>
      </c>
      <c r="O11" s="15">
        <f>IF(G11&lt;&gt;"",G11,0)</f>
        <v>95</v>
      </c>
      <c r="P11" s="17">
        <f>J11</f>
        <v>56</v>
      </c>
      <c r="Q11" s="18">
        <f>O11</f>
        <v>95</v>
      </c>
      <c r="R11" s="4" t="s">
        <v>0</v>
      </c>
      <c r="S11" s="16" t="str">
        <f>I11</f>
        <v>10-28</v>
      </c>
      <c r="T11" s="14">
        <f>IF(J11&lt;&gt;"",J11,"")</f>
        <v>56</v>
      </c>
      <c r="U11" s="18">
        <f>IF(K11&lt;&gt;"",U$6-K11,"")</f>
        <v>672</v>
      </c>
      <c r="V11" s="14">
        <f t="shared" ref="V11:Z187" si="1">IF(L11&lt;&gt;"",L11,"")</f>
        <v>71</v>
      </c>
      <c r="W11" s="18">
        <f>IF(M11&lt;&gt;"",W$6-M11,"")</f>
        <v>672</v>
      </c>
      <c r="X11" s="14">
        <f t="shared" si="1"/>
        <v>71</v>
      </c>
      <c r="Y11" s="18">
        <f>IF(O11&lt;&gt;"",Y$6-O11,"")</f>
        <v>655</v>
      </c>
      <c r="Z11" s="14">
        <f t="shared" si="1"/>
        <v>56</v>
      </c>
      <c r="AA11" s="18">
        <f>IF(Q11&lt;&gt;"",AA$6-Q11,"")</f>
        <v>655</v>
      </c>
      <c r="AB11" s="4" t="s">
        <v>0</v>
      </c>
    </row>
    <row r="12" spans="1:28">
      <c r="A12" s="9" t="s">
        <v>456</v>
      </c>
      <c r="B12" s="24"/>
      <c r="C12" s="26">
        <v>1</v>
      </c>
      <c r="D12" s="28">
        <f>ROUND(D$11+15.9*$C12, 0)</f>
        <v>72</v>
      </c>
      <c r="E12" s="29">
        <f t="shared" ref="E12:G12" si="2">E11</f>
        <v>78</v>
      </c>
      <c r="F12" s="28">
        <f>ROUND(F$11+15.9*$C12, 0)</f>
        <v>87</v>
      </c>
      <c r="G12" s="29">
        <f t="shared" si="2"/>
        <v>95</v>
      </c>
      <c r="H12" s="4" t="s">
        <v>0</v>
      </c>
      <c r="I12" s="16" t="str">
        <f t="shared" si="0"/>
        <v>10-27</v>
      </c>
      <c r="J12" s="14">
        <f t="shared" ref="J12:K191" si="3">IF(D12&lt;&gt;"",D12,0)</f>
        <v>72</v>
      </c>
      <c r="K12" s="15">
        <f t="shared" si="3"/>
        <v>78</v>
      </c>
      <c r="L12" s="17">
        <f t="shared" ref="L12:L191" si="4">N12</f>
        <v>87</v>
      </c>
      <c r="M12" s="18">
        <f t="shared" ref="M12:M191" si="5">K12</f>
        <v>78</v>
      </c>
      <c r="N12" s="14">
        <f t="shared" ref="N12:O191" si="6">IF(F12&lt;&gt;"",F12,0)</f>
        <v>87</v>
      </c>
      <c r="O12" s="15">
        <f t="shared" si="6"/>
        <v>95</v>
      </c>
      <c r="P12" s="17">
        <f t="shared" ref="P12:P191" si="7">J12</f>
        <v>72</v>
      </c>
      <c r="Q12" s="18">
        <f t="shared" ref="Q12:Q191" si="8">O12</f>
        <v>95</v>
      </c>
      <c r="R12" s="4" t="s">
        <v>0</v>
      </c>
      <c r="S12" s="16" t="str">
        <f t="shared" ref="S12:S191" si="9">I12</f>
        <v>10-27</v>
      </c>
      <c r="T12" s="14">
        <f t="shared" ref="T12:T191" si="10">IF(J12&lt;&gt;"",J12,"")</f>
        <v>72</v>
      </c>
      <c r="U12" s="18">
        <f t="shared" ref="U12:U191" si="11">IF(K12&lt;&gt;"",U$6-K12,"")</f>
        <v>672</v>
      </c>
      <c r="V12" s="14">
        <f t="shared" si="1"/>
        <v>87</v>
      </c>
      <c r="W12" s="18">
        <f t="shared" ref="W12:W191" si="12">IF(M12&lt;&gt;"",W$6-M12,"")</f>
        <v>672</v>
      </c>
      <c r="X12" s="14">
        <f t="shared" si="1"/>
        <v>87</v>
      </c>
      <c r="Y12" s="18">
        <f t="shared" ref="Y12:Y191" si="13">IF(O12&lt;&gt;"",Y$6-O12,"")</f>
        <v>655</v>
      </c>
      <c r="Z12" s="14">
        <f t="shared" si="1"/>
        <v>72</v>
      </c>
      <c r="AA12" s="18">
        <f t="shared" ref="AA12:AA191" si="14">IF(Q12&lt;&gt;"",AA$6-Q12,"")</f>
        <v>655</v>
      </c>
      <c r="AB12" s="4" t="s">
        <v>0</v>
      </c>
    </row>
    <row r="13" spans="1:28">
      <c r="A13" s="9" t="s">
        <v>455</v>
      </c>
      <c r="B13" s="24"/>
      <c r="C13" s="26">
        <v>2</v>
      </c>
      <c r="D13" s="28">
        <f t="shared" ref="D13:D22" si="15">ROUND(D$11+15.9*$C13, 0)</f>
        <v>88</v>
      </c>
      <c r="E13" s="29">
        <f t="shared" ref="E13" si="16">E12</f>
        <v>78</v>
      </c>
      <c r="F13" s="28">
        <f t="shared" ref="F13:F22" si="17">ROUND(F$11+15.9*$C13, 0)</f>
        <v>103</v>
      </c>
      <c r="G13" s="29">
        <f t="shared" ref="G13" si="18">G12</f>
        <v>95</v>
      </c>
      <c r="H13" s="4" t="s">
        <v>0</v>
      </c>
      <c r="I13" s="16" t="str">
        <f t="shared" ref="I13:I76" si="19">A13</f>
        <v>10-26</v>
      </c>
      <c r="J13" s="14">
        <f t="shared" ref="J13:J76" si="20">IF(D13&lt;&gt;"",D13,0)</f>
        <v>88</v>
      </c>
      <c r="K13" s="15">
        <f t="shared" ref="K13:K76" si="21">IF(E13&lt;&gt;"",E13,0)</f>
        <v>78</v>
      </c>
      <c r="L13" s="17">
        <f t="shared" ref="L13:L76" si="22">N13</f>
        <v>103</v>
      </c>
      <c r="M13" s="18">
        <f t="shared" ref="M13:M76" si="23">K13</f>
        <v>78</v>
      </c>
      <c r="N13" s="14">
        <f t="shared" ref="N13:N76" si="24">IF(F13&lt;&gt;"",F13,0)</f>
        <v>103</v>
      </c>
      <c r="O13" s="15">
        <f t="shared" ref="O13:O76" si="25">IF(G13&lt;&gt;"",G13,0)</f>
        <v>95</v>
      </c>
      <c r="P13" s="17">
        <f t="shared" ref="P13:P76" si="26">J13</f>
        <v>88</v>
      </c>
      <c r="Q13" s="18">
        <f t="shared" ref="Q13:Q76" si="27">O13</f>
        <v>95</v>
      </c>
      <c r="R13" s="4" t="s">
        <v>0</v>
      </c>
      <c r="S13" s="16" t="str">
        <f t="shared" ref="S13:S76" si="28">I13</f>
        <v>10-26</v>
      </c>
      <c r="T13" s="14">
        <f t="shared" ref="T13:T76" si="29">IF(J13&lt;&gt;"",J13,"")</f>
        <v>88</v>
      </c>
      <c r="U13" s="18">
        <f t="shared" ref="U13:U76" si="30">IF(K13&lt;&gt;"",U$6-K13,"")</f>
        <v>672</v>
      </c>
      <c r="V13" s="14">
        <f t="shared" ref="V13:V76" si="31">IF(L13&lt;&gt;"",L13,"")</f>
        <v>103</v>
      </c>
      <c r="W13" s="18">
        <f t="shared" ref="W13:W76" si="32">IF(M13&lt;&gt;"",W$6-M13,"")</f>
        <v>672</v>
      </c>
      <c r="X13" s="14">
        <f t="shared" ref="X13:X76" si="33">IF(N13&lt;&gt;"",N13,"")</f>
        <v>103</v>
      </c>
      <c r="Y13" s="18">
        <f t="shared" ref="Y13:Y76" si="34">IF(O13&lt;&gt;"",Y$6-O13,"")</f>
        <v>655</v>
      </c>
      <c r="Z13" s="14">
        <f t="shared" ref="Z13:Z76" si="35">IF(P13&lt;&gt;"",P13,"")</f>
        <v>88</v>
      </c>
      <c r="AA13" s="18">
        <f t="shared" ref="AA13:AA76" si="36">IF(Q13&lt;&gt;"",AA$6-Q13,"")</f>
        <v>655</v>
      </c>
      <c r="AB13" s="4" t="s">
        <v>0</v>
      </c>
    </row>
    <row r="14" spans="1:28">
      <c r="A14" s="9" t="s">
        <v>454</v>
      </c>
      <c r="B14" s="24"/>
      <c r="C14" s="26">
        <v>3</v>
      </c>
      <c r="D14" s="28">
        <f t="shared" si="15"/>
        <v>104</v>
      </c>
      <c r="E14" s="29">
        <f t="shared" ref="E14" si="37">E13</f>
        <v>78</v>
      </c>
      <c r="F14" s="28">
        <f t="shared" si="17"/>
        <v>119</v>
      </c>
      <c r="G14" s="29">
        <f t="shared" ref="G14" si="38">G13</f>
        <v>95</v>
      </c>
      <c r="H14" s="4" t="s">
        <v>0</v>
      </c>
      <c r="I14" s="16" t="str">
        <f t="shared" si="19"/>
        <v>10-25</v>
      </c>
      <c r="J14" s="14">
        <f t="shared" si="20"/>
        <v>104</v>
      </c>
      <c r="K14" s="15">
        <f t="shared" si="21"/>
        <v>78</v>
      </c>
      <c r="L14" s="17">
        <f t="shared" si="22"/>
        <v>119</v>
      </c>
      <c r="M14" s="18">
        <f t="shared" si="23"/>
        <v>78</v>
      </c>
      <c r="N14" s="14">
        <f t="shared" si="24"/>
        <v>119</v>
      </c>
      <c r="O14" s="15">
        <f t="shared" si="25"/>
        <v>95</v>
      </c>
      <c r="P14" s="17">
        <f t="shared" si="26"/>
        <v>104</v>
      </c>
      <c r="Q14" s="18">
        <f t="shared" si="27"/>
        <v>95</v>
      </c>
      <c r="R14" s="4" t="s">
        <v>0</v>
      </c>
      <c r="S14" s="16" t="str">
        <f t="shared" si="28"/>
        <v>10-25</v>
      </c>
      <c r="T14" s="14">
        <f t="shared" si="29"/>
        <v>104</v>
      </c>
      <c r="U14" s="18">
        <f t="shared" si="30"/>
        <v>672</v>
      </c>
      <c r="V14" s="14">
        <f t="shared" si="31"/>
        <v>119</v>
      </c>
      <c r="W14" s="18">
        <f t="shared" si="32"/>
        <v>672</v>
      </c>
      <c r="X14" s="14">
        <f t="shared" si="33"/>
        <v>119</v>
      </c>
      <c r="Y14" s="18">
        <f t="shared" si="34"/>
        <v>655</v>
      </c>
      <c r="Z14" s="14">
        <f t="shared" si="35"/>
        <v>104</v>
      </c>
      <c r="AA14" s="18">
        <f t="shared" si="36"/>
        <v>655</v>
      </c>
      <c r="AB14" s="4" t="s">
        <v>0</v>
      </c>
    </row>
    <row r="15" spans="1:28">
      <c r="A15" s="9" t="s">
        <v>453</v>
      </c>
      <c r="B15" s="24"/>
      <c r="C15" s="26">
        <v>4</v>
      </c>
      <c r="D15" s="28">
        <f t="shared" si="15"/>
        <v>120</v>
      </c>
      <c r="E15" s="29">
        <f t="shared" ref="E15" si="39">E14</f>
        <v>78</v>
      </c>
      <c r="F15" s="28">
        <f t="shared" si="17"/>
        <v>135</v>
      </c>
      <c r="G15" s="29">
        <f t="shared" ref="G15" si="40">G14</f>
        <v>95</v>
      </c>
      <c r="H15" s="4" t="s">
        <v>0</v>
      </c>
      <c r="I15" s="16" t="str">
        <f t="shared" si="19"/>
        <v>10-23</v>
      </c>
      <c r="J15" s="14">
        <f t="shared" si="20"/>
        <v>120</v>
      </c>
      <c r="K15" s="15">
        <f t="shared" si="21"/>
        <v>78</v>
      </c>
      <c r="L15" s="17">
        <f t="shared" si="22"/>
        <v>135</v>
      </c>
      <c r="M15" s="18">
        <f t="shared" si="23"/>
        <v>78</v>
      </c>
      <c r="N15" s="14">
        <f t="shared" si="24"/>
        <v>135</v>
      </c>
      <c r="O15" s="15">
        <f t="shared" si="25"/>
        <v>95</v>
      </c>
      <c r="P15" s="17">
        <f t="shared" si="26"/>
        <v>120</v>
      </c>
      <c r="Q15" s="18">
        <f t="shared" si="27"/>
        <v>95</v>
      </c>
      <c r="R15" s="4" t="s">
        <v>0</v>
      </c>
      <c r="S15" s="16" t="str">
        <f t="shared" si="28"/>
        <v>10-23</v>
      </c>
      <c r="T15" s="14">
        <f t="shared" si="29"/>
        <v>120</v>
      </c>
      <c r="U15" s="18">
        <f t="shared" si="30"/>
        <v>672</v>
      </c>
      <c r="V15" s="14">
        <f t="shared" si="31"/>
        <v>135</v>
      </c>
      <c r="W15" s="18">
        <f t="shared" si="32"/>
        <v>672</v>
      </c>
      <c r="X15" s="14">
        <f t="shared" si="33"/>
        <v>135</v>
      </c>
      <c r="Y15" s="18">
        <f t="shared" si="34"/>
        <v>655</v>
      </c>
      <c r="Z15" s="14">
        <f t="shared" si="35"/>
        <v>120</v>
      </c>
      <c r="AA15" s="18">
        <f t="shared" si="36"/>
        <v>655</v>
      </c>
      <c r="AB15" s="4" t="s">
        <v>0</v>
      </c>
    </row>
    <row r="16" spans="1:28">
      <c r="A16" s="9" t="s">
        <v>452</v>
      </c>
      <c r="B16" s="24"/>
      <c r="C16" s="26">
        <v>5</v>
      </c>
      <c r="D16" s="28">
        <f t="shared" si="15"/>
        <v>136</v>
      </c>
      <c r="E16" s="29">
        <f t="shared" ref="E16" si="41">E15</f>
        <v>78</v>
      </c>
      <c r="F16" s="28">
        <f t="shared" si="17"/>
        <v>151</v>
      </c>
      <c r="G16" s="29">
        <f t="shared" ref="G16" si="42">G15</f>
        <v>95</v>
      </c>
      <c r="H16" s="4" t="s">
        <v>0</v>
      </c>
      <c r="I16" s="16" t="str">
        <f t="shared" si="19"/>
        <v>10-22</v>
      </c>
      <c r="J16" s="14">
        <f t="shared" si="20"/>
        <v>136</v>
      </c>
      <c r="K16" s="15">
        <f t="shared" si="21"/>
        <v>78</v>
      </c>
      <c r="L16" s="17">
        <f t="shared" si="22"/>
        <v>151</v>
      </c>
      <c r="M16" s="18">
        <f t="shared" si="23"/>
        <v>78</v>
      </c>
      <c r="N16" s="14">
        <f t="shared" si="24"/>
        <v>151</v>
      </c>
      <c r="O16" s="15">
        <f t="shared" si="25"/>
        <v>95</v>
      </c>
      <c r="P16" s="17">
        <f t="shared" si="26"/>
        <v>136</v>
      </c>
      <c r="Q16" s="18">
        <f t="shared" si="27"/>
        <v>95</v>
      </c>
      <c r="R16" s="4" t="s">
        <v>0</v>
      </c>
      <c r="S16" s="16" t="str">
        <f t="shared" si="28"/>
        <v>10-22</v>
      </c>
      <c r="T16" s="14">
        <f t="shared" si="29"/>
        <v>136</v>
      </c>
      <c r="U16" s="18">
        <f t="shared" si="30"/>
        <v>672</v>
      </c>
      <c r="V16" s="14">
        <f t="shared" si="31"/>
        <v>151</v>
      </c>
      <c r="W16" s="18">
        <f t="shared" si="32"/>
        <v>672</v>
      </c>
      <c r="X16" s="14">
        <f t="shared" si="33"/>
        <v>151</v>
      </c>
      <c r="Y16" s="18">
        <f t="shared" si="34"/>
        <v>655</v>
      </c>
      <c r="Z16" s="14">
        <f t="shared" si="35"/>
        <v>136</v>
      </c>
      <c r="AA16" s="18">
        <f t="shared" si="36"/>
        <v>655</v>
      </c>
      <c r="AB16" s="4" t="s">
        <v>0</v>
      </c>
    </row>
    <row r="17" spans="1:28">
      <c r="A17" s="9" t="s">
        <v>193</v>
      </c>
      <c r="B17" s="24"/>
      <c r="C17" s="26">
        <v>6</v>
      </c>
      <c r="D17" s="28">
        <f t="shared" si="15"/>
        <v>151</v>
      </c>
      <c r="E17" s="29">
        <f t="shared" ref="E17" si="43">E16</f>
        <v>78</v>
      </c>
      <c r="F17" s="28">
        <f t="shared" si="17"/>
        <v>166</v>
      </c>
      <c r="G17" s="29">
        <f t="shared" ref="G17" si="44">G16</f>
        <v>95</v>
      </c>
      <c r="H17" s="4" t="s">
        <v>0</v>
      </c>
      <c r="I17" s="16" t="str">
        <f t="shared" si="19"/>
        <v>10-21</v>
      </c>
      <c r="J17" s="14">
        <f t="shared" si="20"/>
        <v>151</v>
      </c>
      <c r="K17" s="15">
        <f t="shared" si="21"/>
        <v>78</v>
      </c>
      <c r="L17" s="17">
        <f t="shared" si="22"/>
        <v>166</v>
      </c>
      <c r="M17" s="18">
        <f t="shared" si="23"/>
        <v>78</v>
      </c>
      <c r="N17" s="14">
        <f t="shared" si="24"/>
        <v>166</v>
      </c>
      <c r="O17" s="15">
        <f t="shared" si="25"/>
        <v>95</v>
      </c>
      <c r="P17" s="17">
        <f t="shared" si="26"/>
        <v>151</v>
      </c>
      <c r="Q17" s="18">
        <f t="shared" si="27"/>
        <v>95</v>
      </c>
      <c r="R17" s="4" t="s">
        <v>0</v>
      </c>
      <c r="S17" s="16" t="str">
        <f t="shared" si="28"/>
        <v>10-21</v>
      </c>
      <c r="T17" s="14">
        <f t="shared" si="29"/>
        <v>151</v>
      </c>
      <c r="U17" s="18">
        <f t="shared" si="30"/>
        <v>672</v>
      </c>
      <c r="V17" s="14">
        <f t="shared" si="31"/>
        <v>166</v>
      </c>
      <c r="W17" s="18">
        <f t="shared" si="32"/>
        <v>672</v>
      </c>
      <c r="X17" s="14">
        <f t="shared" si="33"/>
        <v>166</v>
      </c>
      <c r="Y17" s="18">
        <f t="shared" si="34"/>
        <v>655</v>
      </c>
      <c r="Z17" s="14">
        <f t="shared" si="35"/>
        <v>151</v>
      </c>
      <c r="AA17" s="18">
        <f t="shared" si="36"/>
        <v>655</v>
      </c>
      <c r="AB17" s="4" t="s">
        <v>0</v>
      </c>
    </row>
    <row r="18" spans="1:28">
      <c r="A18" s="9" t="s">
        <v>192</v>
      </c>
      <c r="B18" s="24"/>
      <c r="C18" s="26">
        <v>7</v>
      </c>
      <c r="D18" s="28">
        <f t="shared" si="15"/>
        <v>167</v>
      </c>
      <c r="E18" s="29">
        <f t="shared" ref="E18" si="45">E17</f>
        <v>78</v>
      </c>
      <c r="F18" s="28">
        <f t="shared" si="17"/>
        <v>182</v>
      </c>
      <c r="G18" s="29">
        <f t="shared" ref="G18" si="46">G17</f>
        <v>95</v>
      </c>
      <c r="H18" s="4" t="s">
        <v>0</v>
      </c>
      <c r="I18" s="16" t="str">
        <f t="shared" si="19"/>
        <v>10-20</v>
      </c>
      <c r="J18" s="14">
        <f t="shared" si="20"/>
        <v>167</v>
      </c>
      <c r="K18" s="15">
        <f t="shared" si="21"/>
        <v>78</v>
      </c>
      <c r="L18" s="17">
        <f t="shared" si="22"/>
        <v>182</v>
      </c>
      <c r="M18" s="18">
        <f t="shared" si="23"/>
        <v>78</v>
      </c>
      <c r="N18" s="14">
        <f t="shared" si="24"/>
        <v>182</v>
      </c>
      <c r="O18" s="15">
        <f t="shared" si="25"/>
        <v>95</v>
      </c>
      <c r="P18" s="17">
        <f t="shared" si="26"/>
        <v>167</v>
      </c>
      <c r="Q18" s="18">
        <f t="shared" si="27"/>
        <v>95</v>
      </c>
      <c r="R18" s="4" t="s">
        <v>0</v>
      </c>
      <c r="S18" s="16" t="str">
        <f t="shared" si="28"/>
        <v>10-20</v>
      </c>
      <c r="T18" s="14">
        <f t="shared" si="29"/>
        <v>167</v>
      </c>
      <c r="U18" s="18">
        <f t="shared" si="30"/>
        <v>672</v>
      </c>
      <c r="V18" s="14">
        <f t="shared" si="31"/>
        <v>182</v>
      </c>
      <c r="W18" s="18">
        <f t="shared" si="32"/>
        <v>672</v>
      </c>
      <c r="X18" s="14">
        <f t="shared" si="33"/>
        <v>182</v>
      </c>
      <c r="Y18" s="18">
        <f t="shared" si="34"/>
        <v>655</v>
      </c>
      <c r="Z18" s="14">
        <f t="shared" si="35"/>
        <v>167</v>
      </c>
      <c r="AA18" s="18">
        <f t="shared" si="36"/>
        <v>655</v>
      </c>
      <c r="AB18" s="4" t="s">
        <v>0</v>
      </c>
    </row>
    <row r="19" spans="1:28">
      <c r="A19" s="9" t="s">
        <v>191</v>
      </c>
      <c r="B19" s="24"/>
      <c r="C19" s="26">
        <v>8</v>
      </c>
      <c r="D19" s="28">
        <f t="shared" si="15"/>
        <v>183</v>
      </c>
      <c r="E19" s="29">
        <f t="shared" ref="E19" si="47">E18</f>
        <v>78</v>
      </c>
      <c r="F19" s="28">
        <f t="shared" si="17"/>
        <v>198</v>
      </c>
      <c r="G19" s="29">
        <f t="shared" ref="G19" si="48">G18</f>
        <v>95</v>
      </c>
      <c r="H19" s="4" t="s">
        <v>0</v>
      </c>
      <c r="I19" s="16" t="str">
        <f t="shared" si="19"/>
        <v>10-18</v>
      </c>
      <c r="J19" s="14">
        <f t="shared" si="20"/>
        <v>183</v>
      </c>
      <c r="K19" s="15">
        <f t="shared" si="21"/>
        <v>78</v>
      </c>
      <c r="L19" s="17">
        <f t="shared" si="22"/>
        <v>198</v>
      </c>
      <c r="M19" s="18">
        <f t="shared" si="23"/>
        <v>78</v>
      </c>
      <c r="N19" s="14">
        <f t="shared" si="24"/>
        <v>198</v>
      </c>
      <c r="O19" s="15">
        <f t="shared" si="25"/>
        <v>95</v>
      </c>
      <c r="P19" s="17">
        <f t="shared" si="26"/>
        <v>183</v>
      </c>
      <c r="Q19" s="18">
        <f t="shared" si="27"/>
        <v>95</v>
      </c>
      <c r="R19" s="4" t="s">
        <v>0</v>
      </c>
      <c r="S19" s="16" t="str">
        <f t="shared" si="28"/>
        <v>10-18</v>
      </c>
      <c r="T19" s="14">
        <f t="shared" si="29"/>
        <v>183</v>
      </c>
      <c r="U19" s="18">
        <f t="shared" si="30"/>
        <v>672</v>
      </c>
      <c r="V19" s="14">
        <f t="shared" si="31"/>
        <v>198</v>
      </c>
      <c r="W19" s="18">
        <f t="shared" si="32"/>
        <v>672</v>
      </c>
      <c r="X19" s="14">
        <f t="shared" si="33"/>
        <v>198</v>
      </c>
      <c r="Y19" s="18">
        <f t="shared" si="34"/>
        <v>655</v>
      </c>
      <c r="Z19" s="14">
        <f t="shared" si="35"/>
        <v>183</v>
      </c>
      <c r="AA19" s="18">
        <f t="shared" si="36"/>
        <v>655</v>
      </c>
      <c r="AB19" s="4" t="s">
        <v>0</v>
      </c>
    </row>
    <row r="20" spans="1:28">
      <c r="A20" s="9" t="s">
        <v>190</v>
      </c>
      <c r="B20" s="24"/>
      <c r="C20" s="26">
        <v>9</v>
      </c>
      <c r="D20" s="28">
        <f t="shared" si="15"/>
        <v>199</v>
      </c>
      <c r="E20" s="29">
        <f t="shared" ref="E20" si="49">E19</f>
        <v>78</v>
      </c>
      <c r="F20" s="28">
        <f t="shared" si="17"/>
        <v>214</v>
      </c>
      <c r="G20" s="29">
        <f t="shared" ref="G20" si="50">G19</f>
        <v>95</v>
      </c>
      <c r="H20" s="4" t="s">
        <v>0</v>
      </c>
      <c r="I20" s="16" t="str">
        <f t="shared" si="19"/>
        <v>10-17</v>
      </c>
      <c r="J20" s="14">
        <f t="shared" si="20"/>
        <v>199</v>
      </c>
      <c r="K20" s="15">
        <f t="shared" si="21"/>
        <v>78</v>
      </c>
      <c r="L20" s="17">
        <f t="shared" si="22"/>
        <v>214</v>
      </c>
      <c r="M20" s="18">
        <f t="shared" si="23"/>
        <v>78</v>
      </c>
      <c r="N20" s="14">
        <f t="shared" si="24"/>
        <v>214</v>
      </c>
      <c r="O20" s="15">
        <f t="shared" si="25"/>
        <v>95</v>
      </c>
      <c r="P20" s="17">
        <f t="shared" si="26"/>
        <v>199</v>
      </c>
      <c r="Q20" s="18">
        <f t="shared" si="27"/>
        <v>95</v>
      </c>
      <c r="R20" s="4" t="s">
        <v>0</v>
      </c>
      <c r="S20" s="16" t="str">
        <f t="shared" si="28"/>
        <v>10-17</v>
      </c>
      <c r="T20" s="14">
        <f t="shared" si="29"/>
        <v>199</v>
      </c>
      <c r="U20" s="18">
        <f t="shared" si="30"/>
        <v>672</v>
      </c>
      <c r="V20" s="14">
        <f t="shared" si="31"/>
        <v>214</v>
      </c>
      <c r="W20" s="18">
        <f t="shared" si="32"/>
        <v>672</v>
      </c>
      <c r="X20" s="14">
        <f t="shared" si="33"/>
        <v>214</v>
      </c>
      <c r="Y20" s="18">
        <f t="shared" si="34"/>
        <v>655</v>
      </c>
      <c r="Z20" s="14">
        <f t="shared" si="35"/>
        <v>199</v>
      </c>
      <c r="AA20" s="18">
        <f t="shared" si="36"/>
        <v>655</v>
      </c>
      <c r="AB20" s="4" t="s">
        <v>0</v>
      </c>
    </row>
    <row r="21" spans="1:28">
      <c r="A21" s="9" t="s">
        <v>189</v>
      </c>
      <c r="B21" s="24"/>
      <c r="C21" s="26">
        <v>10</v>
      </c>
      <c r="D21" s="28">
        <f t="shared" si="15"/>
        <v>215</v>
      </c>
      <c r="E21" s="29">
        <f t="shared" ref="E21" si="51">E20</f>
        <v>78</v>
      </c>
      <c r="F21" s="28">
        <f t="shared" si="17"/>
        <v>230</v>
      </c>
      <c r="G21" s="29">
        <f t="shared" ref="G21" si="52">G20</f>
        <v>95</v>
      </c>
      <c r="H21" s="4" t="s">
        <v>0</v>
      </c>
      <c r="I21" s="16" t="str">
        <f t="shared" si="19"/>
        <v>10-16</v>
      </c>
      <c r="J21" s="14">
        <f t="shared" si="20"/>
        <v>215</v>
      </c>
      <c r="K21" s="15">
        <f t="shared" si="21"/>
        <v>78</v>
      </c>
      <c r="L21" s="17">
        <f t="shared" si="22"/>
        <v>230</v>
      </c>
      <c r="M21" s="18">
        <f t="shared" si="23"/>
        <v>78</v>
      </c>
      <c r="N21" s="14">
        <f t="shared" si="24"/>
        <v>230</v>
      </c>
      <c r="O21" s="15">
        <f t="shared" si="25"/>
        <v>95</v>
      </c>
      <c r="P21" s="17">
        <f t="shared" si="26"/>
        <v>215</v>
      </c>
      <c r="Q21" s="18">
        <f t="shared" si="27"/>
        <v>95</v>
      </c>
      <c r="R21" s="4" t="s">
        <v>0</v>
      </c>
      <c r="S21" s="16" t="str">
        <f t="shared" si="28"/>
        <v>10-16</v>
      </c>
      <c r="T21" s="14">
        <f t="shared" si="29"/>
        <v>215</v>
      </c>
      <c r="U21" s="18">
        <f t="shared" si="30"/>
        <v>672</v>
      </c>
      <c r="V21" s="14">
        <f t="shared" si="31"/>
        <v>230</v>
      </c>
      <c r="W21" s="18">
        <f t="shared" si="32"/>
        <v>672</v>
      </c>
      <c r="X21" s="14">
        <f t="shared" si="33"/>
        <v>230</v>
      </c>
      <c r="Y21" s="18">
        <f t="shared" si="34"/>
        <v>655</v>
      </c>
      <c r="Z21" s="14">
        <f t="shared" si="35"/>
        <v>215</v>
      </c>
      <c r="AA21" s="18">
        <f t="shared" si="36"/>
        <v>655</v>
      </c>
      <c r="AB21" s="4" t="s">
        <v>0</v>
      </c>
    </row>
    <row r="22" spans="1:28">
      <c r="A22" s="9" t="s">
        <v>188</v>
      </c>
      <c r="B22" s="24"/>
      <c r="C22" s="26">
        <v>11</v>
      </c>
      <c r="D22" s="28">
        <f t="shared" si="15"/>
        <v>231</v>
      </c>
      <c r="E22" s="29">
        <f t="shared" ref="E22" si="53">E21</f>
        <v>78</v>
      </c>
      <c r="F22" s="28">
        <f t="shared" si="17"/>
        <v>246</v>
      </c>
      <c r="G22" s="29">
        <f t="shared" ref="G22" si="54">G21</f>
        <v>95</v>
      </c>
      <c r="H22" s="4" t="s">
        <v>0</v>
      </c>
      <c r="I22" s="16" t="str">
        <f t="shared" si="19"/>
        <v>10-15</v>
      </c>
      <c r="J22" s="14">
        <f t="shared" si="20"/>
        <v>231</v>
      </c>
      <c r="K22" s="15">
        <f t="shared" si="21"/>
        <v>78</v>
      </c>
      <c r="L22" s="17">
        <f t="shared" si="22"/>
        <v>246</v>
      </c>
      <c r="M22" s="18">
        <f t="shared" si="23"/>
        <v>78</v>
      </c>
      <c r="N22" s="14">
        <f t="shared" si="24"/>
        <v>246</v>
      </c>
      <c r="O22" s="15">
        <f t="shared" si="25"/>
        <v>95</v>
      </c>
      <c r="P22" s="17">
        <f t="shared" si="26"/>
        <v>231</v>
      </c>
      <c r="Q22" s="18">
        <f t="shared" si="27"/>
        <v>95</v>
      </c>
      <c r="R22" s="4" t="s">
        <v>0</v>
      </c>
      <c r="S22" s="16" t="str">
        <f t="shared" si="28"/>
        <v>10-15</v>
      </c>
      <c r="T22" s="14">
        <f t="shared" si="29"/>
        <v>231</v>
      </c>
      <c r="U22" s="18">
        <f t="shared" si="30"/>
        <v>672</v>
      </c>
      <c r="V22" s="14">
        <f t="shared" si="31"/>
        <v>246</v>
      </c>
      <c r="W22" s="18">
        <f t="shared" si="32"/>
        <v>672</v>
      </c>
      <c r="X22" s="14">
        <f t="shared" si="33"/>
        <v>246</v>
      </c>
      <c r="Y22" s="18">
        <f t="shared" si="34"/>
        <v>655</v>
      </c>
      <c r="Z22" s="14">
        <f t="shared" si="35"/>
        <v>231</v>
      </c>
      <c r="AA22" s="18">
        <f t="shared" si="36"/>
        <v>655</v>
      </c>
      <c r="AB22" s="4" t="s">
        <v>0</v>
      </c>
    </row>
    <row r="23" spans="1:28">
      <c r="A23" s="9" t="s">
        <v>187</v>
      </c>
      <c r="B23" s="24"/>
      <c r="C23" s="26"/>
      <c r="D23" s="27">
        <v>267</v>
      </c>
      <c r="E23" s="31">
        <v>78</v>
      </c>
      <c r="F23" s="31">
        <v>282</v>
      </c>
      <c r="G23" s="31">
        <v>95</v>
      </c>
      <c r="H23" s="4" t="s">
        <v>0</v>
      </c>
      <c r="I23" s="16" t="str">
        <f t="shared" si="19"/>
        <v>10-13</v>
      </c>
      <c r="J23" s="14">
        <f t="shared" si="20"/>
        <v>267</v>
      </c>
      <c r="K23" s="15">
        <f t="shared" si="21"/>
        <v>78</v>
      </c>
      <c r="L23" s="17">
        <f t="shared" si="22"/>
        <v>282</v>
      </c>
      <c r="M23" s="18">
        <f t="shared" si="23"/>
        <v>78</v>
      </c>
      <c r="N23" s="14">
        <f t="shared" si="24"/>
        <v>282</v>
      </c>
      <c r="O23" s="15">
        <f t="shared" si="25"/>
        <v>95</v>
      </c>
      <c r="P23" s="17">
        <f t="shared" si="26"/>
        <v>267</v>
      </c>
      <c r="Q23" s="18">
        <f t="shared" si="27"/>
        <v>95</v>
      </c>
      <c r="R23" s="4" t="s">
        <v>0</v>
      </c>
      <c r="S23" s="16" t="str">
        <f t="shared" si="28"/>
        <v>10-13</v>
      </c>
      <c r="T23" s="14">
        <f t="shared" si="29"/>
        <v>267</v>
      </c>
      <c r="U23" s="18">
        <f t="shared" si="30"/>
        <v>672</v>
      </c>
      <c r="V23" s="14">
        <f t="shared" si="31"/>
        <v>282</v>
      </c>
      <c r="W23" s="18">
        <f t="shared" si="32"/>
        <v>672</v>
      </c>
      <c r="X23" s="14">
        <f t="shared" si="33"/>
        <v>282</v>
      </c>
      <c r="Y23" s="18">
        <f t="shared" si="34"/>
        <v>655</v>
      </c>
      <c r="Z23" s="14">
        <f t="shared" si="35"/>
        <v>267</v>
      </c>
      <c r="AA23" s="18">
        <f t="shared" si="36"/>
        <v>655</v>
      </c>
      <c r="AB23" s="4" t="s">
        <v>0</v>
      </c>
    </row>
    <row r="24" spans="1:28">
      <c r="A24" s="9" t="s">
        <v>88</v>
      </c>
      <c r="B24" s="24"/>
      <c r="C24" s="26">
        <v>1</v>
      </c>
      <c r="D24" s="28">
        <f>ROUND(D$23+15.9*$C24, 0)</f>
        <v>283</v>
      </c>
      <c r="E24" s="29">
        <f t="shared" ref="E24" si="55">E23</f>
        <v>78</v>
      </c>
      <c r="F24" s="28">
        <f>ROUND(F$23+15.9*$C24, 0)</f>
        <v>298</v>
      </c>
      <c r="G24" s="29">
        <f t="shared" ref="G24:G33" si="56">G23</f>
        <v>95</v>
      </c>
      <c r="H24" s="4" t="s">
        <v>0</v>
      </c>
      <c r="I24" s="16" t="str">
        <f t="shared" si="19"/>
        <v>10-12</v>
      </c>
      <c r="J24" s="14">
        <f t="shared" si="20"/>
        <v>283</v>
      </c>
      <c r="K24" s="15">
        <f t="shared" si="21"/>
        <v>78</v>
      </c>
      <c r="L24" s="17">
        <f t="shared" si="22"/>
        <v>298</v>
      </c>
      <c r="M24" s="18">
        <f t="shared" si="23"/>
        <v>78</v>
      </c>
      <c r="N24" s="14">
        <f t="shared" si="24"/>
        <v>298</v>
      </c>
      <c r="O24" s="15">
        <f t="shared" si="25"/>
        <v>95</v>
      </c>
      <c r="P24" s="17">
        <f t="shared" si="26"/>
        <v>283</v>
      </c>
      <c r="Q24" s="18">
        <f t="shared" si="27"/>
        <v>95</v>
      </c>
      <c r="R24" s="4" t="s">
        <v>0</v>
      </c>
      <c r="S24" s="16" t="str">
        <f t="shared" si="28"/>
        <v>10-12</v>
      </c>
      <c r="T24" s="14">
        <f t="shared" si="29"/>
        <v>283</v>
      </c>
      <c r="U24" s="18">
        <f t="shared" si="30"/>
        <v>672</v>
      </c>
      <c r="V24" s="14">
        <f t="shared" si="31"/>
        <v>298</v>
      </c>
      <c r="W24" s="18">
        <f t="shared" si="32"/>
        <v>672</v>
      </c>
      <c r="X24" s="14">
        <f t="shared" si="33"/>
        <v>298</v>
      </c>
      <c r="Y24" s="18">
        <f t="shared" si="34"/>
        <v>655</v>
      </c>
      <c r="Z24" s="14">
        <f t="shared" si="35"/>
        <v>283</v>
      </c>
      <c r="AA24" s="18">
        <f t="shared" si="36"/>
        <v>655</v>
      </c>
      <c r="AB24" s="4" t="s">
        <v>0</v>
      </c>
    </row>
    <row r="25" spans="1:28">
      <c r="A25" s="9" t="s">
        <v>87</v>
      </c>
      <c r="B25" s="24"/>
      <c r="C25" s="26">
        <v>2</v>
      </c>
      <c r="D25" s="28">
        <f t="shared" ref="D25:D33" si="57">ROUND(D$23+15.9*$C25, 0)</f>
        <v>299</v>
      </c>
      <c r="E25" s="29">
        <f t="shared" ref="E25" si="58">E24</f>
        <v>78</v>
      </c>
      <c r="F25" s="28">
        <f t="shared" ref="F25:F33" si="59">ROUND(F$23+15.9*$C25, 0)</f>
        <v>314</v>
      </c>
      <c r="G25" s="29">
        <f t="shared" si="56"/>
        <v>95</v>
      </c>
      <c r="H25" s="4" t="s">
        <v>0</v>
      </c>
      <c r="I25" s="16" t="str">
        <f t="shared" si="19"/>
        <v>10-11</v>
      </c>
      <c r="J25" s="14">
        <f t="shared" si="20"/>
        <v>299</v>
      </c>
      <c r="K25" s="15">
        <f t="shared" si="21"/>
        <v>78</v>
      </c>
      <c r="L25" s="17">
        <f t="shared" si="22"/>
        <v>314</v>
      </c>
      <c r="M25" s="18">
        <f t="shared" si="23"/>
        <v>78</v>
      </c>
      <c r="N25" s="14">
        <f t="shared" si="24"/>
        <v>314</v>
      </c>
      <c r="O25" s="15">
        <f t="shared" si="25"/>
        <v>95</v>
      </c>
      <c r="P25" s="17">
        <f t="shared" si="26"/>
        <v>299</v>
      </c>
      <c r="Q25" s="18">
        <f t="shared" si="27"/>
        <v>95</v>
      </c>
      <c r="R25" s="4" t="s">
        <v>0</v>
      </c>
      <c r="S25" s="16" t="str">
        <f t="shared" si="28"/>
        <v>10-11</v>
      </c>
      <c r="T25" s="14">
        <f t="shared" si="29"/>
        <v>299</v>
      </c>
      <c r="U25" s="18">
        <f t="shared" si="30"/>
        <v>672</v>
      </c>
      <c r="V25" s="14">
        <f t="shared" si="31"/>
        <v>314</v>
      </c>
      <c r="W25" s="18">
        <f t="shared" si="32"/>
        <v>672</v>
      </c>
      <c r="X25" s="14">
        <f t="shared" si="33"/>
        <v>314</v>
      </c>
      <c r="Y25" s="18">
        <f t="shared" si="34"/>
        <v>655</v>
      </c>
      <c r="Z25" s="14">
        <f t="shared" si="35"/>
        <v>299</v>
      </c>
      <c r="AA25" s="18">
        <f t="shared" si="36"/>
        <v>655</v>
      </c>
      <c r="AB25" s="4" t="s">
        <v>0</v>
      </c>
    </row>
    <row r="26" spans="1:28">
      <c r="A26" s="9" t="s">
        <v>86</v>
      </c>
      <c r="B26" s="24"/>
      <c r="C26" s="26">
        <v>3</v>
      </c>
      <c r="D26" s="28">
        <f t="shared" si="57"/>
        <v>315</v>
      </c>
      <c r="E26" s="29">
        <f t="shared" ref="E26" si="60">E25</f>
        <v>78</v>
      </c>
      <c r="F26" s="28">
        <f t="shared" si="59"/>
        <v>330</v>
      </c>
      <c r="G26" s="29">
        <f t="shared" si="56"/>
        <v>95</v>
      </c>
      <c r="H26" s="4" t="s">
        <v>0</v>
      </c>
      <c r="I26" s="16" t="str">
        <f t="shared" si="19"/>
        <v>10-10</v>
      </c>
      <c r="J26" s="14">
        <f t="shared" si="20"/>
        <v>315</v>
      </c>
      <c r="K26" s="15">
        <f t="shared" si="21"/>
        <v>78</v>
      </c>
      <c r="L26" s="17">
        <f t="shared" si="22"/>
        <v>330</v>
      </c>
      <c r="M26" s="18">
        <f t="shared" si="23"/>
        <v>78</v>
      </c>
      <c r="N26" s="14">
        <f t="shared" si="24"/>
        <v>330</v>
      </c>
      <c r="O26" s="15">
        <f t="shared" si="25"/>
        <v>95</v>
      </c>
      <c r="P26" s="17">
        <f t="shared" si="26"/>
        <v>315</v>
      </c>
      <c r="Q26" s="18">
        <f t="shared" si="27"/>
        <v>95</v>
      </c>
      <c r="R26" s="4" t="s">
        <v>0</v>
      </c>
      <c r="S26" s="16" t="str">
        <f t="shared" si="28"/>
        <v>10-10</v>
      </c>
      <c r="T26" s="14">
        <f t="shared" si="29"/>
        <v>315</v>
      </c>
      <c r="U26" s="18">
        <f t="shared" si="30"/>
        <v>672</v>
      </c>
      <c r="V26" s="14">
        <f t="shared" si="31"/>
        <v>330</v>
      </c>
      <c r="W26" s="18">
        <f t="shared" si="32"/>
        <v>672</v>
      </c>
      <c r="X26" s="14">
        <f t="shared" si="33"/>
        <v>330</v>
      </c>
      <c r="Y26" s="18">
        <f t="shared" si="34"/>
        <v>655</v>
      </c>
      <c r="Z26" s="14">
        <f t="shared" si="35"/>
        <v>315</v>
      </c>
      <c r="AA26" s="18">
        <f t="shared" si="36"/>
        <v>655</v>
      </c>
      <c r="AB26" s="4" t="s">
        <v>0</v>
      </c>
    </row>
    <row r="27" spans="1:28">
      <c r="A27" s="9" t="s">
        <v>85</v>
      </c>
      <c r="B27" s="24"/>
      <c r="C27" s="26">
        <v>4</v>
      </c>
      <c r="D27" s="28">
        <f t="shared" si="57"/>
        <v>331</v>
      </c>
      <c r="E27" s="29">
        <f t="shared" ref="E27" si="61">E26</f>
        <v>78</v>
      </c>
      <c r="F27" s="28">
        <f t="shared" si="59"/>
        <v>346</v>
      </c>
      <c r="G27" s="29">
        <f t="shared" si="56"/>
        <v>95</v>
      </c>
      <c r="H27" s="4" t="s">
        <v>0</v>
      </c>
      <c r="I27" s="16" t="str">
        <f t="shared" si="19"/>
        <v>10-08</v>
      </c>
      <c r="J27" s="14">
        <f t="shared" si="20"/>
        <v>331</v>
      </c>
      <c r="K27" s="15">
        <f t="shared" si="21"/>
        <v>78</v>
      </c>
      <c r="L27" s="17">
        <f t="shared" si="22"/>
        <v>346</v>
      </c>
      <c r="M27" s="18">
        <f t="shared" si="23"/>
        <v>78</v>
      </c>
      <c r="N27" s="14">
        <f t="shared" si="24"/>
        <v>346</v>
      </c>
      <c r="O27" s="15">
        <f t="shared" si="25"/>
        <v>95</v>
      </c>
      <c r="P27" s="17">
        <f t="shared" si="26"/>
        <v>331</v>
      </c>
      <c r="Q27" s="18">
        <f t="shared" si="27"/>
        <v>95</v>
      </c>
      <c r="R27" s="4" t="s">
        <v>0</v>
      </c>
      <c r="S27" s="16" t="str">
        <f t="shared" si="28"/>
        <v>10-08</v>
      </c>
      <c r="T27" s="14">
        <f t="shared" si="29"/>
        <v>331</v>
      </c>
      <c r="U27" s="18">
        <f t="shared" si="30"/>
        <v>672</v>
      </c>
      <c r="V27" s="14">
        <f t="shared" si="31"/>
        <v>346</v>
      </c>
      <c r="W27" s="18">
        <f t="shared" si="32"/>
        <v>672</v>
      </c>
      <c r="X27" s="14">
        <f t="shared" si="33"/>
        <v>346</v>
      </c>
      <c r="Y27" s="18">
        <f t="shared" si="34"/>
        <v>655</v>
      </c>
      <c r="Z27" s="14">
        <f t="shared" si="35"/>
        <v>331</v>
      </c>
      <c r="AA27" s="18">
        <f t="shared" si="36"/>
        <v>655</v>
      </c>
      <c r="AB27" s="4" t="s">
        <v>0</v>
      </c>
    </row>
    <row r="28" spans="1:28">
      <c r="A28" s="9" t="s">
        <v>84</v>
      </c>
      <c r="B28" s="24"/>
      <c r="C28" s="26">
        <v>5</v>
      </c>
      <c r="D28" s="28">
        <f t="shared" si="57"/>
        <v>347</v>
      </c>
      <c r="E28" s="29">
        <f t="shared" ref="E28" si="62">E27</f>
        <v>78</v>
      </c>
      <c r="F28" s="28">
        <f t="shared" si="59"/>
        <v>362</v>
      </c>
      <c r="G28" s="29">
        <f t="shared" si="56"/>
        <v>95</v>
      </c>
      <c r="H28" s="4" t="s">
        <v>0</v>
      </c>
      <c r="I28" s="16" t="str">
        <f t="shared" si="19"/>
        <v>10-07</v>
      </c>
      <c r="J28" s="14">
        <f t="shared" si="20"/>
        <v>347</v>
      </c>
      <c r="K28" s="15">
        <f t="shared" si="21"/>
        <v>78</v>
      </c>
      <c r="L28" s="17">
        <f t="shared" si="22"/>
        <v>362</v>
      </c>
      <c r="M28" s="18">
        <f t="shared" si="23"/>
        <v>78</v>
      </c>
      <c r="N28" s="14">
        <f t="shared" si="24"/>
        <v>362</v>
      </c>
      <c r="O28" s="15">
        <f t="shared" si="25"/>
        <v>95</v>
      </c>
      <c r="P28" s="17">
        <f t="shared" si="26"/>
        <v>347</v>
      </c>
      <c r="Q28" s="18">
        <f t="shared" si="27"/>
        <v>95</v>
      </c>
      <c r="R28" s="4" t="s">
        <v>0</v>
      </c>
      <c r="S28" s="16" t="str">
        <f t="shared" si="28"/>
        <v>10-07</v>
      </c>
      <c r="T28" s="14">
        <f t="shared" si="29"/>
        <v>347</v>
      </c>
      <c r="U28" s="18">
        <f t="shared" si="30"/>
        <v>672</v>
      </c>
      <c r="V28" s="14">
        <f t="shared" si="31"/>
        <v>362</v>
      </c>
      <c r="W28" s="18">
        <f t="shared" si="32"/>
        <v>672</v>
      </c>
      <c r="X28" s="14">
        <f t="shared" si="33"/>
        <v>362</v>
      </c>
      <c r="Y28" s="18">
        <f t="shared" si="34"/>
        <v>655</v>
      </c>
      <c r="Z28" s="14">
        <f t="shared" si="35"/>
        <v>347</v>
      </c>
      <c r="AA28" s="18">
        <f t="shared" si="36"/>
        <v>655</v>
      </c>
      <c r="AB28" s="4" t="s">
        <v>0</v>
      </c>
    </row>
    <row r="29" spans="1:28">
      <c r="A29" s="9" t="s">
        <v>83</v>
      </c>
      <c r="B29" s="24"/>
      <c r="C29" s="26">
        <v>6</v>
      </c>
      <c r="D29" s="28">
        <f t="shared" si="57"/>
        <v>362</v>
      </c>
      <c r="E29" s="29">
        <f t="shared" ref="E29" si="63">E28</f>
        <v>78</v>
      </c>
      <c r="F29" s="28">
        <f t="shared" si="59"/>
        <v>377</v>
      </c>
      <c r="G29" s="29">
        <f t="shared" si="56"/>
        <v>95</v>
      </c>
      <c r="H29" s="4" t="s">
        <v>0</v>
      </c>
      <c r="I29" s="16" t="str">
        <f t="shared" si="19"/>
        <v>10-06</v>
      </c>
      <c r="J29" s="14">
        <f t="shared" si="20"/>
        <v>362</v>
      </c>
      <c r="K29" s="15">
        <f t="shared" si="21"/>
        <v>78</v>
      </c>
      <c r="L29" s="17">
        <f t="shared" si="22"/>
        <v>377</v>
      </c>
      <c r="M29" s="18">
        <f t="shared" si="23"/>
        <v>78</v>
      </c>
      <c r="N29" s="14">
        <f t="shared" si="24"/>
        <v>377</v>
      </c>
      <c r="O29" s="15">
        <f t="shared" si="25"/>
        <v>95</v>
      </c>
      <c r="P29" s="17">
        <f t="shared" si="26"/>
        <v>362</v>
      </c>
      <c r="Q29" s="18">
        <f t="shared" si="27"/>
        <v>95</v>
      </c>
      <c r="R29" s="4" t="s">
        <v>0</v>
      </c>
      <c r="S29" s="16" t="str">
        <f t="shared" si="28"/>
        <v>10-06</v>
      </c>
      <c r="T29" s="14">
        <f t="shared" si="29"/>
        <v>362</v>
      </c>
      <c r="U29" s="18">
        <f t="shared" si="30"/>
        <v>672</v>
      </c>
      <c r="V29" s="14">
        <f t="shared" si="31"/>
        <v>377</v>
      </c>
      <c r="W29" s="18">
        <f t="shared" si="32"/>
        <v>672</v>
      </c>
      <c r="X29" s="14">
        <f t="shared" si="33"/>
        <v>377</v>
      </c>
      <c r="Y29" s="18">
        <f t="shared" si="34"/>
        <v>655</v>
      </c>
      <c r="Z29" s="14">
        <f t="shared" si="35"/>
        <v>362</v>
      </c>
      <c r="AA29" s="18">
        <f t="shared" si="36"/>
        <v>655</v>
      </c>
      <c r="AB29" s="4" t="s">
        <v>0</v>
      </c>
    </row>
    <row r="30" spans="1:28">
      <c r="A30" s="9" t="s">
        <v>82</v>
      </c>
      <c r="B30" s="24"/>
      <c r="C30" s="26">
        <v>7</v>
      </c>
      <c r="D30" s="28">
        <f t="shared" si="57"/>
        <v>378</v>
      </c>
      <c r="E30" s="29">
        <f t="shared" ref="E30" si="64">E29</f>
        <v>78</v>
      </c>
      <c r="F30" s="28">
        <f t="shared" si="59"/>
        <v>393</v>
      </c>
      <c r="G30" s="29">
        <f t="shared" si="56"/>
        <v>95</v>
      </c>
      <c r="H30" s="4" t="s">
        <v>0</v>
      </c>
      <c r="I30" s="16" t="str">
        <f t="shared" si="19"/>
        <v>10-05</v>
      </c>
      <c r="J30" s="14">
        <f t="shared" si="20"/>
        <v>378</v>
      </c>
      <c r="K30" s="15">
        <f t="shared" si="21"/>
        <v>78</v>
      </c>
      <c r="L30" s="17">
        <f t="shared" si="22"/>
        <v>393</v>
      </c>
      <c r="M30" s="18">
        <f t="shared" si="23"/>
        <v>78</v>
      </c>
      <c r="N30" s="14">
        <f t="shared" si="24"/>
        <v>393</v>
      </c>
      <c r="O30" s="15">
        <f t="shared" si="25"/>
        <v>95</v>
      </c>
      <c r="P30" s="17">
        <f t="shared" si="26"/>
        <v>378</v>
      </c>
      <c r="Q30" s="18">
        <f t="shared" si="27"/>
        <v>95</v>
      </c>
      <c r="R30" s="4" t="s">
        <v>0</v>
      </c>
      <c r="S30" s="16" t="str">
        <f t="shared" si="28"/>
        <v>10-05</v>
      </c>
      <c r="T30" s="14">
        <f t="shared" si="29"/>
        <v>378</v>
      </c>
      <c r="U30" s="18">
        <f t="shared" si="30"/>
        <v>672</v>
      </c>
      <c r="V30" s="14">
        <f t="shared" si="31"/>
        <v>393</v>
      </c>
      <c r="W30" s="18">
        <f t="shared" si="32"/>
        <v>672</v>
      </c>
      <c r="X30" s="14">
        <f t="shared" si="33"/>
        <v>393</v>
      </c>
      <c r="Y30" s="18">
        <f t="shared" si="34"/>
        <v>655</v>
      </c>
      <c r="Z30" s="14">
        <f t="shared" si="35"/>
        <v>378</v>
      </c>
      <c r="AA30" s="18">
        <f t="shared" si="36"/>
        <v>655</v>
      </c>
      <c r="AB30" s="4" t="s">
        <v>0</v>
      </c>
    </row>
    <row r="31" spans="1:28">
      <c r="A31" s="9" t="s">
        <v>81</v>
      </c>
      <c r="B31" s="24"/>
      <c r="C31" s="26">
        <v>8</v>
      </c>
      <c r="D31" s="28">
        <f t="shared" si="57"/>
        <v>394</v>
      </c>
      <c r="E31" s="29">
        <f t="shared" ref="E31" si="65">E30</f>
        <v>78</v>
      </c>
      <c r="F31" s="28">
        <f t="shared" si="59"/>
        <v>409</v>
      </c>
      <c r="G31" s="29">
        <f t="shared" si="56"/>
        <v>95</v>
      </c>
      <c r="H31" s="4" t="s">
        <v>0</v>
      </c>
      <c r="I31" s="16" t="str">
        <f t="shared" si="19"/>
        <v>10-03</v>
      </c>
      <c r="J31" s="14">
        <f t="shared" si="20"/>
        <v>394</v>
      </c>
      <c r="K31" s="15">
        <f t="shared" si="21"/>
        <v>78</v>
      </c>
      <c r="L31" s="17">
        <f t="shared" si="22"/>
        <v>409</v>
      </c>
      <c r="M31" s="18">
        <f t="shared" si="23"/>
        <v>78</v>
      </c>
      <c r="N31" s="14">
        <f t="shared" si="24"/>
        <v>409</v>
      </c>
      <c r="O31" s="15">
        <f t="shared" si="25"/>
        <v>95</v>
      </c>
      <c r="P31" s="17">
        <f t="shared" si="26"/>
        <v>394</v>
      </c>
      <c r="Q31" s="18">
        <f t="shared" si="27"/>
        <v>95</v>
      </c>
      <c r="R31" s="4" t="s">
        <v>0</v>
      </c>
      <c r="S31" s="16" t="str">
        <f t="shared" si="28"/>
        <v>10-03</v>
      </c>
      <c r="T31" s="14">
        <f t="shared" si="29"/>
        <v>394</v>
      </c>
      <c r="U31" s="18">
        <f t="shared" si="30"/>
        <v>672</v>
      </c>
      <c r="V31" s="14">
        <f t="shared" si="31"/>
        <v>409</v>
      </c>
      <c r="W31" s="18">
        <f t="shared" si="32"/>
        <v>672</v>
      </c>
      <c r="X31" s="14">
        <f t="shared" si="33"/>
        <v>409</v>
      </c>
      <c r="Y31" s="18">
        <f t="shared" si="34"/>
        <v>655</v>
      </c>
      <c r="Z31" s="14">
        <f t="shared" si="35"/>
        <v>394</v>
      </c>
      <c r="AA31" s="18">
        <f t="shared" si="36"/>
        <v>655</v>
      </c>
      <c r="AB31" s="4" t="s">
        <v>0</v>
      </c>
    </row>
    <row r="32" spans="1:28">
      <c r="A32" s="9" t="s">
        <v>80</v>
      </c>
      <c r="B32" s="24"/>
      <c r="C32" s="26">
        <v>9</v>
      </c>
      <c r="D32" s="28">
        <f t="shared" si="57"/>
        <v>410</v>
      </c>
      <c r="E32" s="29">
        <f t="shared" ref="E32" si="66">E31</f>
        <v>78</v>
      </c>
      <c r="F32" s="28">
        <f t="shared" si="59"/>
        <v>425</v>
      </c>
      <c r="G32" s="29">
        <f t="shared" si="56"/>
        <v>95</v>
      </c>
      <c r="H32" s="4" t="s">
        <v>0</v>
      </c>
      <c r="I32" s="16" t="str">
        <f t="shared" si="19"/>
        <v>10-02</v>
      </c>
      <c r="J32" s="14">
        <f t="shared" si="20"/>
        <v>410</v>
      </c>
      <c r="K32" s="15">
        <f t="shared" si="21"/>
        <v>78</v>
      </c>
      <c r="L32" s="17">
        <f t="shared" si="22"/>
        <v>425</v>
      </c>
      <c r="M32" s="18">
        <f t="shared" si="23"/>
        <v>78</v>
      </c>
      <c r="N32" s="14">
        <f t="shared" si="24"/>
        <v>425</v>
      </c>
      <c r="O32" s="15">
        <f t="shared" si="25"/>
        <v>95</v>
      </c>
      <c r="P32" s="17">
        <f t="shared" si="26"/>
        <v>410</v>
      </c>
      <c r="Q32" s="18">
        <f t="shared" si="27"/>
        <v>95</v>
      </c>
      <c r="R32" s="4" t="s">
        <v>0</v>
      </c>
      <c r="S32" s="16" t="str">
        <f t="shared" si="28"/>
        <v>10-02</v>
      </c>
      <c r="T32" s="14">
        <f t="shared" si="29"/>
        <v>410</v>
      </c>
      <c r="U32" s="18">
        <f t="shared" si="30"/>
        <v>672</v>
      </c>
      <c r="V32" s="14">
        <f t="shared" si="31"/>
        <v>425</v>
      </c>
      <c r="W32" s="18">
        <f t="shared" si="32"/>
        <v>672</v>
      </c>
      <c r="X32" s="14">
        <f t="shared" si="33"/>
        <v>425</v>
      </c>
      <c r="Y32" s="18">
        <f t="shared" si="34"/>
        <v>655</v>
      </c>
      <c r="Z32" s="14">
        <f t="shared" si="35"/>
        <v>410</v>
      </c>
      <c r="AA32" s="18">
        <f t="shared" si="36"/>
        <v>655</v>
      </c>
      <c r="AB32" s="4" t="s">
        <v>0</v>
      </c>
    </row>
    <row r="33" spans="1:28">
      <c r="A33" s="9" t="s">
        <v>79</v>
      </c>
      <c r="B33" s="24"/>
      <c r="C33" s="26">
        <v>10</v>
      </c>
      <c r="D33" s="28">
        <f t="shared" si="57"/>
        <v>426</v>
      </c>
      <c r="E33" s="29">
        <f t="shared" ref="E33" si="67">E32</f>
        <v>78</v>
      </c>
      <c r="F33" s="28">
        <f t="shared" si="59"/>
        <v>441</v>
      </c>
      <c r="G33" s="29">
        <f t="shared" si="56"/>
        <v>95</v>
      </c>
      <c r="H33" s="4" t="s">
        <v>0</v>
      </c>
      <c r="I33" s="16" t="str">
        <f t="shared" si="19"/>
        <v>10-01</v>
      </c>
      <c r="J33" s="14">
        <f t="shared" si="20"/>
        <v>426</v>
      </c>
      <c r="K33" s="15">
        <f t="shared" si="21"/>
        <v>78</v>
      </c>
      <c r="L33" s="17">
        <f t="shared" si="22"/>
        <v>441</v>
      </c>
      <c r="M33" s="18">
        <f t="shared" si="23"/>
        <v>78</v>
      </c>
      <c r="N33" s="14">
        <f t="shared" si="24"/>
        <v>441</v>
      </c>
      <c r="O33" s="15">
        <f t="shared" si="25"/>
        <v>95</v>
      </c>
      <c r="P33" s="17">
        <f t="shared" si="26"/>
        <v>426</v>
      </c>
      <c r="Q33" s="18">
        <f t="shared" si="27"/>
        <v>95</v>
      </c>
      <c r="R33" s="4" t="s">
        <v>0</v>
      </c>
      <c r="S33" s="16" t="str">
        <f t="shared" si="28"/>
        <v>10-01</v>
      </c>
      <c r="T33" s="14">
        <f t="shared" si="29"/>
        <v>426</v>
      </c>
      <c r="U33" s="18">
        <f t="shared" si="30"/>
        <v>672</v>
      </c>
      <c r="V33" s="14">
        <f t="shared" si="31"/>
        <v>441</v>
      </c>
      <c r="W33" s="18">
        <f t="shared" si="32"/>
        <v>672</v>
      </c>
      <c r="X33" s="14">
        <f t="shared" si="33"/>
        <v>441</v>
      </c>
      <c r="Y33" s="18">
        <f t="shared" si="34"/>
        <v>655</v>
      </c>
      <c r="Z33" s="14">
        <f t="shared" si="35"/>
        <v>426</v>
      </c>
      <c r="AA33" s="18">
        <f t="shared" si="36"/>
        <v>655</v>
      </c>
      <c r="AB33" s="4" t="s">
        <v>0</v>
      </c>
    </row>
    <row r="34" spans="1:28">
      <c r="A34" s="9" t="s">
        <v>451</v>
      </c>
      <c r="B34" s="24"/>
      <c r="C34" s="26">
        <v>1</v>
      </c>
      <c r="D34" s="25">
        <f>D11</f>
        <v>56</v>
      </c>
      <c r="E34" s="28">
        <f>ROUND(E$11+23.8*$C34, 0)</f>
        <v>102</v>
      </c>
      <c r="F34" s="25">
        <f>F11</f>
        <v>71</v>
      </c>
      <c r="G34" s="28">
        <f>ROUND(G$11+23.8*$C34, 0)</f>
        <v>119</v>
      </c>
      <c r="H34" s="4" t="s">
        <v>0</v>
      </c>
      <c r="I34" s="16" t="str">
        <f t="shared" si="19"/>
        <v>08-28</v>
      </c>
      <c r="J34" s="14">
        <f t="shared" si="20"/>
        <v>56</v>
      </c>
      <c r="K34" s="15">
        <f t="shared" si="21"/>
        <v>102</v>
      </c>
      <c r="L34" s="17">
        <f t="shared" si="22"/>
        <v>71</v>
      </c>
      <c r="M34" s="18">
        <f t="shared" si="23"/>
        <v>102</v>
      </c>
      <c r="N34" s="14">
        <f t="shared" si="24"/>
        <v>71</v>
      </c>
      <c r="O34" s="15">
        <f t="shared" si="25"/>
        <v>119</v>
      </c>
      <c r="P34" s="17">
        <f t="shared" si="26"/>
        <v>56</v>
      </c>
      <c r="Q34" s="18">
        <f t="shared" si="27"/>
        <v>119</v>
      </c>
      <c r="R34" s="4" t="s">
        <v>0</v>
      </c>
      <c r="S34" s="16" t="str">
        <f t="shared" si="28"/>
        <v>08-28</v>
      </c>
      <c r="T34" s="14">
        <f t="shared" si="29"/>
        <v>56</v>
      </c>
      <c r="U34" s="18">
        <f t="shared" si="30"/>
        <v>648</v>
      </c>
      <c r="V34" s="14">
        <f t="shared" si="31"/>
        <v>71</v>
      </c>
      <c r="W34" s="18">
        <f t="shared" si="32"/>
        <v>648</v>
      </c>
      <c r="X34" s="14">
        <f t="shared" si="33"/>
        <v>71</v>
      </c>
      <c r="Y34" s="18">
        <f t="shared" si="34"/>
        <v>631</v>
      </c>
      <c r="Z34" s="14">
        <f t="shared" si="35"/>
        <v>56</v>
      </c>
      <c r="AA34" s="18">
        <f t="shared" si="36"/>
        <v>631</v>
      </c>
      <c r="AB34" s="4" t="s">
        <v>0</v>
      </c>
    </row>
    <row r="35" spans="1:28">
      <c r="A35" s="9" t="s">
        <v>450</v>
      </c>
      <c r="B35" s="24"/>
      <c r="C35" s="26"/>
      <c r="D35" s="25">
        <f>D12</f>
        <v>72</v>
      </c>
      <c r="E35" s="29">
        <f t="shared" ref="E35:G36" si="68">E34</f>
        <v>102</v>
      </c>
      <c r="F35" s="25">
        <f>F12</f>
        <v>87</v>
      </c>
      <c r="G35" s="29">
        <f t="shared" si="68"/>
        <v>119</v>
      </c>
      <c r="H35" s="4" t="s">
        <v>0</v>
      </c>
      <c r="I35" s="16" t="str">
        <f t="shared" si="19"/>
        <v>08-27</v>
      </c>
      <c r="J35" s="14">
        <f t="shared" si="20"/>
        <v>72</v>
      </c>
      <c r="K35" s="15">
        <f t="shared" si="21"/>
        <v>102</v>
      </c>
      <c r="L35" s="17">
        <f t="shared" si="22"/>
        <v>87</v>
      </c>
      <c r="M35" s="18">
        <f t="shared" si="23"/>
        <v>102</v>
      </c>
      <c r="N35" s="14">
        <f t="shared" si="24"/>
        <v>87</v>
      </c>
      <c r="O35" s="15">
        <f t="shared" si="25"/>
        <v>119</v>
      </c>
      <c r="P35" s="17">
        <f t="shared" si="26"/>
        <v>72</v>
      </c>
      <c r="Q35" s="18">
        <f t="shared" si="27"/>
        <v>119</v>
      </c>
      <c r="R35" s="4" t="s">
        <v>0</v>
      </c>
      <c r="S35" s="16" t="str">
        <f t="shared" si="28"/>
        <v>08-27</v>
      </c>
      <c r="T35" s="14">
        <f t="shared" si="29"/>
        <v>72</v>
      </c>
      <c r="U35" s="18">
        <f t="shared" si="30"/>
        <v>648</v>
      </c>
      <c r="V35" s="14">
        <f t="shared" si="31"/>
        <v>87</v>
      </c>
      <c r="W35" s="18">
        <f t="shared" si="32"/>
        <v>648</v>
      </c>
      <c r="X35" s="14">
        <f t="shared" si="33"/>
        <v>87</v>
      </c>
      <c r="Y35" s="18">
        <f t="shared" si="34"/>
        <v>631</v>
      </c>
      <c r="Z35" s="14">
        <f t="shared" si="35"/>
        <v>72</v>
      </c>
      <c r="AA35" s="18">
        <f t="shared" si="36"/>
        <v>631</v>
      </c>
      <c r="AB35" s="4" t="s">
        <v>0</v>
      </c>
    </row>
    <row r="36" spans="1:28">
      <c r="A36" s="9" t="s">
        <v>449</v>
      </c>
      <c r="B36" s="24"/>
      <c r="C36" s="26"/>
      <c r="D36" s="25">
        <f t="shared" ref="D36:D56" si="69">D13</f>
        <v>88</v>
      </c>
      <c r="E36" s="29">
        <f t="shared" si="68"/>
        <v>102</v>
      </c>
      <c r="F36" s="25">
        <f t="shared" ref="F36:F56" si="70">F13</f>
        <v>103</v>
      </c>
      <c r="G36" s="29">
        <f t="shared" si="68"/>
        <v>119</v>
      </c>
      <c r="H36" s="4" t="s">
        <v>0</v>
      </c>
      <c r="I36" s="16" t="str">
        <f t="shared" si="19"/>
        <v>08-26</v>
      </c>
      <c r="J36" s="14">
        <f t="shared" si="20"/>
        <v>88</v>
      </c>
      <c r="K36" s="15">
        <f t="shared" si="21"/>
        <v>102</v>
      </c>
      <c r="L36" s="17">
        <f t="shared" si="22"/>
        <v>103</v>
      </c>
      <c r="M36" s="18">
        <f t="shared" si="23"/>
        <v>102</v>
      </c>
      <c r="N36" s="14">
        <f t="shared" si="24"/>
        <v>103</v>
      </c>
      <c r="O36" s="15">
        <f t="shared" si="25"/>
        <v>119</v>
      </c>
      <c r="P36" s="17">
        <f t="shared" si="26"/>
        <v>88</v>
      </c>
      <c r="Q36" s="18">
        <f t="shared" si="27"/>
        <v>119</v>
      </c>
      <c r="R36" s="4" t="s">
        <v>0</v>
      </c>
      <c r="S36" s="16" t="str">
        <f t="shared" si="28"/>
        <v>08-26</v>
      </c>
      <c r="T36" s="14">
        <f t="shared" si="29"/>
        <v>88</v>
      </c>
      <c r="U36" s="18">
        <f t="shared" si="30"/>
        <v>648</v>
      </c>
      <c r="V36" s="14">
        <f t="shared" si="31"/>
        <v>103</v>
      </c>
      <c r="W36" s="18">
        <f t="shared" si="32"/>
        <v>648</v>
      </c>
      <c r="X36" s="14">
        <f t="shared" si="33"/>
        <v>103</v>
      </c>
      <c r="Y36" s="18">
        <f t="shared" si="34"/>
        <v>631</v>
      </c>
      <c r="Z36" s="14">
        <f t="shared" si="35"/>
        <v>88</v>
      </c>
      <c r="AA36" s="18">
        <f t="shared" si="36"/>
        <v>631</v>
      </c>
      <c r="AB36" s="4" t="s">
        <v>0</v>
      </c>
    </row>
    <row r="37" spans="1:28">
      <c r="A37" s="9" t="s">
        <v>448</v>
      </c>
      <c r="B37" s="24"/>
      <c r="C37" s="26"/>
      <c r="D37" s="25">
        <f t="shared" si="69"/>
        <v>104</v>
      </c>
      <c r="E37" s="29">
        <f t="shared" ref="E37" si="71">E36</f>
        <v>102</v>
      </c>
      <c r="F37" s="25">
        <f t="shared" si="70"/>
        <v>119</v>
      </c>
      <c r="G37" s="29">
        <f t="shared" ref="G37" si="72">G36</f>
        <v>119</v>
      </c>
      <c r="H37" s="4" t="s">
        <v>0</v>
      </c>
      <c r="I37" s="16" t="str">
        <f t="shared" si="19"/>
        <v>08-25</v>
      </c>
      <c r="J37" s="14">
        <f t="shared" si="20"/>
        <v>104</v>
      </c>
      <c r="K37" s="15">
        <f t="shared" si="21"/>
        <v>102</v>
      </c>
      <c r="L37" s="17">
        <f t="shared" si="22"/>
        <v>119</v>
      </c>
      <c r="M37" s="18">
        <f t="shared" si="23"/>
        <v>102</v>
      </c>
      <c r="N37" s="14">
        <f t="shared" si="24"/>
        <v>119</v>
      </c>
      <c r="O37" s="15">
        <f t="shared" si="25"/>
        <v>119</v>
      </c>
      <c r="P37" s="17">
        <f t="shared" si="26"/>
        <v>104</v>
      </c>
      <c r="Q37" s="18">
        <f t="shared" si="27"/>
        <v>119</v>
      </c>
      <c r="R37" s="4" t="s">
        <v>0</v>
      </c>
      <c r="S37" s="16" t="str">
        <f t="shared" si="28"/>
        <v>08-25</v>
      </c>
      <c r="T37" s="14">
        <f t="shared" si="29"/>
        <v>104</v>
      </c>
      <c r="U37" s="18">
        <f t="shared" si="30"/>
        <v>648</v>
      </c>
      <c r="V37" s="14">
        <f t="shared" si="31"/>
        <v>119</v>
      </c>
      <c r="W37" s="18">
        <f t="shared" si="32"/>
        <v>648</v>
      </c>
      <c r="X37" s="14">
        <f t="shared" si="33"/>
        <v>119</v>
      </c>
      <c r="Y37" s="18">
        <f t="shared" si="34"/>
        <v>631</v>
      </c>
      <c r="Z37" s="14">
        <f t="shared" si="35"/>
        <v>104</v>
      </c>
      <c r="AA37" s="18">
        <f t="shared" si="36"/>
        <v>631</v>
      </c>
      <c r="AB37" s="4" t="s">
        <v>0</v>
      </c>
    </row>
    <row r="38" spans="1:28">
      <c r="A38" s="9" t="s">
        <v>447</v>
      </c>
      <c r="B38" s="24"/>
      <c r="C38" s="26"/>
      <c r="D38" s="25">
        <f t="shared" si="69"/>
        <v>120</v>
      </c>
      <c r="E38" s="29">
        <f t="shared" ref="E38" si="73">E37</f>
        <v>102</v>
      </c>
      <c r="F38" s="25">
        <f t="shared" si="70"/>
        <v>135</v>
      </c>
      <c r="G38" s="29">
        <f t="shared" ref="G38" si="74">G37</f>
        <v>119</v>
      </c>
      <c r="H38" s="4" t="s">
        <v>0</v>
      </c>
      <c r="I38" s="16" t="str">
        <f t="shared" si="19"/>
        <v>08-23</v>
      </c>
      <c r="J38" s="14">
        <f t="shared" si="20"/>
        <v>120</v>
      </c>
      <c r="K38" s="15">
        <f t="shared" si="21"/>
        <v>102</v>
      </c>
      <c r="L38" s="17">
        <f t="shared" si="22"/>
        <v>135</v>
      </c>
      <c r="M38" s="18">
        <f t="shared" si="23"/>
        <v>102</v>
      </c>
      <c r="N38" s="14">
        <f t="shared" si="24"/>
        <v>135</v>
      </c>
      <c r="O38" s="15">
        <f t="shared" si="25"/>
        <v>119</v>
      </c>
      <c r="P38" s="17">
        <f t="shared" si="26"/>
        <v>120</v>
      </c>
      <c r="Q38" s="18">
        <f t="shared" si="27"/>
        <v>119</v>
      </c>
      <c r="R38" s="4" t="s">
        <v>0</v>
      </c>
      <c r="S38" s="16" t="str">
        <f t="shared" si="28"/>
        <v>08-23</v>
      </c>
      <c r="T38" s="14">
        <f t="shared" si="29"/>
        <v>120</v>
      </c>
      <c r="U38" s="18">
        <f t="shared" si="30"/>
        <v>648</v>
      </c>
      <c r="V38" s="14">
        <f t="shared" si="31"/>
        <v>135</v>
      </c>
      <c r="W38" s="18">
        <f t="shared" si="32"/>
        <v>648</v>
      </c>
      <c r="X38" s="14">
        <f t="shared" si="33"/>
        <v>135</v>
      </c>
      <c r="Y38" s="18">
        <f t="shared" si="34"/>
        <v>631</v>
      </c>
      <c r="Z38" s="14">
        <f t="shared" si="35"/>
        <v>120</v>
      </c>
      <c r="AA38" s="18">
        <f t="shared" si="36"/>
        <v>631</v>
      </c>
      <c r="AB38" s="4" t="s">
        <v>0</v>
      </c>
    </row>
    <row r="39" spans="1:28">
      <c r="A39" s="9" t="s">
        <v>446</v>
      </c>
      <c r="B39" s="24"/>
      <c r="C39" s="26"/>
      <c r="D39" s="25">
        <f t="shared" si="69"/>
        <v>136</v>
      </c>
      <c r="E39" s="29">
        <f t="shared" ref="E39" si="75">E38</f>
        <v>102</v>
      </c>
      <c r="F39" s="25">
        <f t="shared" si="70"/>
        <v>151</v>
      </c>
      <c r="G39" s="29">
        <f t="shared" ref="G39" si="76">G38</f>
        <v>119</v>
      </c>
      <c r="H39" s="4" t="s">
        <v>0</v>
      </c>
      <c r="I39" s="16" t="str">
        <f t="shared" si="19"/>
        <v>08-22</v>
      </c>
      <c r="J39" s="14">
        <f t="shared" si="20"/>
        <v>136</v>
      </c>
      <c r="K39" s="15">
        <f t="shared" si="21"/>
        <v>102</v>
      </c>
      <c r="L39" s="17">
        <f t="shared" si="22"/>
        <v>151</v>
      </c>
      <c r="M39" s="18">
        <f t="shared" si="23"/>
        <v>102</v>
      </c>
      <c r="N39" s="14">
        <f t="shared" si="24"/>
        <v>151</v>
      </c>
      <c r="O39" s="15">
        <f t="shared" si="25"/>
        <v>119</v>
      </c>
      <c r="P39" s="17">
        <f t="shared" si="26"/>
        <v>136</v>
      </c>
      <c r="Q39" s="18">
        <f t="shared" si="27"/>
        <v>119</v>
      </c>
      <c r="R39" s="4" t="s">
        <v>0</v>
      </c>
      <c r="S39" s="16" t="str">
        <f t="shared" si="28"/>
        <v>08-22</v>
      </c>
      <c r="T39" s="14">
        <f t="shared" si="29"/>
        <v>136</v>
      </c>
      <c r="U39" s="18">
        <f t="shared" si="30"/>
        <v>648</v>
      </c>
      <c r="V39" s="14">
        <f t="shared" si="31"/>
        <v>151</v>
      </c>
      <c r="W39" s="18">
        <f t="shared" si="32"/>
        <v>648</v>
      </c>
      <c r="X39" s="14">
        <f t="shared" si="33"/>
        <v>151</v>
      </c>
      <c r="Y39" s="18">
        <f t="shared" si="34"/>
        <v>631</v>
      </c>
      <c r="Z39" s="14">
        <f t="shared" si="35"/>
        <v>136</v>
      </c>
      <c r="AA39" s="18">
        <f t="shared" si="36"/>
        <v>631</v>
      </c>
      <c r="AB39" s="4" t="s">
        <v>0</v>
      </c>
    </row>
    <row r="40" spans="1:28">
      <c r="A40" s="9" t="s">
        <v>186</v>
      </c>
      <c r="B40" s="24"/>
      <c r="C40" s="26"/>
      <c r="D40" s="25">
        <f t="shared" si="69"/>
        <v>151</v>
      </c>
      <c r="E40" s="29">
        <f t="shared" ref="E40" si="77">E39</f>
        <v>102</v>
      </c>
      <c r="F40" s="25">
        <f t="shared" si="70"/>
        <v>166</v>
      </c>
      <c r="G40" s="29">
        <f t="shared" ref="G40:G56" si="78">G39</f>
        <v>119</v>
      </c>
      <c r="H40" s="4" t="s">
        <v>0</v>
      </c>
      <c r="I40" s="16" t="str">
        <f t="shared" si="19"/>
        <v>08-21</v>
      </c>
      <c r="J40" s="14">
        <f t="shared" si="20"/>
        <v>151</v>
      </c>
      <c r="K40" s="15">
        <f t="shared" si="21"/>
        <v>102</v>
      </c>
      <c r="L40" s="17">
        <f t="shared" si="22"/>
        <v>166</v>
      </c>
      <c r="M40" s="18">
        <f t="shared" si="23"/>
        <v>102</v>
      </c>
      <c r="N40" s="14">
        <f t="shared" si="24"/>
        <v>166</v>
      </c>
      <c r="O40" s="15">
        <f t="shared" si="25"/>
        <v>119</v>
      </c>
      <c r="P40" s="17">
        <f t="shared" si="26"/>
        <v>151</v>
      </c>
      <c r="Q40" s="18">
        <f t="shared" si="27"/>
        <v>119</v>
      </c>
      <c r="R40" s="4" t="s">
        <v>0</v>
      </c>
      <c r="S40" s="16" t="str">
        <f t="shared" si="28"/>
        <v>08-21</v>
      </c>
      <c r="T40" s="14">
        <f t="shared" si="29"/>
        <v>151</v>
      </c>
      <c r="U40" s="18">
        <f t="shared" si="30"/>
        <v>648</v>
      </c>
      <c r="V40" s="14">
        <f t="shared" si="31"/>
        <v>166</v>
      </c>
      <c r="W40" s="18">
        <f t="shared" si="32"/>
        <v>648</v>
      </c>
      <c r="X40" s="14">
        <f t="shared" si="33"/>
        <v>166</v>
      </c>
      <c r="Y40" s="18">
        <f t="shared" si="34"/>
        <v>631</v>
      </c>
      <c r="Z40" s="14">
        <f t="shared" si="35"/>
        <v>151</v>
      </c>
      <c r="AA40" s="18">
        <f t="shared" si="36"/>
        <v>631</v>
      </c>
      <c r="AB40" s="4" t="s">
        <v>0</v>
      </c>
    </row>
    <row r="41" spans="1:28">
      <c r="A41" s="9" t="s">
        <v>185</v>
      </c>
      <c r="B41" s="24"/>
      <c r="C41" s="26"/>
      <c r="D41" s="25">
        <f t="shared" si="69"/>
        <v>167</v>
      </c>
      <c r="E41" s="29">
        <f t="shared" ref="E41" si="79">E40</f>
        <v>102</v>
      </c>
      <c r="F41" s="25">
        <f t="shared" si="70"/>
        <v>182</v>
      </c>
      <c r="G41" s="29">
        <f t="shared" si="78"/>
        <v>119</v>
      </c>
      <c r="H41" s="4" t="s">
        <v>0</v>
      </c>
      <c r="I41" s="16" t="str">
        <f t="shared" si="19"/>
        <v>08-20</v>
      </c>
      <c r="J41" s="14">
        <f t="shared" si="20"/>
        <v>167</v>
      </c>
      <c r="K41" s="15">
        <f t="shared" si="21"/>
        <v>102</v>
      </c>
      <c r="L41" s="17">
        <f t="shared" si="22"/>
        <v>182</v>
      </c>
      <c r="M41" s="18">
        <f t="shared" si="23"/>
        <v>102</v>
      </c>
      <c r="N41" s="14">
        <f t="shared" si="24"/>
        <v>182</v>
      </c>
      <c r="O41" s="15">
        <f t="shared" si="25"/>
        <v>119</v>
      </c>
      <c r="P41" s="17">
        <f t="shared" si="26"/>
        <v>167</v>
      </c>
      <c r="Q41" s="18">
        <f t="shared" si="27"/>
        <v>119</v>
      </c>
      <c r="R41" s="4" t="s">
        <v>0</v>
      </c>
      <c r="S41" s="16" t="str">
        <f t="shared" si="28"/>
        <v>08-20</v>
      </c>
      <c r="T41" s="14">
        <f t="shared" si="29"/>
        <v>167</v>
      </c>
      <c r="U41" s="18">
        <f t="shared" si="30"/>
        <v>648</v>
      </c>
      <c r="V41" s="14">
        <f t="shared" si="31"/>
        <v>182</v>
      </c>
      <c r="W41" s="18">
        <f t="shared" si="32"/>
        <v>648</v>
      </c>
      <c r="X41" s="14">
        <f t="shared" si="33"/>
        <v>182</v>
      </c>
      <c r="Y41" s="18">
        <f t="shared" si="34"/>
        <v>631</v>
      </c>
      <c r="Z41" s="14">
        <f t="shared" si="35"/>
        <v>167</v>
      </c>
      <c r="AA41" s="18">
        <f t="shared" si="36"/>
        <v>631</v>
      </c>
      <c r="AB41" s="4" t="s">
        <v>0</v>
      </c>
    </row>
    <row r="42" spans="1:28">
      <c r="A42" s="9" t="s">
        <v>184</v>
      </c>
      <c r="B42" s="24"/>
      <c r="C42" s="26"/>
      <c r="D42" s="25">
        <f t="shared" si="69"/>
        <v>183</v>
      </c>
      <c r="E42" s="29">
        <f t="shared" ref="E42" si="80">E41</f>
        <v>102</v>
      </c>
      <c r="F42" s="25">
        <f t="shared" si="70"/>
        <v>198</v>
      </c>
      <c r="G42" s="29">
        <f t="shared" si="78"/>
        <v>119</v>
      </c>
      <c r="H42" s="4" t="s">
        <v>0</v>
      </c>
      <c r="I42" s="16" t="str">
        <f t="shared" si="19"/>
        <v>08-18</v>
      </c>
      <c r="J42" s="14">
        <f t="shared" si="20"/>
        <v>183</v>
      </c>
      <c r="K42" s="15">
        <f t="shared" si="21"/>
        <v>102</v>
      </c>
      <c r="L42" s="17">
        <f t="shared" si="22"/>
        <v>198</v>
      </c>
      <c r="M42" s="18">
        <f t="shared" si="23"/>
        <v>102</v>
      </c>
      <c r="N42" s="14">
        <f t="shared" si="24"/>
        <v>198</v>
      </c>
      <c r="O42" s="15">
        <f t="shared" si="25"/>
        <v>119</v>
      </c>
      <c r="P42" s="17">
        <f t="shared" si="26"/>
        <v>183</v>
      </c>
      <c r="Q42" s="18">
        <f t="shared" si="27"/>
        <v>119</v>
      </c>
      <c r="R42" s="4" t="s">
        <v>0</v>
      </c>
      <c r="S42" s="16" t="str">
        <f t="shared" si="28"/>
        <v>08-18</v>
      </c>
      <c r="T42" s="14">
        <f t="shared" si="29"/>
        <v>183</v>
      </c>
      <c r="U42" s="18">
        <f t="shared" si="30"/>
        <v>648</v>
      </c>
      <c r="V42" s="14">
        <f t="shared" si="31"/>
        <v>198</v>
      </c>
      <c r="W42" s="18">
        <f t="shared" si="32"/>
        <v>648</v>
      </c>
      <c r="X42" s="14">
        <f t="shared" si="33"/>
        <v>198</v>
      </c>
      <c r="Y42" s="18">
        <f t="shared" si="34"/>
        <v>631</v>
      </c>
      <c r="Z42" s="14">
        <f t="shared" si="35"/>
        <v>183</v>
      </c>
      <c r="AA42" s="18">
        <f t="shared" si="36"/>
        <v>631</v>
      </c>
      <c r="AB42" s="4" t="s">
        <v>0</v>
      </c>
    </row>
    <row r="43" spans="1:28">
      <c r="A43" s="9" t="s">
        <v>183</v>
      </c>
      <c r="B43" s="24"/>
      <c r="C43" s="26"/>
      <c r="D43" s="25">
        <f t="shared" si="69"/>
        <v>199</v>
      </c>
      <c r="E43" s="29">
        <f t="shared" ref="E43" si="81">E42</f>
        <v>102</v>
      </c>
      <c r="F43" s="25">
        <f t="shared" si="70"/>
        <v>214</v>
      </c>
      <c r="G43" s="29">
        <f t="shared" si="78"/>
        <v>119</v>
      </c>
      <c r="H43" s="4" t="s">
        <v>0</v>
      </c>
      <c r="I43" s="16" t="str">
        <f t="shared" si="19"/>
        <v>08-17</v>
      </c>
      <c r="J43" s="14">
        <f t="shared" si="20"/>
        <v>199</v>
      </c>
      <c r="K43" s="15">
        <f t="shared" si="21"/>
        <v>102</v>
      </c>
      <c r="L43" s="17">
        <f t="shared" si="22"/>
        <v>214</v>
      </c>
      <c r="M43" s="18">
        <f t="shared" si="23"/>
        <v>102</v>
      </c>
      <c r="N43" s="14">
        <f t="shared" si="24"/>
        <v>214</v>
      </c>
      <c r="O43" s="15">
        <f t="shared" si="25"/>
        <v>119</v>
      </c>
      <c r="P43" s="17">
        <f t="shared" si="26"/>
        <v>199</v>
      </c>
      <c r="Q43" s="18">
        <f t="shared" si="27"/>
        <v>119</v>
      </c>
      <c r="R43" s="4" t="s">
        <v>0</v>
      </c>
      <c r="S43" s="16" t="str">
        <f t="shared" si="28"/>
        <v>08-17</v>
      </c>
      <c r="T43" s="14">
        <f t="shared" si="29"/>
        <v>199</v>
      </c>
      <c r="U43" s="18">
        <f t="shared" si="30"/>
        <v>648</v>
      </c>
      <c r="V43" s="14">
        <f t="shared" si="31"/>
        <v>214</v>
      </c>
      <c r="W43" s="18">
        <f t="shared" si="32"/>
        <v>648</v>
      </c>
      <c r="X43" s="14">
        <f t="shared" si="33"/>
        <v>214</v>
      </c>
      <c r="Y43" s="18">
        <f t="shared" si="34"/>
        <v>631</v>
      </c>
      <c r="Z43" s="14">
        <f t="shared" si="35"/>
        <v>199</v>
      </c>
      <c r="AA43" s="18">
        <f t="shared" si="36"/>
        <v>631</v>
      </c>
      <c r="AB43" s="4" t="s">
        <v>0</v>
      </c>
    </row>
    <row r="44" spans="1:28">
      <c r="A44" s="9" t="s">
        <v>182</v>
      </c>
      <c r="B44" s="24"/>
      <c r="C44" s="26"/>
      <c r="D44" s="25">
        <f t="shared" si="69"/>
        <v>215</v>
      </c>
      <c r="E44" s="29">
        <f t="shared" ref="E44" si="82">E43</f>
        <v>102</v>
      </c>
      <c r="F44" s="25">
        <f t="shared" si="70"/>
        <v>230</v>
      </c>
      <c r="G44" s="29">
        <f t="shared" si="78"/>
        <v>119</v>
      </c>
      <c r="H44" s="4" t="s">
        <v>0</v>
      </c>
      <c r="I44" s="16" t="str">
        <f t="shared" si="19"/>
        <v>08-16</v>
      </c>
      <c r="J44" s="14">
        <f t="shared" si="20"/>
        <v>215</v>
      </c>
      <c r="K44" s="15">
        <f t="shared" si="21"/>
        <v>102</v>
      </c>
      <c r="L44" s="17">
        <f t="shared" si="22"/>
        <v>230</v>
      </c>
      <c r="M44" s="18">
        <f t="shared" si="23"/>
        <v>102</v>
      </c>
      <c r="N44" s="14">
        <f t="shared" si="24"/>
        <v>230</v>
      </c>
      <c r="O44" s="15">
        <f t="shared" si="25"/>
        <v>119</v>
      </c>
      <c r="P44" s="17">
        <f t="shared" si="26"/>
        <v>215</v>
      </c>
      <c r="Q44" s="18">
        <f t="shared" si="27"/>
        <v>119</v>
      </c>
      <c r="R44" s="4" t="s">
        <v>0</v>
      </c>
      <c r="S44" s="16" t="str">
        <f t="shared" si="28"/>
        <v>08-16</v>
      </c>
      <c r="T44" s="14">
        <f t="shared" si="29"/>
        <v>215</v>
      </c>
      <c r="U44" s="18">
        <f t="shared" si="30"/>
        <v>648</v>
      </c>
      <c r="V44" s="14">
        <f t="shared" si="31"/>
        <v>230</v>
      </c>
      <c r="W44" s="18">
        <f t="shared" si="32"/>
        <v>648</v>
      </c>
      <c r="X44" s="14">
        <f t="shared" si="33"/>
        <v>230</v>
      </c>
      <c r="Y44" s="18">
        <f t="shared" si="34"/>
        <v>631</v>
      </c>
      <c r="Z44" s="14">
        <f t="shared" si="35"/>
        <v>215</v>
      </c>
      <c r="AA44" s="18">
        <f t="shared" si="36"/>
        <v>631</v>
      </c>
      <c r="AB44" s="4" t="s">
        <v>0</v>
      </c>
    </row>
    <row r="45" spans="1:28">
      <c r="A45" s="9" t="s">
        <v>181</v>
      </c>
      <c r="B45" s="24"/>
      <c r="C45" s="26"/>
      <c r="D45" s="25">
        <f t="shared" si="69"/>
        <v>231</v>
      </c>
      <c r="E45" s="29">
        <f t="shared" ref="E45" si="83">E44</f>
        <v>102</v>
      </c>
      <c r="F45" s="25">
        <f t="shared" si="70"/>
        <v>246</v>
      </c>
      <c r="G45" s="29">
        <f t="shared" si="78"/>
        <v>119</v>
      </c>
      <c r="H45" s="4" t="s">
        <v>0</v>
      </c>
      <c r="I45" s="16" t="str">
        <f t="shared" si="19"/>
        <v>08-15</v>
      </c>
      <c r="J45" s="14">
        <f t="shared" si="20"/>
        <v>231</v>
      </c>
      <c r="K45" s="15">
        <f t="shared" si="21"/>
        <v>102</v>
      </c>
      <c r="L45" s="17">
        <f t="shared" si="22"/>
        <v>246</v>
      </c>
      <c r="M45" s="18">
        <f t="shared" si="23"/>
        <v>102</v>
      </c>
      <c r="N45" s="14">
        <f t="shared" si="24"/>
        <v>246</v>
      </c>
      <c r="O45" s="15">
        <f t="shared" si="25"/>
        <v>119</v>
      </c>
      <c r="P45" s="17">
        <f t="shared" si="26"/>
        <v>231</v>
      </c>
      <c r="Q45" s="18">
        <f t="shared" si="27"/>
        <v>119</v>
      </c>
      <c r="R45" s="4" t="s">
        <v>0</v>
      </c>
      <c r="S45" s="16" t="str">
        <f t="shared" si="28"/>
        <v>08-15</v>
      </c>
      <c r="T45" s="14">
        <f t="shared" si="29"/>
        <v>231</v>
      </c>
      <c r="U45" s="18">
        <f t="shared" si="30"/>
        <v>648</v>
      </c>
      <c r="V45" s="14">
        <f t="shared" si="31"/>
        <v>246</v>
      </c>
      <c r="W45" s="18">
        <f t="shared" si="32"/>
        <v>648</v>
      </c>
      <c r="X45" s="14">
        <f t="shared" si="33"/>
        <v>246</v>
      </c>
      <c r="Y45" s="18">
        <f t="shared" si="34"/>
        <v>631</v>
      </c>
      <c r="Z45" s="14">
        <f t="shared" si="35"/>
        <v>231</v>
      </c>
      <c r="AA45" s="18">
        <f t="shared" si="36"/>
        <v>631</v>
      </c>
      <c r="AB45" s="4" t="s">
        <v>0</v>
      </c>
    </row>
    <row r="46" spans="1:28">
      <c r="A46" s="9" t="s">
        <v>180</v>
      </c>
      <c r="B46" s="24"/>
      <c r="C46" s="26"/>
      <c r="D46" s="25">
        <f t="shared" si="69"/>
        <v>267</v>
      </c>
      <c r="E46" s="29">
        <f t="shared" ref="E46" si="84">E45</f>
        <v>102</v>
      </c>
      <c r="F46" s="25">
        <f t="shared" si="70"/>
        <v>282</v>
      </c>
      <c r="G46" s="29">
        <f t="shared" si="78"/>
        <v>119</v>
      </c>
      <c r="H46" s="4" t="s">
        <v>0</v>
      </c>
      <c r="I46" s="16" t="str">
        <f t="shared" si="19"/>
        <v>08-13</v>
      </c>
      <c r="J46" s="14">
        <f t="shared" si="20"/>
        <v>267</v>
      </c>
      <c r="K46" s="15">
        <f t="shared" si="21"/>
        <v>102</v>
      </c>
      <c r="L46" s="17">
        <f t="shared" si="22"/>
        <v>282</v>
      </c>
      <c r="M46" s="18">
        <f t="shared" si="23"/>
        <v>102</v>
      </c>
      <c r="N46" s="14">
        <f t="shared" si="24"/>
        <v>282</v>
      </c>
      <c r="O46" s="15">
        <f t="shared" si="25"/>
        <v>119</v>
      </c>
      <c r="P46" s="17">
        <f t="shared" si="26"/>
        <v>267</v>
      </c>
      <c r="Q46" s="18">
        <f t="shared" si="27"/>
        <v>119</v>
      </c>
      <c r="R46" s="4" t="s">
        <v>0</v>
      </c>
      <c r="S46" s="16" t="str">
        <f t="shared" si="28"/>
        <v>08-13</v>
      </c>
      <c r="T46" s="14">
        <f t="shared" si="29"/>
        <v>267</v>
      </c>
      <c r="U46" s="18">
        <f t="shared" si="30"/>
        <v>648</v>
      </c>
      <c r="V46" s="14">
        <f t="shared" si="31"/>
        <v>282</v>
      </c>
      <c r="W46" s="18">
        <f t="shared" si="32"/>
        <v>648</v>
      </c>
      <c r="X46" s="14">
        <f t="shared" si="33"/>
        <v>282</v>
      </c>
      <c r="Y46" s="18">
        <f t="shared" si="34"/>
        <v>631</v>
      </c>
      <c r="Z46" s="14">
        <f t="shared" si="35"/>
        <v>267</v>
      </c>
      <c r="AA46" s="18">
        <f t="shared" si="36"/>
        <v>631</v>
      </c>
      <c r="AB46" s="4" t="s">
        <v>0</v>
      </c>
    </row>
    <row r="47" spans="1:28">
      <c r="A47" s="9" t="s">
        <v>78</v>
      </c>
      <c r="B47" s="24"/>
      <c r="C47" s="26"/>
      <c r="D47" s="25">
        <f t="shared" si="69"/>
        <v>283</v>
      </c>
      <c r="E47" s="29">
        <f t="shared" ref="E47" si="85">E46</f>
        <v>102</v>
      </c>
      <c r="F47" s="25">
        <f t="shared" si="70"/>
        <v>298</v>
      </c>
      <c r="G47" s="29">
        <f t="shared" si="78"/>
        <v>119</v>
      </c>
      <c r="H47" s="4" t="s">
        <v>0</v>
      </c>
      <c r="I47" s="16" t="str">
        <f t="shared" si="19"/>
        <v>08-12</v>
      </c>
      <c r="J47" s="14">
        <f t="shared" si="20"/>
        <v>283</v>
      </c>
      <c r="K47" s="15">
        <f t="shared" si="21"/>
        <v>102</v>
      </c>
      <c r="L47" s="17">
        <f t="shared" si="22"/>
        <v>298</v>
      </c>
      <c r="M47" s="18">
        <f t="shared" si="23"/>
        <v>102</v>
      </c>
      <c r="N47" s="14">
        <f t="shared" si="24"/>
        <v>298</v>
      </c>
      <c r="O47" s="15">
        <f t="shared" si="25"/>
        <v>119</v>
      </c>
      <c r="P47" s="17">
        <f t="shared" si="26"/>
        <v>283</v>
      </c>
      <c r="Q47" s="18">
        <f t="shared" si="27"/>
        <v>119</v>
      </c>
      <c r="R47" s="4" t="s">
        <v>0</v>
      </c>
      <c r="S47" s="16" t="str">
        <f t="shared" si="28"/>
        <v>08-12</v>
      </c>
      <c r="T47" s="14">
        <f t="shared" si="29"/>
        <v>283</v>
      </c>
      <c r="U47" s="18">
        <f t="shared" si="30"/>
        <v>648</v>
      </c>
      <c r="V47" s="14">
        <f t="shared" si="31"/>
        <v>298</v>
      </c>
      <c r="W47" s="18">
        <f t="shared" si="32"/>
        <v>648</v>
      </c>
      <c r="X47" s="14">
        <f t="shared" si="33"/>
        <v>298</v>
      </c>
      <c r="Y47" s="18">
        <f t="shared" si="34"/>
        <v>631</v>
      </c>
      <c r="Z47" s="14">
        <f t="shared" si="35"/>
        <v>283</v>
      </c>
      <c r="AA47" s="18">
        <f t="shared" si="36"/>
        <v>631</v>
      </c>
      <c r="AB47" s="4" t="s">
        <v>0</v>
      </c>
    </row>
    <row r="48" spans="1:28">
      <c r="A48" s="9" t="s">
        <v>77</v>
      </c>
      <c r="B48" s="24"/>
      <c r="C48" s="26"/>
      <c r="D48" s="25">
        <f t="shared" si="69"/>
        <v>299</v>
      </c>
      <c r="E48" s="29">
        <f t="shared" ref="E48" si="86">E47</f>
        <v>102</v>
      </c>
      <c r="F48" s="25">
        <f t="shared" si="70"/>
        <v>314</v>
      </c>
      <c r="G48" s="29">
        <f t="shared" si="78"/>
        <v>119</v>
      </c>
      <c r="H48" s="4" t="s">
        <v>0</v>
      </c>
      <c r="I48" s="16" t="str">
        <f t="shared" si="19"/>
        <v>08-11</v>
      </c>
      <c r="J48" s="14">
        <f t="shared" si="20"/>
        <v>299</v>
      </c>
      <c r="K48" s="15">
        <f t="shared" si="21"/>
        <v>102</v>
      </c>
      <c r="L48" s="17">
        <f t="shared" si="22"/>
        <v>314</v>
      </c>
      <c r="M48" s="18">
        <f t="shared" si="23"/>
        <v>102</v>
      </c>
      <c r="N48" s="14">
        <f t="shared" si="24"/>
        <v>314</v>
      </c>
      <c r="O48" s="15">
        <f t="shared" si="25"/>
        <v>119</v>
      </c>
      <c r="P48" s="17">
        <f t="shared" si="26"/>
        <v>299</v>
      </c>
      <c r="Q48" s="18">
        <f t="shared" si="27"/>
        <v>119</v>
      </c>
      <c r="R48" s="4" t="s">
        <v>0</v>
      </c>
      <c r="S48" s="16" t="str">
        <f t="shared" si="28"/>
        <v>08-11</v>
      </c>
      <c r="T48" s="14">
        <f t="shared" si="29"/>
        <v>299</v>
      </c>
      <c r="U48" s="18">
        <f t="shared" si="30"/>
        <v>648</v>
      </c>
      <c r="V48" s="14">
        <f t="shared" si="31"/>
        <v>314</v>
      </c>
      <c r="W48" s="18">
        <f t="shared" si="32"/>
        <v>648</v>
      </c>
      <c r="X48" s="14">
        <f t="shared" si="33"/>
        <v>314</v>
      </c>
      <c r="Y48" s="18">
        <f t="shared" si="34"/>
        <v>631</v>
      </c>
      <c r="Z48" s="14">
        <f t="shared" si="35"/>
        <v>299</v>
      </c>
      <c r="AA48" s="18">
        <f t="shared" si="36"/>
        <v>631</v>
      </c>
      <c r="AB48" s="4" t="s">
        <v>0</v>
      </c>
    </row>
    <row r="49" spans="1:28">
      <c r="A49" s="9" t="s">
        <v>76</v>
      </c>
      <c r="B49" s="24"/>
      <c r="C49" s="26"/>
      <c r="D49" s="25">
        <f t="shared" si="69"/>
        <v>315</v>
      </c>
      <c r="E49" s="29">
        <f t="shared" ref="E49" si="87">E48</f>
        <v>102</v>
      </c>
      <c r="F49" s="25">
        <f t="shared" si="70"/>
        <v>330</v>
      </c>
      <c r="G49" s="29">
        <f t="shared" si="78"/>
        <v>119</v>
      </c>
      <c r="H49" s="4" t="s">
        <v>0</v>
      </c>
      <c r="I49" s="16" t="str">
        <f t="shared" si="19"/>
        <v>08-10</v>
      </c>
      <c r="J49" s="14">
        <f t="shared" si="20"/>
        <v>315</v>
      </c>
      <c r="K49" s="15">
        <f t="shared" si="21"/>
        <v>102</v>
      </c>
      <c r="L49" s="17">
        <f t="shared" si="22"/>
        <v>330</v>
      </c>
      <c r="M49" s="18">
        <f t="shared" si="23"/>
        <v>102</v>
      </c>
      <c r="N49" s="14">
        <f t="shared" si="24"/>
        <v>330</v>
      </c>
      <c r="O49" s="15">
        <f t="shared" si="25"/>
        <v>119</v>
      </c>
      <c r="P49" s="17">
        <f t="shared" si="26"/>
        <v>315</v>
      </c>
      <c r="Q49" s="18">
        <f t="shared" si="27"/>
        <v>119</v>
      </c>
      <c r="R49" s="4" t="s">
        <v>0</v>
      </c>
      <c r="S49" s="16" t="str">
        <f t="shared" si="28"/>
        <v>08-10</v>
      </c>
      <c r="T49" s="14">
        <f t="shared" si="29"/>
        <v>315</v>
      </c>
      <c r="U49" s="18">
        <f t="shared" si="30"/>
        <v>648</v>
      </c>
      <c r="V49" s="14">
        <f t="shared" si="31"/>
        <v>330</v>
      </c>
      <c r="W49" s="18">
        <f t="shared" si="32"/>
        <v>648</v>
      </c>
      <c r="X49" s="14">
        <f t="shared" si="33"/>
        <v>330</v>
      </c>
      <c r="Y49" s="18">
        <f t="shared" si="34"/>
        <v>631</v>
      </c>
      <c r="Z49" s="14">
        <f t="shared" si="35"/>
        <v>315</v>
      </c>
      <c r="AA49" s="18">
        <f t="shared" si="36"/>
        <v>631</v>
      </c>
      <c r="AB49" s="4" t="s">
        <v>0</v>
      </c>
    </row>
    <row r="50" spans="1:28">
      <c r="A50" s="9" t="s">
        <v>75</v>
      </c>
      <c r="B50" s="24"/>
      <c r="C50" s="26"/>
      <c r="D50" s="25">
        <f t="shared" si="69"/>
        <v>331</v>
      </c>
      <c r="E50" s="29">
        <f t="shared" ref="E50" si="88">E49</f>
        <v>102</v>
      </c>
      <c r="F50" s="25">
        <f t="shared" si="70"/>
        <v>346</v>
      </c>
      <c r="G50" s="29">
        <f t="shared" si="78"/>
        <v>119</v>
      </c>
      <c r="H50" s="4" t="s">
        <v>0</v>
      </c>
      <c r="I50" s="16" t="str">
        <f t="shared" si="19"/>
        <v>08-08</v>
      </c>
      <c r="J50" s="14">
        <f t="shared" si="20"/>
        <v>331</v>
      </c>
      <c r="K50" s="15">
        <f t="shared" si="21"/>
        <v>102</v>
      </c>
      <c r="L50" s="17">
        <f t="shared" si="22"/>
        <v>346</v>
      </c>
      <c r="M50" s="18">
        <f t="shared" si="23"/>
        <v>102</v>
      </c>
      <c r="N50" s="14">
        <f t="shared" si="24"/>
        <v>346</v>
      </c>
      <c r="O50" s="15">
        <f t="shared" si="25"/>
        <v>119</v>
      </c>
      <c r="P50" s="17">
        <f t="shared" si="26"/>
        <v>331</v>
      </c>
      <c r="Q50" s="18">
        <f t="shared" si="27"/>
        <v>119</v>
      </c>
      <c r="R50" s="4" t="s">
        <v>0</v>
      </c>
      <c r="S50" s="16" t="str">
        <f t="shared" si="28"/>
        <v>08-08</v>
      </c>
      <c r="T50" s="14">
        <f t="shared" si="29"/>
        <v>331</v>
      </c>
      <c r="U50" s="18">
        <f t="shared" si="30"/>
        <v>648</v>
      </c>
      <c r="V50" s="14">
        <f t="shared" si="31"/>
        <v>346</v>
      </c>
      <c r="W50" s="18">
        <f t="shared" si="32"/>
        <v>648</v>
      </c>
      <c r="X50" s="14">
        <f t="shared" si="33"/>
        <v>346</v>
      </c>
      <c r="Y50" s="18">
        <f t="shared" si="34"/>
        <v>631</v>
      </c>
      <c r="Z50" s="14">
        <f t="shared" si="35"/>
        <v>331</v>
      </c>
      <c r="AA50" s="18">
        <f t="shared" si="36"/>
        <v>631</v>
      </c>
      <c r="AB50" s="4" t="s">
        <v>0</v>
      </c>
    </row>
    <row r="51" spans="1:28">
      <c r="A51" s="9" t="s">
        <v>74</v>
      </c>
      <c r="B51" s="24"/>
      <c r="C51" s="26"/>
      <c r="D51" s="25">
        <f t="shared" si="69"/>
        <v>347</v>
      </c>
      <c r="E51" s="29">
        <f t="shared" ref="E51" si="89">E50</f>
        <v>102</v>
      </c>
      <c r="F51" s="25">
        <f t="shared" si="70"/>
        <v>362</v>
      </c>
      <c r="G51" s="29">
        <f t="shared" si="78"/>
        <v>119</v>
      </c>
      <c r="H51" s="4" t="s">
        <v>0</v>
      </c>
      <c r="I51" s="16" t="str">
        <f t="shared" si="19"/>
        <v>08-07</v>
      </c>
      <c r="J51" s="14">
        <f t="shared" si="20"/>
        <v>347</v>
      </c>
      <c r="K51" s="15">
        <f t="shared" si="21"/>
        <v>102</v>
      </c>
      <c r="L51" s="17">
        <f t="shared" si="22"/>
        <v>362</v>
      </c>
      <c r="M51" s="18">
        <f t="shared" si="23"/>
        <v>102</v>
      </c>
      <c r="N51" s="14">
        <f t="shared" si="24"/>
        <v>362</v>
      </c>
      <c r="O51" s="15">
        <f t="shared" si="25"/>
        <v>119</v>
      </c>
      <c r="P51" s="17">
        <f t="shared" si="26"/>
        <v>347</v>
      </c>
      <c r="Q51" s="18">
        <f t="shared" si="27"/>
        <v>119</v>
      </c>
      <c r="R51" s="4" t="s">
        <v>0</v>
      </c>
      <c r="S51" s="16" t="str">
        <f t="shared" si="28"/>
        <v>08-07</v>
      </c>
      <c r="T51" s="14">
        <f t="shared" si="29"/>
        <v>347</v>
      </c>
      <c r="U51" s="18">
        <f t="shared" si="30"/>
        <v>648</v>
      </c>
      <c r="V51" s="14">
        <f t="shared" si="31"/>
        <v>362</v>
      </c>
      <c r="W51" s="18">
        <f t="shared" si="32"/>
        <v>648</v>
      </c>
      <c r="X51" s="14">
        <f t="shared" si="33"/>
        <v>362</v>
      </c>
      <c r="Y51" s="18">
        <f t="shared" si="34"/>
        <v>631</v>
      </c>
      <c r="Z51" s="14">
        <f t="shared" si="35"/>
        <v>347</v>
      </c>
      <c r="AA51" s="18">
        <f t="shared" si="36"/>
        <v>631</v>
      </c>
      <c r="AB51" s="4" t="s">
        <v>0</v>
      </c>
    </row>
    <row r="52" spans="1:28">
      <c r="A52" s="9" t="s">
        <v>73</v>
      </c>
      <c r="B52" s="24"/>
      <c r="C52" s="26"/>
      <c r="D52" s="25">
        <f t="shared" si="69"/>
        <v>362</v>
      </c>
      <c r="E52" s="29">
        <f t="shared" ref="E52" si="90">E51</f>
        <v>102</v>
      </c>
      <c r="F52" s="25">
        <f t="shared" si="70"/>
        <v>377</v>
      </c>
      <c r="G52" s="29">
        <f t="shared" si="78"/>
        <v>119</v>
      </c>
      <c r="H52" s="4" t="s">
        <v>0</v>
      </c>
      <c r="I52" s="16" t="str">
        <f t="shared" si="19"/>
        <v>08-06</v>
      </c>
      <c r="J52" s="14">
        <f t="shared" si="20"/>
        <v>362</v>
      </c>
      <c r="K52" s="15">
        <f t="shared" si="21"/>
        <v>102</v>
      </c>
      <c r="L52" s="17">
        <f t="shared" si="22"/>
        <v>377</v>
      </c>
      <c r="M52" s="18">
        <f t="shared" si="23"/>
        <v>102</v>
      </c>
      <c r="N52" s="14">
        <f t="shared" si="24"/>
        <v>377</v>
      </c>
      <c r="O52" s="15">
        <f t="shared" si="25"/>
        <v>119</v>
      </c>
      <c r="P52" s="17">
        <f t="shared" si="26"/>
        <v>362</v>
      </c>
      <c r="Q52" s="18">
        <f t="shared" si="27"/>
        <v>119</v>
      </c>
      <c r="R52" s="4" t="s">
        <v>0</v>
      </c>
      <c r="S52" s="16" t="str">
        <f t="shared" si="28"/>
        <v>08-06</v>
      </c>
      <c r="T52" s="14">
        <f t="shared" si="29"/>
        <v>362</v>
      </c>
      <c r="U52" s="18">
        <f t="shared" si="30"/>
        <v>648</v>
      </c>
      <c r="V52" s="14">
        <f t="shared" si="31"/>
        <v>377</v>
      </c>
      <c r="W52" s="18">
        <f t="shared" si="32"/>
        <v>648</v>
      </c>
      <c r="X52" s="14">
        <f t="shared" si="33"/>
        <v>377</v>
      </c>
      <c r="Y52" s="18">
        <f t="shared" si="34"/>
        <v>631</v>
      </c>
      <c r="Z52" s="14">
        <f t="shared" si="35"/>
        <v>362</v>
      </c>
      <c r="AA52" s="18">
        <f t="shared" si="36"/>
        <v>631</v>
      </c>
      <c r="AB52" s="4" t="s">
        <v>0</v>
      </c>
    </row>
    <row r="53" spans="1:28">
      <c r="A53" s="9" t="s">
        <v>72</v>
      </c>
      <c r="B53" s="24"/>
      <c r="C53" s="26"/>
      <c r="D53" s="25">
        <f t="shared" si="69"/>
        <v>378</v>
      </c>
      <c r="E53" s="29">
        <f t="shared" ref="E53" si="91">E52</f>
        <v>102</v>
      </c>
      <c r="F53" s="25">
        <f t="shared" si="70"/>
        <v>393</v>
      </c>
      <c r="G53" s="29">
        <f t="shared" si="78"/>
        <v>119</v>
      </c>
      <c r="H53" s="4" t="s">
        <v>0</v>
      </c>
      <c r="I53" s="16" t="str">
        <f t="shared" si="19"/>
        <v>08-05</v>
      </c>
      <c r="J53" s="14">
        <f t="shared" si="20"/>
        <v>378</v>
      </c>
      <c r="K53" s="15">
        <f t="shared" si="21"/>
        <v>102</v>
      </c>
      <c r="L53" s="17">
        <f t="shared" si="22"/>
        <v>393</v>
      </c>
      <c r="M53" s="18">
        <f t="shared" si="23"/>
        <v>102</v>
      </c>
      <c r="N53" s="14">
        <f t="shared" si="24"/>
        <v>393</v>
      </c>
      <c r="O53" s="15">
        <f t="shared" si="25"/>
        <v>119</v>
      </c>
      <c r="P53" s="17">
        <f t="shared" si="26"/>
        <v>378</v>
      </c>
      <c r="Q53" s="18">
        <f t="shared" si="27"/>
        <v>119</v>
      </c>
      <c r="R53" s="4" t="s">
        <v>0</v>
      </c>
      <c r="S53" s="16" t="str">
        <f t="shared" si="28"/>
        <v>08-05</v>
      </c>
      <c r="T53" s="14">
        <f t="shared" si="29"/>
        <v>378</v>
      </c>
      <c r="U53" s="18">
        <f t="shared" si="30"/>
        <v>648</v>
      </c>
      <c r="V53" s="14">
        <f t="shared" si="31"/>
        <v>393</v>
      </c>
      <c r="W53" s="18">
        <f t="shared" si="32"/>
        <v>648</v>
      </c>
      <c r="X53" s="14">
        <f t="shared" si="33"/>
        <v>393</v>
      </c>
      <c r="Y53" s="18">
        <f t="shared" si="34"/>
        <v>631</v>
      </c>
      <c r="Z53" s="14">
        <f t="shared" si="35"/>
        <v>378</v>
      </c>
      <c r="AA53" s="18">
        <f t="shared" si="36"/>
        <v>631</v>
      </c>
      <c r="AB53" s="4" t="s">
        <v>0</v>
      </c>
    </row>
    <row r="54" spans="1:28">
      <c r="A54" s="9" t="s">
        <v>71</v>
      </c>
      <c r="B54" s="24"/>
      <c r="C54" s="26"/>
      <c r="D54" s="25">
        <f t="shared" si="69"/>
        <v>394</v>
      </c>
      <c r="E54" s="29">
        <f t="shared" ref="E54" si="92">E53</f>
        <v>102</v>
      </c>
      <c r="F54" s="25">
        <f t="shared" si="70"/>
        <v>409</v>
      </c>
      <c r="G54" s="29">
        <f t="shared" si="78"/>
        <v>119</v>
      </c>
      <c r="H54" s="4" t="s">
        <v>0</v>
      </c>
      <c r="I54" s="16" t="str">
        <f t="shared" si="19"/>
        <v>08-03</v>
      </c>
      <c r="J54" s="14">
        <f t="shared" si="20"/>
        <v>394</v>
      </c>
      <c r="K54" s="15">
        <f t="shared" si="21"/>
        <v>102</v>
      </c>
      <c r="L54" s="17">
        <f t="shared" si="22"/>
        <v>409</v>
      </c>
      <c r="M54" s="18">
        <f t="shared" si="23"/>
        <v>102</v>
      </c>
      <c r="N54" s="14">
        <f t="shared" si="24"/>
        <v>409</v>
      </c>
      <c r="O54" s="15">
        <f t="shared" si="25"/>
        <v>119</v>
      </c>
      <c r="P54" s="17">
        <f t="shared" si="26"/>
        <v>394</v>
      </c>
      <c r="Q54" s="18">
        <f t="shared" si="27"/>
        <v>119</v>
      </c>
      <c r="R54" s="4" t="s">
        <v>0</v>
      </c>
      <c r="S54" s="16" t="str">
        <f t="shared" si="28"/>
        <v>08-03</v>
      </c>
      <c r="T54" s="14">
        <f t="shared" si="29"/>
        <v>394</v>
      </c>
      <c r="U54" s="18">
        <f t="shared" si="30"/>
        <v>648</v>
      </c>
      <c r="V54" s="14">
        <f t="shared" si="31"/>
        <v>409</v>
      </c>
      <c r="W54" s="18">
        <f t="shared" si="32"/>
        <v>648</v>
      </c>
      <c r="X54" s="14">
        <f t="shared" si="33"/>
        <v>409</v>
      </c>
      <c r="Y54" s="18">
        <f t="shared" si="34"/>
        <v>631</v>
      </c>
      <c r="Z54" s="14">
        <f t="shared" si="35"/>
        <v>394</v>
      </c>
      <c r="AA54" s="18">
        <f t="shared" si="36"/>
        <v>631</v>
      </c>
      <c r="AB54" s="4" t="s">
        <v>0</v>
      </c>
    </row>
    <row r="55" spans="1:28">
      <c r="A55" s="9" t="s">
        <v>70</v>
      </c>
      <c r="B55" s="24"/>
      <c r="C55" s="26"/>
      <c r="D55" s="25">
        <f t="shared" si="69"/>
        <v>410</v>
      </c>
      <c r="E55" s="29">
        <f t="shared" ref="E55" si="93">E54</f>
        <v>102</v>
      </c>
      <c r="F55" s="25">
        <f t="shared" si="70"/>
        <v>425</v>
      </c>
      <c r="G55" s="29">
        <f t="shared" si="78"/>
        <v>119</v>
      </c>
      <c r="H55" s="4" t="s">
        <v>0</v>
      </c>
      <c r="I55" s="16" t="str">
        <f t="shared" si="19"/>
        <v>08-02</v>
      </c>
      <c r="J55" s="14">
        <f t="shared" si="20"/>
        <v>410</v>
      </c>
      <c r="K55" s="15">
        <f t="shared" si="21"/>
        <v>102</v>
      </c>
      <c r="L55" s="17">
        <f t="shared" si="22"/>
        <v>425</v>
      </c>
      <c r="M55" s="18">
        <f t="shared" si="23"/>
        <v>102</v>
      </c>
      <c r="N55" s="14">
        <f t="shared" si="24"/>
        <v>425</v>
      </c>
      <c r="O55" s="15">
        <f t="shared" si="25"/>
        <v>119</v>
      </c>
      <c r="P55" s="17">
        <f t="shared" si="26"/>
        <v>410</v>
      </c>
      <c r="Q55" s="18">
        <f t="shared" si="27"/>
        <v>119</v>
      </c>
      <c r="R55" s="4" t="s">
        <v>0</v>
      </c>
      <c r="S55" s="16" t="str">
        <f t="shared" si="28"/>
        <v>08-02</v>
      </c>
      <c r="T55" s="14">
        <f t="shared" si="29"/>
        <v>410</v>
      </c>
      <c r="U55" s="18">
        <f t="shared" si="30"/>
        <v>648</v>
      </c>
      <c r="V55" s="14">
        <f t="shared" si="31"/>
        <v>425</v>
      </c>
      <c r="W55" s="18">
        <f t="shared" si="32"/>
        <v>648</v>
      </c>
      <c r="X55" s="14">
        <f t="shared" si="33"/>
        <v>425</v>
      </c>
      <c r="Y55" s="18">
        <f t="shared" si="34"/>
        <v>631</v>
      </c>
      <c r="Z55" s="14">
        <f t="shared" si="35"/>
        <v>410</v>
      </c>
      <c r="AA55" s="18">
        <f t="shared" si="36"/>
        <v>631</v>
      </c>
      <c r="AB55" s="4" t="s">
        <v>0</v>
      </c>
    </row>
    <row r="56" spans="1:28">
      <c r="A56" s="9" t="s">
        <v>69</v>
      </c>
      <c r="B56" s="24"/>
      <c r="C56" s="26"/>
      <c r="D56" s="25">
        <f t="shared" si="69"/>
        <v>426</v>
      </c>
      <c r="E56" s="29">
        <f t="shared" ref="E56" si="94">E55</f>
        <v>102</v>
      </c>
      <c r="F56" s="25">
        <f t="shared" si="70"/>
        <v>441</v>
      </c>
      <c r="G56" s="29">
        <f t="shared" si="78"/>
        <v>119</v>
      </c>
      <c r="H56" s="4" t="s">
        <v>0</v>
      </c>
      <c r="I56" s="16" t="str">
        <f t="shared" si="19"/>
        <v>08-01</v>
      </c>
      <c r="J56" s="14">
        <f t="shared" si="20"/>
        <v>426</v>
      </c>
      <c r="K56" s="15">
        <f t="shared" si="21"/>
        <v>102</v>
      </c>
      <c r="L56" s="17">
        <f t="shared" si="22"/>
        <v>441</v>
      </c>
      <c r="M56" s="18">
        <f t="shared" si="23"/>
        <v>102</v>
      </c>
      <c r="N56" s="14">
        <f t="shared" si="24"/>
        <v>441</v>
      </c>
      <c r="O56" s="15">
        <f t="shared" si="25"/>
        <v>119</v>
      </c>
      <c r="P56" s="17">
        <f t="shared" si="26"/>
        <v>426</v>
      </c>
      <c r="Q56" s="18">
        <f t="shared" si="27"/>
        <v>119</v>
      </c>
      <c r="R56" s="4" t="s">
        <v>0</v>
      </c>
      <c r="S56" s="16" t="str">
        <f t="shared" si="28"/>
        <v>08-01</v>
      </c>
      <c r="T56" s="14">
        <f t="shared" si="29"/>
        <v>426</v>
      </c>
      <c r="U56" s="18">
        <f t="shared" si="30"/>
        <v>648</v>
      </c>
      <c r="V56" s="14">
        <f t="shared" si="31"/>
        <v>441</v>
      </c>
      <c r="W56" s="18">
        <f t="shared" si="32"/>
        <v>648</v>
      </c>
      <c r="X56" s="14">
        <f t="shared" si="33"/>
        <v>441</v>
      </c>
      <c r="Y56" s="18">
        <f t="shared" si="34"/>
        <v>631</v>
      </c>
      <c r="Z56" s="14">
        <f t="shared" si="35"/>
        <v>426</v>
      </c>
      <c r="AA56" s="18">
        <f t="shared" si="36"/>
        <v>631</v>
      </c>
      <c r="AB56" s="4" t="s">
        <v>0</v>
      </c>
    </row>
    <row r="57" spans="1:28">
      <c r="A57" s="9" t="s">
        <v>445</v>
      </c>
      <c r="B57" s="24"/>
      <c r="C57" s="26">
        <v>2</v>
      </c>
      <c r="D57" s="25">
        <f>D34</f>
        <v>56</v>
      </c>
      <c r="E57" s="28">
        <f>ROUND(E$11+23.8*$C57, 0)</f>
        <v>126</v>
      </c>
      <c r="F57" s="25">
        <f>F34</f>
        <v>71</v>
      </c>
      <c r="G57" s="28">
        <f>ROUND(G$11+23.8*$C57, 0)</f>
        <v>143</v>
      </c>
      <c r="H57" s="4" t="s">
        <v>0</v>
      </c>
      <c r="I57" s="16" t="str">
        <f t="shared" si="19"/>
        <v>07-28</v>
      </c>
      <c r="J57" s="14">
        <f t="shared" si="20"/>
        <v>56</v>
      </c>
      <c r="K57" s="15">
        <f t="shared" si="21"/>
        <v>126</v>
      </c>
      <c r="L57" s="17">
        <f t="shared" si="22"/>
        <v>71</v>
      </c>
      <c r="M57" s="18">
        <f t="shared" si="23"/>
        <v>126</v>
      </c>
      <c r="N57" s="14">
        <f t="shared" si="24"/>
        <v>71</v>
      </c>
      <c r="O57" s="15">
        <f t="shared" si="25"/>
        <v>143</v>
      </c>
      <c r="P57" s="17">
        <f t="shared" si="26"/>
        <v>56</v>
      </c>
      <c r="Q57" s="18">
        <f t="shared" si="27"/>
        <v>143</v>
      </c>
      <c r="R57" s="4" t="s">
        <v>0</v>
      </c>
      <c r="S57" s="16" t="str">
        <f t="shared" si="28"/>
        <v>07-28</v>
      </c>
      <c r="T57" s="14">
        <f t="shared" si="29"/>
        <v>56</v>
      </c>
      <c r="U57" s="18">
        <f t="shared" si="30"/>
        <v>624</v>
      </c>
      <c r="V57" s="14">
        <f t="shared" si="31"/>
        <v>71</v>
      </c>
      <c r="W57" s="18">
        <f t="shared" si="32"/>
        <v>624</v>
      </c>
      <c r="X57" s="14">
        <f t="shared" si="33"/>
        <v>71</v>
      </c>
      <c r="Y57" s="18">
        <f t="shared" si="34"/>
        <v>607</v>
      </c>
      <c r="Z57" s="14">
        <f t="shared" si="35"/>
        <v>56</v>
      </c>
      <c r="AA57" s="18">
        <f t="shared" si="36"/>
        <v>607</v>
      </c>
      <c r="AB57" s="4" t="s">
        <v>0</v>
      </c>
    </row>
    <row r="58" spans="1:28">
      <c r="A58" s="9" t="s">
        <v>444</v>
      </c>
      <c r="B58" s="24"/>
      <c r="C58" s="26"/>
      <c r="D58" s="25">
        <f>D35</f>
        <v>72</v>
      </c>
      <c r="E58" s="29">
        <f t="shared" ref="E58" si="95">E57</f>
        <v>126</v>
      </c>
      <c r="F58" s="25">
        <f>F35</f>
        <v>87</v>
      </c>
      <c r="G58" s="29">
        <f t="shared" ref="G58" si="96">G57</f>
        <v>143</v>
      </c>
      <c r="H58" s="4" t="s">
        <v>0</v>
      </c>
      <c r="I58" s="16" t="str">
        <f t="shared" si="19"/>
        <v>07-27</v>
      </c>
      <c r="J58" s="14">
        <f t="shared" si="20"/>
        <v>72</v>
      </c>
      <c r="K58" s="15">
        <f t="shared" si="21"/>
        <v>126</v>
      </c>
      <c r="L58" s="17">
        <f t="shared" si="22"/>
        <v>87</v>
      </c>
      <c r="M58" s="18">
        <f t="shared" si="23"/>
        <v>126</v>
      </c>
      <c r="N58" s="14">
        <f t="shared" si="24"/>
        <v>87</v>
      </c>
      <c r="O58" s="15">
        <f t="shared" si="25"/>
        <v>143</v>
      </c>
      <c r="P58" s="17">
        <f t="shared" si="26"/>
        <v>72</v>
      </c>
      <c r="Q58" s="18">
        <f t="shared" si="27"/>
        <v>143</v>
      </c>
      <c r="R58" s="4" t="s">
        <v>0</v>
      </c>
      <c r="S58" s="16" t="str">
        <f t="shared" si="28"/>
        <v>07-27</v>
      </c>
      <c r="T58" s="14">
        <f t="shared" si="29"/>
        <v>72</v>
      </c>
      <c r="U58" s="18">
        <f t="shared" si="30"/>
        <v>624</v>
      </c>
      <c r="V58" s="14">
        <f t="shared" si="31"/>
        <v>87</v>
      </c>
      <c r="W58" s="18">
        <f t="shared" si="32"/>
        <v>624</v>
      </c>
      <c r="X58" s="14">
        <f t="shared" si="33"/>
        <v>87</v>
      </c>
      <c r="Y58" s="18">
        <f t="shared" si="34"/>
        <v>607</v>
      </c>
      <c r="Z58" s="14">
        <f t="shared" si="35"/>
        <v>72</v>
      </c>
      <c r="AA58" s="18">
        <f t="shared" si="36"/>
        <v>607</v>
      </c>
      <c r="AB58" s="4" t="s">
        <v>0</v>
      </c>
    </row>
    <row r="59" spans="1:28">
      <c r="A59" s="9" t="s">
        <v>443</v>
      </c>
      <c r="B59" s="24"/>
      <c r="C59" s="26"/>
      <c r="D59" s="25">
        <f t="shared" ref="D59:D79" si="97">D36</f>
        <v>88</v>
      </c>
      <c r="E59" s="29">
        <f t="shared" ref="E59" si="98">E58</f>
        <v>126</v>
      </c>
      <c r="F59" s="25">
        <f t="shared" ref="F59:F79" si="99">F36</f>
        <v>103</v>
      </c>
      <c r="G59" s="29">
        <f t="shared" ref="G59:G79" si="100">G58</f>
        <v>143</v>
      </c>
      <c r="H59" s="4" t="s">
        <v>0</v>
      </c>
      <c r="I59" s="16" t="str">
        <f t="shared" si="19"/>
        <v>07-26</v>
      </c>
      <c r="J59" s="14">
        <f t="shared" si="20"/>
        <v>88</v>
      </c>
      <c r="K59" s="15">
        <f t="shared" si="21"/>
        <v>126</v>
      </c>
      <c r="L59" s="17">
        <f t="shared" si="22"/>
        <v>103</v>
      </c>
      <c r="M59" s="18">
        <f t="shared" si="23"/>
        <v>126</v>
      </c>
      <c r="N59" s="14">
        <f t="shared" si="24"/>
        <v>103</v>
      </c>
      <c r="O59" s="15">
        <f t="shared" si="25"/>
        <v>143</v>
      </c>
      <c r="P59" s="17">
        <f t="shared" si="26"/>
        <v>88</v>
      </c>
      <c r="Q59" s="18">
        <f t="shared" si="27"/>
        <v>143</v>
      </c>
      <c r="R59" s="4" t="s">
        <v>0</v>
      </c>
      <c r="S59" s="16" t="str">
        <f t="shared" si="28"/>
        <v>07-26</v>
      </c>
      <c r="T59" s="14">
        <f t="shared" si="29"/>
        <v>88</v>
      </c>
      <c r="U59" s="18">
        <f t="shared" si="30"/>
        <v>624</v>
      </c>
      <c r="V59" s="14">
        <f t="shared" si="31"/>
        <v>103</v>
      </c>
      <c r="W59" s="18">
        <f t="shared" si="32"/>
        <v>624</v>
      </c>
      <c r="X59" s="14">
        <f t="shared" si="33"/>
        <v>103</v>
      </c>
      <c r="Y59" s="18">
        <f t="shared" si="34"/>
        <v>607</v>
      </c>
      <c r="Z59" s="14">
        <f t="shared" si="35"/>
        <v>88</v>
      </c>
      <c r="AA59" s="18">
        <f t="shared" si="36"/>
        <v>607</v>
      </c>
      <c r="AB59" s="4" t="s">
        <v>0</v>
      </c>
    </row>
    <row r="60" spans="1:28">
      <c r="A60" s="9" t="s">
        <v>442</v>
      </c>
      <c r="B60" s="24"/>
      <c r="C60" s="26"/>
      <c r="D60" s="25">
        <f t="shared" si="97"/>
        <v>104</v>
      </c>
      <c r="E60" s="29">
        <f t="shared" ref="E60" si="101">E59</f>
        <v>126</v>
      </c>
      <c r="F60" s="25">
        <f t="shared" si="99"/>
        <v>119</v>
      </c>
      <c r="G60" s="29">
        <f t="shared" si="100"/>
        <v>143</v>
      </c>
      <c r="H60" s="4" t="s">
        <v>0</v>
      </c>
      <c r="I60" s="16" t="str">
        <f t="shared" si="19"/>
        <v>07-25</v>
      </c>
      <c r="J60" s="14">
        <f t="shared" si="20"/>
        <v>104</v>
      </c>
      <c r="K60" s="15">
        <f t="shared" si="21"/>
        <v>126</v>
      </c>
      <c r="L60" s="17">
        <f t="shared" si="22"/>
        <v>119</v>
      </c>
      <c r="M60" s="18">
        <f t="shared" si="23"/>
        <v>126</v>
      </c>
      <c r="N60" s="14">
        <f t="shared" si="24"/>
        <v>119</v>
      </c>
      <c r="O60" s="15">
        <f t="shared" si="25"/>
        <v>143</v>
      </c>
      <c r="P60" s="17">
        <f t="shared" si="26"/>
        <v>104</v>
      </c>
      <c r="Q60" s="18">
        <f t="shared" si="27"/>
        <v>143</v>
      </c>
      <c r="R60" s="4" t="s">
        <v>0</v>
      </c>
      <c r="S60" s="16" t="str">
        <f t="shared" si="28"/>
        <v>07-25</v>
      </c>
      <c r="T60" s="14">
        <f t="shared" si="29"/>
        <v>104</v>
      </c>
      <c r="U60" s="18">
        <f t="shared" si="30"/>
        <v>624</v>
      </c>
      <c r="V60" s="14">
        <f t="shared" si="31"/>
        <v>119</v>
      </c>
      <c r="W60" s="18">
        <f t="shared" si="32"/>
        <v>624</v>
      </c>
      <c r="X60" s="14">
        <f t="shared" si="33"/>
        <v>119</v>
      </c>
      <c r="Y60" s="18">
        <f t="shared" si="34"/>
        <v>607</v>
      </c>
      <c r="Z60" s="14">
        <f t="shared" si="35"/>
        <v>104</v>
      </c>
      <c r="AA60" s="18">
        <f t="shared" si="36"/>
        <v>607</v>
      </c>
      <c r="AB60" s="4" t="s">
        <v>0</v>
      </c>
    </row>
    <row r="61" spans="1:28">
      <c r="A61" s="9" t="s">
        <v>441</v>
      </c>
      <c r="B61" s="24"/>
      <c r="C61" s="26"/>
      <c r="D61" s="25">
        <f t="shared" si="97"/>
        <v>120</v>
      </c>
      <c r="E61" s="29">
        <f t="shared" ref="E61" si="102">E60</f>
        <v>126</v>
      </c>
      <c r="F61" s="25">
        <f t="shared" si="99"/>
        <v>135</v>
      </c>
      <c r="G61" s="29">
        <f t="shared" si="100"/>
        <v>143</v>
      </c>
      <c r="H61" s="4" t="s">
        <v>0</v>
      </c>
      <c r="I61" s="16" t="str">
        <f t="shared" si="19"/>
        <v>07-23</v>
      </c>
      <c r="J61" s="14">
        <f t="shared" si="20"/>
        <v>120</v>
      </c>
      <c r="K61" s="15">
        <f t="shared" si="21"/>
        <v>126</v>
      </c>
      <c r="L61" s="17">
        <f t="shared" si="22"/>
        <v>135</v>
      </c>
      <c r="M61" s="18">
        <f t="shared" si="23"/>
        <v>126</v>
      </c>
      <c r="N61" s="14">
        <f t="shared" si="24"/>
        <v>135</v>
      </c>
      <c r="O61" s="15">
        <f t="shared" si="25"/>
        <v>143</v>
      </c>
      <c r="P61" s="17">
        <f t="shared" si="26"/>
        <v>120</v>
      </c>
      <c r="Q61" s="18">
        <f t="shared" si="27"/>
        <v>143</v>
      </c>
      <c r="R61" s="4" t="s">
        <v>0</v>
      </c>
      <c r="S61" s="16" t="str">
        <f t="shared" si="28"/>
        <v>07-23</v>
      </c>
      <c r="T61" s="14">
        <f t="shared" si="29"/>
        <v>120</v>
      </c>
      <c r="U61" s="18">
        <f t="shared" si="30"/>
        <v>624</v>
      </c>
      <c r="V61" s="14">
        <f t="shared" si="31"/>
        <v>135</v>
      </c>
      <c r="W61" s="18">
        <f t="shared" si="32"/>
        <v>624</v>
      </c>
      <c r="X61" s="14">
        <f t="shared" si="33"/>
        <v>135</v>
      </c>
      <c r="Y61" s="18">
        <f t="shared" si="34"/>
        <v>607</v>
      </c>
      <c r="Z61" s="14">
        <f t="shared" si="35"/>
        <v>120</v>
      </c>
      <c r="AA61" s="18">
        <f t="shared" si="36"/>
        <v>607</v>
      </c>
      <c r="AB61" s="4" t="s">
        <v>0</v>
      </c>
    </row>
    <row r="62" spans="1:28">
      <c r="A62" s="9" t="s">
        <v>440</v>
      </c>
      <c r="B62" s="24"/>
      <c r="C62" s="26"/>
      <c r="D62" s="25">
        <f t="shared" si="97"/>
        <v>136</v>
      </c>
      <c r="E62" s="29">
        <f t="shared" ref="E62" si="103">E61</f>
        <v>126</v>
      </c>
      <c r="F62" s="25">
        <f t="shared" si="99"/>
        <v>151</v>
      </c>
      <c r="G62" s="29">
        <f t="shared" si="100"/>
        <v>143</v>
      </c>
      <c r="H62" s="4" t="s">
        <v>0</v>
      </c>
      <c r="I62" s="16" t="str">
        <f t="shared" si="19"/>
        <v>07-22</v>
      </c>
      <c r="J62" s="14">
        <f t="shared" si="20"/>
        <v>136</v>
      </c>
      <c r="K62" s="15">
        <f t="shared" si="21"/>
        <v>126</v>
      </c>
      <c r="L62" s="17">
        <f t="shared" si="22"/>
        <v>151</v>
      </c>
      <c r="M62" s="18">
        <f t="shared" si="23"/>
        <v>126</v>
      </c>
      <c r="N62" s="14">
        <f t="shared" si="24"/>
        <v>151</v>
      </c>
      <c r="O62" s="15">
        <f t="shared" si="25"/>
        <v>143</v>
      </c>
      <c r="P62" s="17">
        <f t="shared" si="26"/>
        <v>136</v>
      </c>
      <c r="Q62" s="18">
        <f t="shared" si="27"/>
        <v>143</v>
      </c>
      <c r="R62" s="4" t="s">
        <v>0</v>
      </c>
      <c r="S62" s="16" t="str">
        <f t="shared" si="28"/>
        <v>07-22</v>
      </c>
      <c r="T62" s="14">
        <f t="shared" si="29"/>
        <v>136</v>
      </c>
      <c r="U62" s="18">
        <f t="shared" si="30"/>
        <v>624</v>
      </c>
      <c r="V62" s="14">
        <f t="shared" si="31"/>
        <v>151</v>
      </c>
      <c r="W62" s="18">
        <f t="shared" si="32"/>
        <v>624</v>
      </c>
      <c r="X62" s="14">
        <f t="shared" si="33"/>
        <v>151</v>
      </c>
      <c r="Y62" s="18">
        <f t="shared" si="34"/>
        <v>607</v>
      </c>
      <c r="Z62" s="14">
        <f t="shared" si="35"/>
        <v>136</v>
      </c>
      <c r="AA62" s="18">
        <f t="shared" si="36"/>
        <v>607</v>
      </c>
      <c r="AB62" s="4" t="s">
        <v>0</v>
      </c>
    </row>
    <row r="63" spans="1:28">
      <c r="A63" s="9" t="s">
        <v>179</v>
      </c>
      <c r="B63" s="24"/>
      <c r="C63" s="26"/>
      <c r="D63" s="25">
        <f t="shared" si="97"/>
        <v>151</v>
      </c>
      <c r="E63" s="29">
        <f t="shared" ref="E63" si="104">E62</f>
        <v>126</v>
      </c>
      <c r="F63" s="25">
        <f t="shared" si="99"/>
        <v>166</v>
      </c>
      <c r="G63" s="29">
        <f t="shared" si="100"/>
        <v>143</v>
      </c>
      <c r="H63" s="4" t="s">
        <v>0</v>
      </c>
      <c r="I63" s="16" t="str">
        <f t="shared" si="19"/>
        <v>07-21</v>
      </c>
      <c r="J63" s="14">
        <f t="shared" si="20"/>
        <v>151</v>
      </c>
      <c r="K63" s="15">
        <f t="shared" si="21"/>
        <v>126</v>
      </c>
      <c r="L63" s="17">
        <f t="shared" si="22"/>
        <v>166</v>
      </c>
      <c r="M63" s="18">
        <f t="shared" si="23"/>
        <v>126</v>
      </c>
      <c r="N63" s="14">
        <f t="shared" si="24"/>
        <v>166</v>
      </c>
      <c r="O63" s="15">
        <f t="shared" si="25"/>
        <v>143</v>
      </c>
      <c r="P63" s="17">
        <f t="shared" si="26"/>
        <v>151</v>
      </c>
      <c r="Q63" s="18">
        <f t="shared" si="27"/>
        <v>143</v>
      </c>
      <c r="R63" s="4" t="s">
        <v>0</v>
      </c>
      <c r="S63" s="16" t="str">
        <f t="shared" si="28"/>
        <v>07-21</v>
      </c>
      <c r="T63" s="14">
        <f t="shared" si="29"/>
        <v>151</v>
      </c>
      <c r="U63" s="18">
        <f t="shared" si="30"/>
        <v>624</v>
      </c>
      <c r="V63" s="14">
        <f t="shared" si="31"/>
        <v>166</v>
      </c>
      <c r="W63" s="18">
        <f t="shared" si="32"/>
        <v>624</v>
      </c>
      <c r="X63" s="14">
        <f t="shared" si="33"/>
        <v>166</v>
      </c>
      <c r="Y63" s="18">
        <f t="shared" si="34"/>
        <v>607</v>
      </c>
      <c r="Z63" s="14">
        <f t="shared" si="35"/>
        <v>151</v>
      </c>
      <c r="AA63" s="18">
        <f t="shared" si="36"/>
        <v>607</v>
      </c>
      <c r="AB63" s="4" t="s">
        <v>0</v>
      </c>
    </row>
    <row r="64" spans="1:28">
      <c r="A64" s="9" t="s">
        <v>178</v>
      </c>
      <c r="B64" s="24"/>
      <c r="C64" s="26"/>
      <c r="D64" s="25">
        <f t="shared" si="97"/>
        <v>167</v>
      </c>
      <c r="E64" s="29">
        <f t="shared" ref="E64" si="105">E63</f>
        <v>126</v>
      </c>
      <c r="F64" s="25">
        <f t="shared" si="99"/>
        <v>182</v>
      </c>
      <c r="G64" s="29">
        <f t="shared" si="100"/>
        <v>143</v>
      </c>
      <c r="H64" s="4" t="s">
        <v>0</v>
      </c>
      <c r="I64" s="16" t="str">
        <f t="shared" si="19"/>
        <v>07-20</v>
      </c>
      <c r="J64" s="14">
        <f t="shared" si="20"/>
        <v>167</v>
      </c>
      <c r="K64" s="15">
        <f t="shared" si="21"/>
        <v>126</v>
      </c>
      <c r="L64" s="17">
        <f t="shared" si="22"/>
        <v>182</v>
      </c>
      <c r="M64" s="18">
        <f t="shared" si="23"/>
        <v>126</v>
      </c>
      <c r="N64" s="14">
        <f t="shared" si="24"/>
        <v>182</v>
      </c>
      <c r="O64" s="15">
        <f t="shared" si="25"/>
        <v>143</v>
      </c>
      <c r="P64" s="17">
        <f t="shared" si="26"/>
        <v>167</v>
      </c>
      <c r="Q64" s="18">
        <f t="shared" si="27"/>
        <v>143</v>
      </c>
      <c r="R64" s="4" t="s">
        <v>0</v>
      </c>
      <c r="S64" s="16" t="str">
        <f t="shared" si="28"/>
        <v>07-20</v>
      </c>
      <c r="T64" s="14">
        <f t="shared" si="29"/>
        <v>167</v>
      </c>
      <c r="U64" s="18">
        <f t="shared" si="30"/>
        <v>624</v>
      </c>
      <c r="V64" s="14">
        <f t="shared" si="31"/>
        <v>182</v>
      </c>
      <c r="W64" s="18">
        <f t="shared" si="32"/>
        <v>624</v>
      </c>
      <c r="X64" s="14">
        <f t="shared" si="33"/>
        <v>182</v>
      </c>
      <c r="Y64" s="18">
        <f t="shared" si="34"/>
        <v>607</v>
      </c>
      <c r="Z64" s="14">
        <f t="shared" si="35"/>
        <v>167</v>
      </c>
      <c r="AA64" s="18">
        <f t="shared" si="36"/>
        <v>607</v>
      </c>
      <c r="AB64" s="4" t="s">
        <v>0</v>
      </c>
    </row>
    <row r="65" spans="1:28">
      <c r="A65" s="9" t="s">
        <v>177</v>
      </c>
      <c r="B65" s="24"/>
      <c r="C65" s="26"/>
      <c r="D65" s="25">
        <f t="shared" si="97"/>
        <v>183</v>
      </c>
      <c r="E65" s="29">
        <f t="shared" ref="E65" si="106">E64</f>
        <v>126</v>
      </c>
      <c r="F65" s="25">
        <f t="shared" si="99"/>
        <v>198</v>
      </c>
      <c r="G65" s="29">
        <f t="shared" si="100"/>
        <v>143</v>
      </c>
      <c r="H65" s="4" t="s">
        <v>0</v>
      </c>
      <c r="I65" s="16" t="str">
        <f t="shared" si="19"/>
        <v>07-18</v>
      </c>
      <c r="J65" s="14">
        <f t="shared" si="20"/>
        <v>183</v>
      </c>
      <c r="K65" s="15">
        <f t="shared" si="21"/>
        <v>126</v>
      </c>
      <c r="L65" s="17">
        <f t="shared" si="22"/>
        <v>198</v>
      </c>
      <c r="M65" s="18">
        <f t="shared" si="23"/>
        <v>126</v>
      </c>
      <c r="N65" s="14">
        <f t="shared" si="24"/>
        <v>198</v>
      </c>
      <c r="O65" s="15">
        <f t="shared" si="25"/>
        <v>143</v>
      </c>
      <c r="P65" s="17">
        <f t="shared" si="26"/>
        <v>183</v>
      </c>
      <c r="Q65" s="18">
        <f t="shared" si="27"/>
        <v>143</v>
      </c>
      <c r="R65" s="4" t="s">
        <v>0</v>
      </c>
      <c r="S65" s="16" t="str">
        <f t="shared" si="28"/>
        <v>07-18</v>
      </c>
      <c r="T65" s="14">
        <f t="shared" si="29"/>
        <v>183</v>
      </c>
      <c r="U65" s="18">
        <f t="shared" si="30"/>
        <v>624</v>
      </c>
      <c r="V65" s="14">
        <f t="shared" si="31"/>
        <v>198</v>
      </c>
      <c r="W65" s="18">
        <f t="shared" si="32"/>
        <v>624</v>
      </c>
      <c r="X65" s="14">
        <f t="shared" si="33"/>
        <v>198</v>
      </c>
      <c r="Y65" s="18">
        <f t="shared" si="34"/>
        <v>607</v>
      </c>
      <c r="Z65" s="14">
        <f t="shared" si="35"/>
        <v>183</v>
      </c>
      <c r="AA65" s="18">
        <f t="shared" si="36"/>
        <v>607</v>
      </c>
      <c r="AB65" s="4" t="s">
        <v>0</v>
      </c>
    </row>
    <row r="66" spans="1:28">
      <c r="A66" s="9" t="s">
        <v>176</v>
      </c>
      <c r="B66" s="24"/>
      <c r="C66" s="26"/>
      <c r="D66" s="25">
        <f t="shared" si="97"/>
        <v>199</v>
      </c>
      <c r="E66" s="29">
        <f t="shared" ref="E66" si="107">E65</f>
        <v>126</v>
      </c>
      <c r="F66" s="25">
        <f t="shared" si="99"/>
        <v>214</v>
      </c>
      <c r="G66" s="29">
        <f t="shared" si="100"/>
        <v>143</v>
      </c>
      <c r="H66" s="4" t="s">
        <v>0</v>
      </c>
      <c r="I66" s="16" t="str">
        <f t="shared" si="19"/>
        <v>07-17</v>
      </c>
      <c r="J66" s="14">
        <f t="shared" si="20"/>
        <v>199</v>
      </c>
      <c r="K66" s="15">
        <f t="shared" si="21"/>
        <v>126</v>
      </c>
      <c r="L66" s="17">
        <f t="shared" si="22"/>
        <v>214</v>
      </c>
      <c r="M66" s="18">
        <f t="shared" si="23"/>
        <v>126</v>
      </c>
      <c r="N66" s="14">
        <f t="shared" si="24"/>
        <v>214</v>
      </c>
      <c r="O66" s="15">
        <f t="shared" si="25"/>
        <v>143</v>
      </c>
      <c r="P66" s="17">
        <f t="shared" si="26"/>
        <v>199</v>
      </c>
      <c r="Q66" s="18">
        <f t="shared" si="27"/>
        <v>143</v>
      </c>
      <c r="R66" s="4" t="s">
        <v>0</v>
      </c>
      <c r="S66" s="16" t="str">
        <f t="shared" si="28"/>
        <v>07-17</v>
      </c>
      <c r="T66" s="14">
        <f t="shared" si="29"/>
        <v>199</v>
      </c>
      <c r="U66" s="18">
        <f t="shared" si="30"/>
        <v>624</v>
      </c>
      <c r="V66" s="14">
        <f t="shared" si="31"/>
        <v>214</v>
      </c>
      <c r="W66" s="18">
        <f t="shared" si="32"/>
        <v>624</v>
      </c>
      <c r="X66" s="14">
        <f t="shared" si="33"/>
        <v>214</v>
      </c>
      <c r="Y66" s="18">
        <f t="shared" si="34"/>
        <v>607</v>
      </c>
      <c r="Z66" s="14">
        <f t="shared" si="35"/>
        <v>199</v>
      </c>
      <c r="AA66" s="18">
        <f t="shared" si="36"/>
        <v>607</v>
      </c>
      <c r="AB66" s="4" t="s">
        <v>0</v>
      </c>
    </row>
    <row r="67" spans="1:28">
      <c r="A67" s="9" t="s">
        <v>175</v>
      </c>
      <c r="B67" s="24"/>
      <c r="C67" s="26"/>
      <c r="D67" s="25">
        <f t="shared" si="97"/>
        <v>215</v>
      </c>
      <c r="E67" s="29">
        <f t="shared" ref="E67" si="108">E66</f>
        <v>126</v>
      </c>
      <c r="F67" s="25">
        <f t="shared" si="99"/>
        <v>230</v>
      </c>
      <c r="G67" s="29">
        <f t="shared" si="100"/>
        <v>143</v>
      </c>
      <c r="H67" s="4" t="s">
        <v>0</v>
      </c>
      <c r="I67" s="16" t="str">
        <f t="shared" si="19"/>
        <v>07-16</v>
      </c>
      <c r="J67" s="14">
        <f t="shared" si="20"/>
        <v>215</v>
      </c>
      <c r="K67" s="15">
        <f t="shared" si="21"/>
        <v>126</v>
      </c>
      <c r="L67" s="17">
        <f t="shared" si="22"/>
        <v>230</v>
      </c>
      <c r="M67" s="18">
        <f t="shared" si="23"/>
        <v>126</v>
      </c>
      <c r="N67" s="14">
        <f t="shared" si="24"/>
        <v>230</v>
      </c>
      <c r="O67" s="15">
        <f t="shared" si="25"/>
        <v>143</v>
      </c>
      <c r="P67" s="17">
        <f t="shared" si="26"/>
        <v>215</v>
      </c>
      <c r="Q67" s="18">
        <f t="shared" si="27"/>
        <v>143</v>
      </c>
      <c r="R67" s="4" t="s">
        <v>0</v>
      </c>
      <c r="S67" s="16" t="str">
        <f t="shared" si="28"/>
        <v>07-16</v>
      </c>
      <c r="T67" s="14">
        <f t="shared" si="29"/>
        <v>215</v>
      </c>
      <c r="U67" s="18">
        <f t="shared" si="30"/>
        <v>624</v>
      </c>
      <c r="V67" s="14">
        <f t="shared" si="31"/>
        <v>230</v>
      </c>
      <c r="W67" s="18">
        <f t="shared" si="32"/>
        <v>624</v>
      </c>
      <c r="X67" s="14">
        <f t="shared" si="33"/>
        <v>230</v>
      </c>
      <c r="Y67" s="18">
        <f t="shared" si="34"/>
        <v>607</v>
      </c>
      <c r="Z67" s="14">
        <f t="shared" si="35"/>
        <v>215</v>
      </c>
      <c r="AA67" s="18">
        <f t="shared" si="36"/>
        <v>607</v>
      </c>
      <c r="AB67" s="4" t="s">
        <v>0</v>
      </c>
    </row>
    <row r="68" spans="1:28">
      <c r="A68" s="9" t="s">
        <v>174</v>
      </c>
      <c r="B68" s="24"/>
      <c r="C68" s="26"/>
      <c r="D68" s="25">
        <f t="shared" si="97"/>
        <v>231</v>
      </c>
      <c r="E68" s="29">
        <f t="shared" ref="E68" si="109">E67</f>
        <v>126</v>
      </c>
      <c r="F68" s="25">
        <f t="shared" si="99"/>
        <v>246</v>
      </c>
      <c r="G68" s="29">
        <f t="shared" si="100"/>
        <v>143</v>
      </c>
      <c r="H68" s="4" t="s">
        <v>0</v>
      </c>
      <c r="I68" s="16" t="str">
        <f t="shared" si="19"/>
        <v>07-15</v>
      </c>
      <c r="J68" s="14">
        <f t="shared" si="20"/>
        <v>231</v>
      </c>
      <c r="K68" s="15">
        <f t="shared" si="21"/>
        <v>126</v>
      </c>
      <c r="L68" s="17">
        <f t="shared" si="22"/>
        <v>246</v>
      </c>
      <c r="M68" s="18">
        <f t="shared" si="23"/>
        <v>126</v>
      </c>
      <c r="N68" s="14">
        <f t="shared" si="24"/>
        <v>246</v>
      </c>
      <c r="O68" s="15">
        <f t="shared" si="25"/>
        <v>143</v>
      </c>
      <c r="P68" s="17">
        <f t="shared" si="26"/>
        <v>231</v>
      </c>
      <c r="Q68" s="18">
        <f t="shared" si="27"/>
        <v>143</v>
      </c>
      <c r="R68" s="4" t="s">
        <v>0</v>
      </c>
      <c r="S68" s="16" t="str">
        <f t="shared" si="28"/>
        <v>07-15</v>
      </c>
      <c r="T68" s="14">
        <f t="shared" si="29"/>
        <v>231</v>
      </c>
      <c r="U68" s="18">
        <f t="shared" si="30"/>
        <v>624</v>
      </c>
      <c r="V68" s="14">
        <f t="shared" si="31"/>
        <v>246</v>
      </c>
      <c r="W68" s="18">
        <f t="shared" si="32"/>
        <v>624</v>
      </c>
      <c r="X68" s="14">
        <f t="shared" si="33"/>
        <v>246</v>
      </c>
      <c r="Y68" s="18">
        <f t="shared" si="34"/>
        <v>607</v>
      </c>
      <c r="Z68" s="14">
        <f t="shared" si="35"/>
        <v>231</v>
      </c>
      <c r="AA68" s="18">
        <f t="shared" si="36"/>
        <v>607</v>
      </c>
      <c r="AB68" s="4" t="s">
        <v>0</v>
      </c>
    </row>
    <row r="69" spans="1:28">
      <c r="A69" s="9" t="s">
        <v>173</v>
      </c>
      <c r="B69" s="24"/>
      <c r="C69" s="26"/>
      <c r="D69" s="25">
        <f t="shared" si="97"/>
        <v>267</v>
      </c>
      <c r="E69" s="29">
        <f t="shared" ref="E69" si="110">E68</f>
        <v>126</v>
      </c>
      <c r="F69" s="25">
        <f t="shared" si="99"/>
        <v>282</v>
      </c>
      <c r="G69" s="29">
        <f t="shared" si="100"/>
        <v>143</v>
      </c>
      <c r="H69" s="4" t="s">
        <v>0</v>
      </c>
      <c r="I69" s="16" t="str">
        <f t="shared" si="19"/>
        <v>07-13</v>
      </c>
      <c r="J69" s="14">
        <f t="shared" si="20"/>
        <v>267</v>
      </c>
      <c r="K69" s="15">
        <f t="shared" si="21"/>
        <v>126</v>
      </c>
      <c r="L69" s="17">
        <f t="shared" si="22"/>
        <v>282</v>
      </c>
      <c r="M69" s="18">
        <f t="shared" si="23"/>
        <v>126</v>
      </c>
      <c r="N69" s="14">
        <f t="shared" si="24"/>
        <v>282</v>
      </c>
      <c r="O69" s="15">
        <f t="shared" si="25"/>
        <v>143</v>
      </c>
      <c r="P69" s="17">
        <f t="shared" si="26"/>
        <v>267</v>
      </c>
      <c r="Q69" s="18">
        <f t="shared" si="27"/>
        <v>143</v>
      </c>
      <c r="R69" s="4" t="s">
        <v>0</v>
      </c>
      <c r="S69" s="16" t="str">
        <f t="shared" si="28"/>
        <v>07-13</v>
      </c>
      <c r="T69" s="14">
        <f t="shared" si="29"/>
        <v>267</v>
      </c>
      <c r="U69" s="18">
        <f t="shared" si="30"/>
        <v>624</v>
      </c>
      <c r="V69" s="14">
        <f t="shared" si="31"/>
        <v>282</v>
      </c>
      <c r="W69" s="18">
        <f t="shared" si="32"/>
        <v>624</v>
      </c>
      <c r="X69" s="14">
        <f t="shared" si="33"/>
        <v>282</v>
      </c>
      <c r="Y69" s="18">
        <f t="shared" si="34"/>
        <v>607</v>
      </c>
      <c r="Z69" s="14">
        <f t="shared" si="35"/>
        <v>267</v>
      </c>
      <c r="AA69" s="18">
        <f t="shared" si="36"/>
        <v>607</v>
      </c>
      <c r="AB69" s="4" t="s">
        <v>0</v>
      </c>
    </row>
    <row r="70" spans="1:28">
      <c r="A70" s="9" t="s">
        <v>68</v>
      </c>
      <c r="B70" s="24"/>
      <c r="C70" s="26"/>
      <c r="D70" s="25">
        <f t="shared" si="97"/>
        <v>283</v>
      </c>
      <c r="E70" s="29">
        <f t="shared" ref="E70" si="111">E69</f>
        <v>126</v>
      </c>
      <c r="F70" s="25">
        <f t="shared" si="99"/>
        <v>298</v>
      </c>
      <c r="G70" s="29">
        <f t="shared" si="100"/>
        <v>143</v>
      </c>
      <c r="H70" s="4" t="s">
        <v>0</v>
      </c>
      <c r="I70" s="16" t="str">
        <f t="shared" si="19"/>
        <v>07-12</v>
      </c>
      <c r="J70" s="14">
        <f t="shared" si="20"/>
        <v>283</v>
      </c>
      <c r="K70" s="15">
        <f t="shared" si="21"/>
        <v>126</v>
      </c>
      <c r="L70" s="17">
        <f t="shared" si="22"/>
        <v>298</v>
      </c>
      <c r="M70" s="18">
        <f t="shared" si="23"/>
        <v>126</v>
      </c>
      <c r="N70" s="14">
        <f t="shared" si="24"/>
        <v>298</v>
      </c>
      <c r="O70" s="15">
        <f t="shared" si="25"/>
        <v>143</v>
      </c>
      <c r="P70" s="17">
        <f t="shared" si="26"/>
        <v>283</v>
      </c>
      <c r="Q70" s="18">
        <f t="shared" si="27"/>
        <v>143</v>
      </c>
      <c r="R70" s="4" t="s">
        <v>0</v>
      </c>
      <c r="S70" s="16" t="str">
        <f t="shared" si="28"/>
        <v>07-12</v>
      </c>
      <c r="T70" s="14">
        <f t="shared" si="29"/>
        <v>283</v>
      </c>
      <c r="U70" s="18">
        <f t="shared" si="30"/>
        <v>624</v>
      </c>
      <c r="V70" s="14">
        <f t="shared" si="31"/>
        <v>298</v>
      </c>
      <c r="W70" s="18">
        <f t="shared" si="32"/>
        <v>624</v>
      </c>
      <c r="X70" s="14">
        <f t="shared" si="33"/>
        <v>298</v>
      </c>
      <c r="Y70" s="18">
        <f t="shared" si="34"/>
        <v>607</v>
      </c>
      <c r="Z70" s="14">
        <f t="shared" si="35"/>
        <v>283</v>
      </c>
      <c r="AA70" s="18">
        <f t="shared" si="36"/>
        <v>607</v>
      </c>
      <c r="AB70" s="4" t="s">
        <v>0</v>
      </c>
    </row>
    <row r="71" spans="1:28">
      <c r="A71" s="9" t="s">
        <v>67</v>
      </c>
      <c r="B71" s="24"/>
      <c r="C71" s="26"/>
      <c r="D71" s="25">
        <f t="shared" si="97"/>
        <v>299</v>
      </c>
      <c r="E71" s="29">
        <f t="shared" ref="E71" si="112">E70</f>
        <v>126</v>
      </c>
      <c r="F71" s="25">
        <f t="shared" si="99"/>
        <v>314</v>
      </c>
      <c r="G71" s="29">
        <f t="shared" si="100"/>
        <v>143</v>
      </c>
      <c r="H71" s="4" t="s">
        <v>0</v>
      </c>
      <c r="I71" s="16" t="str">
        <f t="shared" si="19"/>
        <v>07-11</v>
      </c>
      <c r="J71" s="14">
        <f t="shared" si="20"/>
        <v>299</v>
      </c>
      <c r="K71" s="15">
        <f t="shared" si="21"/>
        <v>126</v>
      </c>
      <c r="L71" s="17">
        <f t="shared" si="22"/>
        <v>314</v>
      </c>
      <c r="M71" s="18">
        <f t="shared" si="23"/>
        <v>126</v>
      </c>
      <c r="N71" s="14">
        <f t="shared" si="24"/>
        <v>314</v>
      </c>
      <c r="O71" s="15">
        <f t="shared" si="25"/>
        <v>143</v>
      </c>
      <c r="P71" s="17">
        <f t="shared" si="26"/>
        <v>299</v>
      </c>
      <c r="Q71" s="18">
        <f t="shared" si="27"/>
        <v>143</v>
      </c>
      <c r="R71" s="4" t="s">
        <v>0</v>
      </c>
      <c r="S71" s="16" t="str">
        <f t="shared" si="28"/>
        <v>07-11</v>
      </c>
      <c r="T71" s="14">
        <f t="shared" si="29"/>
        <v>299</v>
      </c>
      <c r="U71" s="18">
        <f t="shared" si="30"/>
        <v>624</v>
      </c>
      <c r="V71" s="14">
        <f t="shared" si="31"/>
        <v>314</v>
      </c>
      <c r="W71" s="18">
        <f t="shared" si="32"/>
        <v>624</v>
      </c>
      <c r="X71" s="14">
        <f t="shared" si="33"/>
        <v>314</v>
      </c>
      <c r="Y71" s="18">
        <f t="shared" si="34"/>
        <v>607</v>
      </c>
      <c r="Z71" s="14">
        <f t="shared" si="35"/>
        <v>299</v>
      </c>
      <c r="AA71" s="18">
        <f t="shared" si="36"/>
        <v>607</v>
      </c>
      <c r="AB71" s="4" t="s">
        <v>0</v>
      </c>
    </row>
    <row r="72" spans="1:28">
      <c r="A72" s="9" t="s">
        <v>66</v>
      </c>
      <c r="B72" s="24"/>
      <c r="C72" s="26"/>
      <c r="D72" s="25">
        <f t="shared" si="97"/>
        <v>315</v>
      </c>
      <c r="E72" s="29">
        <f t="shared" ref="E72" si="113">E71</f>
        <v>126</v>
      </c>
      <c r="F72" s="25">
        <f t="shared" si="99"/>
        <v>330</v>
      </c>
      <c r="G72" s="29">
        <f t="shared" si="100"/>
        <v>143</v>
      </c>
      <c r="H72" s="4" t="s">
        <v>0</v>
      </c>
      <c r="I72" s="16" t="str">
        <f t="shared" si="19"/>
        <v>07-10</v>
      </c>
      <c r="J72" s="14">
        <f t="shared" si="20"/>
        <v>315</v>
      </c>
      <c r="K72" s="15">
        <f t="shared" si="21"/>
        <v>126</v>
      </c>
      <c r="L72" s="17">
        <f t="shared" si="22"/>
        <v>330</v>
      </c>
      <c r="M72" s="18">
        <f t="shared" si="23"/>
        <v>126</v>
      </c>
      <c r="N72" s="14">
        <f t="shared" si="24"/>
        <v>330</v>
      </c>
      <c r="O72" s="15">
        <f t="shared" si="25"/>
        <v>143</v>
      </c>
      <c r="P72" s="17">
        <f t="shared" si="26"/>
        <v>315</v>
      </c>
      <c r="Q72" s="18">
        <f t="shared" si="27"/>
        <v>143</v>
      </c>
      <c r="R72" s="4" t="s">
        <v>0</v>
      </c>
      <c r="S72" s="16" t="str">
        <f t="shared" si="28"/>
        <v>07-10</v>
      </c>
      <c r="T72" s="14">
        <f t="shared" si="29"/>
        <v>315</v>
      </c>
      <c r="U72" s="18">
        <f t="shared" si="30"/>
        <v>624</v>
      </c>
      <c r="V72" s="14">
        <f t="shared" si="31"/>
        <v>330</v>
      </c>
      <c r="W72" s="18">
        <f t="shared" si="32"/>
        <v>624</v>
      </c>
      <c r="X72" s="14">
        <f t="shared" si="33"/>
        <v>330</v>
      </c>
      <c r="Y72" s="18">
        <f t="shared" si="34"/>
        <v>607</v>
      </c>
      <c r="Z72" s="14">
        <f t="shared" si="35"/>
        <v>315</v>
      </c>
      <c r="AA72" s="18">
        <f t="shared" si="36"/>
        <v>607</v>
      </c>
      <c r="AB72" s="4" t="s">
        <v>0</v>
      </c>
    </row>
    <row r="73" spans="1:28">
      <c r="A73" s="9" t="s">
        <v>65</v>
      </c>
      <c r="B73" s="24"/>
      <c r="C73" s="26"/>
      <c r="D73" s="25">
        <f t="shared" si="97"/>
        <v>331</v>
      </c>
      <c r="E73" s="29">
        <f t="shared" ref="E73" si="114">E72</f>
        <v>126</v>
      </c>
      <c r="F73" s="25">
        <f t="shared" si="99"/>
        <v>346</v>
      </c>
      <c r="G73" s="29">
        <f t="shared" si="100"/>
        <v>143</v>
      </c>
      <c r="H73" s="4" t="s">
        <v>0</v>
      </c>
      <c r="I73" s="16" t="str">
        <f t="shared" si="19"/>
        <v>07-08</v>
      </c>
      <c r="J73" s="14">
        <f t="shared" si="20"/>
        <v>331</v>
      </c>
      <c r="K73" s="15">
        <f t="shared" si="21"/>
        <v>126</v>
      </c>
      <c r="L73" s="17">
        <f t="shared" si="22"/>
        <v>346</v>
      </c>
      <c r="M73" s="18">
        <f t="shared" si="23"/>
        <v>126</v>
      </c>
      <c r="N73" s="14">
        <f t="shared" si="24"/>
        <v>346</v>
      </c>
      <c r="O73" s="15">
        <f t="shared" si="25"/>
        <v>143</v>
      </c>
      <c r="P73" s="17">
        <f t="shared" si="26"/>
        <v>331</v>
      </c>
      <c r="Q73" s="18">
        <f t="shared" si="27"/>
        <v>143</v>
      </c>
      <c r="R73" s="4" t="s">
        <v>0</v>
      </c>
      <c r="S73" s="16" t="str">
        <f t="shared" si="28"/>
        <v>07-08</v>
      </c>
      <c r="T73" s="14">
        <f t="shared" si="29"/>
        <v>331</v>
      </c>
      <c r="U73" s="18">
        <f t="shared" si="30"/>
        <v>624</v>
      </c>
      <c r="V73" s="14">
        <f t="shared" si="31"/>
        <v>346</v>
      </c>
      <c r="W73" s="18">
        <f t="shared" si="32"/>
        <v>624</v>
      </c>
      <c r="X73" s="14">
        <f t="shared" si="33"/>
        <v>346</v>
      </c>
      <c r="Y73" s="18">
        <f t="shared" si="34"/>
        <v>607</v>
      </c>
      <c r="Z73" s="14">
        <f t="shared" si="35"/>
        <v>331</v>
      </c>
      <c r="AA73" s="18">
        <f t="shared" si="36"/>
        <v>607</v>
      </c>
      <c r="AB73" s="4" t="s">
        <v>0</v>
      </c>
    </row>
    <row r="74" spans="1:28">
      <c r="A74" s="9" t="s">
        <v>64</v>
      </c>
      <c r="B74" s="24"/>
      <c r="C74" s="26"/>
      <c r="D74" s="25">
        <f t="shared" si="97"/>
        <v>347</v>
      </c>
      <c r="E74" s="29">
        <f t="shared" ref="E74" si="115">E73</f>
        <v>126</v>
      </c>
      <c r="F74" s="25">
        <f t="shared" si="99"/>
        <v>362</v>
      </c>
      <c r="G74" s="29">
        <f t="shared" si="100"/>
        <v>143</v>
      </c>
      <c r="H74" s="4" t="s">
        <v>0</v>
      </c>
      <c r="I74" s="16" t="str">
        <f t="shared" si="19"/>
        <v>07-07</v>
      </c>
      <c r="J74" s="14">
        <f t="shared" si="20"/>
        <v>347</v>
      </c>
      <c r="K74" s="15">
        <f t="shared" si="21"/>
        <v>126</v>
      </c>
      <c r="L74" s="17">
        <f t="shared" si="22"/>
        <v>362</v>
      </c>
      <c r="M74" s="18">
        <f t="shared" si="23"/>
        <v>126</v>
      </c>
      <c r="N74" s="14">
        <f t="shared" si="24"/>
        <v>362</v>
      </c>
      <c r="O74" s="15">
        <f t="shared" si="25"/>
        <v>143</v>
      </c>
      <c r="P74" s="17">
        <f t="shared" si="26"/>
        <v>347</v>
      </c>
      <c r="Q74" s="18">
        <f t="shared" si="27"/>
        <v>143</v>
      </c>
      <c r="R74" s="4" t="s">
        <v>0</v>
      </c>
      <c r="S74" s="16" t="str">
        <f t="shared" si="28"/>
        <v>07-07</v>
      </c>
      <c r="T74" s="14">
        <f t="shared" si="29"/>
        <v>347</v>
      </c>
      <c r="U74" s="18">
        <f t="shared" si="30"/>
        <v>624</v>
      </c>
      <c r="V74" s="14">
        <f t="shared" si="31"/>
        <v>362</v>
      </c>
      <c r="W74" s="18">
        <f t="shared" si="32"/>
        <v>624</v>
      </c>
      <c r="X74" s="14">
        <f t="shared" si="33"/>
        <v>362</v>
      </c>
      <c r="Y74" s="18">
        <f t="shared" si="34"/>
        <v>607</v>
      </c>
      <c r="Z74" s="14">
        <f t="shared" si="35"/>
        <v>347</v>
      </c>
      <c r="AA74" s="18">
        <f t="shared" si="36"/>
        <v>607</v>
      </c>
      <c r="AB74" s="4" t="s">
        <v>0</v>
      </c>
    </row>
    <row r="75" spans="1:28">
      <c r="A75" s="9" t="s">
        <v>63</v>
      </c>
      <c r="B75" s="24"/>
      <c r="C75" s="26"/>
      <c r="D75" s="25">
        <f t="shared" si="97"/>
        <v>362</v>
      </c>
      <c r="E75" s="29">
        <f t="shared" ref="E75" si="116">E74</f>
        <v>126</v>
      </c>
      <c r="F75" s="25">
        <f t="shared" si="99"/>
        <v>377</v>
      </c>
      <c r="G75" s="29">
        <f t="shared" si="100"/>
        <v>143</v>
      </c>
      <c r="H75" s="4" t="s">
        <v>0</v>
      </c>
      <c r="I75" s="16" t="str">
        <f t="shared" si="19"/>
        <v>07-06</v>
      </c>
      <c r="J75" s="14">
        <f t="shared" si="20"/>
        <v>362</v>
      </c>
      <c r="K75" s="15">
        <f t="shared" si="21"/>
        <v>126</v>
      </c>
      <c r="L75" s="17">
        <f t="shared" si="22"/>
        <v>377</v>
      </c>
      <c r="M75" s="18">
        <f t="shared" si="23"/>
        <v>126</v>
      </c>
      <c r="N75" s="14">
        <f t="shared" si="24"/>
        <v>377</v>
      </c>
      <c r="O75" s="15">
        <f t="shared" si="25"/>
        <v>143</v>
      </c>
      <c r="P75" s="17">
        <f t="shared" si="26"/>
        <v>362</v>
      </c>
      <c r="Q75" s="18">
        <f t="shared" si="27"/>
        <v>143</v>
      </c>
      <c r="R75" s="4" t="s">
        <v>0</v>
      </c>
      <c r="S75" s="16" t="str">
        <f t="shared" si="28"/>
        <v>07-06</v>
      </c>
      <c r="T75" s="14">
        <f t="shared" si="29"/>
        <v>362</v>
      </c>
      <c r="U75" s="18">
        <f t="shared" si="30"/>
        <v>624</v>
      </c>
      <c r="V75" s="14">
        <f t="shared" si="31"/>
        <v>377</v>
      </c>
      <c r="W75" s="18">
        <f t="shared" si="32"/>
        <v>624</v>
      </c>
      <c r="X75" s="14">
        <f t="shared" si="33"/>
        <v>377</v>
      </c>
      <c r="Y75" s="18">
        <f t="shared" si="34"/>
        <v>607</v>
      </c>
      <c r="Z75" s="14">
        <f t="shared" si="35"/>
        <v>362</v>
      </c>
      <c r="AA75" s="18">
        <f t="shared" si="36"/>
        <v>607</v>
      </c>
      <c r="AB75" s="4" t="s">
        <v>0</v>
      </c>
    </row>
    <row r="76" spans="1:28">
      <c r="A76" s="9" t="s">
        <v>62</v>
      </c>
      <c r="B76" s="24"/>
      <c r="C76" s="26"/>
      <c r="D76" s="25">
        <f t="shared" si="97"/>
        <v>378</v>
      </c>
      <c r="E76" s="29">
        <f t="shared" ref="E76" si="117">E75</f>
        <v>126</v>
      </c>
      <c r="F76" s="25">
        <f t="shared" si="99"/>
        <v>393</v>
      </c>
      <c r="G76" s="29">
        <f t="shared" si="100"/>
        <v>143</v>
      </c>
      <c r="H76" s="4" t="s">
        <v>0</v>
      </c>
      <c r="I76" s="16" t="str">
        <f t="shared" si="19"/>
        <v>07-05</v>
      </c>
      <c r="J76" s="14">
        <f t="shared" si="20"/>
        <v>378</v>
      </c>
      <c r="K76" s="15">
        <f t="shared" si="21"/>
        <v>126</v>
      </c>
      <c r="L76" s="17">
        <f t="shared" si="22"/>
        <v>393</v>
      </c>
      <c r="M76" s="18">
        <f t="shared" si="23"/>
        <v>126</v>
      </c>
      <c r="N76" s="14">
        <f t="shared" si="24"/>
        <v>393</v>
      </c>
      <c r="O76" s="15">
        <f t="shared" si="25"/>
        <v>143</v>
      </c>
      <c r="P76" s="17">
        <f t="shared" si="26"/>
        <v>378</v>
      </c>
      <c r="Q76" s="18">
        <f t="shared" si="27"/>
        <v>143</v>
      </c>
      <c r="R76" s="4" t="s">
        <v>0</v>
      </c>
      <c r="S76" s="16" t="str">
        <f t="shared" si="28"/>
        <v>07-05</v>
      </c>
      <c r="T76" s="14">
        <f t="shared" si="29"/>
        <v>378</v>
      </c>
      <c r="U76" s="18">
        <f t="shared" si="30"/>
        <v>624</v>
      </c>
      <c r="V76" s="14">
        <f t="shared" si="31"/>
        <v>393</v>
      </c>
      <c r="W76" s="18">
        <f t="shared" si="32"/>
        <v>624</v>
      </c>
      <c r="X76" s="14">
        <f t="shared" si="33"/>
        <v>393</v>
      </c>
      <c r="Y76" s="18">
        <f t="shared" si="34"/>
        <v>607</v>
      </c>
      <c r="Z76" s="14">
        <f t="shared" si="35"/>
        <v>378</v>
      </c>
      <c r="AA76" s="18">
        <f t="shared" si="36"/>
        <v>607</v>
      </c>
      <c r="AB76" s="4" t="s">
        <v>0</v>
      </c>
    </row>
    <row r="77" spans="1:28">
      <c r="A77" s="9" t="s">
        <v>3</v>
      </c>
      <c r="B77" s="24"/>
      <c r="C77" s="26"/>
      <c r="D77" s="25">
        <f t="shared" si="97"/>
        <v>394</v>
      </c>
      <c r="E77" s="29">
        <f t="shared" ref="E77" si="118">E76</f>
        <v>126</v>
      </c>
      <c r="F77" s="25">
        <f t="shared" si="99"/>
        <v>409</v>
      </c>
      <c r="G77" s="29">
        <f t="shared" si="100"/>
        <v>143</v>
      </c>
      <c r="H77" s="4" t="s">
        <v>0</v>
      </c>
      <c r="I77" s="16" t="str">
        <f t="shared" ref="I77:I139" si="119">A77</f>
        <v>07-03</v>
      </c>
      <c r="J77" s="14">
        <f t="shared" ref="J77:J139" si="120">IF(D77&lt;&gt;"",D77,0)</f>
        <v>394</v>
      </c>
      <c r="K77" s="15">
        <f t="shared" ref="K77:K139" si="121">IF(E77&lt;&gt;"",E77,0)</f>
        <v>126</v>
      </c>
      <c r="L77" s="17">
        <f t="shared" ref="L77:L139" si="122">N77</f>
        <v>409</v>
      </c>
      <c r="M77" s="18">
        <f t="shared" ref="M77:M139" si="123">K77</f>
        <v>126</v>
      </c>
      <c r="N77" s="14">
        <f t="shared" ref="N77:N139" si="124">IF(F77&lt;&gt;"",F77,0)</f>
        <v>409</v>
      </c>
      <c r="O77" s="15">
        <f t="shared" ref="O77:O139" si="125">IF(G77&lt;&gt;"",G77,0)</f>
        <v>143</v>
      </c>
      <c r="P77" s="17">
        <f t="shared" ref="P77:P139" si="126">J77</f>
        <v>394</v>
      </c>
      <c r="Q77" s="18">
        <f t="shared" ref="Q77:Q139" si="127">O77</f>
        <v>143</v>
      </c>
      <c r="R77" s="4" t="s">
        <v>0</v>
      </c>
      <c r="S77" s="16" t="str">
        <f t="shared" ref="S77:S139" si="128">I77</f>
        <v>07-03</v>
      </c>
      <c r="T77" s="14">
        <f t="shared" ref="T77:T139" si="129">IF(J77&lt;&gt;"",J77,"")</f>
        <v>394</v>
      </c>
      <c r="U77" s="18">
        <f t="shared" ref="U77:U139" si="130">IF(K77&lt;&gt;"",U$6-K77,"")</f>
        <v>624</v>
      </c>
      <c r="V77" s="14">
        <f t="shared" ref="V77:V139" si="131">IF(L77&lt;&gt;"",L77,"")</f>
        <v>409</v>
      </c>
      <c r="W77" s="18">
        <f t="shared" ref="W77:W139" si="132">IF(M77&lt;&gt;"",W$6-M77,"")</f>
        <v>624</v>
      </c>
      <c r="X77" s="14">
        <f t="shared" ref="X77:X139" si="133">IF(N77&lt;&gt;"",N77,"")</f>
        <v>409</v>
      </c>
      <c r="Y77" s="18">
        <f t="shared" ref="Y77:Y139" si="134">IF(O77&lt;&gt;"",Y$6-O77,"")</f>
        <v>607</v>
      </c>
      <c r="Z77" s="14">
        <f t="shared" ref="Z77:Z139" si="135">IF(P77&lt;&gt;"",P77,"")</f>
        <v>394</v>
      </c>
      <c r="AA77" s="18">
        <f t="shared" ref="AA77:AA139" si="136">IF(Q77&lt;&gt;"",AA$6-Q77,"")</f>
        <v>607</v>
      </c>
      <c r="AB77" s="4" t="s">
        <v>0</v>
      </c>
    </row>
    <row r="78" spans="1:28">
      <c r="A78" s="9" t="s">
        <v>61</v>
      </c>
      <c r="B78" s="24"/>
      <c r="C78" s="26"/>
      <c r="D78" s="25">
        <f t="shared" si="97"/>
        <v>410</v>
      </c>
      <c r="E78" s="29">
        <f t="shared" ref="E78" si="137">E77</f>
        <v>126</v>
      </c>
      <c r="F78" s="25">
        <f t="shared" si="99"/>
        <v>425</v>
      </c>
      <c r="G78" s="29">
        <f t="shared" si="100"/>
        <v>143</v>
      </c>
      <c r="H78" s="4" t="s">
        <v>0</v>
      </c>
      <c r="I78" s="16" t="str">
        <f t="shared" si="119"/>
        <v>07-02</v>
      </c>
      <c r="J78" s="14">
        <f t="shared" si="120"/>
        <v>410</v>
      </c>
      <c r="K78" s="15">
        <f t="shared" si="121"/>
        <v>126</v>
      </c>
      <c r="L78" s="17">
        <f t="shared" si="122"/>
        <v>425</v>
      </c>
      <c r="M78" s="18">
        <f t="shared" si="123"/>
        <v>126</v>
      </c>
      <c r="N78" s="14">
        <f t="shared" si="124"/>
        <v>425</v>
      </c>
      <c r="O78" s="15">
        <f t="shared" si="125"/>
        <v>143</v>
      </c>
      <c r="P78" s="17">
        <f t="shared" si="126"/>
        <v>410</v>
      </c>
      <c r="Q78" s="18">
        <f t="shared" si="127"/>
        <v>143</v>
      </c>
      <c r="R78" s="4" t="s">
        <v>0</v>
      </c>
      <c r="S78" s="16" t="str">
        <f t="shared" si="128"/>
        <v>07-02</v>
      </c>
      <c r="T78" s="14">
        <f t="shared" si="129"/>
        <v>410</v>
      </c>
      <c r="U78" s="18">
        <f t="shared" si="130"/>
        <v>624</v>
      </c>
      <c r="V78" s="14">
        <f t="shared" si="131"/>
        <v>425</v>
      </c>
      <c r="W78" s="18">
        <f t="shared" si="132"/>
        <v>624</v>
      </c>
      <c r="X78" s="14">
        <f t="shared" si="133"/>
        <v>425</v>
      </c>
      <c r="Y78" s="18">
        <f t="shared" si="134"/>
        <v>607</v>
      </c>
      <c r="Z78" s="14">
        <f t="shared" si="135"/>
        <v>410</v>
      </c>
      <c r="AA78" s="18">
        <f t="shared" si="136"/>
        <v>607</v>
      </c>
      <c r="AB78" s="4" t="s">
        <v>0</v>
      </c>
    </row>
    <row r="79" spans="1:28">
      <c r="A79" s="9" t="s">
        <v>60</v>
      </c>
      <c r="B79" s="24"/>
      <c r="C79" s="26"/>
      <c r="D79" s="25">
        <f t="shared" si="97"/>
        <v>426</v>
      </c>
      <c r="E79" s="29">
        <f t="shared" ref="E79" si="138">E78</f>
        <v>126</v>
      </c>
      <c r="F79" s="25">
        <f t="shared" si="99"/>
        <v>441</v>
      </c>
      <c r="G79" s="29">
        <f t="shared" si="100"/>
        <v>143</v>
      </c>
      <c r="H79" s="4" t="s">
        <v>0</v>
      </c>
      <c r="I79" s="16" t="str">
        <f t="shared" si="119"/>
        <v>07-01</v>
      </c>
      <c r="J79" s="14">
        <f t="shared" si="120"/>
        <v>426</v>
      </c>
      <c r="K79" s="15">
        <f t="shared" si="121"/>
        <v>126</v>
      </c>
      <c r="L79" s="17">
        <f t="shared" si="122"/>
        <v>441</v>
      </c>
      <c r="M79" s="18">
        <f t="shared" si="123"/>
        <v>126</v>
      </c>
      <c r="N79" s="14">
        <f t="shared" si="124"/>
        <v>441</v>
      </c>
      <c r="O79" s="15">
        <f t="shared" si="125"/>
        <v>143</v>
      </c>
      <c r="P79" s="17">
        <f t="shared" si="126"/>
        <v>426</v>
      </c>
      <c r="Q79" s="18">
        <f t="shared" si="127"/>
        <v>143</v>
      </c>
      <c r="R79" s="4" t="s">
        <v>0</v>
      </c>
      <c r="S79" s="16" t="str">
        <f t="shared" si="128"/>
        <v>07-01</v>
      </c>
      <c r="T79" s="14">
        <f t="shared" si="129"/>
        <v>426</v>
      </c>
      <c r="U79" s="18">
        <f t="shared" si="130"/>
        <v>624</v>
      </c>
      <c r="V79" s="14">
        <f t="shared" si="131"/>
        <v>441</v>
      </c>
      <c r="W79" s="18">
        <f t="shared" si="132"/>
        <v>624</v>
      </c>
      <c r="X79" s="14">
        <f t="shared" si="133"/>
        <v>441</v>
      </c>
      <c r="Y79" s="18">
        <f t="shared" si="134"/>
        <v>607</v>
      </c>
      <c r="Z79" s="14">
        <f t="shared" si="135"/>
        <v>426</v>
      </c>
      <c r="AA79" s="18">
        <f t="shared" si="136"/>
        <v>607</v>
      </c>
      <c r="AB79" s="4" t="s">
        <v>0</v>
      </c>
    </row>
    <row r="80" spans="1:28">
      <c r="A80" s="9" t="s">
        <v>439</v>
      </c>
      <c r="B80" s="24"/>
      <c r="C80" s="26">
        <v>3</v>
      </c>
      <c r="D80" s="25">
        <f>D58</f>
        <v>72</v>
      </c>
      <c r="E80" s="27">
        <v>151</v>
      </c>
      <c r="F80" s="25">
        <f>F58</f>
        <v>87</v>
      </c>
      <c r="G80" s="27">
        <v>168</v>
      </c>
      <c r="H80" s="4" t="s">
        <v>0</v>
      </c>
      <c r="I80" s="16" t="str">
        <f t="shared" si="119"/>
        <v>06-25</v>
      </c>
      <c r="J80" s="14">
        <f t="shared" si="120"/>
        <v>72</v>
      </c>
      <c r="K80" s="15">
        <f t="shared" si="121"/>
        <v>151</v>
      </c>
      <c r="L80" s="17">
        <f t="shared" si="122"/>
        <v>87</v>
      </c>
      <c r="M80" s="18">
        <f t="shared" si="123"/>
        <v>151</v>
      </c>
      <c r="N80" s="14">
        <f t="shared" si="124"/>
        <v>87</v>
      </c>
      <c r="O80" s="15">
        <f t="shared" si="125"/>
        <v>168</v>
      </c>
      <c r="P80" s="17">
        <f t="shared" si="126"/>
        <v>72</v>
      </c>
      <c r="Q80" s="18">
        <f t="shared" si="127"/>
        <v>168</v>
      </c>
      <c r="R80" s="4" t="s">
        <v>0</v>
      </c>
      <c r="S80" s="16" t="str">
        <f t="shared" si="128"/>
        <v>06-25</v>
      </c>
      <c r="T80" s="14">
        <f t="shared" si="129"/>
        <v>72</v>
      </c>
      <c r="U80" s="18">
        <f t="shared" si="130"/>
        <v>599</v>
      </c>
      <c r="V80" s="14">
        <f t="shared" si="131"/>
        <v>87</v>
      </c>
      <c r="W80" s="18">
        <f t="shared" si="132"/>
        <v>599</v>
      </c>
      <c r="X80" s="14">
        <f t="shared" si="133"/>
        <v>87</v>
      </c>
      <c r="Y80" s="18">
        <f t="shared" si="134"/>
        <v>582</v>
      </c>
      <c r="Z80" s="14">
        <f t="shared" si="135"/>
        <v>72</v>
      </c>
      <c r="AA80" s="18">
        <f t="shared" si="136"/>
        <v>582</v>
      </c>
      <c r="AB80" s="4" t="s">
        <v>0</v>
      </c>
    </row>
    <row r="81" spans="1:28">
      <c r="A81" s="9" t="s">
        <v>438</v>
      </c>
      <c r="B81" s="24"/>
      <c r="C81" s="26"/>
      <c r="D81" s="25">
        <f t="shared" ref="D81:D89" si="139">D59</f>
        <v>88</v>
      </c>
      <c r="E81" s="29">
        <f t="shared" ref="E81" si="140">E80</f>
        <v>151</v>
      </c>
      <c r="F81" s="25">
        <f t="shared" ref="F81:F89" si="141">F59</f>
        <v>103</v>
      </c>
      <c r="G81" s="29">
        <f t="shared" ref="G81:G99" si="142">G80</f>
        <v>168</v>
      </c>
      <c r="H81" s="4" t="s">
        <v>0</v>
      </c>
      <c r="I81" s="16" t="str">
        <f t="shared" si="119"/>
        <v>06-23</v>
      </c>
      <c r="J81" s="14">
        <f t="shared" si="120"/>
        <v>88</v>
      </c>
      <c r="K81" s="15">
        <f t="shared" si="121"/>
        <v>151</v>
      </c>
      <c r="L81" s="17">
        <f t="shared" si="122"/>
        <v>103</v>
      </c>
      <c r="M81" s="18">
        <f t="shared" si="123"/>
        <v>151</v>
      </c>
      <c r="N81" s="14">
        <f t="shared" si="124"/>
        <v>103</v>
      </c>
      <c r="O81" s="15">
        <f t="shared" si="125"/>
        <v>168</v>
      </c>
      <c r="P81" s="17">
        <f t="shared" si="126"/>
        <v>88</v>
      </c>
      <c r="Q81" s="18">
        <f t="shared" si="127"/>
        <v>168</v>
      </c>
      <c r="R81" s="4" t="s">
        <v>0</v>
      </c>
      <c r="S81" s="16" t="str">
        <f t="shared" si="128"/>
        <v>06-23</v>
      </c>
      <c r="T81" s="14">
        <f t="shared" si="129"/>
        <v>88</v>
      </c>
      <c r="U81" s="18">
        <f t="shared" si="130"/>
        <v>599</v>
      </c>
      <c r="V81" s="14">
        <f t="shared" si="131"/>
        <v>103</v>
      </c>
      <c r="W81" s="18">
        <f t="shared" si="132"/>
        <v>599</v>
      </c>
      <c r="X81" s="14">
        <f t="shared" si="133"/>
        <v>103</v>
      </c>
      <c r="Y81" s="18">
        <f t="shared" si="134"/>
        <v>582</v>
      </c>
      <c r="Z81" s="14">
        <f t="shared" si="135"/>
        <v>88</v>
      </c>
      <c r="AA81" s="18">
        <f t="shared" si="136"/>
        <v>582</v>
      </c>
      <c r="AB81" s="4" t="s">
        <v>0</v>
      </c>
    </row>
    <row r="82" spans="1:28">
      <c r="A82" s="9" t="s">
        <v>437</v>
      </c>
      <c r="B82" s="24"/>
      <c r="C82" s="26"/>
      <c r="D82" s="25">
        <f t="shared" si="139"/>
        <v>104</v>
      </c>
      <c r="E82" s="29">
        <f t="shared" ref="E82" si="143">E81</f>
        <v>151</v>
      </c>
      <c r="F82" s="25">
        <f t="shared" si="141"/>
        <v>119</v>
      </c>
      <c r="G82" s="29">
        <f t="shared" si="142"/>
        <v>168</v>
      </c>
      <c r="H82" s="4" t="s">
        <v>0</v>
      </c>
      <c r="I82" s="16" t="str">
        <f t="shared" si="119"/>
        <v>06-22</v>
      </c>
      <c r="J82" s="14">
        <f t="shared" si="120"/>
        <v>104</v>
      </c>
      <c r="K82" s="15">
        <f t="shared" si="121"/>
        <v>151</v>
      </c>
      <c r="L82" s="17">
        <f t="shared" si="122"/>
        <v>119</v>
      </c>
      <c r="M82" s="18">
        <f t="shared" si="123"/>
        <v>151</v>
      </c>
      <c r="N82" s="14">
        <f t="shared" si="124"/>
        <v>119</v>
      </c>
      <c r="O82" s="15">
        <f t="shared" si="125"/>
        <v>168</v>
      </c>
      <c r="P82" s="17">
        <f t="shared" si="126"/>
        <v>104</v>
      </c>
      <c r="Q82" s="18">
        <f t="shared" si="127"/>
        <v>168</v>
      </c>
      <c r="R82" s="4" t="s">
        <v>0</v>
      </c>
      <c r="S82" s="16" t="str">
        <f t="shared" si="128"/>
        <v>06-22</v>
      </c>
      <c r="T82" s="14">
        <f t="shared" si="129"/>
        <v>104</v>
      </c>
      <c r="U82" s="18">
        <f t="shared" si="130"/>
        <v>599</v>
      </c>
      <c r="V82" s="14">
        <f t="shared" si="131"/>
        <v>119</v>
      </c>
      <c r="W82" s="18">
        <f t="shared" si="132"/>
        <v>599</v>
      </c>
      <c r="X82" s="14">
        <f t="shared" si="133"/>
        <v>119</v>
      </c>
      <c r="Y82" s="18">
        <f t="shared" si="134"/>
        <v>582</v>
      </c>
      <c r="Z82" s="14">
        <f t="shared" si="135"/>
        <v>104</v>
      </c>
      <c r="AA82" s="18">
        <f t="shared" si="136"/>
        <v>582</v>
      </c>
      <c r="AB82" s="4" t="s">
        <v>0</v>
      </c>
    </row>
    <row r="83" spans="1:28">
      <c r="A83" s="9" t="s">
        <v>172</v>
      </c>
      <c r="B83" s="24"/>
      <c r="C83" s="26"/>
      <c r="D83" s="25">
        <f t="shared" si="139"/>
        <v>120</v>
      </c>
      <c r="E83" s="29">
        <f t="shared" ref="E83" si="144">E82</f>
        <v>151</v>
      </c>
      <c r="F83" s="25">
        <f t="shared" si="141"/>
        <v>135</v>
      </c>
      <c r="G83" s="29">
        <f t="shared" si="142"/>
        <v>168</v>
      </c>
      <c r="H83" s="4" t="s">
        <v>0</v>
      </c>
      <c r="I83" s="16" t="str">
        <f t="shared" si="119"/>
        <v>06-21</v>
      </c>
      <c r="J83" s="14">
        <f t="shared" si="120"/>
        <v>120</v>
      </c>
      <c r="K83" s="15">
        <f t="shared" si="121"/>
        <v>151</v>
      </c>
      <c r="L83" s="17">
        <f t="shared" si="122"/>
        <v>135</v>
      </c>
      <c r="M83" s="18">
        <f t="shared" si="123"/>
        <v>151</v>
      </c>
      <c r="N83" s="14">
        <f t="shared" si="124"/>
        <v>135</v>
      </c>
      <c r="O83" s="15">
        <f t="shared" si="125"/>
        <v>168</v>
      </c>
      <c r="P83" s="17">
        <f t="shared" si="126"/>
        <v>120</v>
      </c>
      <c r="Q83" s="18">
        <f t="shared" si="127"/>
        <v>168</v>
      </c>
      <c r="R83" s="4" t="s">
        <v>0</v>
      </c>
      <c r="S83" s="16" t="str">
        <f t="shared" si="128"/>
        <v>06-21</v>
      </c>
      <c r="T83" s="14">
        <f t="shared" si="129"/>
        <v>120</v>
      </c>
      <c r="U83" s="18">
        <f t="shared" si="130"/>
        <v>599</v>
      </c>
      <c r="V83" s="14">
        <f t="shared" si="131"/>
        <v>135</v>
      </c>
      <c r="W83" s="18">
        <f t="shared" si="132"/>
        <v>599</v>
      </c>
      <c r="X83" s="14">
        <f t="shared" si="133"/>
        <v>135</v>
      </c>
      <c r="Y83" s="18">
        <f t="shared" si="134"/>
        <v>582</v>
      </c>
      <c r="Z83" s="14">
        <f t="shared" si="135"/>
        <v>120</v>
      </c>
      <c r="AA83" s="18">
        <f t="shared" si="136"/>
        <v>582</v>
      </c>
      <c r="AB83" s="4" t="s">
        <v>0</v>
      </c>
    </row>
    <row r="84" spans="1:28">
      <c r="A84" s="9" t="s">
        <v>171</v>
      </c>
      <c r="B84" s="24"/>
      <c r="C84" s="26"/>
      <c r="D84" s="25">
        <f t="shared" si="139"/>
        <v>136</v>
      </c>
      <c r="E84" s="29">
        <f t="shared" ref="E84" si="145">E83</f>
        <v>151</v>
      </c>
      <c r="F84" s="25">
        <f t="shared" si="141"/>
        <v>151</v>
      </c>
      <c r="G84" s="29">
        <f t="shared" si="142"/>
        <v>168</v>
      </c>
      <c r="H84" s="4" t="s">
        <v>0</v>
      </c>
      <c r="I84" s="16" t="str">
        <f t="shared" si="119"/>
        <v>06-20</v>
      </c>
      <c r="J84" s="14">
        <f t="shared" si="120"/>
        <v>136</v>
      </c>
      <c r="K84" s="15">
        <f t="shared" si="121"/>
        <v>151</v>
      </c>
      <c r="L84" s="17">
        <f t="shared" si="122"/>
        <v>151</v>
      </c>
      <c r="M84" s="18">
        <f t="shared" si="123"/>
        <v>151</v>
      </c>
      <c r="N84" s="14">
        <f t="shared" si="124"/>
        <v>151</v>
      </c>
      <c r="O84" s="15">
        <f t="shared" si="125"/>
        <v>168</v>
      </c>
      <c r="P84" s="17">
        <f t="shared" si="126"/>
        <v>136</v>
      </c>
      <c r="Q84" s="18">
        <f t="shared" si="127"/>
        <v>168</v>
      </c>
      <c r="R84" s="4" t="s">
        <v>0</v>
      </c>
      <c r="S84" s="16" t="str">
        <f t="shared" si="128"/>
        <v>06-20</v>
      </c>
      <c r="T84" s="14">
        <f t="shared" si="129"/>
        <v>136</v>
      </c>
      <c r="U84" s="18">
        <f t="shared" si="130"/>
        <v>599</v>
      </c>
      <c r="V84" s="14">
        <f t="shared" si="131"/>
        <v>151</v>
      </c>
      <c r="W84" s="18">
        <f t="shared" si="132"/>
        <v>599</v>
      </c>
      <c r="X84" s="14">
        <f t="shared" si="133"/>
        <v>151</v>
      </c>
      <c r="Y84" s="18">
        <f t="shared" si="134"/>
        <v>582</v>
      </c>
      <c r="Z84" s="14">
        <f t="shared" si="135"/>
        <v>136</v>
      </c>
      <c r="AA84" s="18">
        <f t="shared" si="136"/>
        <v>582</v>
      </c>
      <c r="AB84" s="4" t="s">
        <v>0</v>
      </c>
    </row>
    <row r="85" spans="1:28">
      <c r="A85" s="9" t="s">
        <v>170</v>
      </c>
      <c r="B85" s="24"/>
      <c r="C85" s="26"/>
      <c r="D85" s="25">
        <f t="shared" si="139"/>
        <v>151</v>
      </c>
      <c r="E85" s="29">
        <f t="shared" ref="E85" si="146">E84</f>
        <v>151</v>
      </c>
      <c r="F85" s="25">
        <f t="shared" si="141"/>
        <v>166</v>
      </c>
      <c r="G85" s="29">
        <f t="shared" si="142"/>
        <v>168</v>
      </c>
      <c r="H85" s="4" t="s">
        <v>0</v>
      </c>
      <c r="I85" s="16" t="str">
        <f t="shared" si="119"/>
        <v>06-18</v>
      </c>
      <c r="J85" s="14">
        <f t="shared" si="120"/>
        <v>151</v>
      </c>
      <c r="K85" s="15">
        <f t="shared" si="121"/>
        <v>151</v>
      </c>
      <c r="L85" s="17">
        <f t="shared" si="122"/>
        <v>166</v>
      </c>
      <c r="M85" s="18">
        <f t="shared" si="123"/>
        <v>151</v>
      </c>
      <c r="N85" s="14">
        <f t="shared" si="124"/>
        <v>166</v>
      </c>
      <c r="O85" s="15">
        <f t="shared" si="125"/>
        <v>168</v>
      </c>
      <c r="P85" s="17">
        <f t="shared" si="126"/>
        <v>151</v>
      </c>
      <c r="Q85" s="18">
        <f t="shared" si="127"/>
        <v>168</v>
      </c>
      <c r="R85" s="4" t="s">
        <v>0</v>
      </c>
      <c r="S85" s="16" t="str">
        <f t="shared" si="128"/>
        <v>06-18</v>
      </c>
      <c r="T85" s="14">
        <f t="shared" si="129"/>
        <v>151</v>
      </c>
      <c r="U85" s="18">
        <f t="shared" si="130"/>
        <v>599</v>
      </c>
      <c r="V85" s="14">
        <f t="shared" si="131"/>
        <v>166</v>
      </c>
      <c r="W85" s="18">
        <f t="shared" si="132"/>
        <v>599</v>
      </c>
      <c r="X85" s="14">
        <f t="shared" si="133"/>
        <v>166</v>
      </c>
      <c r="Y85" s="18">
        <f t="shared" si="134"/>
        <v>582</v>
      </c>
      <c r="Z85" s="14">
        <f t="shared" si="135"/>
        <v>151</v>
      </c>
      <c r="AA85" s="18">
        <f t="shared" si="136"/>
        <v>582</v>
      </c>
      <c r="AB85" s="4" t="s">
        <v>0</v>
      </c>
    </row>
    <row r="86" spans="1:28">
      <c r="A86" s="9" t="s">
        <v>137</v>
      </c>
      <c r="B86" s="24"/>
      <c r="C86" s="26"/>
      <c r="D86" s="25">
        <f t="shared" si="139"/>
        <v>167</v>
      </c>
      <c r="E86" s="29">
        <f t="shared" ref="E86" si="147">E85</f>
        <v>151</v>
      </c>
      <c r="F86" s="25">
        <f t="shared" si="141"/>
        <v>182</v>
      </c>
      <c r="G86" s="29">
        <f t="shared" si="142"/>
        <v>168</v>
      </c>
      <c r="H86" s="4" t="s">
        <v>0</v>
      </c>
      <c r="I86" s="16" t="str">
        <f t="shared" si="119"/>
        <v>06-17</v>
      </c>
      <c r="J86" s="14">
        <f t="shared" si="120"/>
        <v>167</v>
      </c>
      <c r="K86" s="15">
        <f t="shared" si="121"/>
        <v>151</v>
      </c>
      <c r="L86" s="17">
        <f t="shared" si="122"/>
        <v>182</v>
      </c>
      <c r="M86" s="18">
        <f t="shared" si="123"/>
        <v>151</v>
      </c>
      <c r="N86" s="14">
        <f t="shared" si="124"/>
        <v>182</v>
      </c>
      <c r="O86" s="15">
        <f t="shared" si="125"/>
        <v>168</v>
      </c>
      <c r="P86" s="17">
        <f t="shared" si="126"/>
        <v>167</v>
      </c>
      <c r="Q86" s="18">
        <f t="shared" si="127"/>
        <v>168</v>
      </c>
      <c r="R86" s="4" t="s">
        <v>0</v>
      </c>
      <c r="S86" s="16" t="str">
        <f t="shared" si="128"/>
        <v>06-17</v>
      </c>
      <c r="T86" s="14">
        <f t="shared" si="129"/>
        <v>167</v>
      </c>
      <c r="U86" s="18">
        <f t="shared" si="130"/>
        <v>599</v>
      </c>
      <c r="V86" s="14">
        <f t="shared" si="131"/>
        <v>182</v>
      </c>
      <c r="W86" s="18">
        <f t="shared" si="132"/>
        <v>599</v>
      </c>
      <c r="X86" s="14">
        <f t="shared" si="133"/>
        <v>182</v>
      </c>
      <c r="Y86" s="18">
        <f t="shared" si="134"/>
        <v>582</v>
      </c>
      <c r="Z86" s="14">
        <f t="shared" si="135"/>
        <v>167</v>
      </c>
      <c r="AA86" s="18">
        <f t="shared" si="136"/>
        <v>582</v>
      </c>
      <c r="AB86" s="4" t="s">
        <v>0</v>
      </c>
    </row>
    <row r="87" spans="1:28">
      <c r="A87" s="9" t="s">
        <v>169</v>
      </c>
      <c r="B87" s="24"/>
      <c r="C87" s="26"/>
      <c r="D87" s="25">
        <f t="shared" si="139"/>
        <v>183</v>
      </c>
      <c r="E87" s="29">
        <f t="shared" ref="E87" si="148">E86</f>
        <v>151</v>
      </c>
      <c r="F87" s="25">
        <f t="shared" si="141"/>
        <v>198</v>
      </c>
      <c r="G87" s="29">
        <f t="shared" si="142"/>
        <v>168</v>
      </c>
      <c r="H87" s="4" t="s">
        <v>0</v>
      </c>
      <c r="I87" s="16" t="str">
        <f t="shared" si="119"/>
        <v>06-16</v>
      </c>
      <c r="J87" s="14">
        <f t="shared" si="120"/>
        <v>183</v>
      </c>
      <c r="K87" s="15">
        <f t="shared" si="121"/>
        <v>151</v>
      </c>
      <c r="L87" s="17">
        <f t="shared" si="122"/>
        <v>198</v>
      </c>
      <c r="M87" s="18">
        <f t="shared" si="123"/>
        <v>151</v>
      </c>
      <c r="N87" s="14">
        <f t="shared" si="124"/>
        <v>198</v>
      </c>
      <c r="O87" s="15">
        <f t="shared" si="125"/>
        <v>168</v>
      </c>
      <c r="P87" s="17">
        <f t="shared" si="126"/>
        <v>183</v>
      </c>
      <c r="Q87" s="18">
        <f t="shared" si="127"/>
        <v>168</v>
      </c>
      <c r="R87" s="4" t="s">
        <v>0</v>
      </c>
      <c r="S87" s="16" t="str">
        <f t="shared" si="128"/>
        <v>06-16</v>
      </c>
      <c r="T87" s="14">
        <f t="shared" si="129"/>
        <v>183</v>
      </c>
      <c r="U87" s="18">
        <f t="shared" si="130"/>
        <v>599</v>
      </c>
      <c r="V87" s="14">
        <f t="shared" si="131"/>
        <v>198</v>
      </c>
      <c r="W87" s="18">
        <f t="shared" si="132"/>
        <v>599</v>
      </c>
      <c r="X87" s="14">
        <f t="shared" si="133"/>
        <v>198</v>
      </c>
      <c r="Y87" s="18">
        <f t="shared" si="134"/>
        <v>582</v>
      </c>
      <c r="Z87" s="14">
        <f t="shared" si="135"/>
        <v>183</v>
      </c>
      <c r="AA87" s="18">
        <f t="shared" si="136"/>
        <v>582</v>
      </c>
      <c r="AB87" s="4" t="s">
        <v>0</v>
      </c>
    </row>
    <row r="88" spans="1:28">
      <c r="A88" s="9" t="s">
        <v>168</v>
      </c>
      <c r="B88" s="24"/>
      <c r="C88" s="26"/>
      <c r="D88" s="25">
        <f t="shared" si="139"/>
        <v>199</v>
      </c>
      <c r="E88" s="29">
        <f t="shared" ref="E88" si="149">E87</f>
        <v>151</v>
      </c>
      <c r="F88" s="25">
        <f t="shared" si="141"/>
        <v>214</v>
      </c>
      <c r="G88" s="29">
        <f t="shared" si="142"/>
        <v>168</v>
      </c>
      <c r="H88" s="4" t="s">
        <v>0</v>
      </c>
      <c r="I88" s="16" t="str">
        <f t="shared" si="119"/>
        <v>06-15</v>
      </c>
      <c r="J88" s="14">
        <f t="shared" si="120"/>
        <v>199</v>
      </c>
      <c r="K88" s="15">
        <f t="shared" si="121"/>
        <v>151</v>
      </c>
      <c r="L88" s="17">
        <f t="shared" si="122"/>
        <v>214</v>
      </c>
      <c r="M88" s="18">
        <f t="shared" si="123"/>
        <v>151</v>
      </c>
      <c r="N88" s="14">
        <f t="shared" si="124"/>
        <v>214</v>
      </c>
      <c r="O88" s="15">
        <f t="shared" si="125"/>
        <v>168</v>
      </c>
      <c r="P88" s="17">
        <f t="shared" si="126"/>
        <v>199</v>
      </c>
      <c r="Q88" s="18">
        <f t="shared" si="127"/>
        <v>168</v>
      </c>
      <c r="R88" s="4" t="s">
        <v>0</v>
      </c>
      <c r="S88" s="16" t="str">
        <f t="shared" si="128"/>
        <v>06-15</v>
      </c>
      <c r="T88" s="14">
        <f t="shared" si="129"/>
        <v>199</v>
      </c>
      <c r="U88" s="18">
        <f t="shared" si="130"/>
        <v>599</v>
      </c>
      <c r="V88" s="14">
        <f t="shared" si="131"/>
        <v>214</v>
      </c>
      <c r="W88" s="18">
        <f t="shared" si="132"/>
        <v>599</v>
      </c>
      <c r="X88" s="14">
        <f t="shared" si="133"/>
        <v>214</v>
      </c>
      <c r="Y88" s="18">
        <f t="shared" si="134"/>
        <v>582</v>
      </c>
      <c r="Z88" s="14">
        <f t="shared" si="135"/>
        <v>199</v>
      </c>
      <c r="AA88" s="18">
        <f t="shared" si="136"/>
        <v>582</v>
      </c>
      <c r="AB88" s="4" t="s">
        <v>0</v>
      </c>
    </row>
    <row r="89" spans="1:28">
      <c r="A89" s="9" t="s">
        <v>167</v>
      </c>
      <c r="B89" s="24"/>
      <c r="C89" s="26"/>
      <c r="D89" s="25">
        <f t="shared" si="139"/>
        <v>215</v>
      </c>
      <c r="E89" s="29">
        <f t="shared" ref="E89" si="150">E88</f>
        <v>151</v>
      </c>
      <c r="F89" s="25">
        <f t="shared" si="141"/>
        <v>230</v>
      </c>
      <c r="G89" s="29">
        <f t="shared" si="142"/>
        <v>168</v>
      </c>
      <c r="H89" s="4" t="s">
        <v>0</v>
      </c>
      <c r="I89" s="16" t="str">
        <f t="shared" si="119"/>
        <v>06-13</v>
      </c>
      <c r="J89" s="14">
        <f t="shared" si="120"/>
        <v>215</v>
      </c>
      <c r="K89" s="15">
        <f t="shared" si="121"/>
        <v>151</v>
      </c>
      <c r="L89" s="17">
        <f t="shared" si="122"/>
        <v>230</v>
      </c>
      <c r="M89" s="18">
        <f t="shared" si="123"/>
        <v>151</v>
      </c>
      <c r="N89" s="14">
        <f t="shared" si="124"/>
        <v>230</v>
      </c>
      <c r="O89" s="15">
        <f t="shared" si="125"/>
        <v>168</v>
      </c>
      <c r="P89" s="17">
        <f t="shared" si="126"/>
        <v>215</v>
      </c>
      <c r="Q89" s="18">
        <f t="shared" si="127"/>
        <v>168</v>
      </c>
      <c r="R89" s="4" t="s">
        <v>0</v>
      </c>
      <c r="S89" s="16" t="str">
        <f t="shared" si="128"/>
        <v>06-13</v>
      </c>
      <c r="T89" s="14">
        <f t="shared" si="129"/>
        <v>215</v>
      </c>
      <c r="U89" s="18">
        <f t="shared" si="130"/>
        <v>599</v>
      </c>
      <c r="V89" s="14">
        <f t="shared" si="131"/>
        <v>230</v>
      </c>
      <c r="W89" s="18">
        <f t="shared" si="132"/>
        <v>599</v>
      </c>
      <c r="X89" s="14">
        <f t="shared" si="133"/>
        <v>230</v>
      </c>
      <c r="Y89" s="18">
        <f t="shared" si="134"/>
        <v>582</v>
      </c>
      <c r="Z89" s="14">
        <f t="shared" si="135"/>
        <v>215</v>
      </c>
      <c r="AA89" s="18">
        <f t="shared" si="136"/>
        <v>582</v>
      </c>
      <c r="AB89" s="4" t="s">
        <v>0</v>
      </c>
    </row>
    <row r="90" spans="1:28">
      <c r="A90" s="9" t="s">
        <v>59</v>
      </c>
      <c r="B90" s="24"/>
      <c r="C90" s="26"/>
      <c r="D90" s="25">
        <f>D70</f>
        <v>283</v>
      </c>
      <c r="E90" s="29">
        <f t="shared" ref="E90" si="151">E89</f>
        <v>151</v>
      </c>
      <c r="F90" s="25">
        <f>F70</f>
        <v>298</v>
      </c>
      <c r="G90" s="29">
        <f t="shared" si="142"/>
        <v>168</v>
      </c>
      <c r="H90" s="4" t="s">
        <v>0</v>
      </c>
      <c r="I90" s="16" t="str">
        <f t="shared" si="119"/>
        <v>06-12</v>
      </c>
      <c r="J90" s="14">
        <f t="shared" si="120"/>
        <v>283</v>
      </c>
      <c r="K90" s="15">
        <f t="shared" si="121"/>
        <v>151</v>
      </c>
      <c r="L90" s="17">
        <f t="shared" si="122"/>
        <v>298</v>
      </c>
      <c r="M90" s="18">
        <f t="shared" si="123"/>
        <v>151</v>
      </c>
      <c r="N90" s="14">
        <f t="shared" si="124"/>
        <v>298</v>
      </c>
      <c r="O90" s="15">
        <f t="shared" si="125"/>
        <v>168</v>
      </c>
      <c r="P90" s="17">
        <f t="shared" si="126"/>
        <v>283</v>
      </c>
      <c r="Q90" s="18">
        <f t="shared" si="127"/>
        <v>168</v>
      </c>
      <c r="R90" s="4" t="s">
        <v>0</v>
      </c>
      <c r="S90" s="16" t="str">
        <f t="shared" si="128"/>
        <v>06-12</v>
      </c>
      <c r="T90" s="14">
        <f t="shared" si="129"/>
        <v>283</v>
      </c>
      <c r="U90" s="18">
        <f t="shared" si="130"/>
        <v>599</v>
      </c>
      <c r="V90" s="14">
        <f t="shared" si="131"/>
        <v>298</v>
      </c>
      <c r="W90" s="18">
        <f t="shared" si="132"/>
        <v>599</v>
      </c>
      <c r="X90" s="14">
        <f t="shared" si="133"/>
        <v>298</v>
      </c>
      <c r="Y90" s="18">
        <f t="shared" si="134"/>
        <v>582</v>
      </c>
      <c r="Z90" s="14">
        <f t="shared" si="135"/>
        <v>283</v>
      </c>
      <c r="AA90" s="18">
        <f t="shared" si="136"/>
        <v>582</v>
      </c>
      <c r="AB90" s="4" t="s">
        <v>0</v>
      </c>
    </row>
    <row r="91" spans="1:28">
      <c r="A91" s="9" t="s">
        <v>58</v>
      </c>
      <c r="B91" s="24"/>
      <c r="C91" s="26"/>
      <c r="D91" s="25">
        <f t="shared" ref="D91:D99" si="152">D71</f>
        <v>299</v>
      </c>
      <c r="E91" s="29">
        <f t="shared" ref="E91" si="153">E90</f>
        <v>151</v>
      </c>
      <c r="F91" s="25">
        <f t="shared" ref="F91:F99" si="154">F71</f>
        <v>314</v>
      </c>
      <c r="G91" s="29">
        <f t="shared" si="142"/>
        <v>168</v>
      </c>
      <c r="H91" s="4" t="s">
        <v>0</v>
      </c>
      <c r="I91" s="16" t="str">
        <f t="shared" si="119"/>
        <v>06-11</v>
      </c>
      <c r="J91" s="14">
        <f t="shared" si="120"/>
        <v>299</v>
      </c>
      <c r="K91" s="15">
        <f t="shared" si="121"/>
        <v>151</v>
      </c>
      <c r="L91" s="17">
        <f t="shared" si="122"/>
        <v>314</v>
      </c>
      <c r="M91" s="18">
        <f t="shared" si="123"/>
        <v>151</v>
      </c>
      <c r="N91" s="14">
        <f t="shared" si="124"/>
        <v>314</v>
      </c>
      <c r="O91" s="15">
        <f t="shared" si="125"/>
        <v>168</v>
      </c>
      <c r="P91" s="17">
        <f t="shared" si="126"/>
        <v>299</v>
      </c>
      <c r="Q91" s="18">
        <f t="shared" si="127"/>
        <v>168</v>
      </c>
      <c r="R91" s="4" t="s">
        <v>0</v>
      </c>
      <c r="S91" s="16" t="str">
        <f t="shared" si="128"/>
        <v>06-11</v>
      </c>
      <c r="T91" s="14">
        <f t="shared" si="129"/>
        <v>299</v>
      </c>
      <c r="U91" s="18">
        <f t="shared" si="130"/>
        <v>599</v>
      </c>
      <c r="V91" s="14">
        <f t="shared" si="131"/>
        <v>314</v>
      </c>
      <c r="W91" s="18">
        <f t="shared" si="132"/>
        <v>599</v>
      </c>
      <c r="X91" s="14">
        <f t="shared" si="133"/>
        <v>314</v>
      </c>
      <c r="Y91" s="18">
        <f t="shared" si="134"/>
        <v>582</v>
      </c>
      <c r="Z91" s="14">
        <f t="shared" si="135"/>
        <v>299</v>
      </c>
      <c r="AA91" s="18">
        <f t="shared" si="136"/>
        <v>582</v>
      </c>
      <c r="AB91" s="4" t="s">
        <v>0</v>
      </c>
    </row>
    <row r="92" spans="1:28">
      <c r="A92" s="9" t="s">
        <v>57</v>
      </c>
      <c r="B92" s="24"/>
      <c r="C92" s="26"/>
      <c r="D92" s="25">
        <f t="shared" si="152"/>
        <v>315</v>
      </c>
      <c r="E92" s="29">
        <f t="shared" ref="E92" si="155">E91</f>
        <v>151</v>
      </c>
      <c r="F92" s="25">
        <f t="shared" si="154"/>
        <v>330</v>
      </c>
      <c r="G92" s="29">
        <f t="shared" si="142"/>
        <v>168</v>
      </c>
      <c r="H92" s="4" t="s">
        <v>0</v>
      </c>
      <c r="I92" s="16" t="str">
        <f t="shared" si="119"/>
        <v>06-10</v>
      </c>
      <c r="J92" s="14">
        <f t="shared" si="120"/>
        <v>315</v>
      </c>
      <c r="K92" s="15">
        <f t="shared" si="121"/>
        <v>151</v>
      </c>
      <c r="L92" s="17">
        <f t="shared" si="122"/>
        <v>330</v>
      </c>
      <c r="M92" s="18">
        <f t="shared" si="123"/>
        <v>151</v>
      </c>
      <c r="N92" s="14">
        <f t="shared" si="124"/>
        <v>330</v>
      </c>
      <c r="O92" s="15">
        <f t="shared" si="125"/>
        <v>168</v>
      </c>
      <c r="P92" s="17">
        <f t="shared" si="126"/>
        <v>315</v>
      </c>
      <c r="Q92" s="18">
        <f t="shared" si="127"/>
        <v>168</v>
      </c>
      <c r="R92" s="4" t="s">
        <v>0</v>
      </c>
      <c r="S92" s="16" t="str">
        <f t="shared" si="128"/>
        <v>06-10</v>
      </c>
      <c r="T92" s="14">
        <f t="shared" si="129"/>
        <v>315</v>
      </c>
      <c r="U92" s="18">
        <f t="shared" si="130"/>
        <v>599</v>
      </c>
      <c r="V92" s="14">
        <f t="shared" si="131"/>
        <v>330</v>
      </c>
      <c r="W92" s="18">
        <f t="shared" si="132"/>
        <v>599</v>
      </c>
      <c r="X92" s="14">
        <f t="shared" si="133"/>
        <v>330</v>
      </c>
      <c r="Y92" s="18">
        <f t="shared" si="134"/>
        <v>582</v>
      </c>
      <c r="Z92" s="14">
        <f t="shared" si="135"/>
        <v>315</v>
      </c>
      <c r="AA92" s="18">
        <f t="shared" si="136"/>
        <v>582</v>
      </c>
      <c r="AB92" s="4" t="s">
        <v>0</v>
      </c>
    </row>
    <row r="93" spans="1:28">
      <c r="A93" s="9" t="s">
        <v>56</v>
      </c>
      <c r="B93" s="24"/>
      <c r="C93" s="26"/>
      <c r="D93" s="25">
        <f t="shared" si="152"/>
        <v>331</v>
      </c>
      <c r="E93" s="29">
        <f t="shared" ref="E93" si="156">E92</f>
        <v>151</v>
      </c>
      <c r="F93" s="25">
        <f t="shared" si="154"/>
        <v>346</v>
      </c>
      <c r="G93" s="29">
        <f t="shared" si="142"/>
        <v>168</v>
      </c>
      <c r="H93" s="4" t="s">
        <v>0</v>
      </c>
      <c r="I93" s="16" t="str">
        <f t="shared" si="119"/>
        <v>06-08</v>
      </c>
      <c r="J93" s="14">
        <f t="shared" si="120"/>
        <v>331</v>
      </c>
      <c r="K93" s="15">
        <f t="shared" si="121"/>
        <v>151</v>
      </c>
      <c r="L93" s="17">
        <f t="shared" si="122"/>
        <v>346</v>
      </c>
      <c r="M93" s="18">
        <f t="shared" si="123"/>
        <v>151</v>
      </c>
      <c r="N93" s="14">
        <f t="shared" si="124"/>
        <v>346</v>
      </c>
      <c r="O93" s="15">
        <f t="shared" si="125"/>
        <v>168</v>
      </c>
      <c r="P93" s="17">
        <f t="shared" si="126"/>
        <v>331</v>
      </c>
      <c r="Q93" s="18">
        <f t="shared" si="127"/>
        <v>168</v>
      </c>
      <c r="R93" s="4" t="s">
        <v>0</v>
      </c>
      <c r="S93" s="16" t="str">
        <f t="shared" si="128"/>
        <v>06-08</v>
      </c>
      <c r="T93" s="14">
        <f t="shared" si="129"/>
        <v>331</v>
      </c>
      <c r="U93" s="18">
        <f t="shared" si="130"/>
        <v>599</v>
      </c>
      <c r="V93" s="14">
        <f t="shared" si="131"/>
        <v>346</v>
      </c>
      <c r="W93" s="18">
        <f t="shared" si="132"/>
        <v>599</v>
      </c>
      <c r="X93" s="14">
        <f t="shared" si="133"/>
        <v>346</v>
      </c>
      <c r="Y93" s="18">
        <f t="shared" si="134"/>
        <v>582</v>
      </c>
      <c r="Z93" s="14">
        <f t="shared" si="135"/>
        <v>331</v>
      </c>
      <c r="AA93" s="18">
        <f t="shared" si="136"/>
        <v>582</v>
      </c>
      <c r="AB93" s="4" t="s">
        <v>0</v>
      </c>
    </row>
    <row r="94" spans="1:28">
      <c r="A94" s="9" t="s">
        <v>55</v>
      </c>
      <c r="B94" s="24"/>
      <c r="C94" s="26"/>
      <c r="D94" s="25">
        <f t="shared" si="152"/>
        <v>347</v>
      </c>
      <c r="E94" s="29">
        <f t="shared" ref="E94" si="157">E93</f>
        <v>151</v>
      </c>
      <c r="F94" s="25">
        <f t="shared" si="154"/>
        <v>362</v>
      </c>
      <c r="G94" s="29">
        <f t="shared" si="142"/>
        <v>168</v>
      </c>
      <c r="H94" s="4" t="s">
        <v>0</v>
      </c>
      <c r="I94" s="16" t="str">
        <f t="shared" si="119"/>
        <v>06-07</v>
      </c>
      <c r="J94" s="14">
        <f t="shared" si="120"/>
        <v>347</v>
      </c>
      <c r="K94" s="15">
        <f t="shared" si="121"/>
        <v>151</v>
      </c>
      <c r="L94" s="17">
        <f t="shared" si="122"/>
        <v>362</v>
      </c>
      <c r="M94" s="18">
        <f t="shared" si="123"/>
        <v>151</v>
      </c>
      <c r="N94" s="14">
        <f t="shared" si="124"/>
        <v>362</v>
      </c>
      <c r="O94" s="15">
        <f t="shared" si="125"/>
        <v>168</v>
      </c>
      <c r="P94" s="17">
        <f t="shared" si="126"/>
        <v>347</v>
      </c>
      <c r="Q94" s="18">
        <f t="shared" si="127"/>
        <v>168</v>
      </c>
      <c r="R94" s="4" t="s">
        <v>0</v>
      </c>
      <c r="S94" s="16" t="str">
        <f t="shared" si="128"/>
        <v>06-07</v>
      </c>
      <c r="T94" s="14">
        <f t="shared" si="129"/>
        <v>347</v>
      </c>
      <c r="U94" s="18">
        <f t="shared" si="130"/>
        <v>599</v>
      </c>
      <c r="V94" s="14">
        <f t="shared" si="131"/>
        <v>362</v>
      </c>
      <c r="W94" s="18">
        <f t="shared" si="132"/>
        <v>599</v>
      </c>
      <c r="X94" s="14">
        <f t="shared" si="133"/>
        <v>362</v>
      </c>
      <c r="Y94" s="18">
        <f t="shared" si="134"/>
        <v>582</v>
      </c>
      <c r="Z94" s="14">
        <f t="shared" si="135"/>
        <v>347</v>
      </c>
      <c r="AA94" s="18">
        <f t="shared" si="136"/>
        <v>582</v>
      </c>
      <c r="AB94" s="4" t="s">
        <v>0</v>
      </c>
    </row>
    <row r="95" spans="1:28">
      <c r="A95" s="9" t="s">
        <v>54</v>
      </c>
      <c r="B95" s="24"/>
      <c r="C95" s="26"/>
      <c r="D95" s="25">
        <f t="shared" si="152"/>
        <v>362</v>
      </c>
      <c r="E95" s="29">
        <f t="shared" ref="E95" si="158">E94</f>
        <v>151</v>
      </c>
      <c r="F95" s="25">
        <f t="shared" si="154"/>
        <v>377</v>
      </c>
      <c r="G95" s="29">
        <f t="shared" si="142"/>
        <v>168</v>
      </c>
      <c r="H95" s="4" t="s">
        <v>0</v>
      </c>
      <c r="I95" s="16" t="str">
        <f t="shared" si="119"/>
        <v>06-06</v>
      </c>
      <c r="J95" s="14">
        <f t="shared" si="120"/>
        <v>362</v>
      </c>
      <c r="K95" s="15">
        <f t="shared" si="121"/>
        <v>151</v>
      </c>
      <c r="L95" s="17">
        <f t="shared" si="122"/>
        <v>377</v>
      </c>
      <c r="M95" s="18">
        <f t="shared" si="123"/>
        <v>151</v>
      </c>
      <c r="N95" s="14">
        <f t="shared" si="124"/>
        <v>377</v>
      </c>
      <c r="O95" s="15">
        <f t="shared" si="125"/>
        <v>168</v>
      </c>
      <c r="P95" s="17">
        <f t="shared" si="126"/>
        <v>362</v>
      </c>
      <c r="Q95" s="18">
        <f t="shared" si="127"/>
        <v>168</v>
      </c>
      <c r="R95" s="4" t="s">
        <v>0</v>
      </c>
      <c r="S95" s="16" t="str">
        <f t="shared" si="128"/>
        <v>06-06</v>
      </c>
      <c r="T95" s="14">
        <f t="shared" si="129"/>
        <v>362</v>
      </c>
      <c r="U95" s="18">
        <f t="shared" si="130"/>
        <v>599</v>
      </c>
      <c r="V95" s="14">
        <f t="shared" si="131"/>
        <v>377</v>
      </c>
      <c r="W95" s="18">
        <f t="shared" si="132"/>
        <v>599</v>
      </c>
      <c r="X95" s="14">
        <f t="shared" si="133"/>
        <v>377</v>
      </c>
      <c r="Y95" s="18">
        <f t="shared" si="134"/>
        <v>582</v>
      </c>
      <c r="Z95" s="14">
        <f t="shared" si="135"/>
        <v>362</v>
      </c>
      <c r="AA95" s="18">
        <f t="shared" si="136"/>
        <v>582</v>
      </c>
      <c r="AB95" s="4" t="s">
        <v>0</v>
      </c>
    </row>
    <row r="96" spans="1:28">
      <c r="A96" s="9" t="s">
        <v>53</v>
      </c>
      <c r="B96" s="24"/>
      <c r="C96" s="26"/>
      <c r="D96" s="25">
        <f t="shared" si="152"/>
        <v>378</v>
      </c>
      <c r="E96" s="29">
        <f t="shared" ref="E96" si="159">E95</f>
        <v>151</v>
      </c>
      <c r="F96" s="25">
        <f t="shared" si="154"/>
        <v>393</v>
      </c>
      <c r="G96" s="29">
        <f t="shared" si="142"/>
        <v>168</v>
      </c>
      <c r="H96" s="4" t="s">
        <v>0</v>
      </c>
      <c r="I96" s="16" t="str">
        <f t="shared" si="119"/>
        <v>06-05</v>
      </c>
      <c r="J96" s="14">
        <f t="shared" si="120"/>
        <v>378</v>
      </c>
      <c r="K96" s="15">
        <f t="shared" si="121"/>
        <v>151</v>
      </c>
      <c r="L96" s="17">
        <f t="shared" si="122"/>
        <v>393</v>
      </c>
      <c r="M96" s="18">
        <f t="shared" si="123"/>
        <v>151</v>
      </c>
      <c r="N96" s="14">
        <f t="shared" si="124"/>
        <v>393</v>
      </c>
      <c r="O96" s="15">
        <f t="shared" si="125"/>
        <v>168</v>
      </c>
      <c r="P96" s="17">
        <f t="shared" si="126"/>
        <v>378</v>
      </c>
      <c r="Q96" s="18">
        <f t="shared" si="127"/>
        <v>168</v>
      </c>
      <c r="R96" s="4" t="s">
        <v>0</v>
      </c>
      <c r="S96" s="16" t="str">
        <f t="shared" si="128"/>
        <v>06-05</v>
      </c>
      <c r="T96" s="14">
        <f t="shared" si="129"/>
        <v>378</v>
      </c>
      <c r="U96" s="18">
        <f t="shared" si="130"/>
        <v>599</v>
      </c>
      <c r="V96" s="14">
        <f t="shared" si="131"/>
        <v>393</v>
      </c>
      <c r="W96" s="18">
        <f t="shared" si="132"/>
        <v>599</v>
      </c>
      <c r="X96" s="14">
        <f t="shared" si="133"/>
        <v>393</v>
      </c>
      <c r="Y96" s="18">
        <f t="shared" si="134"/>
        <v>582</v>
      </c>
      <c r="Z96" s="14">
        <f t="shared" si="135"/>
        <v>378</v>
      </c>
      <c r="AA96" s="18">
        <f t="shared" si="136"/>
        <v>582</v>
      </c>
      <c r="AB96" s="4" t="s">
        <v>0</v>
      </c>
    </row>
    <row r="97" spans="1:28">
      <c r="A97" s="9" t="s">
        <v>52</v>
      </c>
      <c r="B97" s="24"/>
      <c r="C97" s="26"/>
      <c r="D97" s="25">
        <f t="shared" si="152"/>
        <v>394</v>
      </c>
      <c r="E97" s="29">
        <f t="shared" ref="E97" si="160">E96</f>
        <v>151</v>
      </c>
      <c r="F97" s="25">
        <f t="shared" si="154"/>
        <v>409</v>
      </c>
      <c r="G97" s="29">
        <f t="shared" si="142"/>
        <v>168</v>
      </c>
      <c r="H97" s="4" t="s">
        <v>0</v>
      </c>
      <c r="I97" s="16" t="str">
        <f t="shared" si="119"/>
        <v>06-03</v>
      </c>
      <c r="J97" s="14">
        <f t="shared" si="120"/>
        <v>394</v>
      </c>
      <c r="K97" s="15">
        <f t="shared" si="121"/>
        <v>151</v>
      </c>
      <c r="L97" s="17">
        <f t="shared" si="122"/>
        <v>409</v>
      </c>
      <c r="M97" s="18">
        <f t="shared" si="123"/>
        <v>151</v>
      </c>
      <c r="N97" s="14">
        <f t="shared" si="124"/>
        <v>409</v>
      </c>
      <c r="O97" s="15">
        <f t="shared" si="125"/>
        <v>168</v>
      </c>
      <c r="P97" s="17">
        <f t="shared" si="126"/>
        <v>394</v>
      </c>
      <c r="Q97" s="18">
        <f t="shared" si="127"/>
        <v>168</v>
      </c>
      <c r="R97" s="4" t="s">
        <v>0</v>
      </c>
      <c r="S97" s="16" t="str">
        <f t="shared" si="128"/>
        <v>06-03</v>
      </c>
      <c r="T97" s="14">
        <f t="shared" si="129"/>
        <v>394</v>
      </c>
      <c r="U97" s="18">
        <f t="shared" si="130"/>
        <v>599</v>
      </c>
      <c r="V97" s="14">
        <f t="shared" si="131"/>
        <v>409</v>
      </c>
      <c r="W97" s="18">
        <f t="shared" si="132"/>
        <v>599</v>
      </c>
      <c r="X97" s="14">
        <f t="shared" si="133"/>
        <v>409</v>
      </c>
      <c r="Y97" s="18">
        <f t="shared" si="134"/>
        <v>582</v>
      </c>
      <c r="Z97" s="14">
        <f t="shared" si="135"/>
        <v>394</v>
      </c>
      <c r="AA97" s="18">
        <f t="shared" si="136"/>
        <v>582</v>
      </c>
      <c r="AB97" s="4" t="s">
        <v>0</v>
      </c>
    </row>
    <row r="98" spans="1:28">
      <c r="A98" s="9" t="s">
        <v>51</v>
      </c>
      <c r="B98" s="24"/>
      <c r="C98" s="26"/>
      <c r="D98" s="25">
        <f t="shared" si="152"/>
        <v>410</v>
      </c>
      <c r="E98" s="29">
        <f t="shared" ref="E98" si="161">E97</f>
        <v>151</v>
      </c>
      <c r="F98" s="25">
        <f t="shared" si="154"/>
        <v>425</v>
      </c>
      <c r="G98" s="29">
        <f t="shared" si="142"/>
        <v>168</v>
      </c>
      <c r="H98" s="4" t="s">
        <v>0</v>
      </c>
      <c r="I98" s="16" t="str">
        <f t="shared" si="119"/>
        <v>06-02</v>
      </c>
      <c r="J98" s="14">
        <f t="shared" si="120"/>
        <v>410</v>
      </c>
      <c r="K98" s="15">
        <f t="shared" si="121"/>
        <v>151</v>
      </c>
      <c r="L98" s="17">
        <f t="shared" si="122"/>
        <v>425</v>
      </c>
      <c r="M98" s="18">
        <f t="shared" si="123"/>
        <v>151</v>
      </c>
      <c r="N98" s="14">
        <f t="shared" si="124"/>
        <v>425</v>
      </c>
      <c r="O98" s="15">
        <f t="shared" si="125"/>
        <v>168</v>
      </c>
      <c r="P98" s="17">
        <f t="shared" si="126"/>
        <v>410</v>
      </c>
      <c r="Q98" s="18">
        <f t="shared" si="127"/>
        <v>168</v>
      </c>
      <c r="R98" s="4" t="s">
        <v>0</v>
      </c>
      <c r="S98" s="16" t="str">
        <f t="shared" si="128"/>
        <v>06-02</v>
      </c>
      <c r="T98" s="14">
        <f t="shared" si="129"/>
        <v>410</v>
      </c>
      <c r="U98" s="18">
        <f t="shared" si="130"/>
        <v>599</v>
      </c>
      <c r="V98" s="14">
        <f t="shared" si="131"/>
        <v>425</v>
      </c>
      <c r="W98" s="18">
        <f t="shared" si="132"/>
        <v>599</v>
      </c>
      <c r="X98" s="14">
        <f t="shared" si="133"/>
        <v>425</v>
      </c>
      <c r="Y98" s="18">
        <f t="shared" si="134"/>
        <v>582</v>
      </c>
      <c r="Z98" s="14">
        <f t="shared" si="135"/>
        <v>410</v>
      </c>
      <c r="AA98" s="18">
        <f t="shared" si="136"/>
        <v>582</v>
      </c>
      <c r="AB98" s="4" t="s">
        <v>0</v>
      </c>
    </row>
    <row r="99" spans="1:28">
      <c r="A99" s="9" t="s">
        <v>50</v>
      </c>
      <c r="B99" s="24"/>
      <c r="C99" s="26"/>
      <c r="D99" s="25">
        <f t="shared" si="152"/>
        <v>426</v>
      </c>
      <c r="E99" s="29">
        <f t="shared" ref="E99" si="162">E98</f>
        <v>151</v>
      </c>
      <c r="F99" s="25">
        <f t="shared" si="154"/>
        <v>441</v>
      </c>
      <c r="G99" s="29">
        <f t="shared" si="142"/>
        <v>168</v>
      </c>
      <c r="H99" s="4" t="s">
        <v>0</v>
      </c>
      <c r="I99" s="16" t="str">
        <f t="shared" si="119"/>
        <v>06-01</v>
      </c>
      <c r="J99" s="14">
        <f t="shared" si="120"/>
        <v>426</v>
      </c>
      <c r="K99" s="15">
        <f t="shared" si="121"/>
        <v>151</v>
      </c>
      <c r="L99" s="17">
        <f t="shared" si="122"/>
        <v>441</v>
      </c>
      <c r="M99" s="18">
        <f t="shared" si="123"/>
        <v>151</v>
      </c>
      <c r="N99" s="14">
        <f t="shared" si="124"/>
        <v>441</v>
      </c>
      <c r="O99" s="15">
        <f t="shared" si="125"/>
        <v>168</v>
      </c>
      <c r="P99" s="17">
        <f t="shared" si="126"/>
        <v>426</v>
      </c>
      <c r="Q99" s="18">
        <f t="shared" si="127"/>
        <v>168</v>
      </c>
      <c r="R99" s="4" t="s">
        <v>0</v>
      </c>
      <c r="S99" s="16" t="str">
        <f t="shared" si="128"/>
        <v>06-01</v>
      </c>
      <c r="T99" s="14">
        <f t="shared" si="129"/>
        <v>426</v>
      </c>
      <c r="U99" s="18">
        <f t="shared" si="130"/>
        <v>599</v>
      </c>
      <c r="V99" s="14">
        <f t="shared" si="131"/>
        <v>441</v>
      </c>
      <c r="W99" s="18">
        <f t="shared" si="132"/>
        <v>599</v>
      </c>
      <c r="X99" s="14">
        <f t="shared" si="133"/>
        <v>441</v>
      </c>
      <c r="Y99" s="18">
        <f t="shared" si="134"/>
        <v>582</v>
      </c>
      <c r="Z99" s="14">
        <f t="shared" si="135"/>
        <v>426</v>
      </c>
      <c r="AA99" s="18">
        <f t="shared" si="136"/>
        <v>582</v>
      </c>
      <c r="AB99" s="4" t="s">
        <v>0</v>
      </c>
    </row>
    <row r="100" spans="1:28">
      <c r="A100" s="9" t="s">
        <v>436</v>
      </c>
      <c r="B100" s="24"/>
      <c r="C100" s="26"/>
      <c r="D100" s="27">
        <v>59</v>
      </c>
      <c r="E100" s="31">
        <v>224</v>
      </c>
      <c r="F100" s="31">
        <v>74</v>
      </c>
      <c r="G100" s="31">
        <v>241</v>
      </c>
      <c r="H100" s="4" t="s">
        <v>0</v>
      </c>
      <c r="I100" s="16" t="str">
        <f t="shared" si="119"/>
        <v>05-28</v>
      </c>
      <c r="J100" s="14">
        <f t="shared" si="120"/>
        <v>59</v>
      </c>
      <c r="K100" s="15">
        <f t="shared" si="121"/>
        <v>224</v>
      </c>
      <c r="L100" s="17">
        <f t="shared" si="122"/>
        <v>74</v>
      </c>
      <c r="M100" s="18">
        <f t="shared" si="123"/>
        <v>224</v>
      </c>
      <c r="N100" s="14">
        <f t="shared" si="124"/>
        <v>74</v>
      </c>
      <c r="O100" s="15">
        <f t="shared" si="125"/>
        <v>241</v>
      </c>
      <c r="P100" s="17">
        <f t="shared" si="126"/>
        <v>59</v>
      </c>
      <c r="Q100" s="18">
        <f t="shared" si="127"/>
        <v>241</v>
      </c>
      <c r="R100" s="4" t="s">
        <v>0</v>
      </c>
      <c r="S100" s="16" t="str">
        <f t="shared" si="128"/>
        <v>05-28</v>
      </c>
      <c r="T100" s="14">
        <f t="shared" si="129"/>
        <v>59</v>
      </c>
      <c r="U100" s="18">
        <f t="shared" si="130"/>
        <v>526</v>
      </c>
      <c r="V100" s="14">
        <f t="shared" si="131"/>
        <v>74</v>
      </c>
      <c r="W100" s="18">
        <f t="shared" si="132"/>
        <v>526</v>
      </c>
      <c r="X100" s="14">
        <f t="shared" si="133"/>
        <v>74</v>
      </c>
      <c r="Y100" s="18">
        <f t="shared" si="134"/>
        <v>509</v>
      </c>
      <c r="Z100" s="14">
        <f t="shared" si="135"/>
        <v>59</v>
      </c>
      <c r="AA100" s="18">
        <f t="shared" si="136"/>
        <v>509</v>
      </c>
      <c r="AB100" s="4" t="s">
        <v>0</v>
      </c>
    </row>
    <row r="101" spans="1:28">
      <c r="A101" s="9" t="s">
        <v>435</v>
      </c>
      <c r="B101" s="24"/>
      <c r="C101" s="26">
        <v>1</v>
      </c>
      <c r="D101" s="28">
        <f>ROUND(D$100+15.7*$C101, 0)</f>
        <v>75</v>
      </c>
      <c r="E101" s="29">
        <f t="shared" ref="E101" si="163">E100</f>
        <v>224</v>
      </c>
      <c r="F101" s="28">
        <f>ROUND(F$100+15.7*$C101, 0)</f>
        <v>90</v>
      </c>
      <c r="G101" s="29">
        <f t="shared" ref="G101:G122" si="164">G100</f>
        <v>241</v>
      </c>
      <c r="H101" s="4" t="s">
        <v>0</v>
      </c>
      <c r="I101" s="16" t="str">
        <f t="shared" si="119"/>
        <v>05-27</v>
      </c>
      <c r="J101" s="14">
        <f t="shared" si="120"/>
        <v>75</v>
      </c>
      <c r="K101" s="15">
        <f t="shared" si="121"/>
        <v>224</v>
      </c>
      <c r="L101" s="17">
        <f t="shared" si="122"/>
        <v>90</v>
      </c>
      <c r="M101" s="18">
        <f t="shared" si="123"/>
        <v>224</v>
      </c>
      <c r="N101" s="14">
        <f t="shared" si="124"/>
        <v>90</v>
      </c>
      <c r="O101" s="15">
        <f t="shared" si="125"/>
        <v>241</v>
      </c>
      <c r="P101" s="17">
        <f t="shared" si="126"/>
        <v>75</v>
      </c>
      <c r="Q101" s="18">
        <f t="shared" si="127"/>
        <v>241</v>
      </c>
      <c r="R101" s="4" t="s">
        <v>0</v>
      </c>
      <c r="S101" s="16" t="str">
        <f t="shared" si="128"/>
        <v>05-27</v>
      </c>
      <c r="T101" s="14">
        <f t="shared" si="129"/>
        <v>75</v>
      </c>
      <c r="U101" s="18">
        <f t="shared" si="130"/>
        <v>526</v>
      </c>
      <c r="V101" s="14">
        <f t="shared" si="131"/>
        <v>90</v>
      </c>
      <c r="W101" s="18">
        <f t="shared" si="132"/>
        <v>526</v>
      </c>
      <c r="X101" s="14">
        <f t="shared" si="133"/>
        <v>90</v>
      </c>
      <c r="Y101" s="18">
        <f t="shared" si="134"/>
        <v>509</v>
      </c>
      <c r="Z101" s="14">
        <f t="shared" si="135"/>
        <v>75</v>
      </c>
      <c r="AA101" s="18">
        <f t="shared" si="136"/>
        <v>509</v>
      </c>
      <c r="AB101" s="4" t="s">
        <v>0</v>
      </c>
    </row>
    <row r="102" spans="1:28">
      <c r="A102" s="9" t="s">
        <v>434</v>
      </c>
      <c r="B102" s="24"/>
      <c r="C102" s="26">
        <v>2</v>
      </c>
      <c r="D102" s="28">
        <f t="shared" ref="D102:D110" si="165">ROUND(D$100+15.7*$C102, 0)</f>
        <v>90</v>
      </c>
      <c r="E102" s="29">
        <f t="shared" ref="E102" si="166">E101</f>
        <v>224</v>
      </c>
      <c r="F102" s="28">
        <f t="shared" ref="F102:F110" si="167">ROUND(F$100+15.7*$C102, 0)</f>
        <v>105</v>
      </c>
      <c r="G102" s="29">
        <f t="shared" si="164"/>
        <v>241</v>
      </c>
      <c r="H102" s="4" t="s">
        <v>0</v>
      </c>
      <c r="I102" s="16" t="str">
        <f t="shared" si="119"/>
        <v>05-26</v>
      </c>
      <c r="J102" s="14">
        <f t="shared" si="120"/>
        <v>90</v>
      </c>
      <c r="K102" s="15">
        <f t="shared" si="121"/>
        <v>224</v>
      </c>
      <c r="L102" s="17">
        <f t="shared" si="122"/>
        <v>105</v>
      </c>
      <c r="M102" s="18">
        <f t="shared" si="123"/>
        <v>224</v>
      </c>
      <c r="N102" s="14">
        <f t="shared" si="124"/>
        <v>105</v>
      </c>
      <c r="O102" s="15">
        <f t="shared" si="125"/>
        <v>241</v>
      </c>
      <c r="P102" s="17">
        <f t="shared" si="126"/>
        <v>90</v>
      </c>
      <c r="Q102" s="18">
        <f t="shared" si="127"/>
        <v>241</v>
      </c>
      <c r="R102" s="4" t="s">
        <v>0</v>
      </c>
      <c r="S102" s="16" t="str">
        <f t="shared" si="128"/>
        <v>05-26</v>
      </c>
      <c r="T102" s="14">
        <f t="shared" si="129"/>
        <v>90</v>
      </c>
      <c r="U102" s="18">
        <f t="shared" si="130"/>
        <v>526</v>
      </c>
      <c r="V102" s="14">
        <f t="shared" si="131"/>
        <v>105</v>
      </c>
      <c r="W102" s="18">
        <f t="shared" si="132"/>
        <v>526</v>
      </c>
      <c r="X102" s="14">
        <f t="shared" si="133"/>
        <v>105</v>
      </c>
      <c r="Y102" s="18">
        <f t="shared" si="134"/>
        <v>509</v>
      </c>
      <c r="Z102" s="14">
        <f t="shared" si="135"/>
        <v>90</v>
      </c>
      <c r="AA102" s="18">
        <f t="shared" si="136"/>
        <v>509</v>
      </c>
      <c r="AB102" s="4" t="s">
        <v>0</v>
      </c>
    </row>
    <row r="103" spans="1:28">
      <c r="A103" s="9" t="s">
        <v>433</v>
      </c>
      <c r="B103" s="24"/>
      <c r="C103" s="26">
        <v>3</v>
      </c>
      <c r="D103" s="28">
        <f t="shared" si="165"/>
        <v>106</v>
      </c>
      <c r="E103" s="29">
        <f t="shared" ref="E103" si="168">E102</f>
        <v>224</v>
      </c>
      <c r="F103" s="28">
        <f t="shared" si="167"/>
        <v>121</v>
      </c>
      <c r="G103" s="29">
        <f t="shared" si="164"/>
        <v>241</v>
      </c>
      <c r="H103" s="4" t="s">
        <v>0</v>
      </c>
      <c r="I103" s="16" t="str">
        <f t="shared" si="119"/>
        <v>05-25</v>
      </c>
      <c r="J103" s="14">
        <f t="shared" si="120"/>
        <v>106</v>
      </c>
      <c r="K103" s="15">
        <f t="shared" si="121"/>
        <v>224</v>
      </c>
      <c r="L103" s="17">
        <f t="shared" si="122"/>
        <v>121</v>
      </c>
      <c r="M103" s="18">
        <f t="shared" si="123"/>
        <v>224</v>
      </c>
      <c r="N103" s="14">
        <f t="shared" si="124"/>
        <v>121</v>
      </c>
      <c r="O103" s="15">
        <f t="shared" si="125"/>
        <v>241</v>
      </c>
      <c r="P103" s="17">
        <f t="shared" si="126"/>
        <v>106</v>
      </c>
      <c r="Q103" s="18">
        <f t="shared" si="127"/>
        <v>241</v>
      </c>
      <c r="R103" s="4" t="s">
        <v>0</v>
      </c>
      <c r="S103" s="16" t="str">
        <f t="shared" si="128"/>
        <v>05-25</v>
      </c>
      <c r="T103" s="14">
        <f t="shared" si="129"/>
        <v>106</v>
      </c>
      <c r="U103" s="18">
        <f t="shared" si="130"/>
        <v>526</v>
      </c>
      <c r="V103" s="14">
        <f t="shared" si="131"/>
        <v>121</v>
      </c>
      <c r="W103" s="18">
        <f t="shared" si="132"/>
        <v>526</v>
      </c>
      <c r="X103" s="14">
        <f t="shared" si="133"/>
        <v>121</v>
      </c>
      <c r="Y103" s="18">
        <f t="shared" si="134"/>
        <v>509</v>
      </c>
      <c r="Z103" s="14">
        <f t="shared" si="135"/>
        <v>106</v>
      </c>
      <c r="AA103" s="18">
        <f t="shared" si="136"/>
        <v>509</v>
      </c>
      <c r="AB103" s="4" t="s">
        <v>0</v>
      </c>
    </row>
    <row r="104" spans="1:28">
      <c r="A104" s="9" t="s">
        <v>432</v>
      </c>
      <c r="B104" s="24"/>
      <c r="C104" s="26">
        <v>4</v>
      </c>
      <c r="D104" s="28">
        <f t="shared" si="165"/>
        <v>122</v>
      </c>
      <c r="E104" s="29">
        <f t="shared" ref="E104" si="169">E103</f>
        <v>224</v>
      </c>
      <c r="F104" s="28">
        <f t="shared" si="167"/>
        <v>137</v>
      </c>
      <c r="G104" s="29">
        <f t="shared" si="164"/>
        <v>241</v>
      </c>
      <c r="H104" s="4" t="s">
        <v>0</v>
      </c>
      <c r="I104" s="16" t="str">
        <f t="shared" si="119"/>
        <v>05-23</v>
      </c>
      <c r="J104" s="14">
        <f t="shared" si="120"/>
        <v>122</v>
      </c>
      <c r="K104" s="15">
        <f t="shared" si="121"/>
        <v>224</v>
      </c>
      <c r="L104" s="17">
        <f t="shared" si="122"/>
        <v>137</v>
      </c>
      <c r="M104" s="18">
        <f t="shared" si="123"/>
        <v>224</v>
      </c>
      <c r="N104" s="14">
        <f t="shared" si="124"/>
        <v>137</v>
      </c>
      <c r="O104" s="15">
        <f t="shared" si="125"/>
        <v>241</v>
      </c>
      <c r="P104" s="17">
        <f t="shared" si="126"/>
        <v>122</v>
      </c>
      <c r="Q104" s="18">
        <f t="shared" si="127"/>
        <v>241</v>
      </c>
      <c r="R104" s="4" t="s">
        <v>0</v>
      </c>
      <c r="S104" s="16" t="str">
        <f t="shared" si="128"/>
        <v>05-23</v>
      </c>
      <c r="T104" s="14">
        <f t="shared" si="129"/>
        <v>122</v>
      </c>
      <c r="U104" s="18">
        <f t="shared" si="130"/>
        <v>526</v>
      </c>
      <c r="V104" s="14">
        <f t="shared" si="131"/>
        <v>137</v>
      </c>
      <c r="W104" s="18">
        <f t="shared" si="132"/>
        <v>526</v>
      </c>
      <c r="X104" s="14">
        <f t="shared" si="133"/>
        <v>137</v>
      </c>
      <c r="Y104" s="18">
        <f t="shared" si="134"/>
        <v>509</v>
      </c>
      <c r="Z104" s="14">
        <f t="shared" si="135"/>
        <v>122</v>
      </c>
      <c r="AA104" s="18">
        <f t="shared" si="136"/>
        <v>509</v>
      </c>
      <c r="AB104" s="4" t="s">
        <v>0</v>
      </c>
    </row>
    <row r="105" spans="1:28">
      <c r="A105" s="9" t="s">
        <v>431</v>
      </c>
      <c r="B105" s="24"/>
      <c r="C105" s="26">
        <v>5</v>
      </c>
      <c r="D105" s="28">
        <f t="shared" si="165"/>
        <v>138</v>
      </c>
      <c r="E105" s="29">
        <f t="shared" ref="E105" si="170">E104</f>
        <v>224</v>
      </c>
      <c r="F105" s="28">
        <f t="shared" si="167"/>
        <v>153</v>
      </c>
      <c r="G105" s="29">
        <f t="shared" si="164"/>
        <v>241</v>
      </c>
      <c r="H105" s="4" t="s">
        <v>0</v>
      </c>
      <c r="I105" s="16" t="str">
        <f t="shared" si="119"/>
        <v>05-22</v>
      </c>
      <c r="J105" s="14">
        <f t="shared" si="120"/>
        <v>138</v>
      </c>
      <c r="K105" s="15">
        <f t="shared" si="121"/>
        <v>224</v>
      </c>
      <c r="L105" s="17">
        <f t="shared" si="122"/>
        <v>153</v>
      </c>
      <c r="M105" s="18">
        <f t="shared" si="123"/>
        <v>224</v>
      </c>
      <c r="N105" s="14">
        <f t="shared" si="124"/>
        <v>153</v>
      </c>
      <c r="O105" s="15">
        <f t="shared" si="125"/>
        <v>241</v>
      </c>
      <c r="P105" s="17">
        <f t="shared" si="126"/>
        <v>138</v>
      </c>
      <c r="Q105" s="18">
        <f t="shared" si="127"/>
        <v>241</v>
      </c>
      <c r="R105" s="4" t="s">
        <v>0</v>
      </c>
      <c r="S105" s="16" t="str">
        <f t="shared" si="128"/>
        <v>05-22</v>
      </c>
      <c r="T105" s="14">
        <f t="shared" si="129"/>
        <v>138</v>
      </c>
      <c r="U105" s="18">
        <f t="shared" si="130"/>
        <v>526</v>
      </c>
      <c r="V105" s="14">
        <f t="shared" si="131"/>
        <v>153</v>
      </c>
      <c r="W105" s="18">
        <f t="shared" si="132"/>
        <v>526</v>
      </c>
      <c r="X105" s="14">
        <f t="shared" si="133"/>
        <v>153</v>
      </c>
      <c r="Y105" s="18">
        <f t="shared" si="134"/>
        <v>509</v>
      </c>
      <c r="Z105" s="14">
        <f t="shared" si="135"/>
        <v>138</v>
      </c>
      <c r="AA105" s="18">
        <f t="shared" si="136"/>
        <v>509</v>
      </c>
      <c r="AB105" s="4" t="s">
        <v>0</v>
      </c>
    </row>
    <row r="106" spans="1:28">
      <c r="A106" s="9" t="s">
        <v>166</v>
      </c>
      <c r="B106" s="24"/>
      <c r="C106" s="26">
        <v>6</v>
      </c>
      <c r="D106" s="28">
        <f t="shared" si="165"/>
        <v>153</v>
      </c>
      <c r="E106" s="29">
        <f t="shared" ref="E106" si="171">E105</f>
        <v>224</v>
      </c>
      <c r="F106" s="28">
        <f t="shared" si="167"/>
        <v>168</v>
      </c>
      <c r="G106" s="29">
        <f t="shared" si="164"/>
        <v>241</v>
      </c>
      <c r="H106" s="4" t="s">
        <v>0</v>
      </c>
      <c r="I106" s="16" t="str">
        <f t="shared" si="119"/>
        <v>05-21</v>
      </c>
      <c r="J106" s="14">
        <f t="shared" si="120"/>
        <v>153</v>
      </c>
      <c r="K106" s="15">
        <f t="shared" si="121"/>
        <v>224</v>
      </c>
      <c r="L106" s="17">
        <f t="shared" si="122"/>
        <v>168</v>
      </c>
      <c r="M106" s="18">
        <f t="shared" si="123"/>
        <v>224</v>
      </c>
      <c r="N106" s="14">
        <f t="shared" si="124"/>
        <v>168</v>
      </c>
      <c r="O106" s="15">
        <f t="shared" si="125"/>
        <v>241</v>
      </c>
      <c r="P106" s="17">
        <f t="shared" si="126"/>
        <v>153</v>
      </c>
      <c r="Q106" s="18">
        <f t="shared" si="127"/>
        <v>241</v>
      </c>
      <c r="R106" s="4" t="s">
        <v>0</v>
      </c>
      <c r="S106" s="16" t="str">
        <f t="shared" si="128"/>
        <v>05-21</v>
      </c>
      <c r="T106" s="14">
        <f t="shared" si="129"/>
        <v>153</v>
      </c>
      <c r="U106" s="18">
        <f t="shared" si="130"/>
        <v>526</v>
      </c>
      <c r="V106" s="14">
        <f t="shared" si="131"/>
        <v>168</v>
      </c>
      <c r="W106" s="18">
        <f t="shared" si="132"/>
        <v>526</v>
      </c>
      <c r="X106" s="14">
        <f t="shared" si="133"/>
        <v>168</v>
      </c>
      <c r="Y106" s="18">
        <f t="shared" si="134"/>
        <v>509</v>
      </c>
      <c r="Z106" s="14">
        <f t="shared" si="135"/>
        <v>153</v>
      </c>
      <c r="AA106" s="18">
        <f t="shared" si="136"/>
        <v>509</v>
      </c>
      <c r="AB106" s="4" t="s">
        <v>0</v>
      </c>
    </row>
    <row r="107" spans="1:28">
      <c r="A107" s="9" t="s">
        <v>165</v>
      </c>
      <c r="B107" s="24"/>
      <c r="C107" s="26">
        <v>7</v>
      </c>
      <c r="D107" s="28">
        <f t="shared" si="165"/>
        <v>169</v>
      </c>
      <c r="E107" s="29">
        <f t="shared" ref="E107" si="172">E106</f>
        <v>224</v>
      </c>
      <c r="F107" s="28">
        <f t="shared" si="167"/>
        <v>184</v>
      </c>
      <c r="G107" s="29">
        <f t="shared" si="164"/>
        <v>241</v>
      </c>
      <c r="H107" s="4" t="s">
        <v>0</v>
      </c>
      <c r="I107" s="16" t="str">
        <f t="shared" si="119"/>
        <v>05-20</v>
      </c>
      <c r="J107" s="14">
        <f t="shared" si="120"/>
        <v>169</v>
      </c>
      <c r="K107" s="15">
        <f t="shared" si="121"/>
        <v>224</v>
      </c>
      <c r="L107" s="17">
        <f t="shared" si="122"/>
        <v>184</v>
      </c>
      <c r="M107" s="18">
        <f t="shared" si="123"/>
        <v>224</v>
      </c>
      <c r="N107" s="14">
        <f t="shared" si="124"/>
        <v>184</v>
      </c>
      <c r="O107" s="15">
        <f t="shared" si="125"/>
        <v>241</v>
      </c>
      <c r="P107" s="17">
        <f t="shared" si="126"/>
        <v>169</v>
      </c>
      <c r="Q107" s="18">
        <f t="shared" si="127"/>
        <v>241</v>
      </c>
      <c r="R107" s="4" t="s">
        <v>0</v>
      </c>
      <c r="S107" s="16" t="str">
        <f t="shared" si="128"/>
        <v>05-20</v>
      </c>
      <c r="T107" s="14">
        <f t="shared" si="129"/>
        <v>169</v>
      </c>
      <c r="U107" s="18">
        <f t="shared" si="130"/>
        <v>526</v>
      </c>
      <c r="V107" s="14">
        <f t="shared" si="131"/>
        <v>184</v>
      </c>
      <c r="W107" s="18">
        <f t="shared" si="132"/>
        <v>526</v>
      </c>
      <c r="X107" s="14">
        <f t="shared" si="133"/>
        <v>184</v>
      </c>
      <c r="Y107" s="18">
        <f t="shared" si="134"/>
        <v>509</v>
      </c>
      <c r="Z107" s="14">
        <f t="shared" si="135"/>
        <v>169</v>
      </c>
      <c r="AA107" s="18">
        <f t="shared" si="136"/>
        <v>509</v>
      </c>
      <c r="AB107" s="4" t="s">
        <v>0</v>
      </c>
    </row>
    <row r="108" spans="1:28">
      <c r="A108" s="9" t="s">
        <v>164</v>
      </c>
      <c r="B108" s="24"/>
      <c r="C108" s="26">
        <v>8</v>
      </c>
      <c r="D108" s="28">
        <f t="shared" si="165"/>
        <v>185</v>
      </c>
      <c r="E108" s="29">
        <f t="shared" ref="E108" si="173">E107</f>
        <v>224</v>
      </c>
      <c r="F108" s="28">
        <f t="shared" si="167"/>
        <v>200</v>
      </c>
      <c r="G108" s="29">
        <f t="shared" si="164"/>
        <v>241</v>
      </c>
      <c r="H108" s="4" t="s">
        <v>0</v>
      </c>
      <c r="I108" s="16" t="str">
        <f t="shared" si="119"/>
        <v>05-18</v>
      </c>
      <c r="J108" s="14">
        <f t="shared" si="120"/>
        <v>185</v>
      </c>
      <c r="K108" s="15">
        <f t="shared" si="121"/>
        <v>224</v>
      </c>
      <c r="L108" s="17">
        <f t="shared" si="122"/>
        <v>200</v>
      </c>
      <c r="M108" s="18">
        <f t="shared" si="123"/>
        <v>224</v>
      </c>
      <c r="N108" s="14">
        <f t="shared" si="124"/>
        <v>200</v>
      </c>
      <c r="O108" s="15">
        <f t="shared" si="125"/>
        <v>241</v>
      </c>
      <c r="P108" s="17">
        <f t="shared" si="126"/>
        <v>185</v>
      </c>
      <c r="Q108" s="18">
        <f t="shared" si="127"/>
        <v>241</v>
      </c>
      <c r="R108" s="4" t="s">
        <v>0</v>
      </c>
      <c r="S108" s="16" t="str">
        <f t="shared" si="128"/>
        <v>05-18</v>
      </c>
      <c r="T108" s="14">
        <f t="shared" si="129"/>
        <v>185</v>
      </c>
      <c r="U108" s="18">
        <f t="shared" si="130"/>
        <v>526</v>
      </c>
      <c r="V108" s="14">
        <f t="shared" si="131"/>
        <v>200</v>
      </c>
      <c r="W108" s="18">
        <f t="shared" si="132"/>
        <v>526</v>
      </c>
      <c r="X108" s="14">
        <f t="shared" si="133"/>
        <v>200</v>
      </c>
      <c r="Y108" s="18">
        <f t="shared" si="134"/>
        <v>509</v>
      </c>
      <c r="Z108" s="14">
        <f t="shared" si="135"/>
        <v>185</v>
      </c>
      <c r="AA108" s="18">
        <f t="shared" si="136"/>
        <v>509</v>
      </c>
      <c r="AB108" s="4" t="s">
        <v>0</v>
      </c>
    </row>
    <row r="109" spans="1:28">
      <c r="A109" s="9" t="s">
        <v>135</v>
      </c>
      <c r="B109" s="24"/>
      <c r="C109" s="26">
        <v>9</v>
      </c>
      <c r="D109" s="28">
        <f t="shared" si="165"/>
        <v>200</v>
      </c>
      <c r="E109" s="29">
        <f t="shared" ref="E109" si="174">E108</f>
        <v>224</v>
      </c>
      <c r="F109" s="28">
        <f t="shared" si="167"/>
        <v>215</v>
      </c>
      <c r="G109" s="29">
        <f t="shared" si="164"/>
        <v>241</v>
      </c>
      <c r="H109" s="4" t="s">
        <v>0</v>
      </c>
      <c r="I109" s="16" t="str">
        <f t="shared" si="119"/>
        <v>05-17</v>
      </c>
      <c r="J109" s="14">
        <f t="shared" si="120"/>
        <v>200</v>
      </c>
      <c r="K109" s="15">
        <f t="shared" si="121"/>
        <v>224</v>
      </c>
      <c r="L109" s="17">
        <f t="shared" si="122"/>
        <v>215</v>
      </c>
      <c r="M109" s="18">
        <f t="shared" si="123"/>
        <v>224</v>
      </c>
      <c r="N109" s="14">
        <f t="shared" si="124"/>
        <v>215</v>
      </c>
      <c r="O109" s="15">
        <f t="shared" si="125"/>
        <v>241</v>
      </c>
      <c r="P109" s="17">
        <f t="shared" si="126"/>
        <v>200</v>
      </c>
      <c r="Q109" s="18">
        <f t="shared" si="127"/>
        <v>241</v>
      </c>
      <c r="R109" s="4" t="s">
        <v>0</v>
      </c>
      <c r="S109" s="16" t="str">
        <f t="shared" si="128"/>
        <v>05-17</v>
      </c>
      <c r="T109" s="14">
        <f t="shared" si="129"/>
        <v>200</v>
      </c>
      <c r="U109" s="18">
        <f t="shared" si="130"/>
        <v>526</v>
      </c>
      <c r="V109" s="14">
        <f t="shared" si="131"/>
        <v>215</v>
      </c>
      <c r="W109" s="18">
        <f t="shared" si="132"/>
        <v>526</v>
      </c>
      <c r="X109" s="14">
        <f t="shared" si="133"/>
        <v>215</v>
      </c>
      <c r="Y109" s="18">
        <f t="shared" si="134"/>
        <v>509</v>
      </c>
      <c r="Z109" s="14">
        <f t="shared" si="135"/>
        <v>200</v>
      </c>
      <c r="AA109" s="18">
        <f t="shared" si="136"/>
        <v>509</v>
      </c>
      <c r="AB109" s="4" t="s">
        <v>0</v>
      </c>
    </row>
    <row r="110" spans="1:28">
      <c r="A110" s="9" t="s">
        <v>163</v>
      </c>
      <c r="B110" s="24"/>
      <c r="C110" s="26">
        <v>10</v>
      </c>
      <c r="D110" s="28">
        <f t="shared" si="165"/>
        <v>216</v>
      </c>
      <c r="E110" s="29">
        <f t="shared" ref="E110" si="175">E109</f>
        <v>224</v>
      </c>
      <c r="F110" s="28">
        <f t="shared" si="167"/>
        <v>231</v>
      </c>
      <c r="G110" s="29">
        <f t="shared" si="164"/>
        <v>241</v>
      </c>
      <c r="H110" s="4" t="s">
        <v>0</v>
      </c>
      <c r="I110" s="16" t="str">
        <f t="shared" si="119"/>
        <v>05-16</v>
      </c>
      <c r="J110" s="14">
        <f t="shared" si="120"/>
        <v>216</v>
      </c>
      <c r="K110" s="15">
        <f t="shared" si="121"/>
        <v>224</v>
      </c>
      <c r="L110" s="17">
        <f t="shared" si="122"/>
        <v>231</v>
      </c>
      <c r="M110" s="18">
        <f t="shared" si="123"/>
        <v>224</v>
      </c>
      <c r="N110" s="14">
        <f t="shared" si="124"/>
        <v>231</v>
      </c>
      <c r="O110" s="15">
        <f t="shared" si="125"/>
        <v>241</v>
      </c>
      <c r="P110" s="17">
        <f t="shared" si="126"/>
        <v>216</v>
      </c>
      <c r="Q110" s="18">
        <f t="shared" si="127"/>
        <v>241</v>
      </c>
      <c r="R110" s="4" t="s">
        <v>0</v>
      </c>
      <c r="S110" s="16" t="str">
        <f t="shared" si="128"/>
        <v>05-16</v>
      </c>
      <c r="T110" s="14">
        <f t="shared" si="129"/>
        <v>216</v>
      </c>
      <c r="U110" s="18">
        <f t="shared" si="130"/>
        <v>526</v>
      </c>
      <c r="V110" s="14">
        <f t="shared" si="131"/>
        <v>231</v>
      </c>
      <c r="W110" s="18">
        <f t="shared" si="132"/>
        <v>526</v>
      </c>
      <c r="X110" s="14">
        <f t="shared" si="133"/>
        <v>231</v>
      </c>
      <c r="Y110" s="18">
        <f t="shared" si="134"/>
        <v>509</v>
      </c>
      <c r="Z110" s="14">
        <f t="shared" si="135"/>
        <v>216</v>
      </c>
      <c r="AA110" s="18">
        <f t="shared" si="136"/>
        <v>509</v>
      </c>
      <c r="AB110" s="4" t="s">
        <v>0</v>
      </c>
    </row>
    <row r="111" spans="1:28">
      <c r="A111" s="9" t="s">
        <v>162</v>
      </c>
      <c r="B111" s="24"/>
      <c r="C111" s="26"/>
      <c r="D111" s="27">
        <v>255</v>
      </c>
      <c r="E111" s="31">
        <v>224</v>
      </c>
      <c r="F111" s="31">
        <v>270</v>
      </c>
      <c r="G111" s="31">
        <v>241</v>
      </c>
      <c r="H111" s="4" t="s">
        <v>0</v>
      </c>
      <c r="I111" s="16" t="str">
        <f t="shared" si="119"/>
        <v>05-15</v>
      </c>
      <c r="J111" s="14">
        <f t="shared" si="120"/>
        <v>255</v>
      </c>
      <c r="K111" s="15">
        <f t="shared" si="121"/>
        <v>224</v>
      </c>
      <c r="L111" s="17">
        <f t="shared" si="122"/>
        <v>270</v>
      </c>
      <c r="M111" s="18">
        <f t="shared" si="123"/>
        <v>224</v>
      </c>
      <c r="N111" s="14">
        <f t="shared" si="124"/>
        <v>270</v>
      </c>
      <c r="O111" s="15">
        <f t="shared" si="125"/>
        <v>241</v>
      </c>
      <c r="P111" s="17">
        <f t="shared" si="126"/>
        <v>255</v>
      </c>
      <c r="Q111" s="18">
        <f t="shared" si="127"/>
        <v>241</v>
      </c>
      <c r="R111" s="4" t="s">
        <v>0</v>
      </c>
      <c r="S111" s="16" t="str">
        <f t="shared" si="128"/>
        <v>05-15</v>
      </c>
      <c r="T111" s="14">
        <f t="shared" si="129"/>
        <v>255</v>
      </c>
      <c r="U111" s="18">
        <f t="shared" si="130"/>
        <v>526</v>
      </c>
      <c r="V111" s="14">
        <f t="shared" si="131"/>
        <v>270</v>
      </c>
      <c r="W111" s="18">
        <f t="shared" si="132"/>
        <v>526</v>
      </c>
      <c r="X111" s="14">
        <f t="shared" si="133"/>
        <v>270</v>
      </c>
      <c r="Y111" s="18">
        <f t="shared" si="134"/>
        <v>509</v>
      </c>
      <c r="Z111" s="14">
        <f t="shared" si="135"/>
        <v>255</v>
      </c>
      <c r="AA111" s="18">
        <f t="shared" si="136"/>
        <v>509</v>
      </c>
      <c r="AB111" s="4" t="s">
        <v>0</v>
      </c>
    </row>
    <row r="112" spans="1:28">
      <c r="A112" s="9" t="s">
        <v>161</v>
      </c>
      <c r="B112" s="24"/>
      <c r="C112" s="26">
        <v>1</v>
      </c>
      <c r="D112" s="28">
        <f>ROUND(D$111+15.6*$C112, 0)</f>
        <v>271</v>
      </c>
      <c r="E112" s="29">
        <f t="shared" ref="E112" si="176">E111</f>
        <v>224</v>
      </c>
      <c r="F112" s="28">
        <f>ROUND(F$111+15.6*$C112, 0)</f>
        <v>286</v>
      </c>
      <c r="G112" s="29">
        <f t="shared" si="164"/>
        <v>241</v>
      </c>
      <c r="H112" s="4" t="s">
        <v>0</v>
      </c>
      <c r="I112" s="16" t="str">
        <f t="shared" si="119"/>
        <v>05-13</v>
      </c>
      <c r="J112" s="14">
        <f t="shared" si="120"/>
        <v>271</v>
      </c>
      <c r="K112" s="15">
        <f t="shared" si="121"/>
        <v>224</v>
      </c>
      <c r="L112" s="17">
        <f t="shared" si="122"/>
        <v>286</v>
      </c>
      <c r="M112" s="18">
        <f t="shared" si="123"/>
        <v>224</v>
      </c>
      <c r="N112" s="14">
        <f t="shared" si="124"/>
        <v>286</v>
      </c>
      <c r="O112" s="15">
        <f t="shared" si="125"/>
        <v>241</v>
      </c>
      <c r="P112" s="17">
        <f t="shared" si="126"/>
        <v>271</v>
      </c>
      <c r="Q112" s="18">
        <f t="shared" si="127"/>
        <v>241</v>
      </c>
      <c r="R112" s="4" t="s">
        <v>0</v>
      </c>
      <c r="S112" s="16" t="str">
        <f t="shared" si="128"/>
        <v>05-13</v>
      </c>
      <c r="T112" s="14">
        <f t="shared" si="129"/>
        <v>271</v>
      </c>
      <c r="U112" s="18">
        <f t="shared" si="130"/>
        <v>526</v>
      </c>
      <c r="V112" s="14">
        <f t="shared" si="131"/>
        <v>286</v>
      </c>
      <c r="W112" s="18">
        <f t="shared" si="132"/>
        <v>526</v>
      </c>
      <c r="X112" s="14">
        <f t="shared" si="133"/>
        <v>286</v>
      </c>
      <c r="Y112" s="18">
        <f t="shared" si="134"/>
        <v>509</v>
      </c>
      <c r="Z112" s="14">
        <f t="shared" si="135"/>
        <v>271</v>
      </c>
      <c r="AA112" s="18">
        <f t="shared" si="136"/>
        <v>509</v>
      </c>
      <c r="AB112" s="4" t="s">
        <v>0</v>
      </c>
    </row>
    <row r="113" spans="1:28">
      <c r="A113" s="9" t="s">
        <v>49</v>
      </c>
      <c r="B113" s="24"/>
      <c r="C113" s="26">
        <v>2</v>
      </c>
      <c r="D113" s="28">
        <f t="shared" ref="D113:D122" si="177">ROUND(D$111+15.6*$C113, 0)</f>
        <v>286</v>
      </c>
      <c r="E113" s="29">
        <f t="shared" ref="E113" si="178">E112</f>
        <v>224</v>
      </c>
      <c r="F113" s="28">
        <f t="shared" ref="F113:F122" si="179">ROUND(F$111+15.6*$C113, 0)</f>
        <v>301</v>
      </c>
      <c r="G113" s="29">
        <f t="shared" si="164"/>
        <v>241</v>
      </c>
      <c r="H113" s="4" t="s">
        <v>0</v>
      </c>
      <c r="I113" s="16" t="str">
        <f t="shared" si="119"/>
        <v>05-12</v>
      </c>
      <c r="J113" s="14">
        <f t="shared" si="120"/>
        <v>286</v>
      </c>
      <c r="K113" s="15">
        <f t="shared" si="121"/>
        <v>224</v>
      </c>
      <c r="L113" s="17">
        <f t="shared" si="122"/>
        <v>301</v>
      </c>
      <c r="M113" s="18">
        <f t="shared" si="123"/>
        <v>224</v>
      </c>
      <c r="N113" s="14">
        <f t="shared" si="124"/>
        <v>301</v>
      </c>
      <c r="O113" s="15">
        <f t="shared" si="125"/>
        <v>241</v>
      </c>
      <c r="P113" s="17">
        <f t="shared" si="126"/>
        <v>286</v>
      </c>
      <c r="Q113" s="18">
        <f t="shared" si="127"/>
        <v>241</v>
      </c>
      <c r="R113" s="4" t="s">
        <v>0</v>
      </c>
      <c r="S113" s="16" t="str">
        <f t="shared" si="128"/>
        <v>05-12</v>
      </c>
      <c r="T113" s="14">
        <f t="shared" si="129"/>
        <v>286</v>
      </c>
      <c r="U113" s="18">
        <f t="shared" si="130"/>
        <v>526</v>
      </c>
      <c r="V113" s="14">
        <f t="shared" si="131"/>
        <v>301</v>
      </c>
      <c r="W113" s="18">
        <f t="shared" si="132"/>
        <v>526</v>
      </c>
      <c r="X113" s="14">
        <f t="shared" si="133"/>
        <v>301</v>
      </c>
      <c r="Y113" s="18">
        <f t="shared" si="134"/>
        <v>509</v>
      </c>
      <c r="Z113" s="14">
        <f t="shared" si="135"/>
        <v>286</v>
      </c>
      <c r="AA113" s="18">
        <f t="shared" si="136"/>
        <v>509</v>
      </c>
      <c r="AB113" s="4" t="s">
        <v>0</v>
      </c>
    </row>
    <row r="114" spans="1:28">
      <c r="A114" s="9" t="s">
        <v>48</v>
      </c>
      <c r="B114" s="24"/>
      <c r="C114" s="26">
        <v>3</v>
      </c>
      <c r="D114" s="28">
        <f t="shared" si="177"/>
        <v>302</v>
      </c>
      <c r="E114" s="29">
        <f t="shared" ref="E114" si="180">E113</f>
        <v>224</v>
      </c>
      <c r="F114" s="28">
        <f t="shared" si="179"/>
        <v>317</v>
      </c>
      <c r="G114" s="29">
        <f t="shared" si="164"/>
        <v>241</v>
      </c>
      <c r="H114" s="4" t="s">
        <v>0</v>
      </c>
      <c r="I114" s="16" t="str">
        <f t="shared" si="119"/>
        <v>05-11</v>
      </c>
      <c r="J114" s="14">
        <f t="shared" si="120"/>
        <v>302</v>
      </c>
      <c r="K114" s="15">
        <f t="shared" si="121"/>
        <v>224</v>
      </c>
      <c r="L114" s="17">
        <f t="shared" si="122"/>
        <v>317</v>
      </c>
      <c r="M114" s="18">
        <f t="shared" si="123"/>
        <v>224</v>
      </c>
      <c r="N114" s="14">
        <f t="shared" si="124"/>
        <v>317</v>
      </c>
      <c r="O114" s="15">
        <f t="shared" si="125"/>
        <v>241</v>
      </c>
      <c r="P114" s="17">
        <f t="shared" si="126"/>
        <v>302</v>
      </c>
      <c r="Q114" s="18">
        <f t="shared" si="127"/>
        <v>241</v>
      </c>
      <c r="R114" s="4" t="s">
        <v>0</v>
      </c>
      <c r="S114" s="16" t="str">
        <f t="shared" si="128"/>
        <v>05-11</v>
      </c>
      <c r="T114" s="14">
        <f t="shared" si="129"/>
        <v>302</v>
      </c>
      <c r="U114" s="18">
        <f t="shared" si="130"/>
        <v>526</v>
      </c>
      <c r="V114" s="14">
        <f t="shared" si="131"/>
        <v>317</v>
      </c>
      <c r="W114" s="18">
        <f t="shared" si="132"/>
        <v>526</v>
      </c>
      <c r="X114" s="14">
        <f t="shared" si="133"/>
        <v>317</v>
      </c>
      <c r="Y114" s="18">
        <f t="shared" si="134"/>
        <v>509</v>
      </c>
      <c r="Z114" s="14">
        <f t="shared" si="135"/>
        <v>302</v>
      </c>
      <c r="AA114" s="18">
        <f t="shared" si="136"/>
        <v>509</v>
      </c>
      <c r="AB114" s="4" t="s">
        <v>0</v>
      </c>
    </row>
    <row r="115" spans="1:28">
      <c r="A115" s="9" t="s">
        <v>47</v>
      </c>
      <c r="B115" s="24"/>
      <c r="C115" s="26">
        <v>4</v>
      </c>
      <c r="D115" s="28">
        <f t="shared" si="177"/>
        <v>317</v>
      </c>
      <c r="E115" s="29">
        <f t="shared" ref="E115" si="181">E114</f>
        <v>224</v>
      </c>
      <c r="F115" s="28">
        <f t="shared" si="179"/>
        <v>332</v>
      </c>
      <c r="G115" s="29">
        <f t="shared" si="164"/>
        <v>241</v>
      </c>
      <c r="H115" s="4" t="s">
        <v>0</v>
      </c>
      <c r="I115" s="16" t="str">
        <f t="shared" si="119"/>
        <v>05-10</v>
      </c>
      <c r="J115" s="14">
        <f t="shared" si="120"/>
        <v>317</v>
      </c>
      <c r="K115" s="15">
        <f t="shared" si="121"/>
        <v>224</v>
      </c>
      <c r="L115" s="17">
        <f t="shared" si="122"/>
        <v>332</v>
      </c>
      <c r="M115" s="18">
        <f t="shared" si="123"/>
        <v>224</v>
      </c>
      <c r="N115" s="14">
        <f t="shared" si="124"/>
        <v>332</v>
      </c>
      <c r="O115" s="15">
        <f t="shared" si="125"/>
        <v>241</v>
      </c>
      <c r="P115" s="17">
        <f t="shared" si="126"/>
        <v>317</v>
      </c>
      <c r="Q115" s="18">
        <f t="shared" si="127"/>
        <v>241</v>
      </c>
      <c r="R115" s="4" t="s">
        <v>0</v>
      </c>
      <c r="S115" s="16" t="str">
        <f t="shared" si="128"/>
        <v>05-10</v>
      </c>
      <c r="T115" s="14">
        <f t="shared" si="129"/>
        <v>317</v>
      </c>
      <c r="U115" s="18">
        <f t="shared" si="130"/>
        <v>526</v>
      </c>
      <c r="V115" s="14">
        <f t="shared" si="131"/>
        <v>332</v>
      </c>
      <c r="W115" s="18">
        <f t="shared" si="132"/>
        <v>526</v>
      </c>
      <c r="X115" s="14">
        <f t="shared" si="133"/>
        <v>332</v>
      </c>
      <c r="Y115" s="18">
        <f t="shared" si="134"/>
        <v>509</v>
      </c>
      <c r="Z115" s="14">
        <f t="shared" si="135"/>
        <v>317</v>
      </c>
      <c r="AA115" s="18">
        <f t="shared" si="136"/>
        <v>509</v>
      </c>
      <c r="AB115" s="4" t="s">
        <v>0</v>
      </c>
    </row>
    <row r="116" spans="1:28">
      <c r="A116" s="9" t="s">
        <v>46</v>
      </c>
      <c r="B116" s="24"/>
      <c r="C116" s="26">
        <v>5</v>
      </c>
      <c r="D116" s="28">
        <f t="shared" si="177"/>
        <v>333</v>
      </c>
      <c r="E116" s="29">
        <f t="shared" ref="E116" si="182">E115</f>
        <v>224</v>
      </c>
      <c r="F116" s="28">
        <f t="shared" si="179"/>
        <v>348</v>
      </c>
      <c r="G116" s="29">
        <f t="shared" si="164"/>
        <v>241</v>
      </c>
      <c r="H116" s="4" t="s">
        <v>0</v>
      </c>
      <c r="I116" s="16" t="str">
        <f t="shared" si="119"/>
        <v>05-08</v>
      </c>
      <c r="J116" s="14">
        <f t="shared" si="120"/>
        <v>333</v>
      </c>
      <c r="K116" s="15">
        <f t="shared" si="121"/>
        <v>224</v>
      </c>
      <c r="L116" s="17">
        <f t="shared" si="122"/>
        <v>348</v>
      </c>
      <c r="M116" s="18">
        <f t="shared" si="123"/>
        <v>224</v>
      </c>
      <c r="N116" s="14">
        <f t="shared" si="124"/>
        <v>348</v>
      </c>
      <c r="O116" s="15">
        <f t="shared" si="125"/>
        <v>241</v>
      </c>
      <c r="P116" s="17">
        <f t="shared" si="126"/>
        <v>333</v>
      </c>
      <c r="Q116" s="18">
        <f t="shared" si="127"/>
        <v>241</v>
      </c>
      <c r="R116" s="4" t="s">
        <v>0</v>
      </c>
      <c r="S116" s="16" t="str">
        <f t="shared" si="128"/>
        <v>05-08</v>
      </c>
      <c r="T116" s="14">
        <f t="shared" si="129"/>
        <v>333</v>
      </c>
      <c r="U116" s="18">
        <f t="shared" si="130"/>
        <v>526</v>
      </c>
      <c r="V116" s="14">
        <f t="shared" si="131"/>
        <v>348</v>
      </c>
      <c r="W116" s="18">
        <f t="shared" si="132"/>
        <v>526</v>
      </c>
      <c r="X116" s="14">
        <f t="shared" si="133"/>
        <v>348</v>
      </c>
      <c r="Y116" s="18">
        <f t="shared" si="134"/>
        <v>509</v>
      </c>
      <c r="Z116" s="14">
        <f t="shared" si="135"/>
        <v>333</v>
      </c>
      <c r="AA116" s="18">
        <f t="shared" si="136"/>
        <v>509</v>
      </c>
      <c r="AB116" s="4" t="s">
        <v>0</v>
      </c>
    </row>
    <row r="117" spans="1:28">
      <c r="A117" s="9" t="s">
        <v>45</v>
      </c>
      <c r="B117" s="24"/>
      <c r="C117" s="26">
        <v>6</v>
      </c>
      <c r="D117" s="28">
        <f t="shared" si="177"/>
        <v>349</v>
      </c>
      <c r="E117" s="29">
        <f t="shared" ref="E117" si="183">E116</f>
        <v>224</v>
      </c>
      <c r="F117" s="28">
        <f t="shared" si="179"/>
        <v>364</v>
      </c>
      <c r="G117" s="29">
        <f t="shared" si="164"/>
        <v>241</v>
      </c>
      <c r="H117" s="4" t="s">
        <v>0</v>
      </c>
      <c r="I117" s="16" t="str">
        <f t="shared" si="119"/>
        <v>05-07</v>
      </c>
      <c r="J117" s="14">
        <f t="shared" si="120"/>
        <v>349</v>
      </c>
      <c r="K117" s="15">
        <f t="shared" si="121"/>
        <v>224</v>
      </c>
      <c r="L117" s="17">
        <f t="shared" si="122"/>
        <v>364</v>
      </c>
      <c r="M117" s="18">
        <f t="shared" si="123"/>
        <v>224</v>
      </c>
      <c r="N117" s="14">
        <f t="shared" si="124"/>
        <v>364</v>
      </c>
      <c r="O117" s="15">
        <f t="shared" si="125"/>
        <v>241</v>
      </c>
      <c r="P117" s="17">
        <f t="shared" si="126"/>
        <v>349</v>
      </c>
      <c r="Q117" s="18">
        <f t="shared" si="127"/>
        <v>241</v>
      </c>
      <c r="R117" s="4" t="s">
        <v>0</v>
      </c>
      <c r="S117" s="16" t="str">
        <f t="shared" si="128"/>
        <v>05-07</v>
      </c>
      <c r="T117" s="14">
        <f t="shared" si="129"/>
        <v>349</v>
      </c>
      <c r="U117" s="18">
        <f t="shared" si="130"/>
        <v>526</v>
      </c>
      <c r="V117" s="14">
        <f t="shared" si="131"/>
        <v>364</v>
      </c>
      <c r="W117" s="18">
        <f t="shared" si="132"/>
        <v>526</v>
      </c>
      <c r="X117" s="14">
        <f t="shared" si="133"/>
        <v>364</v>
      </c>
      <c r="Y117" s="18">
        <f t="shared" si="134"/>
        <v>509</v>
      </c>
      <c r="Z117" s="14">
        <f t="shared" si="135"/>
        <v>349</v>
      </c>
      <c r="AA117" s="18">
        <f t="shared" si="136"/>
        <v>509</v>
      </c>
      <c r="AB117" s="4" t="s">
        <v>0</v>
      </c>
    </row>
    <row r="118" spans="1:28">
      <c r="A118" s="9" t="s">
        <v>44</v>
      </c>
      <c r="B118" s="24"/>
      <c r="C118" s="26">
        <v>7</v>
      </c>
      <c r="D118" s="28">
        <f t="shared" si="177"/>
        <v>364</v>
      </c>
      <c r="E118" s="29">
        <f t="shared" ref="E118" si="184">E117</f>
        <v>224</v>
      </c>
      <c r="F118" s="28">
        <f t="shared" si="179"/>
        <v>379</v>
      </c>
      <c r="G118" s="29">
        <f t="shared" si="164"/>
        <v>241</v>
      </c>
      <c r="H118" s="4" t="s">
        <v>0</v>
      </c>
      <c r="I118" s="16" t="str">
        <f t="shared" si="119"/>
        <v>05-06</v>
      </c>
      <c r="J118" s="14">
        <f t="shared" si="120"/>
        <v>364</v>
      </c>
      <c r="K118" s="15">
        <f t="shared" si="121"/>
        <v>224</v>
      </c>
      <c r="L118" s="17">
        <f t="shared" si="122"/>
        <v>379</v>
      </c>
      <c r="M118" s="18">
        <f t="shared" si="123"/>
        <v>224</v>
      </c>
      <c r="N118" s="14">
        <f t="shared" si="124"/>
        <v>379</v>
      </c>
      <c r="O118" s="15">
        <f t="shared" si="125"/>
        <v>241</v>
      </c>
      <c r="P118" s="17">
        <f t="shared" si="126"/>
        <v>364</v>
      </c>
      <c r="Q118" s="18">
        <f t="shared" si="127"/>
        <v>241</v>
      </c>
      <c r="R118" s="4" t="s">
        <v>0</v>
      </c>
      <c r="S118" s="16" t="str">
        <f t="shared" si="128"/>
        <v>05-06</v>
      </c>
      <c r="T118" s="14">
        <f t="shared" si="129"/>
        <v>364</v>
      </c>
      <c r="U118" s="18">
        <f t="shared" si="130"/>
        <v>526</v>
      </c>
      <c r="V118" s="14">
        <f t="shared" si="131"/>
        <v>379</v>
      </c>
      <c r="W118" s="18">
        <f t="shared" si="132"/>
        <v>526</v>
      </c>
      <c r="X118" s="14">
        <f t="shared" si="133"/>
        <v>379</v>
      </c>
      <c r="Y118" s="18">
        <f t="shared" si="134"/>
        <v>509</v>
      </c>
      <c r="Z118" s="14">
        <f t="shared" si="135"/>
        <v>364</v>
      </c>
      <c r="AA118" s="18">
        <f t="shared" si="136"/>
        <v>509</v>
      </c>
      <c r="AB118" s="4" t="s">
        <v>0</v>
      </c>
    </row>
    <row r="119" spans="1:28">
      <c r="A119" s="9" t="s">
        <v>43</v>
      </c>
      <c r="B119" s="24"/>
      <c r="C119" s="26">
        <v>8</v>
      </c>
      <c r="D119" s="28">
        <f t="shared" si="177"/>
        <v>380</v>
      </c>
      <c r="E119" s="29">
        <f t="shared" ref="E119" si="185">E118</f>
        <v>224</v>
      </c>
      <c r="F119" s="28">
        <f t="shared" si="179"/>
        <v>395</v>
      </c>
      <c r="G119" s="29">
        <f t="shared" si="164"/>
        <v>241</v>
      </c>
      <c r="H119" s="4" t="s">
        <v>0</v>
      </c>
      <c r="I119" s="16" t="str">
        <f t="shared" si="119"/>
        <v>05-05</v>
      </c>
      <c r="J119" s="14">
        <f t="shared" si="120"/>
        <v>380</v>
      </c>
      <c r="K119" s="15">
        <f t="shared" si="121"/>
        <v>224</v>
      </c>
      <c r="L119" s="17">
        <f t="shared" si="122"/>
        <v>395</v>
      </c>
      <c r="M119" s="18">
        <f t="shared" si="123"/>
        <v>224</v>
      </c>
      <c r="N119" s="14">
        <f t="shared" si="124"/>
        <v>395</v>
      </c>
      <c r="O119" s="15">
        <f t="shared" si="125"/>
        <v>241</v>
      </c>
      <c r="P119" s="17">
        <f t="shared" si="126"/>
        <v>380</v>
      </c>
      <c r="Q119" s="18">
        <f t="shared" si="127"/>
        <v>241</v>
      </c>
      <c r="R119" s="4" t="s">
        <v>0</v>
      </c>
      <c r="S119" s="16" t="str">
        <f t="shared" si="128"/>
        <v>05-05</v>
      </c>
      <c r="T119" s="14">
        <f t="shared" si="129"/>
        <v>380</v>
      </c>
      <c r="U119" s="18">
        <f t="shared" si="130"/>
        <v>526</v>
      </c>
      <c r="V119" s="14">
        <f t="shared" si="131"/>
        <v>395</v>
      </c>
      <c r="W119" s="18">
        <f t="shared" si="132"/>
        <v>526</v>
      </c>
      <c r="X119" s="14">
        <f t="shared" si="133"/>
        <v>395</v>
      </c>
      <c r="Y119" s="18">
        <f t="shared" si="134"/>
        <v>509</v>
      </c>
      <c r="Z119" s="14">
        <f t="shared" si="135"/>
        <v>380</v>
      </c>
      <c r="AA119" s="18">
        <f t="shared" si="136"/>
        <v>509</v>
      </c>
      <c r="AB119" s="4" t="s">
        <v>0</v>
      </c>
    </row>
    <row r="120" spans="1:28">
      <c r="A120" s="9" t="s">
        <v>42</v>
      </c>
      <c r="B120" s="24"/>
      <c r="C120" s="26">
        <v>9</v>
      </c>
      <c r="D120" s="28">
        <f t="shared" si="177"/>
        <v>395</v>
      </c>
      <c r="E120" s="29">
        <f t="shared" ref="E120" si="186">E119</f>
        <v>224</v>
      </c>
      <c r="F120" s="28">
        <f t="shared" si="179"/>
        <v>410</v>
      </c>
      <c r="G120" s="29">
        <f t="shared" si="164"/>
        <v>241</v>
      </c>
      <c r="H120" s="4" t="s">
        <v>0</v>
      </c>
      <c r="I120" s="16" t="str">
        <f t="shared" si="119"/>
        <v>05-03</v>
      </c>
      <c r="J120" s="14">
        <f t="shared" si="120"/>
        <v>395</v>
      </c>
      <c r="K120" s="15">
        <f t="shared" si="121"/>
        <v>224</v>
      </c>
      <c r="L120" s="17">
        <f t="shared" si="122"/>
        <v>410</v>
      </c>
      <c r="M120" s="18">
        <f t="shared" si="123"/>
        <v>224</v>
      </c>
      <c r="N120" s="14">
        <f t="shared" si="124"/>
        <v>410</v>
      </c>
      <c r="O120" s="15">
        <f t="shared" si="125"/>
        <v>241</v>
      </c>
      <c r="P120" s="17">
        <f t="shared" si="126"/>
        <v>395</v>
      </c>
      <c r="Q120" s="18">
        <f t="shared" si="127"/>
        <v>241</v>
      </c>
      <c r="R120" s="4" t="s">
        <v>0</v>
      </c>
      <c r="S120" s="16" t="str">
        <f t="shared" si="128"/>
        <v>05-03</v>
      </c>
      <c r="T120" s="14">
        <f t="shared" si="129"/>
        <v>395</v>
      </c>
      <c r="U120" s="18">
        <f t="shared" si="130"/>
        <v>526</v>
      </c>
      <c r="V120" s="14">
        <f t="shared" si="131"/>
        <v>410</v>
      </c>
      <c r="W120" s="18">
        <f t="shared" si="132"/>
        <v>526</v>
      </c>
      <c r="X120" s="14">
        <f t="shared" si="133"/>
        <v>410</v>
      </c>
      <c r="Y120" s="18">
        <f t="shared" si="134"/>
        <v>509</v>
      </c>
      <c r="Z120" s="14">
        <f t="shared" si="135"/>
        <v>395</v>
      </c>
      <c r="AA120" s="18">
        <f t="shared" si="136"/>
        <v>509</v>
      </c>
      <c r="AB120" s="4" t="s">
        <v>0</v>
      </c>
    </row>
    <row r="121" spans="1:28">
      <c r="A121" s="9" t="s">
        <v>41</v>
      </c>
      <c r="B121" s="24"/>
      <c r="C121" s="26">
        <v>10</v>
      </c>
      <c r="D121" s="28">
        <f t="shared" si="177"/>
        <v>411</v>
      </c>
      <c r="E121" s="29">
        <f t="shared" ref="E121" si="187">E120</f>
        <v>224</v>
      </c>
      <c r="F121" s="28">
        <f t="shared" si="179"/>
        <v>426</v>
      </c>
      <c r="G121" s="29">
        <f t="shared" si="164"/>
        <v>241</v>
      </c>
      <c r="H121" s="4" t="s">
        <v>0</v>
      </c>
      <c r="I121" s="16" t="str">
        <f t="shared" si="119"/>
        <v>05-02</v>
      </c>
      <c r="J121" s="14">
        <f t="shared" si="120"/>
        <v>411</v>
      </c>
      <c r="K121" s="15">
        <f t="shared" si="121"/>
        <v>224</v>
      </c>
      <c r="L121" s="17">
        <f t="shared" si="122"/>
        <v>426</v>
      </c>
      <c r="M121" s="18">
        <f t="shared" si="123"/>
        <v>224</v>
      </c>
      <c r="N121" s="14">
        <f t="shared" si="124"/>
        <v>426</v>
      </c>
      <c r="O121" s="15">
        <f t="shared" si="125"/>
        <v>241</v>
      </c>
      <c r="P121" s="17">
        <f t="shared" si="126"/>
        <v>411</v>
      </c>
      <c r="Q121" s="18">
        <f t="shared" si="127"/>
        <v>241</v>
      </c>
      <c r="R121" s="4" t="s">
        <v>0</v>
      </c>
      <c r="S121" s="16" t="str">
        <f t="shared" si="128"/>
        <v>05-02</v>
      </c>
      <c r="T121" s="14">
        <f t="shared" si="129"/>
        <v>411</v>
      </c>
      <c r="U121" s="18">
        <f t="shared" si="130"/>
        <v>526</v>
      </c>
      <c r="V121" s="14">
        <f t="shared" si="131"/>
        <v>426</v>
      </c>
      <c r="W121" s="18">
        <f t="shared" si="132"/>
        <v>526</v>
      </c>
      <c r="X121" s="14">
        <f t="shared" si="133"/>
        <v>426</v>
      </c>
      <c r="Y121" s="18">
        <f t="shared" si="134"/>
        <v>509</v>
      </c>
      <c r="Z121" s="14">
        <f t="shared" si="135"/>
        <v>411</v>
      </c>
      <c r="AA121" s="18">
        <f t="shared" si="136"/>
        <v>509</v>
      </c>
      <c r="AB121" s="4" t="s">
        <v>0</v>
      </c>
    </row>
    <row r="122" spans="1:28">
      <c r="A122" s="9" t="s">
        <v>40</v>
      </c>
      <c r="B122" s="24"/>
      <c r="C122" s="26">
        <v>11</v>
      </c>
      <c r="D122" s="28">
        <f t="shared" si="177"/>
        <v>427</v>
      </c>
      <c r="E122" s="29">
        <f t="shared" ref="E122" si="188">E121</f>
        <v>224</v>
      </c>
      <c r="F122" s="28">
        <f t="shared" si="179"/>
        <v>442</v>
      </c>
      <c r="G122" s="29">
        <f t="shared" si="164"/>
        <v>241</v>
      </c>
      <c r="H122" s="4" t="s">
        <v>0</v>
      </c>
      <c r="I122" s="16" t="str">
        <f t="shared" si="119"/>
        <v>05-01</v>
      </c>
      <c r="J122" s="14">
        <f t="shared" si="120"/>
        <v>427</v>
      </c>
      <c r="K122" s="15">
        <f t="shared" si="121"/>
        <v>224</v>
      </c>
      <c r="L122" s="17">
        <f t="shared" si="122"/>
        <v>442</v>
      </c>
      <c r="M122" s="18">
        <f t="shared" si="123"/>
        <v>224</v>
      </c>
      <c r="N122" s="14">
        <f t="shared" si="124"/>
        <v>442</v>
      </c>
      <c r="O122" s="15">
        <f t="shared" si="125"/>
        <v>241</v>
      </c>
      <c r="P122" s="17">
        <f t="shared" si="126"/>
        <v>427</v>
      </c>
      <c r="Q122" s="18">
        <f t="shared" si="127"/>
        <v>241</v>
      </c>
      <c r="R122" s="4" t="s">
        <v>0</v>
      </c>
      <c r="S122" s="16" t="str">
        <f t="shared" si="128"/>
        <v>05-01</v>
      </c>
      <c r="T122" s="14">
        <f t="shared" si="129"/>
        <v>427</v>
      </c>
      <c r="U122" s="18">
        <f t="shared" si="130"/>
        <v>526</v>
      </c>
      <c r="V122" s="14">
        <f t="shared" si="131"/>
        <v>442</v>
      </c>
      <c r="W122" s="18">
        <f t="shared" si="132"/>
        <v>526</v>
      </c>
      <c r="X122" s="14">
        <f t="shared" si="133"/>
        <v>442</v>
      </c>
      <c r="Y122" s="18">
        <f t="shared" si="134"/>
        <v>509</v>
      </c>
      <c r="Z122" s="14">
        <f t="shared" si="135"/>
        <v>427</v>
      </c>
      <c r="AA122" s="18">
        <f t="shared" si="136"/>
        <v>509</v>
      </c>
      <c r="AB122" s="4" t="s">
        <v>0</v>
      </c>
    </row>
    <row r="123" spans="1:28">
      <c r="A123" s="9" t="s">
        <v>429</v>
      </c>
      <c r="B123" s="24"/>
      <c r="C123" s="26">
        <v>1</v>
      </c>
      <c r="D123" s="25">
        <f>D100</f>
        <v>59</v>
      </c>
      <c r="E123" s="28">
        <f>ROUND(E$111+26.8*$C123, 0)</f>
        <v>251</v>
      </c>
      <c r="F123" s="25">
        <f>F100</f>
        <v>74</v>
      </c>
      <c r="G123" s="28">
        <f>ROUND(G$111+26.8*$C123, 0)</f>
        <v>268</v>
      </c>
      <c r="H123" s="4" t="s">
        <v>0</v>
      </c>
      <c r="I123" s="16" t="str">
        <f t="shared" si="119"/>
        <v>03-28</v>
      </c>
      <c r="J123" s="14">
        <f t="shared" si="120"/>
        <v>59</v>
      </c>
      <c r="K123" s="15">
        <f t="shared" si="121"/>
        <v>251</v>
      </c>
      <c r="L123" s="17">
        <f t="shared" si="122"/>
        <v>74</v>
      </c>
      <c r="M123" s="18">
        <f t="shared" si="123"/>
        <v>251</v>
      </c>
      <c r="N123" s="14">
        <f t="shared" si="124"/>
        <v>74</v>
      </c>
      <c r="O123" s="15">
        <f t="shared" si="125"/>
        <v>268</v>
      </c>
      <c r="P123" s="17">
        <f t="shared" si="126"/>
        <v>59</v>
      </c>
      <c r="Q123" s="18">
        <f t="shared" si="127"/>
        <v>268</v>
      </c>
      <c r="R123" s="4" t="s">
        <v>0</v>
      </c>
      <c r="S123" s="16" t="str">
        <f t="shared" si="128"/>
        <v>03-28</v>
      </c>
      <c r="T123" s="14">
        <f t="shared" si="129"/>
        <v>59</v>
      </c>
      <c r="U123" s="18">
        <f t="shared" si="130"/>
        <v>499</v>
      </c>
      <c r="V123" s="14">
        <f t="shared" si="131"/>
        <v>74</v>
      </c>
      <c r="W123" s="18">
        <f t="shared" si="132"/>
        <v>499</v>
      </c>
      <c r="X123" s="14">
        <f t="shared" si="133"/>
        <v>74</v>
      </c>
      <c r="Y123" s="18">
        <f t="shared" si="134"/>
        <v>482</v>
      </c>
      <c r="Z123" s="14">
        <f t="shared" si="135"/>
        <v>59</v>
      </c>
      <c r="AA123" s="18">
        <f t="shared" si="136"/>
        <v>482</v>
      </c>
      <c r="AB123" s="4" t="s">
        <v>0</v>
      </c>
    </row>
    <row r="124" spans="1:28">
      <c r="A124" s="9" t="s">
        <v>428</v>
      </c>
      <c r="B124" s="24"/>
      <c r="C124" s="26"/>
      <c r="D124" s="25">
        <f t="shared" ref="D124:D187" si="189">D101</f>
        <v>75</v>
      </c>
      <c r="E124" s="29">
        <f t="shared" ref="E124" si="190">E123</f>
        <v>251</v>
      </c>
      <c r="F124" s="25">
        <f t="shared" ref="F124:F187" si="191">F101</f>
        <v>90</v>
      </c>
      <c r="G124" s="29">
        <f t="shared" ref="G124" si="192">G123</f>
        <v>268</v>
      </c>
      <c r="H124" s="4" t="s">
        <v>0</v>
      </c>
      <c r="I124" s="16" t="str">
        <f t="shared" si="119"/>
        <v>03-27</v>
      </c>
      <c r="J124" s="14">
        <f t="shared" si="120"/>
        <v>75</v>
      </c>
      <c r="K124" s="15">
        <f t="shared" si="121"/>
        <v>251</v>
      </c>
      <c r="L124" s="17">
        <f t="shared" si="122"/>
        <v>90</v>
      </c>
      <c r="M124" s="18">
        <f t="shared" si="123"/>
        <v>251</v>
      </c>
      <c r="N124" s="14">
        <f t="shared" si="124"/>
        <v>90</v>
      </c>
      <c r="O124" s="15">
        <f t="shared" si="125"/>
        <v>268</v>
      </c>
      <c r="P124" s="17">
        <f t="shared" si="126"/>
        <v>75</v>
      </c>
      <c r="Q124" s="18">
        <f t="shared" si="127"/>
        <v>268</v>
      </c>
      <c r="R124" s="4" t="s">
        <v>0</v>
      </c>
      <c r="S124" s="16" t="str">
        <f t="shared" si="128"/>
        <v>03-27</v>
      </c>
      <c r="T124" s="14">
        <f t="shared" si="129"/>
        <v>75</v>
      </c>
      <c r="U124" s="18">
        <f t="shared" si="130"/>
        <v>499</v>
      </c>
      <c r="V124" s="14">
        <f t="shared" si="131"/>
        <v>90</v>
      </c>
      <c r="W124" s="18">
        <f t="shared" si="132"/>
        <v>499</v>
      </c>
      <c r="X124" s="14">
        <f t="shared" si="133"/>
        <v>90</v>
      </c>
      <c r="Y124" s="18">
        <f t="shared" si="134"/>
        <v>482</v>
      </c>
      <c r="Z124" s="14">
        <f t="shared" si="135"/>
        <v>75</v>
      </c>
      <c r="AA124" s="18">
        <f t="shared" si="136"/>
        <v>482</v>
      </c>
      <c r="AB124" s="4" t="s">
        <v>0</v>
      </c>
    </row>
    <row r="125" spans="1:28">
      <c r="A125" s="9" t="s">
        <v>427</v>
      </c>
      <c r="B125" s="24"/>
      <c r="C125" s="26"/>
      <c r="D125" s="25">
        <f t="shared" si="189"/>
        <v>90</v>
      </c>
      <c r="E125" s="29">
        <f t="shared" ref="E125" si="193">E124</f>
        <v>251</v>
      </c>
      <c r="F125" s="25">
        <f t="shared" si="191"/>
        <v>105</v>
      </c>
      <c r="G125" s="29">
        <f t="shared" ref="G125:G145" si="194">G124</f>
        <v>268</v>
      </c>
      <c r="H125" s="4" t="s">
        <v>0</v>
      </c>
      <c r="I125" s="16" t="str">
        <f t="shared" si="119"/>
        <v>03-26</v>
      </c>
      <c r="J125" s="14">
        <f t="shared" si="120"/>
        <v>90</v>
      </c>
      <c r="K125" s="15">
        <f t="shared" si="121"/>
        <v>251</v>
      </c>
      <c r="L125" s="17">
        <f t="shared" si="122"/>
        <v>105</v>
      </c>
      <c r="M125" s="18">
        <f t="shared" si="123"/>
        <v>251</v>
      </c>
      <c r="N125" s="14">
        <f t="shared" si="124"/>
        <v>105</v>
      </c>
      <c r="O125" s="15">
        <f t="shared" si="125"/>
        <v>268</v>
      </c>
      <c r="P125" s="17">
        <f t="shared" si="126"/>
        <v>90</v>
      </c>
      <c r="Q125" s="18">
        <f t="shared" si="127"/>
        <v>268</v>
      </c>
      <c r="R125" s="4" t="s">
        <v>0</v>
      </c>
      <c r="S125" s="16" t="str">
        <f t="shared" si="128"/>
        <v>03-26</v>
      </c>
      <c r="T125" s="14">
        <f t="shared" si="129"/>
        <v>90</v>
      </c>
      <c r="U125" s="18">
        <f t="shared" si="130"/>
        <v>499</v>
      </c>
      <c r="V125" s="14">
        <f t="shared" si="131"/>
        <v>105</v>
      </c>
      <c r="W125" s="18">
        <f t="shared" si="132"/>
        <v>499</v>
      </c>
      <c r="X125" s="14">
        <f t="shared" si="133"/>
        <v>105</v>
      </c>
      <c r="Y125" s="18">
        <f t="shared" si="134"/>
        <v>482</v>
      </c>
      <c r="Z125" s="14">
        <f t="shared" si="135"/>
        <v>90</v>
      </c>
      <c r="AA125" s="18">
        <f t="shared" si="136"/>
        <v>482</v>
      </c>
      <c r="AB125" s="4" t="s">
        <v>0</v>
      </c>
    </row>
    <row r="126" spans="1:28">
      <c r="A126" s="9" t="s">
        <v>426</v>
      </c>
      <c r="B126" s="24"/>
      <c r="C126" s="26"/>
      <c r="D126" s="25">
        <f t="shared" si="189"/>
        <v>106</v>
      </c>
      <c r="E126" s="29">
        <f t="shared" ref="E126" si="195">E125</f>
        <v>251</v>
      </c>
      <c r="F126" s="25">
        <f t="shared" si="191"/>
        <v>121</v>
      </c>
      <c r="G126" s="29">
        <f t="shared" si="194"/>
        <v>268</v>
      </c>
      <c r="H126" s="4" t="s">
        <v>0</v>
      </c>
      <c r="I126" s="16" t="str">
        <f t="shared" si="119"/>
        <v>03-25</v>
      </c>
      <c r="J126" s="14">
        <f t="shared" si="120"/>
        <v>106</v>
      </c>
      <c r="K126" s="15">
        <f t="shared" si="121"/>
        <v>251</v>
      </c>
      <c r="L126" s="17">
        <f t="shared" si="122"/>
        <v>121</v>
      </c>
      <c r="M126" s="18">
        <f t="shared" si="123"/>
        <v>251</v>
      </c>
      <c r="N126" s="14">
        <f t="shared" si="124"/>
        <v>121</v>
      </c>
      <c r="O126" s="15">
        <f t="shared" si="125"/>
        <v>268</v>
      </c>
      <c r="P126" s="17">
        <f t="shared" si="126"/>
        <v>106</v>
      </c>
      <c r="Q126" s="18">
        <f t="shared" si="127"/>
        <v>268</v>
      </c>
      <c r="R126" s="4" t="s">
        <v>0</v>
      </c>
      <c r="S126" s="16" t="str">
        <f t="shared" si="128"/>
        <v>03-25</v>
      </c>
      <c r="T126" s="14">
        <f t="shared" si="129"/>
        <v>106</v>
      </c>
      <c r="U126" s="18">
        <f t="shared" si="130"/>
        <v>499</v>
      </c>
      <c r="V126" s="14">
        <f t="shared" si="131"/>
        <v>121</v>
      </c>
      <c r="W126" s="18">
        <f t="shared" si="132"/>
        <v>499</v>
      </c>
      <c r="X126" s="14">
        <f t="shared" si="133"/>
        <v>121</v>
      </c>
      <c r="Y126" s="18">
        <f t="shared" si="134"/>
        <v>482</v>
      </c>
      <c r="Z126" s="14">
        <f t="shared" si="135"/>
        <v>106</v>
      </c>
      <c r="AA126" s="18">
        <f t="shared" si="136"/>
        <v>482</v>
      </c>
      <c r="AB126" s="4" t="s">
        <v>0</v>
      </c>
    </row>
    <row r="127" spans="1:28">
      <c r="A127" s="9" t="s">
        <v>425</v>
      </c>
      <c r="B127" s="24"/>
      <c r="C127" s="26"/>
      <c r="D127" s="25">
        <f t="shared" si="189"/>
        <v>122</v>
      </c>
      <c r="E127" s="29">
        <f t="shared" ref="E127" si="196">E126</f>
        <v>251</v>
      </c>
      <c r="F127" s="25">
        <f t="shared" si="191"/>
        <v>137</v>
      </c>
      <c r="G127" s="29">
        <f t="shared" si="194"/>
        <v>268</v>
      </c>
      <c r="H127" s="4" t="s">
        <v>0</v>
      </c>
      <c r="I127" s="16" t="str">
        <f t="shared" si="119"/>
        <v>03-23</v>
      </c>
      <c r="J127" s="14">
        <f t="shared" si="120"/>
        <v>122</v>
      </c>
      <c r="K127" s="15">
        <f t="shared" si="121"/>
        <v>251</v>
      </c>
      <c r="L127" s="17">
        <f t="shared" si="122"/>
        <v>137</v>
      </c>
      <c r="M127" s="18">
        <f t="shared" si="123"/>
        <v>251</v>
      </c>
      <c r="N127" s="14">
        <f t="shared" si="124"/>
        <v>137</v>
      </c>
      <c r="O127" s="15">
        <f t="shared" si="125"/>
        <v>268</v>
      </c>
      <c r="P127" s="17">
        <f t="shared" si="126"/>
        <v>122</v>
      </c>
      <c r="Q127" s="18">
        <f t="shared" si="127"/>
        <v>268</v>
      </c>
      <c r="R127" s="4" t="s">
        <v>0</v>
      </c>
      <c r="S127" s="16" t="str">
        <f t="shared" si="128"/>
        <v>03-23</v>
      </c>
      <c r="T127" s="14">
        <f t="shared" si="129"/>
        <v>122</v>
      </c>
      <c r="U127" s="18">
        <f t="shared" si="130"/>
        <v>499</v>
      </c>
      <c r="V127" s="14">
        <f t="shared" si="131"/>
        <v>137</v>
      </c>
      <c r="W127" s="18">
        <f t="shared" si="132"/>
        <v>499</v>
      </c>
      <c r="X127" s="14">
        <f t="shared" si="133"/>
        <v>137</v>
      </c>
      <c r="Y127" s="18">
        <f t="shared" si="134"/>
        <v>482</v>
      </c>
      <c r="Z127" s="14">
        <f t="shared" si="135"/>
        <v>122</v>
      </c>
      <c r="AA127" s="18">
        <f t="shared" si="136"/>
        <v>482</v>
      </c>
      <c r="AB127" s="4" t="s">
        <v>0</v>
      </c>
    </row>
    <row r="128" spans="1:28">
      <c r="A128" s="9" t="s">
        <v>424</v>
      </c>
      <c r="B128" s="24"/>
      <c r="C128" s="26"/>
      <c r="D128" s="25">
        <f t="shared" si="189"/>
        <v>138</v>
      </c>
      <c r="E128" s="29">
        <f t="shared" ref="E128" si="197">E127</f>
        <v>251</v>
      </c>
      <c r="F128" s="25">
        <f t="shared" si="191"/>
        <v>153</v>
      </c>
      <c r="G128" s="29">
        <f t="shared" si="194"/>
        <v>268</v>
      </c>
      <c r="H128" s="4" t="s">
        <v>0</v>
      </c>
      <c r="I128" s="16" t="str">
        <f t="shared" si="119"/>
        <v>03-22</v>
      </c>
      <c r="J128" s="14">
        <f t="shared" si="120"/>
        <v>138</v>
      </c>
      <c r="K128" s="15">
        <f t="shared" si="121"/>
        <v>251</v>
      </c>
      <c r="L128" s="17">
        <f t="shared" si="122"/>
        <v>153</v>
      </c>
      <c r="M128" s="18">
        <f t="shared" si="123"/>
        <v>251</v>
      </c>
      <c r="N128" s="14">
        <f t="shared" si="124"/>
        <v>153</v>
      </c>
      <c r="O128" s="15">
        <f t="shared" si="125"/>
        <v>268</v>
      </c>
      <c r="P128" s="17">
        <f t="shared" si="126"/>
        <v>138</v>
      </c>
      <c r="Q128" s="18">
        <f t="shared" si="127"/>
        <v>268</v>
      </c>
      <c r="R128" s="4" t="s">
        <v>0</v>
      </c>
      <c r="S128" s="16" t="str">
        <f t="shared" si="128"/>
        <v>03-22</v>
      </c>
      <c r="T128" s="14">
        <f t="shared" si="129"/>
        <v>138</v>
      </c>
      <c r="U128" s="18">
        <f t="shared" si="130"/>
        <v>499</v>
      </c>
      <c r="V128" s="14">
        <f t="shared" si="131"/>
        <v>153</v>
      </c>
      <c r="W128" s="18">
        <f t="shared" si="132"/>
        <v>499</v>
      </c>
      <c r="X128" s="14">
        <f t="shared" si="133"/>
        <v>153</v>
      </c>
      <c r="Y128" s="18">
        <f t="shared" si="134"/>
        <v>482</v>
      </c>
      <c r="Z128" s="14">
        <f t="shared" si="135"/>
        <v>138</v>
      </c>
      <c r="AA128" s="18">
        <f t="shared" si="136"/>
        <v>482</v>
      </c>
      <c r="AB128" s="4" t="s">
        <v>0</v>
      </c>
    </row>
    <row r="129" spans="1:28">
      <c r="A129" s="9" t="s">
        <v>160</v>
      </c>
      <c r="B129" s="24"/>
      <c r="C129" s="26"/>
      <c r="D129" s="25">
        <f t="shared" si="189"/>
        <v>153</v>
      </c>
      <c r="E129" s="29">
        <f t="shared" ref="E129" si="198">E128</f>
        <v>251</v>
      </c>
      <c r="F129" s="25">
        <f t="shared" si="191"/>
        <v>168</v>
      </c>
      <c r="G129" s="29">
        <f t="shared" si="194"/>
        <v>268</v>
      </c>
      <c r="H129" s="4" t="s">
        <v>0</v>
      </c>
      <c r="I129" s="16" t="str">
        <f t="shared" si="119"/>
        <v>03-21</v>
      </c>
      <c r="J129" s="14">
        <f t="shared" si="120"/>
        <v>153</v>
      </c>
      <c r="K129" s="15">
        <f t="shared" si="121"/>
        <v>251</v>
      </c>
      <c r="L129" s="17">
        <f t="shared" si="122"/>
        <v>168</v>
      </c>
      <c r="M129" s="18">
        <f t="shared" si="123"/>
        <v>251</v>
      </c>
      <c r="N129" s="14">
        <f t="shared" si="124"/>
        <v>168</v>
      </c>
      <c r="O129" s="15">
        <f t="shared" si="125"/>
        <v>268</v>
      </c>
      <c r="P129" s="17">
        <f t="shared" si="126"/>
        <v>153</v>
      </c>
      <c r="Q129" s="18">
        <f t="shared" si="127"/>
        <v>268</v>
      </c>
      <c r="R129" s="4" t="s">
        <v>0</v>
      </c>
      <c r="S129" s="16" t="str">
        <f t="shared" si="128"/>
        <v>03-21</v>
      </c>
      <c r="T129" s="14">
        <f t="shared" si="129"/>
        <v>153</v>
      </c>
      <c r="U129" s="18">
        <f t="shared" si="130"/>
        <v>499</v>
      </c>
      <c r="V129" s="14">
        <f t="shared" si="131"/>
        <v>168</v>
      </c>
      <c r="W129" s="18">
        <f t="shared" si="132"/>
        <v>499</v>
      </c>
      <c r="X129" s="14">
        <f t="shared" si="133"/>
        <v>168</v>
      </c>
      <c r="Y129" s="18">
        <f t="shared" si="134"/>
        <v>482</v>
      </c>
      <c r="Z129" s="14">
        <f t="shared" si="135"/>
        <v>153</v>
      </c>
      <c r="AA129" s="18">
        <f t="shared" si="136"/>
        <v>482</v>
      </c>
      <c r="AB129" s="4" t="s">
        <v>0</v>
      </c>
    </row>
    <row r="130" spans="1:28">
      <c r="A130" s="9" t="s">
        <v>159</v>
      </c>
      <c r="B130" s="24"/>
      <c r="C130" s="26"/>
      <c r="D130" s="25">
        <f t="shared" si="189"/>
        <v>169</v>
      </c>
      <c r="E130" s="29">
        <f t="shared" ref="E130" si="199">E129</f>
        <v>251</v>
      </c>
      <c r="F130" s="25">
        <f t="shared" si="191"/>
        <v>184</v>
      </c>
      <c r="G130" s="29">
        <f t="shared" si="194"/>
        <v>268</v>
      </c>
      <c r="H130" s="4" t="s">
        <v>0</v>
      </c>
      <c r="I130" s="16" t="str">
        <f t="shared" si="119"/>
        <v>03-20</v>
      </c>
      <c r="J130" s="14">
        <f t="shared" si="120"/>
        <v>169</v>
      </c>
      <c r="K130" s="15">
        <f t="shared" si="121"/>
        <v>251</v>
      </c>
      <c r="L130" s="17">
        <f t="shared" si="122"/>
        <v>184</v>
      </c>
      <c r="M130" s="18">
        <f t="shared" si="123"/>
        <v>251</v>
      </c>
      <c r="N130" s="14">
        <f t="shared" si="124"/>
        <v>184</v>
      </c>
      <c r="O130" s="15">
        <f t="shared" si="125"/>
        <v>268</v>
      </c>
      <c r="P130" s="17">
        <f t="shared" si="126"/>
        <v>169</v>
      </c>
      <c r="Q130" s="18">
        <f t="shared" si="127"/>
        <v>268</v>
      </c>
      <c r="R130" s="4" t="s">
        <v>0</v>
      </c>
      <c r="S130" s="16" t="str">
        <f t="shared" si="128"/>
        <v>03-20</v>
      </c>
      <c r="T130" s="14">
        <f t="shared" si="129"/>
        <v>169</v>
      </c>
      <c r="U130" s="18">
        <f t="shared" si="130"/>
        <v>499</v>
      </c>
      <c r="V130" s="14">
        <f t="shared" si="131"/>
        <v>184</v>
      </c>
      <c r="W130" s="18">
        <f t="shared" si="132"/>
        <v>499</v>
      </c>
      <c r="X130" s="14">
        <f t="shared" si="133"/>
        <v>184</v>
      </c>
      <c r="Y130" s="18">
        <f t="shared" si="134"/>
        <v>482</v>
      </c>
      <c r="Z130" s="14">
        <f t="shared" si="135"/>
        <v>169</v>
      </c>
      <c r="AA130" s="18">
        <f t="shared" si="136"/>
        <v>482</v>
      </c>
      <c r="AB130" s="4" t="s">
        <v>0</v>
      </c>
    </row>
    <row r="131" spans="1:28">
      <c r="A131" s="9" t="s">
        <v>158</v>
      </c>
      <c r="B131" s="24"/>
      <c r="C131" s="26"/>
      <c r="D131" s="25">
        <f t="shared" si="189"/>
        <v>185</v>
      </c>
      <c r="E131" s="29">
        <f t="shared" ref="E131" si="200">E130</f>
        <v>251</v>
      </c>
      <c r="F131" s="25">
        <f t="shared" si="191"/>
        <v>200</v>
      </c>
      <c r="G131" s="29">
        <f t="shared" si="194"/>
        <v>268</v>
      </c>
      <c r="H131" s="4" t="s">
        <v>0</v>
      </c>
      <c r="I131" s="16" t="str">
        <f t="shared" si="119"/>
        <v>03-18</v>
      </c>
      <c r="J131" s="14">
        <f t="shared" si="120"/>
        <v>185</v>
      </c>
      <c r="K131" s="15">
        <f t="shared" si="121"/>
        <v>251</v>
      </c>
      <c r="L131" s="17">
        <f t="shared" si="122"/>
        <v>200</v>
      </c>
      <c r="M131" s="18">
        <f t="shared" si="123"/>
        <v>251</v>
      </c>
      <c r="N131" s="14">
        <f t="shared" si="124"/>
        <v>200</v>
      </c>
      <c r="O131" s="15">
        <f t="shared" si="125"/>
        <v>268</v>
      </c>
      <c r="P131" s="17">
        <f t="shared" si="126"/>
        <v>185</v>
      </c>
      <c r="Q131" s="18">
        <f t="shared" si="127"/>
        <v>268</v>
      </c>
      <c r="R131" s="4" t="s">
        <v>0</v>
      </c>
      <c r="S131" s="16" t="str">
        <f t="shared" si="128"/>
        <v>03-18</v>
      </c>
      <c r="T131" s="14">
        <f t="shared" si="129"/>
        <v>185</v>
      </c>
      <c r="U131" s="18">
        <f t="shared" si="130"/>
        <v>499</v>
      </c>
      <c r="V131" s="14">
        <f t="shared" si="131"/>
        <v>200</v>
      </c>
      <c r="W131" s="18">
        <f t="shared" si="132"/>
        <v>499</v>
      </c>
      <c r="X131" s="14">
        <f t="shared" si="133"/>
        <v>200</v>
      </c>
      <c r="Y131" s="18">
        <f t="shared" si="134"/>
        <v>482</v>
      </c>
      <c r="Z131" s="14">
        <f t="shared" si="135"/>
        <v>185</v>
      </c>
      <c r="AA131" s="18">
        <f t="shared" si="136"/>
        <v>482</v>
      </c>
      <c r="AB131" s="4" t="s">
        <v>0</v>
      </c>
    </row>
    <row r="132" spans="1:28">
      <c r="A132" s="9" t="s">
        <v>157</v>
      </c>
      <c r="B132" s="24"/>
      <c r="C132" s="26"/>
      <c r="D132" s="25">
        <f t="shared" si="189"/>
        <v>200</v>
      </c>
      <c r="E132" s="29">
        <f t="shared" ref="E132" si="201">E131</f>
        <v>251</v>
      </c>
      <c r="F132" s="25">
        <f t="shared" si="191"/>
        <v>215</v>
      </c>
      <c r="G132" s="29">
        <f t="shared" si="194"/>
        <v>268</v>
      </c>
      <c r="H132" s="4" t="s">
        <v>0</v>
      </c>
      <c r="I132" s="16" t="str">
        <f t="shared" si="119"/>
        <v>03-17</v>
      </c>
      <c r="J132" s="14">
        <f t="shared" si="120"/>
        <v>200</v>
      </c>
      <c r="K132" s="15">
        <f t="shared" si="121"/>
        <v>251</v>
      </c>
      <c r="L132" s="17">
        <f t="shared" si="122"/>
        <v>215</v>
      </c>
      <c r="M132" s="18">
        <f t="shared" si="123"/>
        <v>251</v>
      </c>
      <c r="N132" s="14">
        <f t="shared" si="124"/>
        <v>215</v>
      </c>
      <c r="O132" s="15">
        <f t="shared" si="125"/>
        <v>268</v>
      </c>
      <c r="P132" s="17">
        <f t="shared" si="126"/>
        <v>200</v>
      </c>
      <c r="Q132" s="18">
        <f t="shared" si="127"/>
        <v>268</v>
      </c>
      <c r="R132" s="4" t="s">
        <v>0</v>
      </c>
      <c r="S132" s="16" t="str">
        <f t="shared" si="128"/>
        <v>03-17</v>
      </c>
      <c r="T132" s="14">
        <f t="shared" si="129"/>
        <v>200</v>
      </c>
      <c r="U132" s="18">
        <f t="shared" si="130"/>
        <v>499</v>
      </c>
      <c r="V132" s="14">
        <f t="shared" si="131"/>
        <v>215</v>
      </c>
      <c r="W132" s="18">
        <f t="shared" si="132"/>
        <v>499</v>
      </c>
      <c r="X132" s="14">
        <f t="shared" si="133"/>
        <v>215</v>
      </c>
      <c r="Y132" s="18">
        <f t="shared" si="134"/>
        <v>482</v>
      </c>
      <c r="Z132" s="14">
        <f t="shared" si="135"/>
        <v>200</v>
      </c>
      <c r="AA132" s="18">
        <f t="shared" si="136"/>
        <v>482</v>
      </c>
      <c r="AB132" s="4" t="s">
        <v>0</v>
      </c>
    </row>
    <row r="133" spans="1:28">
      <c r="A133" s="9" t="s">
        <v>156</v>
      </c>
      <c r="B133" s="24"/>
      <c r="C133" s="26"/>
      <c r="D133" s="25">
        <f t="shared" si="189"/>
        <v>216</v>
      </c>
      <c r="E133" s="29">
        <f t="shared" ref="E133" si="202">E132</f>
        <v>251</v>
      </c>
      <c r="F133" s="25">
        <f t="shared" si="191"/>
        <v>231</v>
      </c>
      <c r="G133" s="29">
        <f t="shared" si="194"/>
        <v>268</v>
      </c>
      <c r="H133" s="4" t="s">
        <v>0</v>
      </c>
      <c r="I133" s="16" t="str">
        <f t="shared" si="119"/>
        <v>03-16</v>
      </c>
      <c r="J133" s="14">
        <f t="shared" si="120"/>
        <v>216</v>
      </c>
      <c r="K133" s="15">
        <f t="shared" si="121"/>
        <v>251</v>
      </c>
      <c r="L133" s="17">
        <f t="shared" si="122"/>
        <v>231</v>
      </c>
      <c r="M133" s="18">
        <f t="shared" si="123"/>
        <v>251</v>
      </c>
      <c r="N133" s="14">
        <f t="shared" si="124"/>
        <v>231</v>
      </c>
      <c r="O133" s="15">
        <f t="shared" si="125"/>
        <v>268</v>
      </c>
      <c r="P133" s="17">
        <f t="shared" si="126"/>
        <v>216</v>
      </c>
      <c r="Q133" s="18">
        <f t="shared" si="127"/>
        <v>268</v>
      </c>
      <c r="R133" s="4" t="s">
        <v>0</v>
      </c>
      <c r="S133" s="16" t="str">
        <f t="shared" si="128"/>
        <v>03-16</v>
      </c>
      <c r="T133" s="14">
        <f t="shared" si="129"/>
        <v>216</v>
      </c>
      <c r="U133" s="18">
        <f t="shared" si="130"/>
        <v>499</v>
      </c>
      <c r="V133" s="14">
        <f t="shared" si="131"/>
        <v>231</v>
      </c>
      <c r="W133" s="18">
        <f t="shared" si="132"/>
        <v>499</v>
      </c>
      <c r="X133" s="14">
        <f t="shared" si="133"/>
        <v>231</v>
      </c>
      <c r="Y133" s="18">
        <f t="shared" si="134"/>
        <v>482</v>
      </c>
      <c r="Z133" s="14">
        <f t="shared" si="135"/>
        <v>216</v>
      </c>
      <c r="AA133" s="18">
        <f t="shared" si="136"/>
        <v>482</v>
      </c>
      <c r="AB133" s="4" t="s">
        <v>0</v>
      </c>
    </row>
    <row r="134" spans="1:28">
      <c r="A134" s="9" t="s">
        <v>155</v>
      </c>
      <c r="B134" s="24"/>
      <c r="C134" s="26"/>
      <c r="D134" s="25">
        <f t="shared" si="189"/>
        <v>255</v>
      </c>
      <c r="E134" s="29">
        <f t="shared" ref="E134" si="203">E133</f>
        <v>251</v>
      </c>
      <c r="F134" s="25">
        <f t="shared" si="191"/>
        <v>270</v>
      </c>
      <c r="G134" s="29">
        <f t="shared" si="194"/>
        <v>268</v>
      </c>
      <c r="H134" s="4" t="s">
        <v>0</v>
      </c>
      <c r="I134" s="16" t="str">
        <f t="shared" si="119"/>
        <v>03-15</v>
      </c>
      <c r="J134" s="14">
        <f t="shared" si="120"/>
        <v>255</v>
      </c>
      <c r="K134" s="15">
        <f t="shared" si="121"/>
        <v>251</v>
      </c>
      <c r="L134" s="17">
        <f t="shared" si="122"/>
        <v>270</v>
      </c>
      <c r="M134" s="18">
        <f t="shared" si="123"/>
        <v>251</v>
      </c>
      <c r="N134" s="14">
        <f t="shared" si="124"/>
        <v>270</v>
      </c>
      <c r="O134" s="15">
        <f t="shared" si="125"/>
        <v>268</v>
      </c>
      <c r="P134" s="17">
        <f t="shared" si="126"/>
        <v>255</v>
      </c>
      <c r="Q134" s="18">
        <f t="shared" si="127"/>
        <v>268</v>
      </c>
      <c r="R134" s="4" t="s">
        <v>0</v>
      </c>
      <c r="S134" s="16" t="str">
        <f t="shared" si="128"/>
        <v>03-15</v>
      </c>
      <c r="T134" s="14">
        <f t="shared" si="129"/>
        <v>255</v>
      </c>
      <c r="U134" s="18">
        <f t="shared" si="130"/>
        <v>499</v>
      </c>
      <c r="V134" s="14">
        <f t="shared" si="131"/>
        <v>270</v>
      </c>
      <c r="W134" s="18">
        <f t="shared" si="132"/>
        <v>499</v>
      </c>
      <c r="X134" s="14">
        <f t="shared" si="133"/>
        <v>270</v>
      </c>
      <c r="Y134" s="18">
        <f t="shared" si="134"/>
        <v>482</v>
      </c>
      <c r="Z134" s="14">
        <f t="shared" si="135"/>
        <v>255</v>
      </c>
      <c r="AA134" s="18">
        <f t="shared" si="136"/>
        <v>482</v>
      </c>
      <c r="AB134" s="4" t="s">
        <v>0</v>
      </c>
    </row>
    <row r="135" spans="1:28">
      <c r="A135" s="9" t="s">
        <v>154</v>
      </c>
      <c r="B135" s="24"/>
      <c r="C135" s="26"/>
      <c r="D135" s="25">
        <f t="shared" si="189"/>
        <v>271</v>
      </c>
      <c r="E135" s="29">
        <f t="shared" ref="E135" si="204">E134</f>
        <v>251</v>
      </c>
      <c r="F135" s="25">
        <f t="shared" si="191"/>
        <v>286</v>
      </c>
      <c r="G135" s="29">
        <f t="shared" si="194"/>
        <v>268</v>
      </c>
      <c r="H135" s="4" t="s">
        <v>0</v>
      </c>
      <c r="I135" s="16" t="str">
        <f t="shared" si="119"/>
        <v>03-13</v>
      </c>
      <c r="J135" s="14">
        <f t="shared" si="120"/>
        <v>271</v>
      </c>
      <c r="K135" s="15">
        <f t="shared" si="121"/>
        <v>251</v>
      </c>
      <c r="L135" s="17">
        <f t="shared" si="122"/>
        <v>286</v>
      </c>
      <c r="M135" s="18">
        <f t="shared" si="123"/>
        <v>251</v>
      </c>
      <c r="N135" s="14">
        <f t="shared" si="124"/>
        <v>286</v>
      </c>
      <c r="O135" s="15">
        <f t="shared" si="125"/>
        <v>268</v>
      </c>
      <c r="P135" s="17">
        <f t="shared" si="126"/>
        <v>271</v>
      </c>
      <c r="Q135" s="18">
        <f t="shared" si="127"/>
        <v>268</v>
      </c>
      <c r="R135" s="4" t="s">
        <v>0</v>
      </c>
      <c r="S135" s="16" t="str">
        <f t="shared" si="128"/>
        <v>03-13</v>
      </c>
      <c r="T135" s="14">
        <f t="shared" si="129"/>
        <v>271</v>
      </c>
      <c r="U135" s="18">
        <f t="shared" si="130"/>
        <v>499</v>
      </c>
      <c r="V135" s="14">
        <f t="shared" si="131"/>
        <v>286</v>
      </c>
      <c r="W135" s="18">
        <f t="shared" si="132"/>
        <v>499</v>
      </c>
      <c r="X135" s="14">
        <f t="shared" si="133"/>
        <v>286</v>
      </c>
      <c r="Y135" s="18">
        <f t="shared" si="134"/>
        <v>482</v>
      </c>
      <c r="Z135" s="14">
        <f t="shared" si="135"/>
        <v>271</v>
      </c>
      <c r="AA135" s="18">
        <f t="shared" si="136"/>
        <v>482</v>
      </c>
      <c r="AB135" s="4" t="s">
        <v>0</v>
      </c>
    </row>
    <row r="136" spans="1:28">
      <c r="A136" s="9" t="s">
        <v>39</v>
      </c>
      <c r="B136" s="24"/>
      <c r="C136" s="26"/>
      <c r="D136" s="25">
        <f t="shared" si="189"/>
        <v>286</v>
      </c>
      <c r="E136" s="29">
        <f t="shared" ref="E136" si="205">E135</f>
        <v>251</v>
      </c>
      <c r="F136" s="25">
        <f t="shared" si="191"/>
        <v>301</v>
      </c>
      <c r="G136" s="29">
        <f t="shared" si="194"/>
        <v>268</v>
      </c>
      <c r="H136" s="4" t="s">
        <v>0</v>
      </c>
      <c r="I136" s="16" t="str">
        <f t="shared" si="119"/>
        <v>03-12</v>
      </c>
      <c r="J136" s="14">
        <f t="shared" si="120"/>
        <v>286</v>
      </c>
      <c r="K136" s="15">
        <f t="shared" si="121"/>
        <v>251</v>
      </c>
      <c r="L136" s="17">
        <f t="shared" si="122"/>
        <v>301</v>
      </c>
      <c r="M136" s="18">
        <f t="shared" si="123"/>
        <v>251</v>
      </c>
      <c r="N136" s="14">
        <f t="shared" si="124"/>
        <v>301</v>
      </c>
      <c r="O136" s="15">
        <f t="shared" si="125"/>
        <v>268</v>
      </c>
      <c r="P136" s="17">
        <f t="shared" si="126"/>
        <v>286</v>
      </c>
      <c r="Q136" s="18">
        <f t="shared" si="127"/>
        <v>268</v>
      </c>
      <c r="R136" s="4" t="s">
        <v>0</v>
      </c>
      <c r="S136" s="16" t="str">
        <f t="shared" si="128"/>
        <v>03-12</v>
      </c>
      <c r="T136" s="14">
        <f t="shared" si="129"/>
        <v>286</v>
      </c>
      <c r="U136" s="18">
        <f t="shared" si="130"/>
        <v>499</v>
      </c>
      <c r="V136" s="14">
        <f t="shared" si="131"/>
        <v>301</v>
      </c>
      <c r="W136" s="18">
        <f t="shared" si="132"/>
        <v>499</v>
      </c>
      <c r="X136" s="14">
        <f t="shared" si="133"/>
        <v>301</v>
      </c>
      <c r="Y136" s="18">
        <f t="shared" si="134"/>
        <v>482</v>
      </c>
      <c r="Z136" s="14">
        <f t="shared" si="135"/>
        <v>286</v>
      </c>
      <c r="AA136" s="18">
        <f t="shared" si="136"/>
        <v>482</v>
      </c>
      <c r="AB136" s="4" t="s">
        <v>0</v>
      </c>
    </row>
    <row r="137" spans="1:28">
      <c r="A137" s="9" t="s">
        <v>38</v>
      </c>
      <c r="B137" s="24"/>
      <c r="C137" s="26"/>
      <c r="D137" s="25">
        <f t="shared" si="189"/>
        <v>302</v>
      </c>
      <c r="E137" s="29">
        <f t="shared" ref="E137" si="206">E136</f>
        <v>251</v>
      </c>
      <c r="F137" s="25">
        <f t="shared" si="191"/>
        <v>317</v>
      </c>
      <c r="G137" s="29">
        <f t="shared" si="194"/>
        <v>268</v>
      </c>
      <c r="H137" s="4" t="s">
        <v>0</v>
      </c>
      <c r="I137" s="16" t="str">
        <f t="shared" si="119"/>
        <v>03-11</v>
      </c>
      <c r="J137" s="14">
        <f t="shared" si="120"/>
        <v>302</v>
      </c>
      <c r="K137" s="15">
        <f t="shared" si="121"/>
        <v>251</v>
      </c>
      <c r="L137" s="17">
        <f t="shared" si="122"/>
        <v>317</v>
      </c>
      <c r="M137" s="18">
        <f t="shared" si="123"/>
        <v>251</v>
      </c>
      <c r="N137" s="14">
        <f t="shared" si="124"/>
        <v>317</v>
      </c>
      <c r="O137" s="15">
        <f t="shared" si="125"/>
        <v>268</v>
      </c>
      <c r="P137" s="17">
        <f t="shared" si="126"/>
        <v>302</v>
      </c>
      <c r="Q137" s="18">
        <f t="shared" si="127"/>
        <v>268</v>
      </c>
      <c r="R137" s="4" t="s">
        <v>0</v>
      </c>
      <c r="S137" s="16" t="str">
        <f t="shared" si="128"/>
        <v>03-11</v>
      </c>
      <c r="T137" s="14">
        <f t="shared" si="129"/>
        <v>302</v>
      </c>
      <c r="U137" s="18">
        <f t="shared" si="130"/>
        <v>499</v>
      </c>
      <c r="V137" s="14">
        <f t="shared" si="131"/>
        <v>317</v>
      </c>
      <c r="W137" s="18">
        <f t="shared" si="132"/>
        <v>499</v>
      </c>
      <c r="X137" s="14">
        <f t="shared" si="133"/>
        <v>317</v>
      </c>
      <c r="Y137" s="18">
        <f t="shared" si="134"/>
        <v>482</v>
      </c>
      <c r="Z137" s="14">
        <f t="shared" si="135"/>
        <v>302</v>
      </c>
      <c r="AA137" s="18">
        <f t="shared" si="136"/>
        <v>482</v>
      </c>
      <c r="AB137" s="4" t="s">
        <v>0</v>
      </c>
    </row>
    <row r="138" spans="1:28">
      <c r="A138" s="9" t="s">
        <v>37</v>
      </c>
      <c r="B138" s="24"/>
      <c r="C138" s="26"/>
      <c r="D138" s="25">
        <f t="shared" si="189"/>
        <v>317</v>
      </c>
      <c r="E138" s="29">
        <f t="shared" ref="E138" si="207">E137</f>
        <v>251</v>
      </c>
      <c r="F138" s="25">
        <f t="shared" si="191"/>
        <v>332</v>
      </c>
      <c r="G138" s="29">
        <f t="shared" si="194"/>
        <v>268</v>
      </c>
      <c r="H138" s="4" t="s">
        <v>0</v>
      </c>
      <c r="I138" s="16" t="str">
        <f t="shared" si="119"/>
        <v>03-10</v>
      </c>
      <c r="J138" s="14">
        <f t="shared" si="120"/>
        <v>317</v>
      </c>
      <c r="K138" s="15">
        <f t="shared" si="121"/>
        <v>251</v>
      </c>
      <c r="L138" s="17">
        <f t="shared" si="122"/>
        <v>332</v>
      </c>
      <c r="M138" s="18">
        <f t="shared" si="123"/>
        <v>251</v>
      </c>
      <c r="N138" s="14">
        <f t="shared" si="124"/>
        <v>332</v>
      </c>
      <c r="O138" s="15">
        <f t="shared" si="125"/>
        <v>268</v>
      </c>
      <c r="P138" s="17">
        <f t="shared" si="126"/>
        <v>317</v>
      </c>
      <c r="Q138" s="18">
        <f t="shared" si="127"/>
        <v>268</v>
      </c>
      <c r="R138" s="4" t="s">
        <v>0</v>
      </c>
      <c r="S138" s="16" t="str">
        <f t="shared" si="128"/>
        <v>03-10</v>
      </c>
      <c r="T138" s="14">
        <f t="shared" si="129"/>
        <v>317</v>
      </c>
      <c r="U138" s="18">
        <f t="shared" si="130"/>
        <v>499</v>
      </c>
      <c r="V138" s="14">
        <f t="shared" si="131"/>
        <v>332</v>
      </c>
      <c r="W138" s="18">
        <f t="shared" si="132"/>
        <v>499</v>
      </c>
      <c r="X138" s="14">
        <f t="shared" si="133"/>
        <v>332</v>
      </c>
      <c r="Y138" s="18">
        <f t="shared" si="134"/>
        <v>482</v>
      </c>
      <c r="Z138" s="14">
        <f t="shared" si="135"/>
        <v>317</v>
      </c>
      <c r="AA138" s="18">
        <f t="shared" si="136"/>
        <v>482</v>
      </c>
      <c r="AB138" s="4" t="s">
        <v>0</v>
      </c>
    </row>
    <row r="139" spans="1:28">
      <c r="A139" s="9" t="s">
        <v>36</v>
      </c>
      <c r="B139" s="24"/>
      <c r="C139" s="26"/>
      <c r="D139" s="25">
        <f t="shared" si="189"/>
        <v>333</v>
      </c>
      <c r="E139" s="29">
        <f t="shared" ref="E139" si="208">E138</f>
        <v>251</v>
      </c>
      <c r="F139" s="25">
        <f t="shared" si="191"/>
        <v>348</v>
      </c>
      <c r="G139" s="29">
        <f t="shared" si="194"/>
        <v>268</v>
      </c>
      <c r="H139" s="4" t="s">
        <v>0</v>
      </c>
      <c r="I139" s="16" t="str">
        <f t="shared" si="119"/>
        <v>03-08</v>
      </c>
      <c r="J139" s="14">
        <f t="shared" si="120"/>
        <v>333</v>
      </c>
      <c r="K139" s="15">
        <f t="shared" si="121"/>
        <v>251</v>
      </c>
      <c r="L139" s="17">
        <f t="shared" si="122"/>
        <v>348</v>
      </c>
      <c r="M139" s="18">
        <f t="shared" si="123"/>
        <v>251</v>
      </c>
      <c r="N139" s="14">
        <f t="shared" si="124"/>
        <v>348</v>
      </c>
      <c r="O139" s="15">
        <f t="shared" si="125"/>
        <v>268</v>
      </c>
      <c r="P139" s="17">
        <f t="shared" si="126"/>
        <v>333</v>
      </c>
      <c r="Q139" s="18">
        <f t="shared" si="127"/>
        <v>268</v>
      </c>
      <c r="R139" s="4" t="s">
        <v>0</v>
      </c>
      <c r="S139" s="16" t="str">
        <f t="shared" si="128"/>
        <v>03-08</v>
      </c>
      <c r="T139" s="14">
        <f t="shared" si="129"/>
        <v>333</v>
      </c>
      <c r="U139" s="18">
        <f t="shared" si="130"/>
        <v>499</v>
      </c>
      <c r="V139" s="14">
        <f t="shared" si="131"/>
        <v>348</v>
      </c>
      <c r="W139" s="18">
        <f t="shared" si="132"/>
        <v>499</v>
      </c>
      <c r="X139" s="14">
        <f t="shared" si="133"/>
        <v>348</v>
      </c>
      <c r="Y139" s="18">
        <f t="shared" si="134"/>
        <v>482</v>
      </c>
      <c r="Z139" s="14">
        <f t="shared" si="135"/>
        <v>333</v>
      </c>
      <c r="AA139" s="18">
        <f t="shared" si="136"/>
        <v>482</v>
      </c>
      <c r="AB139" s="4" t="s">
        <v>0</v>
      </c>
    </row>
    <row r="140" spans="1:28">
      <c r="A140" s="9" t="s">
        <v>35</v>
      </c>
      <c r="B140" s="24"/>
      <c r="C140" s="26"/>
      <c r="D140" s="25">
        <f t="shared" si="189"/>
        <v>349</v>
      </c>
      <c r="E140" s="29">
        <f t="shared" ref="E140" si="209">E139</f>
        <v>251</v>
      </c>
      <c r="F140" s="25">
        <f t="shared" si="191"/>
        <v>364</v>
      </c>
      <c r="G140" s="29">
        <f t="shared" si="194"/>
        <v>268</v>
      </c>
      <c r="H140" s="4" t="s">
        <v>0</v>
      </c>
      <c r="I140" s="16" t="str">
        <f t="shared" ref="I140:I173" si="210">A140</f>
        <v>03-07</v>
      </c>
      <c r="J140" s="14">
        <f t="shared" ref="J140:J173" si="211">IF(D140&lt;&gt;"",D140,0)</f>
        <v>349</v>
      </c>
      <c r="K140" s="15">
        <f t="shared" ref="K140:K173" si="212">IF(E140&lt;&gt;"",E140,0)</f>
        <v>251</v>
      </c>
      <c r="L140" s="17">
        <f t="shared" ref="L140:L173" si="213">N140</f>
        <v>364</v>
      </c>
      <c r="M140" s="18">
        <f t="shared" ref="M140:M173" si="214">K140</f>
        <v>251</v>
      </c>
      <c r="N140" s="14">
        <f t="shared" ref="N140:N173" si="215">IF(F140&lt;&gt;"",F140,0)</f>
        <v>364</v>
      </c>
      <c r="O140" s="15">
        <f t="shared" ref="O140:O173" si="216">IF(G140&lt;&gt;"",G140,0)</f>
        <v>268</v>
      </c>
      <c r="P140" s="17">
        <f t="shared" ref="P140:P173" si="217">J140</f>
        <v>349</v>
      </c>
      <c r="Q140" s="18">
        <f t="shared" ref="Q140:Q173" si="218">O140</f>
        <v>268</v>
      </c>
      <c r="R140" s="4" t="s">
        <v>0</v>
      </c>
      <c r="S140" s="16" t="str">
        <f t="shared" ref="S140:S173" si="219">I140</f>
        <v>03-07</v>
      </c>
      <c r="T140" s="14">
        <f t="shared" ref="T140:T173" si="220">IF(J140&lt;&gt;"",J140,"")</f>
        <v>349</v>
      </c>
      <c r="U140" s="18">
        <f t="shared" ref="U140:U173" si="221">IF(K140&lt;&gt;"",U$6-K140,"")</f>
        <v>499</v>
      </c>
      <c r="V140" s="14">
        <f t="shared" ref="V140:V173" si="222">IF(L140&lt;&gt;"",L140,"")</f>
        <v>364</v>
      </c>
      <c r="W140" s="18">
        <f t="shared" ref="W140:W173" si="223">IF(M140&lt;&gt;"",W$6-M140,"")</f>
        <v>499</v>
      </c>
      <c r="X140" s="14">
        <f t="shared" ref="X140:X173" si="224">IF(N140&lt;&gt;"",N140,"")</f>
        <v>364</v>
      </c>
      <c r="Y140" s="18">
        <f t="shared" ref="Y140:Y173" si="225">IF(O140&lt;&gt;"",Y$6-O140,"")</f>
        <v>482</v>
      </c>
      <c r="Z140" s="14">
        <f t="shared" ref="Z140:Z173" si="226">IF(P140&lt;&gt;"",P140,"")</f>
        <v>349</v>
      </c>
      <c r="AA140" s="18">
        <f t="shared" ref="AA140:AA173" si="227">IF(Q140&lt;&gt;"",AA$6-Q140,"")</f>
        <v>482</v>
      </c>
      <c r="AB140" s="4" t="s">
        <v>0</v>
      </c>
    </row>
    <row r="141" spans="1:28">
      <c r="A141" s="9" t="s">
        <v>34</v>
      </c>
      <c r="B141" s="24"/>
      <c r="C141" s="26"/>
      <c r="D141" s="25">
        <f t="shared" si="189"/>
        <v>364</v>
      </c>
      <c r="E141" s="29">
        <f t="shared" ref="E141" si="228">E140</f>
        <v>251</v>
      </c>
      <c r="F141" s="25">
        <f t="shared" si="191"/>
        <v>379</v>
      </c>
      <c r="G141" s="29">
        <f t="shared" si="194"/>
        <v>268</v>
      </c>
      <c r="H141" s="4" t="s">
        <v>0</v>
      </c>
      <c r="I141" s="16" t="str">
        <f t="shared" si="210"/>
        <v>03-06</v>
      </c>
      <c r="J141" s="14">
        <f t="shared" si="211"/>
        <v>364</v>
      </c>
      <c r="K141" s="15">
        <f t="shared" si="212"/>
        <v>251</v>
      </c>
      <c r="L141" s="17">
        <f t="shared" si="213"/>
        <v>379</v>
      </c>
      <c r="M141" s="18">
        <f t="shared" si="214"/>
        <v>251</v>
      </c>
      <c r="N141" s="14">
        <f t="shared" si="215"/>
        <v>379</v>
      </c>
      <c r="O141" s="15">
        <f t="shared" si="216"/>
        <v>268</v>
      </c>
      <c r="P141" s="17">
        <f t="shared" si="217"/>
        <v>364</v>
      </c>
      <c r="Q141" s="18">
        <f t="shared" si="218"/>
        <v>268</v>
      </c>
      <c r="R141" s="4" t="s">
        <v>0</v>
      </c>
      <c r="S141" s="16" t="str">
        <f t="shared" si="219"/>
        <v>03-06</v>
      </c>
      <c r="T141" s="14">
        <f t="shared" si="220"/>
        <v>364</v>
      </c>
      <c r="U141" s="18">
        <f t="shared" si="221"/>
        <v>499</v>
      </c>
      <c r="V141" s="14">
        <f t="shared" si="222"/>
        <v>379</v>
      </c>
      <c r="W141" s="18">
        <f t="shared" si="223"/>
        <v>499</v>
      </c>
      <c r="X141" s="14">
        <f t="shared" si="224"/>
        <v>379</v>
      </c>
      <c r="Y141" s="18">
        <f t="shared" si="225"/>
        <v>482</v>
      </c>
      <c r="Z141" s="14">
        <f t="shared" si="226"/>
        <v>364</v>
      </c>
      <c r="AA141" s="18">
        <f t="shared" si="227"/>
        <v>482</v>
      </c>
      <c r="AB141" s="4" t="s">
        <v>0</v>
      </c>
    </row>
    <row r="142" spans="1:28">
      <c r="A142" s="9" t="s">
        <v>33</v>
      </c>
      <c r="B142" s="24"/>
      <c r="C142" s="26"/>
      <c r="D142" s="25">
        <f t="shared" si="189"/>
        <v>380</v>
      </c>
      <c r="E142" s="29">
        <f t="shared" ref="E142" si="229">E141</f>
        <v>251</v>
      </c>
      <c r="F142" s="25">
        <f t="shared" si="191"/>
        <v>395</v>
      </c>
      <c r="G142" s="29">
        <f t="shared" si="194"/>
        <v>268</v>
      </c>
      <c r="H142" s="4" t="s">
        <v>0</v>
      </c>
      <c r="I142" s="16" t="str">
        <f t="shared" si="210"/>
        <v>03-05</v>
      </c>
      <c r="J142" s="14">
        <f t="shared" si="211"/>
        <v>380</v>
      </c>
      <c r="K142" s="15">
        <f t="shared" si="212"/>
        <v>251</v>
      </c>
      <c r="L142" s="17">
        <f t="shared" si="213"/>
        <v>395</v>
      </c>
      <c r="M142" s="18">
        <f t="shared" si="214"/>
        <v>251</v>
      </c>
      <c r="N142" s="14">
        <f t="shared" si="215"/>
        <v>395</v>
      </c>
      <c r="O142" s="15">
        <f t="shared" si="216"/>
        <v>268</v>
      </c>
      <c r="P142" s="17">
        <f t="shared" si="217"/>
        <v>380</v>
      </c>
      <c r="Q142" s="18">
        <f t="shared" si="218"/>
        <v>268</v>
      </c>
      <c r="R142" s="4" t="s">
        <v>0</v>
      </c>
      <c r="S142" s="16" t="str">
        <f t="shared" si="219"/>
        <v>03-05</v>
      </c>
      <c r="T142" s="14">
        <f t="shared" si="220"/>
        <v>380</v>
      </c>
      <c r="U142" s="18">
        <f t="shared" si="221"/>
        <v>499</v>
      </c>
      <c r="V142" s="14">
        <f t="shared" si="222"/>
        <v>395</v>
      </c>
      <c r="W142" s="18">
        <f t="shared" si="223"/>
        <v>499</v>
      </c>
      <c r="X142" s="14">
        <f t="shared" si="224"/>
        <v>395</v>
      </c>
      <c r="Y142" s="18">
        <f t="shared" si="225"/>
        <v>482</v>
      </c>
      <c r="Z142" s="14">
        <f t="shared" si="226"/>
        <v>380</v>
      </c>
      <c r="AA142" s="18">
        <f t="shared" si="227"/>
        <v>482</v>
      </c>
      <c r="AB142" s="4" t="s">
        <v>0</v>
      </c>
    </row>
    <row r="143" spans="1:28">
      <c r="A143" s="9" t="s">
        <v>32</v>
      </c>
      <c r="B143" s="24"/>
      <c r="C143" s="26"/>
      <c r="D143" s="25">
        <f t="shared" si="189"/>
        <v>395</v>
      </c>
      <c r="E143" s="29">
        <f t="shared" ref="E143" si="230">E142</f>
        <v>251</v>
      </c>
      <c r="F143" s="25">
        <f t="shared" si="191"/>
        <v>410</v>
      </c>
      <c r="G143" s="29">
        <f t="shared" si="194"/>
        <v>268</v>
      </c>
      <c r="H143" s="4" t="s">
        <v>0</v>
      </c>
      <c r="I143" s="16" t="str">
        <f t="shared" si="210"/>
        <v>03-03</v>
      </c>
      <c r="J143" s="14">
        <f t="shared" si="211"/>
        <v>395</v>
      </c>
      <c r="K143" s="15">
        <f t="shared" si="212"/>
        <v>251</v>
      </c>
      <c r="L143" s="17">
        <f t="shared" si="213"/>
        <v>410</v>
      </c>
      <c r="M143" s="18">
        <f t="shared" si="214"/>
        <v>251</v>
      </c>
      <c r="N143" s="14">
        <f t="shared" si="215"/>
        <v>410</v>
      </c>
      <c r="O143" s="15">
        <f t="shared" si="216"/>
        <v>268</v>
      </c>
      <c r="P143" s="17">
        <f t="shared" si="217"/>
        <v>395</v>
      </c>
      <c r="Q143" s="18">
        <f t="shared" si="218"/>
        <v>268</v>
      </c>
      <c r="R143" s="4" t="s">
        <v>0</v>
      </c>
      <c r="S143" s="16" t="str">
        <f t="shared" si="219"/>
        <v>03-03</v>
      </c>
      <c r="T143" s="14">
        <f t="shared" si="220"/>
        <v>395</v>
      </c>
      <c r="U143" s="18">
        <f t="shared" si="221"/>
        <v>499</v>
      </c>
      <c r="V143" s="14">
        <f t="shared" si="222"/>
        <v>410</v>
      </c>
      <c r="W143" s="18">
        <f t="shared" si="223"/>
        <v>499</v>
      </c>
      <c r="X143" s="14">
        <f t="shared" si="224"/>
        <v>410</v>
      </c>
      <c r="Y143" s="18">
        <f t="shared" si="225"/>
        <v>482</v>
      </c>
      <c r="Z143" s="14">
        <f t="shared" si="226"/>
        <v>395</v>
      </c>
      <c r="AA143" s="18">
        <f t="shared" si="227"/>
        <v>482</v>
      </c>
      <c r="AB143" s="4" t="s">
        <v>0</v>
      </c>
    </row>
    <row r="144" spans="1:28">
      <c r="A144" s="9" t="s">
        <v>31</v>
      </c>
      <c r="B144" s="24"/>
      <c r="C144" s="26"/>
      <c r="D144" s="25">
        <f t="shared" si="189"/>
        <v>411</v>
      </c>
      <c r="E144" s="29">
        <f t="shared" ref="E144" si="231">E143</f>
        <v>251</v>
      </c>
      <c r="F144" s="25">
        <f t="shared" si="191"/>
        <v>426</v>
      </c>
      <c r="G144" s="29">
        <f t="shared" si="194"/>
        <v>268</v>
      </c>
      <c r="H144" s="4" t="s">
        <v>0</v>
      </c>
      <c r="I144" s="16" t="str">
        <f t="shared" si="210"/>
        <v>03-02</v>
      </c>
      <c r="J144" s="14">
        <f t="shared" si="211"/>
        <v>411</v>
      </c>
      <c r="K144" s="15">
        <f t="shared" si="212"/>
        <v>251</v>
      </c>
      <c r="L144" s="17">
        <f t="shared" si="213"/>
        <v>426</v>
      </c>
      <c r="M144" s="18">
        <f t="shared" si="214"/>
        <v>251</v>
      </c>
      <c r="N144" s="14">
        <f t="shared" si="215"/>
        <v>426</v>
      </c>
      <c r="O144" s="15">
        <f t="shared" si="216"/>
        <v>268</v>
      </c>
      <c r="P144" s="17">
        <f t="shared" si="217"/>
        <v>411</v>
      </c>
      <c r="Q144" s="18">
        <f t="shared" si="218"/>
        <v>268</v>
      </c>
      <c r="R144" s="4" t="s">
        <v>0</v>
      </c>
      <c r="S144" s="16" t="str">
        <f t="shared" si="219"/>
        <v>03-02</v>
      </c>
      <c r="T144" s="14">
        <f t="shared" si="220"/>
        <v>411</v>
      </c>
      <c r="U144" s="18">
        <f t="shared" si="221"/>
        <v>499</v>
      </c>
      <c r="V144" s="14">
        <f t="shared" si="222"/>
        <v>426</v>
      </c>
      <c r="W144" s="18">
        <f t="shared" si="223"/>
        <v>499</v>
      </c>
      <c r="X144" s="14">
        <f t="shared" si="224"/>
        <v>426</v>
      </c>
      <c r="Y144" s="18">
        <f t="shared" si="225"/>
        <v>482</v>
      </c>
      <c r="Z144" s="14">
        <f t="shared" si="226"/>
        <v>411</v>
      </c>
      <c r="AA144" s="18">
        <f t="shared" si="227"/>
        <v>482</v>
      </c>
      <c r="AB144" s="4" t="s">
        <v>0</v>
      </c>
    </row>
    <row r="145" spans="1:28">
      <c r="A145" s="9" t="s">
        <v>30</v>
      </c>
      <c r="B145" s="24"/>
      <c r="C145" s="26"/>
      <c r="D145" s="25">
        <f t="shared" si="189"/>
        <v>427</v>
      </c>
      <c r="E145" s="29">
        <f t="shared" ref="E145" si="232">E144</f>
        <v>251</v>
      </c>
      <c r="F145" s="25">
        <f t="shared" si="191"/>
        <v>442</v>
      </c>
      <c r="G145" s="29">
        <f t="shared" si="194"/>
        <v>268</v>
      </c>
      <c r="H145" s="4" t="s">
        <v>0</v>
      </c>
      <c r="I145" s="16" t="str">
        <f t="shared" si="210"/>
        <v>03-01</v>
      </c>
      <c r="J145" s="14">
        <f t="shared" si="211"/>
        <v>427</v>
      </c>
      <c r="K145" s="15">
        <f t="shared" si="212"/>
        <v>251</v>
      </c>
      <c r="L145" s="17">
        <f t="shared" si="213"/>
        <v>442</v>
      </c>
      <c r="M145" s="18">
        <f t="shared" si="214"/>
        <v>251</v>
      </c>
      <c r="N145" s="14">
        <f t="shared" si="215"/>
        <v>442</v>
      </c>
      <c r="O145" s="15">
        <f t="shared" si="216"/>
        <v>268</v>
      </c>
      <c r="P145" s="17">
        <f t="shared" si="217"/>
        <v>427</v>
      </c>
      <c r="Q145" s="18">
        <f t="shared" si="218"/>
        <v>268</v>
      </c>
      <c r="R145" s="4" t="s">
        <v>0</v>
      </c>
      <c r="S145" s="16" t="str">
        <f t="shared" si="219"/>
        <v>03-01</v>
      </c>
      <c r="T145" s="14">
        <f t="shared" si="220"/>
        <v>427</v>
      </c>
      <c r="U145" s="18">
        <f t="shared" si="221"/>
        <v>499</v>
      </c>
      <c r="V145" s="14">
        <f t="shared" si="222"/>
        <v>442</v>
      </c>
      <c r="W145" s="18">
        <f t="shared" si="223"/>
        <v>499</v>
      </c>
      <c r="X145" s="14">
        <f t="shared" si="224"/>
        <v>442</v>
      </c>
      <c r="Y145" s="18">
        <f t="shared" si="225"/>
        <v>482</v>
      </c>
      <c r="Z145" s="14">
        <f t="shared" si="226"/>
        <v>427</v>
      </c>
      <c r="AA145" s="18">
        <f t="shared" si="227"/>
        <v>482</v>
      </c>
      <c r="AB145" s="4" t="s">
        <v>0</v>
      </c>
    </row>
    <row r="146" spans="1:28">
      <c r="A146" s="9" t="s">
        <v>422</v>
      </c>
      <c r="B146" s="24"/>
      <c r="C146" s="26">
        <v>2</v>
      </c>
      <c r="D146" s="25">
        <f>D123</f>
        <v>59</v>
      </c>
      <c r="E146" s="28">
        <f>ROUND(E$111+26.8*$C146, 0)</f>
        <v>278</v>
      </c>
      <c r="F146" s="25">
        <f>F123</f>
        <v>74</v>
      </c>
      <c r="G146" s="28">
        <f>ROUND(G$111+26.8*$C146, 0)</f>
        <v>295</v>
      </c>
      <c r="H146" s="4" t="s">
        <v>0</v>
      </c>
      <c r="I146" s="16" t="str">
        <f t="shared" si="210"/>
        <v>02-28</v>
      </c>
      <c r="J146" s="14">
        <f t="shared" si="211"/>
        <v>59</v>
      </c>
      <c r="K146" s="15">
        <f t="shared" si="212"/>
        <v>278</v>
      </c>
      <c r="L146" s="17">
        <f t="shared" si="213"/>
        <v>74</v>
      </c>
      <c r="M146" s="18">
        <f t="shared" si="214"/>
        <v>278</v>
      </c>
      <c r="N146" s="14">
        <f t="shared" si="215"/>
        <v>74</v>
      </c>
      <c r="O146" s="15">
        <f t="shared" si="216"/>
        <v>295</v>
      </c>
      <c r="P146" s="17">
        <f t="shared" si="217"/>
        <v>59</v>
      </c>
      <c r="Q146" s="18">
        <f t="shared" si="218"/>
        <v>295</v>
      </c>
      <c r="R146" s="4" t="s">
        <v>0</v>
      </c>
      <c r="S146" s="16" t="str">
        <f t="shared" si="219"/>
        <v>02-28</v>
      </c>
      <c r="T146" s="14">
        <f t="shared" si="220"/>
        <v>59</v>
      </c>
      <c r="U146" s="18">
        <f t="shared" si="221"/>
        <v>472</v>
      </c>
      <c r="V146" s="14">
        <f t="shared" si="222"/>
        <v>74</v>
      </c>
      <c r="W146" s="18">
        <f t="shared" si="223"/>
        <v>472</v>
      </c>
      <c r="X146" s="14">
        <f t="shared" si="224"/>
        <v>74</v>
      </c>
      <c r="Y146" s="18">
        <f t="shared" si="225"/>
        <v>455</v>
      </c>
      <c r="Z146" s="14">
        <f t="shared" si="226"/>
        <v>59</v>
      </c>
      <c r="AA146" s="18">
        <f t="shared" si="227"/>
        <v>455</v>
      </c>
      <c r="AB146" s="4" t="s">
        <v>0</v>
      </c>
    </row>
    <row r="147" spans="1:28">
      <c r="A147" s="9" t="s">
        <v>421</v>
      </c>
      <c r="B147" s="24"/>
      <c r="C147" s="26"/>
      <c r="D147" s="25">
        <f t="shared" si="189"/>
        <v>75</v>
      </c>
      <c r="E147" s="29">
        <f t="shared" ref="E147" si="233">E146</f>
        <v>278</v>
      </c>
      <c r="F147" s="25">
        <f t="shared" si="191"/>
        <v>90</v>
      </c>
      <c r="G147" s="29">
        <f t="shared" ref="G147:G168" si="234">G146</f>
        <v>295</v>
      </c>
      <c r="H147" s="4" t="s">
        <v>0</v>
      </c>
      <c r="I147" s="16" t="str">
        <f t="shared" si="210"/>
        <v>02-27</v>
      </c>
      <c r="J147" s="14">
        <f t="shared" si="211"/>
        <v>75</v>
      </c>
      <c r="K147" s="15">
        <f t="shared" si="212"/>
        <v>278</v>
      </c>
      <c r="L147" s="17">
        <f t="shared" si="213"/>
        <v>90</v>
      </c>
      <c r="M147" s="18">
        <f t="shared" si="214"/>
        <v>278</v>
      </c>
      <c r="N147" s="14">
        <f t="shared" si="215"/>
        <v>90</v>
      </c>
      <c r="O147" s="15">
        <f t="shared" si="216"/>
        <v>295</v>
      </c>
      <c r="P147" s="17">
        <f t="shared" si="217"/>
        <v>75</v>
      </c>
      <c r="Q147" s="18">
        <f t="shared" si="218"/>
        <v>295</v>
      </c>
      <c r="R147" s="4" t="s">
        <v>0</v>
      </c>
      <c r="S147" s="16" t="str">
        <f t="shared" si="219"/>
        <v>02-27</v>
      </c>
      <c r="T147" s="14">
        <f t="shared" si="220"/>
        <v>75</v>
      </c>
      <c r="U147" s="18">
        <f t="shared" si="221"/>
        <v>472</v>
      </c>
      <c r="V147" s="14">
        <f t="shared" si="222"/>
        <v>90</v>
      </c>
      <c r="W147" s="18">
        <f t="shared" si="223"/>
        <v>472</v>
      </c>
      <c r="X147" s="14">
        <f t="shared" si="224"/>
        <v>90</v>
      </c>
      <c r="Y147" s="18">
        <f t="shared" si="225"/>
        <v>455</v>
      </c>
      <c r="Z147" s="14">
        <f t="shared" si="226"/>
        <v>75</v>
      </c>
      <c r="AA147" s="18">
        <f t="shared" si="227"/>
        <v>455</v>
      </c>
      <c r="AB147" s="4" t="s">
        <v>0</v>
      </c>
    </row>
    <row r="148" spans="1:28">
      <c r="A148" s="9" t="s">
        <v>420</v>
      </c>
      <c r="B148" s="24"/>
      <c r="C148" s="26"/>
      <c r="D148" s="25">
        <f t="shared" si="189"/>
        <v>90</v>
      </c>
      <c r="E148" s="29">
        <f t="shared" ref="E148" si="235">E147</f>
        <v>278</v>
      </c>
      <c r="F148" s="25">
        <f t="shared" si="191"/>
        <v>105</v>
      </c>
      <c r="G148" s="29">
        <f t="shared" si="234"/>
        <v>295</v>
      </c>
      <c r="H148" s="4" t="s">
        <v>0</v>
      </c>
      <c r="I148" s="16" t="str">
        <f t="shared" si="210"/>
        <v>02-26</v>
      </c>
      <c r="J148" s="14">
        <f t="shared" si="211"/>
        <v>90</v>
      </c>
      <c r="K148" s="15">
        <f t="shared" si="212"/>
        <v>278</v>
      </c>
      <c r="L148" s="17">
        <f t="shared" si="213"/>
        <v>105</v>
      </c>
      <c r="M148" s="18">
        <f t="shared" si="214"/>
        <v>278</v>
      </c>
      <c r="N148" s="14">
        <f t="shared" si="215"/>
        <v>105</v>
      </c>
      <c r="O148" s="15">
        <f t="shared" si="216"/>
        <v>295</v>
      </c>
      <c r="P148" s="17">
        <f t="shared" si="217"/>
        <v>90</v>
      </c>
      <c r="Q148" s="18">
        <f t="shared" si="218"/>
        <v>295</v>
      </c>
      <c r="R148" s="4" t="s">
        <v>0</v>
      </c>
      <c r="S148" s="16" t="str">
        <f t="shared" si="219"/>
        <v>02-26</v>
      </c>
      <c r="T148" s="14">
        <f t="shared" si="220"/>
        <v>90</v>
      </c>
      <c r="U148" s="18">
        <f t="shared" si="221"/>
        <v>472</v>
      </c>
      <c r="V148" s="14">
        <f t="shared" si="222"/>
        <v>105</v>
      </c>
      <c r="W148" s="18">
        <f t="shared" si="223"/>
        <v>472</v>
      </c>
      <c r="X148" s="14">
        <f t="shared" si="224"/>
        <v>105</v>
      </c>
      <c r="Y148" s="18">
        <f t="shared" si="225"/>
        <v>455</v>
      </c>
      <c r="Z148" s="14">
        <f t="shared" si="226"/>
        <v>90</v>
      </c>
      <c r="AA148" s="18">
        <f t="shared" si="227"/>
        <v>455</v>
      </c>
      <c r="AB148" s="4" t="s">
        <v>0</v>
      </c>
    </row>
    <row r="149" spans="1:28">
      <c r="A149" s="9" t="s">
        <v>419</v>
      </c>
      <c r="B149" s="24"/>
      <c r="C149" s="26"/>
      <c r="D149" s="25">
        <f t="shared" si="189"/>
        <v>106</v>
      </c>
      <c r="E149" s="29">
        <f t="shared" ref="E149" si="236">E148</f>
        <v>278</v>
      </c>
      <c r="F149" s="25">
        <f t="shared" si="191"/>
        <v>121</v>
      </c>
      <c r="G149" s="29">
        <f t="shared" si="234"/>
        <v>295</v>
      </c>
      <c r="H149" s="4" t="s">
        <v>0</v>
      </c>
      <c r="I149" s="16" t="str">
        <f t="shared" si="210"/>
        <v>02-25</v>
      </c>
      <c r="J149" s="14">
        <f t="shared" si="211"/>
        <v>106</v>
      </c>
      <c r="K149" s="15">
        <f t="shared" si="212"/>
        <v>278</v>
      </c>
      <c r="L149" s="17">
        <f t="shared" si="213"/>
        <v>121</v>
      </c>
      <c r="M149" s="18">
        <f t="shared" si="214"/>
        <v>278</v>
      </c>
      <c r="N149" s="14">
        <f t="shared" si="215"/>
        <v>121</v>
      </c>
      <c r="O149" s="15">
        <f t="shared" si="216"/>
        <v>295</v>
      </c>
      <c r="P149" s="17">
        <f t="shared" si="217"/>
        <v>106</v>
      </c>
      <c r="Q149" s="18">
        <f t="shared" si="218"/>
        <v>295</v>
      </c>
      <c r="R149" s="4" t="s">
        <v>0</v>
      </c>
      <c r="S149" s="16" t="str">
        <f t="shared" si="219"/>
        <v>02-25</v>
      </c>
      <c r="T149" s="14">
        <f t="shared" si="220"/>
        <v>106</v>
      </c>
      <c r="U149" s="18">
        <f t="shared" si="221"/>
        <v>472</v>
      </c>
      <c r="V149" s="14">
        <f t="shared" si="222"/>
        <v>121</v>
      </c>
      <c r="W149" s="18">
        <f t="shared" si="223"/>
        <v>472</v>
      </c>
      <c r="X149" s="14">
        <f t="shared" si="224"/>
        <v>121</v>
      </c>
      <c r="Y149" s="18">
        <f t="shared" si="225"/>
        <v>455</v>
      </c>
      <c r="Z149" s="14">
        <f t="shared" si="226"/>
        <v>106</v>
      </c>
      <c r="AA149" s="18">
        <f t="shared" si="227"/>
        <v>455</v>
      </c>
      <c r="AB149" s="4" t="s">
        <v>0</v>
      </c>
    </row>
    <row r="150" spans="1:28">
      <c r="A150" s="9" t="s">
        <v>418</v>
      </c>
      <c r="B150" s="24"/>
      <c r="C150" s="26"/>
      <c r="D150" s="25">
        <f t="shared" si="189"/>
        <v>122</v>
      </c>
      <c r="E150" s="29">
        <f t="shared" ref="E150" si="237">E149</f>
        <v>278</v>
      </c>
      <c r="F150" s="25">
        <f t="shared" si="191"/>
        <v>137</v>
      </c>
      <c r="G150" s="29">
        <f t="shared" si="234"/>
        <v>295</v>
      </c>
      <c r="H150" s="4" t="s">
        <v>0</v>
      </c>
      <c r="I150" s="16" t="str">
        <f t="shared" si="210"/>
        <v>02-23</v>
      </c>
      <c r="J150" s="14">
        <f t="shared" si="211"/>
        <v>122</v>
      </c>
      <c r="K150" s="15">
        <f t="shared" si="212"/>
        <v>278</v>
      </c>
      <c r="L150" s="17">
        <f t="shared" si="213"/>
        <v>137</v>
      </c>
      <c r="M150" s="18">
        <f t="shared" si="214"/>
        <v>278</v>
      </c>
      <c r="N150" s="14">
        <f t="shared" si="215"/>
        <v>137</v>
      </c>
      <c r="O150" s="15">
        <f t="shared" si="216"/>
        <v>295</v>
      </c>
      <c r="P150" s="17">
        <f t="shared" si="217"/>
        <v>122</v>
      </c>
      <c r="Q150" s="18">
        <f t="shared" si="218"/>
        <v>295</v>
      </c>
      <c r="R150" s="4" t="s">
        <v>0</v>
      </c>
      <c r="S150" s="16" t="str">
        <f t="shared" si="219"/>
        <v>02-23</v>
      </c>
      <c r="T150" s="14">
        <f t="shared" si="220"/>
        <v>122</v>
      </c>
      <c r="U150" s="18">
        <f t="shared" si="221"/>
        <v>472</v>
      </c>
      <c r="V150" s="14">
        <f t="shared" si="222"/>
        <v>137</v>
      </c>
      <c r="W150" s="18">
        <f t="shared" si="223"/>
        <v>472</v>
      </c>
      <c r="X150" s="14">
        <f t="shared" si="224"/>
        <v>137</v>
      </c>
      <c r="Y150" s="18">
        <f t="shared" si="225"/>
        <v>455</v>
      </c>
      <c r="Z150" s="14">
        <f t="shared" si="226"/>
        <v>122</v>
      </c>
      <c r="AA150" s="18">
        <f t="shared" si="227"/>
        <v>455</v>
      </c>
      <c r="AB150" s="4" t="s">
        <v>0</v>
      </c>
    </row>
    <row r="151" spans="1:28">
      <c r="A151" s="9" t="s">
        <v>417</v>
      </c>
      <c r="B151" s="24"/>
      <c r="C151" s="26"/>
      <c r="D151" s="25">
        <f t="shared" si="189"/>
        <v>138</v>
      </c>
      <c r="E151" s="29">
        <f t="shared" ref="E151" si="238">E150</f>
        <v>278</v>
      </c>
      <c r="F151" s="25">
        <f t="shared" si="191"/>
        <v>153</v>
      </c>
      <c r="G151" s="29">
        <f t="shared" si="234"/>
        <v>295</v>
      </c>
      <c r="H151" s="4" t="s">
        <v>0</v>
      </c>
      <c r="I151" s="16" t="str">
        <f t="shared" si="210"/>
        <v>02-22</v>
      </c>
      <c r="J151" s="14">
        <f t="shared" si="211"/>
        <v>138</v>
      </c>
      <c r="K151" s="15">
        <f t="shared" si="212"/>
        <v>278</v>
      </c>
      <c r="L151" s="17">
        <f t="shared" si="213"/>
        <v>153</v>
      </c>
      <c r="M151" s="18">
        <f t="shared" si="214"/>
        <v>278</v>
      </c>
      <c r="N151" s="14">
        <f t="shared" si="215"/>
        <v>153</v>
      </c>
      <c r="O151" s="15">
        <f t="shared" si="216"/>
        <v>295</v>
      </c>
      <c r="P151" s="17">
        <f t="shared" si="217"/>
        <v>138</v>
      </c>
      <c r="Q151" s="18">
        <f t="shared" si="218"/>
        <v>295</v>
      </c>
      <c r="R151" s="4" t="s">
        <v>0</v>
      </c>
      <c r="S151" s="16" t="str">
        <f t="shared" si="219"/>
        <v>02-22</v>
      </c>
      <c r="T151" s="14">
        <f t="shared" si="220"/>
        <v>138</v>
      </c>
      <c r="U151" s="18">
        <f t="shared" si="221"/>
        <v>472</v>
      </c>
      <c r="V151" s="14">
        <f t="shared" si="222"/>
        <v>153</v>
      </c>
      <c r="W151" s="18">
        <f t="shared" si="223"/>
        <v>472</v>
      </c>
      <c r="X151" s="14">
        <f t="shared" si="224"/>
        <v>153</v>
      </c>
      <c r="Y151" s="18">
        <f t="shared" si="225"/>
        <v>455</v>
      </c>
      <c r="Z151" s="14">
        <f t="shared" si="226"/>
        <v>138</v>
      </c>
      <c r="AA151" s="18">
        <f t="shared" si="227"/>
        <v>455</v>
      </c>
      <c r="AB151" s="4" t="s">
        <v>0</v>
      </c>
    </row>
    <row r="152" spans="1:28">
      <c r="A152" s="9" t="s">
        <v>241</v>
      </c>
      <c r="B152" s="24"/>
      <c r="C152" s="26"/>
      <c r="D152" s="25">
        <f t="shared" si="189"/>
        <v>153</v>
      </c>
      <c r="E152" s="29">
        <f t="shared" ref="E152" si="239">E151</f>
        <v>278</v>
      </c>
      <c r="F152" s="25">
        <f t="shared" si="191"/>
        <v>168</v>
      </c>
      <c r="G152" s="29">
        <f t="shared" si="234"/>
        <v>295</v>
      </c>
      <c r="H152" s="4" t="s">
        <v>0</v>
      </c>
      <c r="I152" s="16" t="str">
        <f t="shared" si="210"/>
        <v>02-21</v>
      </c>
      <c r="J152" s="14">
        <f t="shared" si="211"/>
        <v>153</v>
      </c>
      <c r="K152" s="15">
        <f t="shared" si="212"/>
        <v>278</v>
      </c>
      <c r="L152" s="17">
        <f t="shared" si="213"/>
        <v>168</v>
      </c>
      <c r="M152" s="18">
        <f t="shared" si="214"/>
        <v>278</v>
      </c>
      <c r="N152" s="14">
        <f t="shared" si="215"/>
        <v>168</v>
      </c>
      <c r="O152" s="15">
        <f t="shared" si="216"/>
        <v>295</v>
      </c>
      <c r="P152" s="17">
        <f t="shared" si="217"/>
        <v>153</v>
      </c>
      <c r="Q152" s="18">
        <f t="shared" si="218"/>
        <v>295</v>
      </c>
      <c r="R152" s="4" t="s">
        <v>0</v>
      </c>
      <c r="S152" s="16" t="str">
        <f t="shared" si="219"/>
        <v>02-21</v>
      </c>
      <c r="T152" s="14">
        <f t="shared" si="220"/>
        <v>153</v>
      </c>
      <c r="U152" s="18">
        <f t="shared" si="221"/>
        <v>472</v>
      </c>
      <c r="V152" s="14">
        <f t="shared" si="222"/>
        <v>168</v>
      </c>
      <c r="W152" s="18">
        <f t="shared" si="223"/>
        <v>472</v>
      </c>
      <c r="X152" s="14">
        <f t="shared" si="224"/>
        <v>168</v>
      </c>
      <c r="Y152" s="18">
        <f t="shared" si="225"/>
        <v>455</v>
      </c>
      <c r="Z152" s="14">
        <f t="shared" si="226"/>
        <v>153</v>
      </c>
      <c r="AA152" s="18">
        <f t="shared" si="227"/>
        <v>455</v>
      </c>
      <c r="AB152" s="4" t="s">
        <v>0</v>
      </c>
    </row>
    <row r="153" spans="1:28">
      <c r="A153" s="9" t="s">
        <v>153</v>
      </c>
      <c r="B153" s="24"/>
      <c r="C153" s="26"/>
      <c r="D153" s="25">
        <f t="shared" si="189"/>
        <v>169</v>
      </c>
      <c r="E153" s="29">
        <f t="shared" ref="E153" si="240">E152</f>
        <v>278</v>
      </c>
      <c r="F153" s="25">
        <f t="shared" si="191"/>
        <v>184</v>
      </c>
      <c r="G153" s="29">
        <f t="shared" si="234"/>
        <v>295</v>
      </c>
      <c r="H153" s="4" t="s">
        <v>0</v>
      </c>
      <c r="I153" s="16" t="str">
        <f t="shared" si="210"/>
        <v>02-20</v>
      </c>
      <c r="J153" s="14">
        <f t="shared" si="211"/>
        <v>169</v>
      </c>
      <c r="K153" s="15">
        <f t="shared" si="212"/>
        <v>278</v>
      </c>
      <c r="L153" s="17">
        <f t="shared" si="213"/>
        <v>184</v>
      </c>
      <c r="M153" s="18">
        <f t="shared" si="214"/>
        <v>278</v>
      </c>
      <c r="N153" s="14">
        <f t="shared" si="215"/>
        <v>184</v>
      </c>
      <c r="O153" s="15">
        <f t="shared" si="216"/>
        <v>295</v>
      </c>
      <c r="P153" s="17">
        <f t="shared" si="217"/>
        <v>169</v>
      </c>
      <c r="Q153" s="18">
        <f t="shared" si="218"/>
        <v>295</v>
      </c>
      <c r="R153" s="4" t="s">
        <v>0</v>
      </c>
      <c r="S153" s="16" t="str">
        <f t="shared" si="219"/>
        <v>02-20</v>
      </c>
      <c r="T153" s="14">
        <f t="shared" si="220"/>
        <v>169</v>
      </c>
      <c r="U153" s="18">
        <f t="shared" si="221"/>
        <v>472</v>
      </c>
      <c r="V153" s="14">
        <f t="shared" si="222"/>
        <v>184</v>
      </c>
      <c r="W153" s="18">
        <f t="shared" si="223"/>
        <v>472</v>
      </c>
      <c r="X153" s="14">
        <f t="shared" si="224"/>
        <v>184</v>
      </c>
      <c r="Y153" s="18">
        <f t="shared" si="225"/>
        <v>455</v>
      </c>
      <c r="Z153" s="14">
        <f t="shared" si="226"/>
        <v>169</v>
      </c>
      <c r="AA153" s="18">
        <f t="shared" si="227"/>
        <v>455</v>
      </c>
      <c r="AB153" s="4" t="s">
        <v>0</v>
      </c>
    </row>
    <row r="154" spans="1:28">
      <c r="A154" s="9" t="s">
        <v>152</v>
      </c>
      <c r="B154" s="24"/>
      <c r="C154" s="26"/>
      <c r="D154" s="25">
        <f t="shared" si="189"/>
        <v>185</v>
      </c>
      <c r="E154" s="29">
        <f t="shared" ref="E154" si="241">E153</f>
        <v>278</v>
      </c>
      <c r="F154" s="25">
        <f t="shared" si="191"/>
        <v>200</v>
      </c>
      <c r="G154" s="29">
        <f t="shared" si="234"/>
        <v>295</v>
      </c>
      <c r="H154" s="4" t="s">
        <v>0</v>
      </c>
      <c r="I154" s="16" t="str">
        <f t="shared" si="210"/>
        <v>02-18</v>
      </c>
      <c r="J154" s="14">
        <f t="shared" si="211"/>
        <v>185</v>
      </c>
      <c r="K154" s="15">
        <f t="shared" si="212"/>
        <v>278</v>
      </c>
      <c r="L154" s="17">
        <f t="shared" si="213"/>
        <v>200</v>
      </c>
      <c r="M154" s="18">
        <f t="shared" si="214"/>
        <v>278</v>
      </c>
      <c r="N154" s="14">
        <f t="shared" si="215"/>
        <v>200</v>
      </c>
      <c r="O154" s="15">
        <f t="shared" si="216"/>
        <v>295</v>
      </c>
      <c r="P154" s="17">
        <f t="shared" si="217"/>
        <v>185</v>
      </c>
      <c r="Q154" s="18">
        <f t="shared" si="218"/>
        <v>295</v>
      </c>
      <c r="R154" s="4" t="s">
        <v>0</v>
      </c>
      <c r="S154" s="16" t="str">
        <f t="shared" si="219"/>
        <v>02-18</v>
      </c>
      <c r="T154" s="14">
        <f t="shared" si="220"/>
        <v>185</v>
      </c>
      <c r="U154" s="18">
        <f t="shared" si="221"/>
        <v>472</v>
      </c>
      <c r="V154" s="14">
        <f t="shared" si="222"/>
        <v>200</v>
      </c>
      <c r="W154" s="18">
        <f t="shared" si="223"/>
        <v>472</v>
      </c>
      <c r="X154" s="14">
        <f t="shared" si="224"/>
        <v>200</v>
      </c>
      <c r="Y154" s="18">
        <f t="shared" si="225"/>
        <v>455</v>
      </c>
      <c r="Z154" s="14">
        <f t="shared" si="226"/>
        <v>185</v>
      </c>
      <c r="AA154" s="18">
        <f t="shared" si="227"/>
        <v>455</v>
      </c>
      <c r="AB154" s="4" t="s">
        <v>0</v>
      </c>
    </row>
    <row r="155" spans="1:28">
      <c r="A155" s="9" t="s">
        <v>151</v>
      </c>
      <c r="B155" s="24"/>
      <c r="C155" s="26"/>
      <c r="D155" s="25">
        <f t="shared" si="189"/>
        <v>200</v>
      </c>
      <c r="E155" s="29">
        <f t="shared" ref="E155" si="242">E154</f>
        <v>278</v>
      </c>
      <c r="F155" s="25">
        <f t="shared" si="191"/>
        <v>215</v>
      </c>
      <c r="G155" s="29">
        <f t="shared" si="234"/>
        <v>295</v>
      </c>
      <c r="H155" s="4" t="s">
        <v>0</v>
      </c>
      <c r="I155" s="16" t="str">
        <f t="shared" si="210"/>
        <v>02-17</v>
      </c>
      <c r="J155" s="14">
        <f t="shared" si="211"/>
        <v>200</v>
      </c>
      <c r="K155" s="15">
        <f t="shared" si="212"/>
        <v>278</v>
      </c>
      <c r="L155" s="17">
        <f t="shared" si="213"/>
        <v>215</v>
      </c>
      <c r="M155" s="18">
        <f t="shared" si="214"/>
        <v>278</v>
      </c>
      <c r="N155" s="14">
        <f t="shared" si="215"/>
        <v>215</v>
      </c>
      <c r="O155" s="15">
        <f t="shared" si="216"/>
        <v>295</v>
      </c>
      <c r="P155" s="17">
        <f t="shared" si="217"/>
        <v>200</v>
      </c>
      <c r="Q155" s="18">
        <f t="shared" si="218"/>
        <v>295</v>
      </c>
      <c r="R155" s="4" t="s">
        <v>0</v>
      </c>
      <c r="S155" s="16" t="str">
        <f t="shared" si="219"/>
        <v>02-17</v>
      </c>
      <c r="T155" s="14">
        <f t="shared" si="220"/>
        <v>200</v>
      </c>
      <c r="U155" s="18">
        <f t="shared" si="221"/>
        <v>472</v>
      </c>
      <c r="V155" s="14">
        <f t="shared" si="222"/>
        <v>215</v>
      </c>
      <c r="W155" s="18">
        <f t="shared" si="223"/>
        <v>472</v>
      </c>
      <c r="X155" s="14">
        <f t="shared" si="224"/>
        <v>215</v>
      </c>
      <c r="Y155" s="18">
        <f t="shared" si="225"/>
        <v>455</v>
      </c>
      <c r="Z155" s="14">
        <f t="shared" si="226"/>
        <v>200</v>
      </c>
      <c r="AA155" s="18">
        <f t="shared" si="227"/>
        <v>455</v>
      </c>
      <c r="AB155" s="4" t="s">
        <v>0</v>
      </c>
    </row>
    <row r="156" spans="1:28">
      <c r="A156" s="9" t="s">
        <v>150</v>
      </c>
      <c r="B156" s="24"/>
      <c r="C156" s="26"/>
      <c r="D156" s="25">
        <f t="shared" si="189"/>
        <v>216</v>
      </c>
      <c r="E156" s="29">
        <f t="shared" ref="E156" si="243">E155</f>
        <v>278</v>
      </c>
      <c r="F156" s="25">
        <f t="shared" si="191"/>
        <v>231</v>
      </c>
      <c r="G156" s="29">
        <f t="shared" si="234"/>
        <v>295</v>
      </c>
      <c r="H156" s="4" t="s">
        <v>0</v>
      </c>
      <c r="I156" s="16" t="str">
        <f t="shared" si="210"/>
        <v>02-16</v>
      </c>
      <c r="J156" s="14">
        <f t="shared" si="211"/>
        <v>216</v>
      </c>
      <c r="K156" s="15">
        <f t="shared" si="212"/>
        <v>278</v>
      </c>
      <c r="L156" s="17">
        <f t="shared" si="213"/>
        <v>231</v>
      </c>
      <c r="M156" s="18">
        <f t="shared" si="214"/>
        <v>278</v>
      </c>
      <c r="N156" s="14">
        <f t="shared" si="215"/>
        <v>231</v>
      </c>
      <c r="O156" s="15">
        <f t="shared" si="216"/>
        <v>295</v>
      </c>
      <c r="P156" s="17">
        <f t="shared" si="217"/>
        <v>216</v>
      </c>
      <c r="Q156" s="18">
        <f t="shared" si="218"/>
        <v>295</v>
      </c>
      <c r="R156" s="4" t="s">
        <v>0</v>
      </c>
      <c r="S156" s="16" t="str">
        <f t="shared" si="219"/>
        <v>02-16</v>
      </c>
      <c r="T156" s="14">
        <f t="shared" si="220"/>
        <v>216</v>
      </c>
      <c r="U156" s="18">
        <f t="shared" si="221"/>
        <v>472</v>
      </c>
      <c r="V156" s="14">
        <f t="shared" si="222"/>
        <v>231</v>
      </c>
      <c r="W156" s="18">
        <f t="shared" si="223"/>
        <v>472</v>
      </c>
      <c r="X156" s="14">
        <f t="shared" si="224"/>
        <v>231</v>
      </c>
      <c r="Y156" s="18">
        <f t="shared" si="225"/>
        <v>455</v>
      </c>
      <c r="Z156" s="14">
        <f t="shared" si="226"/>
        <v>216</v>
      </c>
      <c r="AA156" s="18">
        <f t="shared" si="227"/>
        <v>455</v>
      </c>
      <c r="AB156" s="4" t="s">
        <v>0</v>
      </c>
    </row>
    <row r="157" spans="1:28">
      <c r="A157" s="9" t="s">
        <v>149</v>
      </c>
      <c r="B157" s="24"/>
      <c r="C157" s="26"/>
      <c r="D157" s="25">
        <f t="shared" si="189"/>
        <v>255</v>
      </c>
      <c r="E157" s="29">
        <f t="shared" ref="E157" si="244">E156</f>
        <v>278</v>
      </c>
      <c r="F157" s="25">
        <f t="shared" si="191"/>
        <v>270</v>
      </c>
      <c r="G157" s="29">
        <f t="shared" si="234"/>
        <v>295</v>
      </c>
      <c r="H157" s="4" t="s">
        <v>0</v>
      </c>
      <c r="I157" s="16" t="str">
        <f t="shared" si="210"/>
        <v>02-15</v>
      </c>
      <c r="J157" s="14">
        <f t="shared" si="211"/>
        <v>255</v>
      </c>
      <c r="K157" s="15">
        <f t="shared" si="212"/>
        <v>278</v>
      </c>
      <c r="L157" s="17">
        <f t="shared" si="213"/>
        <v>270</v>
      </c>
      <c r="M157" s="18">
        <f t="shared" si="214"/>
        <v>278</v>
      </c>
      <c r="N157" s="14">
        <f t="shared" si="215"/>
        <v>270</v>
      </c>
      <c r="O157" s="15">
        <f t="shared" si="216"/>
        <v>295</v>
      </c>
      <c r="P157" s="17">
        <f t="shared" si="217"/>
        <v>255</v>
      </c>
      <c r="Q157" s="18">
        <f t="shared" si="218"/>
        <v>295</v>
      </c>
      <c r="R157" s="4" t="s">
        <v>0</v>
      </c>
      <c r="S157" s="16" t="str">
        <f t="shared" si="219"/>
        <v>02-15</v>
      </c>
      <c r="T157" s="14">
        <f t="shared" si="220"/>
        <v>255</v>
      </c>
      <c r="U157" s="18">
        <f t="shared" si="221"/>
        <v>472</v>
      </c>
      <c r="V157" s="14">
        <f t="shared" si="222"/>
        <v>270</v>
      </c>
      <c r="W157" s="18">
        <f t="shared" si="223"/>
        <v>472</v>
      </c>
      <c r="X157" s="14">
        <f t="shared" si="224"/>
        <v>270</v>
      </c>
      <c r="Y157" s="18">
        <f t="shared" si="225"/>
        <v>455</v>
      </c>
      <c r="Z157" s="14">
        <f t="shared" si="226"/>
        <v>255</v>
      </c>
      <c r="AA157" s="18">
        <f t="shared" si="227"/>
        <v>455</v>
      </c>
      <c r="AB157" s="4" t="s">
        <v>0</v>
      </c>
    </row>
    <row r="158" spans="1:28">
      <c r="A158" s="9" t="s">
        <v>148</v>
      </c>
      <c r="B158" s="24"/>
      <c r="C158" s="26"/>
      <c r="D158" s="25">
        <f t="shared" si="189"/>
        <v>271</v>
      </c>
      <c r="E158" s="29">
        <f t="shared" ref="E158" si="245">E157</f>
        <v>278</v>
      </c>
      <c r="F158" s="25">
        <f t="shared" si="191"/>
        <v>286</v>
      </c>
      <c r="G158" s="29">
        <f t="shared" si="234"/>
        <v>295</v>
      </c>
      <c r="H158" s="4" t="s">
        <v>0</v>
      </c>
      <c r="I158" s="16" t="str">
        <f t="shared" si="210"/>
        <v>02-13</v>
      </c>
      <c r="J158" s="14">
        <f t="shared" si="211"/>
        <v>271</v>
      </c>
      <c r="K158" s="15">
        <f t="shared" si="212"/>
        <v>278</v>
      </c>
      <c r="L158" s="17">
        <f t="shared" si="213"/>
        <v>286</v>
      </c>
      <c r="M158" s="18">
        <f t="shared" si="214"/>
        <v>278</v>
      </c>
      <c r="N158" s="14">
        <f t="shared" si="215"/>
        <v>286</v>
      </c>
      <c r="O158" s="15">
        <f t="shared" si="216"/>
        <v>295</v>
      </c>
      <c r="P158" s="17">
        <f t="shared" si="217"/>
        <v>271</v>
      </c>
      <c r="Q158" s="18">
        <f t="shared" si="218"/>
        <v>295</v>
      </c>
      <c r="R158" s="4" t="s">
        <v>0</v>
      </c>
      <c r="S158" s="16" t="str">
        <f t="shared" si="219"/>
        <v>02-13</v>
      </c>
      <c r="T158" s="14">
        <f t="shared" si="220"/>
        <v>271</v>
      </c>
      <c r="U158" s="18">
        <f t="shared" si="221"/>
        <v>472</v>
      </c>
      <c r="V158" s="14">
        <f t="shared" si="222"/>
        <v>286</v>
      </c>
      <c r="W158" s="18">
        <f t="shared" si="223"/>
        <v>472</v>
      </c>
      <c r="X158" s="14">
        <f t="shared" si="224"/>
        <v>286</v>
      </c>
      <c r="Y158" s="18">
        <f t="shared" si="225"/>
        <v>455</v>
      </c>
      <c r="Z158" s="14">
        <f t="shared" si="226"/>
        <v>271</v>
      </c>
      <c r="AA158" s="18">
        <f t="shared" si="227"/>
        <v>455</v>
      </c>
      <c r="AB158" s="4" t="s">
        <v>0</v>
      </c>
    </row>
    <row r="159" spans="1:28">
      <c r="A159" s="9" t="s">
        <v>29</v>
      </c>
      <c r="B159" s="24"/>
      <c r="C159" s="26"/>
      <c r="D159" s="25">
        <f t="shared" si="189"/>
        <v>286</v>
      </c>
      <c r="E159" s="29">
        <f t="shared" ref="E159" si="246">E158</f>
        <v>278</v>
      </c>
      <c r="F159" s="25">
        <f t="shared" si="191"/>
        <v>301</v>
      </c>
      <c r="G159" s="29">
        <f t="shared" si="234"/>
        <v>295</v>
      </c>
      <c r="H159" s="4" t="s">
        <v>0</v>
      </c>
      <c r="I159" s="16" t="str">
        <f t="shared" si="210"/>
        <v>02-12</v>
      </c>
      <c r="J159" s="14">
        <f t="shared" si="211"/>
        <v>286</v>
      </c>
      <c r="K159" s="15">
        <f t="shared" si="212"/>
        <v>278</v>
      </c>
      <c r="L159" s="17">
        <f t="shared" si="213"/>
        <v>301</v>
      </c>
      <c r="M159" s="18">
        <f t="shared" si="214"/>
        <v>278</v>
      </c>
      <c r="N159" s="14">
        <f t="shared" si="215"/>
        <v>301</v>
      </c>
      <c r="O159" s="15">
        <f t="shared" si="216"/>
        <v>295</v>
      </c>
      <c r="P159" s="17">
        <f t="shared" si="217"/>
        <v>286</v>
      </c>
      <c r="Q159" s="18">
        <f t="shared" si="218"/>
        <v>295</v>
      </c>
      <c r="R159" s="4" t="s">
        <v>0</v>
      </c>
      <c r="S159" s="16" t="str">
        <f t="shared" si="219"/>
        <v>02-12</v>
      </c>
      <c r="T159" s="14">
        <f t="shared" si="220"/>
        <v>286</v>
      </c>
      <c r="U159" s="18">
        <f t="shared" si="221"/>
        <v>472</v>
      </c>
      <c r="V159" s="14">
        <f t="shared" si="222"/>
        <v>301</v>
      </c>
      <c r="W159" s="18">
        <f t="shared" si="223"/>
        <v>472</v>
      </c>
      <c r="X159" s="14">
        <f t="shared" si="224"/>
        <v>301</v>
      </c>
      <c r="Y159" s="18">
        <f t="shared" si="225"/>
        <v>455</v>
      </c>
      <c r="Z159" s="14">
        <f t="shared" si="226"/>
        <v>286</v>
      </c>
      <c r="AA159" s="18">
        <f t="shared" si="227"/>
        <v>455</v>
      </c>
      <c r="AB159" s="4" t="s">
        <v>0</v>
      </c>
    </row>
    <row r="160" spans="1:28">
      <c r="A160" s="9" t="s">
        <v>28</v>
      </c>
      <c r="B160" s="24"/>
      <c r="C160" s="26"/>
      <c r="D160" s="25">
        <f t="shared" si="189"/>
        <v>302</v>
      </c>
      <c r="E160" s="29">
        <f t="shared" ref="E160" si="247">E159</f>
        <v>278</v>
      </c>
      <c r="F160" s="25">
        <f t="shared" si="191"/>
        <v>317</v>
      </c>
      <c r="G160" s="29">
        <f t="shared" si="234"/>
        <v>295</v>
      </c>
      <c r="H160" s="4" t="s">
        <v>0</v>
      </c>
      <c r="I160" s="16" t="str">
        <f t="shared" si="210"/>
        <v>02-11</v>
      </c>
      <c r="J160" s="14">
        <f t="shared" si="211"/>
        <v>302</v>
      </c>
      <c r="K160" s="15">
        <f t="shared" si="212"/>
        <v>278</v>
      </c>
      <c r="L160" s="17">
        <f t="shared" si="213"/>
        <v>317</v>
      </c>
      <c r="M160" s="18">
        <f t="shared" si="214"/>
        <v>278</v>
      </c>
      <c r="N160" s="14">
        <f t="shared" si="215"/>
        <v>317</v>
      </c>
      <c r="O160" s="15">
        <f t="shared" si="216"/>
        <v>295</v>
      </c>
      <c r="P160" s="17">
        <f t="shared" si="217"/>
        <v>302</v>
      </c>
      <c r="Q160" s="18">
        <f t="shared" si="218"/>
        <v>295</v>
      </c>
      <c r="R160" s="4" t="s">
        <v>0</v>
      </c>
      <c r="S160" s="16" t="str">
        <f t="shared" si="219"/>
        <v>02-11</v>
      </c>
      <c r="T160" s="14">
        <f t="shared" si="220"/>
        <v>302</v>
      </c>
      <c r="U160" s="18">
        <f t="shared" si="221"/>
        <v>472</v>
      </c>
      <c r="V160" s="14">
        <f t="shared" si="222"/>
        <v>317</v>
      </c>
      <c r="W160" s="18">
        <f t="shared" si="223"/>
        <v>472</v>
      </c>
      <c r="X160" s="14">
        <f t="shared" si="224"/>
        <v>317</v>
      </c>
      <c r="Y160" s="18">
        <f t="shared" si="225"/>
        <v>455</v>
      </c>
      <c r="Z160" s="14">
        <f t="shared" si="226"/>
        <v>302</v>
      </c>
      <c r="AA160" s="18">
        <f t="shared" si="227"/>
        <v>455</v>
      </c>
      <c r="AB160" s="4" t="s">
        <v>0</v>
      </c>
    </row>
    <row r="161" spans="1:28">
      <c r="A161" s="9" t="s">
        <v>27</v>
      </c>
      <c r="B161" s="24"/>
      <c r="C161" s="26"/>
      <c r="D161" s="25">
        <f t="shared" si="189"/>
        <v>317</v>
      </c>
      <c r="E161" s="29">
        <f t="shared" ref="E161" si="248">E160</f>
        <v>278</v>
      </c>
      <c r="F161" s="25">
        <f t="shared" si="191"/>
        <v>332</v>
      </c>
      <c r="G161" s="29">
        <f t="shared" si="234"/>
        <v>295</v>
      </c>
      <c r="H161" s="4" t="s">
        <v>0</v>
      </c>
      <c r="I161" s="16" t="str">
        <f t="shared" si="210"/>
        <v>02-10</v>
      </c>
      <c r="J161" s="14">
        <f t="shared" si="211"/>
        <v>317</v>
      </c>
      <c r="K161" s="15">
        <f t="shared" si="212"/>
        <v>278</v>
      </c>
      <c r="L161" s="17">
        <f t="shared" si="213"/>
        <v>332</v>
      </c>
      <c r="M161" s="18">
        <f t="shared" si="214"/>
        <v>278</v>
      </c>
      <c r="N161" s="14">
        <f t="shared" si="215"/>
        <v>332</v>
      </c>
      <c r="O161" s="15">
        <f t="shared" si="216"/>
        <v>295</v>
      </c>
      <c r="P161" s="17">
        <f t="shared" si="217"/>
        <v>317</v>
      </c>
      <c r="Q161" s="18">
        <f t="shared" si="218"/>
        <v>295</v>
      </c>
      <c r="R161" s="4" t="s">
        <v>0</v>
      </c>
      <c r="S161" s="16" t="str">
        <f t="shared" si="219"/>
        <v>02-10</v>
      </c>
      <c r="T161" s="14">
        <f t="shared" si="220"/>
        <v>317</v>
      </c>
      <c r="U161" s="18">
        <f t="shared" si="221"/>
        <v>472</v>
      </c>
      <c r="V161" s="14">
        <f t="shared" si="222"/>
        <v>332</v>
      </c>
      <c r="W161" s="18">
        <f t="shared" si="223"/>
        <v>472</v>
      </c>
      <c r="X161" s="14">
        <f t="shared" si="224"/>
        <v>332</v>
      </c>
      <c r="Y161" s="18">
        <f t="shared" si="225"/>
        <v>455</v>
      </c>
      <c r="Z161" s="14">
        <f t="shared" si="226"/>
        <v>317</v>
      </c>
      <c r="AA161" s="18">
        <f t="shared" si="227"/>
        <v>455</v>
      </c>
      <c r="AB161" s="4" t="s">
        <v>0</v>
      </c>
    </row>
    <row r="162" spans="1:28">
      <c r="A162" s="9" t="s">
        <v>26</v>
      </c>
      <c r="B162" s="24"/>
      <c r="C162" s="26"/>
      <c r="D162" s="25">
        <f t="shared" si="189"/>
        <v>333</v>
      </c>
      <c r="E162" s="29">
        <f t="shared" ref="E162" si="249">E161</f>
        <v>278</v>
      </c>
      <c r="F162" s="25">
        <f t="shared" si="191"/>
        <v>348</v>
      </c>
      <c r="G162" s="29">
        <f t="shared" si="234"/>
        <v>295</v>
      </c>
      <c r="H162" s="4" t="s">
        <v>0</v>
      </c>
      <c r="I162" s="16" t="str">
        <f t="shared" si="210"/>
        <v>02-08</v>
      </c>
      <c r="J162" s="14">
        <f t="shared" si="211"/>
        <v>333</v>
      </c>
      <c r="K162" s="15">
        <f t="shared" si="212"/>
        <v>278</v>
      </c>
      <c r="L162" s="17">
        <f t="shared" si="213"/>
        <v>348</v>
      </c>
      <c r="M162" s="18">
        <f t="shared" si="214"/>
        <v>278</v>
      </c>
      <c r="N162" s="14">
        <f t="shared" si="215"/>
        <v>348</v>
      </c>
      <c r="O162" s="15">
        <f t="shared" si="216"/>
        <v>295</v>
      </c>
      <c r="P162" s="17">
        <f t="shared" si="217"/>
        <v>333</v>
      </c>
      <c r="Q162" s="18">
        <f t="shared" si="218"/>
        <v>295</v>
      </c>
      <c r="R162" s="4" t="s">
        <v>0</v>
      </c>
      <c r="S162" s="16" t="str">
        <f t="shared" si="219"/>
        <v>02-08</v>
      </c>
      <c r="T162" s="14">
        <f t="shared" si="220"/>
        <v>333</v>
      </c>
      <c r="U162" s="18">
        <f t="shared" si="221"/>
        <v>472</v>
      </c>
      <c r="V162" s="14">
        <f t="shared" si="222"/>
        <v>348</v>
      </c>
      <c r="W162" s="18">
        <f t="shared" si="223"/>
        <v>472</v>
      </c>
      <c r="X162" s="14">
        <f t="shared" si="224"/>
        <v>348</v>
      </c>
      <c r="Y162" s="18">
        <f t="shared" si="225"/>
        <v>455</v>
      </c>
      <c r="Z162" s="14">
        <f t="shared" si="226"/>
        <v>333</v>
      </c>
      <c r="AA162" s="18">
        <f t="shared" si="227"/>
        <v>455</v>
      </c>
      <c r="AB162" s="4" t="s">
        <v>0</v>
      </c>
    </row>
    <row r="163" spans="1:28">
      <c r="A163" s="9" t="s">
        <v>25</v>
      </c>
      <c r="B163" s="24"/>
      <c r="C163" s="26"/>
      <c r="D163" s="25">
        <f t="shared" si="189"/>
        <v>349</v>
      </c>
      <c r="E163" s="29">
        <f t="shared" ref="E163" si="250">E162</f>
        <v>278</v>
      </c>
      <c r="F163" s="25">
        <f t="shared" si="191"/>
        <v>364</v>
      </c>
      <c r="G163" s="29">
        <f t="shared" si="234"/>
        <v>295</v>
      </c>
      <c r="H163" s="4" t="s">
        <v>0</v>
      </c>
      <c r="I163" s="16" t="str">
        <f t="shared" si="210"/>
        <v>02-07</v>
      </c>
      <c r="J163" s="14">
        <f t="shared" si="211"/>
        <v>349</v>
      </c>
      <c r="K163" s="15">
        <f t="shared" si="212"/>
        <v>278</v>
      </c>
      <c r="L163" s="17">
        <f t="shared" si="213"/>
        <v>364</v>
      </c>
      <c r="M163" s="18">
        <f t="shared" si="214"/>
        <v>278</v>
      </c>
      <c r="N163" s="14">
        <f t="shared" si="215"/>
        <v>364</v>
      </c>
      <c r="O163" s="15">
        <f t="shared" si="216"/>
        <v>295</v>
      </c>
      <c r="P163" s="17">
        <f t="shared" si="217"/>
        <v>349</v>
      </c>
      <c r="Q163" s="18">
        <f t="shared" si="218"/>
        <v>295</v>
      </c>
      <c r="R163" s="4" t="s">
        <v>0</v>
      </c>
      <c r="S163" s="16" t="str">
        <f t="shared" si="219"/>
        <v>02-07</v>
      </c>
      <c r="T163" s="14">
        <f t="shared" si="220"/>
        <v>349</v>
      </c>
      <c r="U163" s="18">
        <f t="shared" si="221"/>
        <v>472</v>
      </c>
      <c r="V163" s="14">
        <f t="shared" si="222"/>
        <v>364</v>
      </c>
      <c r="W163" s="18">
        <f t="shared" si="223"/>
        <v>472</v>
      </c>
      <c r="X163" s="14">
        <f t="shared" si="224"/>
        <v>364</v>
      </c>
      <c r="Y163" s="18">
        <f t="shared" si="225"/>
        <v>455</v>
      </c>
      <c r="Z163" s="14">
        <f t="shared" si="226"/>
        <v>349</v>
      </c>
      <c r="AA163" s="18">
        <f t="shared" si="227"/>
        <v>455</v>
      </c>
      <c r="AB163" s="4" t="s">
        <v>0</v>
      </c>
    </row>
    <row r="164" spans="1:28">
      <c r="A164" s="9" t="s">
        <v>24</v>
      </c>
      <c r="B164" s="24"/>
      <c r="C164" s="26"/>
      <c r="D164" s="25">
        <f t="shared" si="189"/>
        <v>364</v>
      </c>
      <c r="E164" s="29">
        <f t="shared" ref="E164" si="251">E163</f>
        <v>278</v>
      </c>
      <c r="F164" s="25">
        <f t="shared" si="191"/>
        <v>379</v>
      </c>
      <c r="G164" s="29">
        <f t="shared" si="234"/>
        <v>295</v>
      </c>
      <c r="H164" s="4" t="s">
        <v>0</v>
      </c>
      <c r="I164" s="16" t="str">
        <f t="shared" si="210"/>
        <v>02-06</v>
      </c>
      <c r="J164" s="14">
        <f t="shared" si="211"/>
        <v>364</v>
      </c>
      <c r="K164" s="15">
        <f t="shared" si="212"/>
        <v>278</v>
      </c>
      <c r="L164" s="17">
        <f t="shared" si="213"/>
        <v>379</v>
      </c>
      <c r="M164" s="18">
        <f t="shared" si="214"/>
        <v>278</v>
      </c>
      <c r="N164" s="14">
        <f t="shared" si="215"/>
        <v>379</v>
      </c>
      <c r="O164" s="15">
        <f t="shared" si="216"/>
        <v>295</v>
      </c>
      <c r="P164" s="17">
        <f t="shared" si="217"/>
        <v>364</v>
      </c>
      <c r="Q164" s="18">
        <f t="shared" si="218"/>
        <v>295</v>
      </c>
      <c r="R164" s="4" t="s">
        <v>0</v>
      </c>
      <c r="S164" s="16" t="str">
        <f t="shared" si="219"/>
        <v>02-06</v>
      </c>
      <c r="T164" s="14">
        <f t="shared" si="220"/>
        <v>364</v>
      </c>
      <c r="U164" s="18">
        <f t="shared" si="221"/>
        <v>472</v>
      </c>
      <c r="V164" s="14">
        <f t="shared" si="222"/>
        <v>379</v>
      </c>
      <c r="W164" s="18">
        <f t="shared" si="223"/>
        <v>472</v>
      </c>
      <c r="X164" s="14">
        <f t="shared" si="224"/>
        <v>379</v>
      </c>
      <c r="Y164" s="18">
        <f t="shared" si="225"/>
        <v>455</v>
      </c>
      <c r="Z164" s="14">
        <f t="shared" si="226"/>
        <v>364</v>
      </c>
      <c r="AA164" s="18">
        <f t="shared" si="227"/>
        <v>455</v>
      </c>
      <c r="AB164" s="4" t="s">
        <v>0</v>
      </c>
    </row>
    <row r="165" spans="1:28">
      <c r="A165" s="9" t="s">
        <v>23</v>
      </c>
      <c r="B165" s="24"/>
      <c r="C165" s="26"/>
      <c r="D165" s="25">
        <f t="shared" si="189"/>
        <v>380</v>
      </c>
      <c r="E165" s="29">
        <f t="shared" ref="E165" si="252">E164</f>
        <v>278</v>
      </c>
      <c r="F165" s="25">
        <f t="shared" si="191"/>
        <v>395</v>
      </c>
      <c r="G165" s="29">
        <f t="shared" si="234"/>
        <v>295</v>
      </c>
      <c r="H165" s="4" t="s">
        <v>0</v>
      </c>
      <c r="I165" s="16" t="str">
        <f t="shared" si="210"/>
        <v>02-05</v>
      </c>
      <c r="J165" s="14">
        <f t="shared" si="211"/>
        <v>380</v>
      </c>
      <c r="K165" s="15">
        <f t="shared" si="212"/>
        <v>278</v>
      </c>
      <c r="L165" s="17">
        <f t="shared" si="213"/>
        <v>395</v>
      </c>
      <c r="M165" s="18">
        <f t="shared" si="214"/>
        <v>278</v>
      </c>
      <c r="N165" s="14">
        <f t="shared" si="215"/>
        <v>395</v>
      </c>
      <c r="O165" s="15">
        <f t="shared" si="216"/>
        <v>295</v>
      </c>
      <c r="P165" s="17">
        <f t="shared" si="217"/>
        <v>380</v>
      </c>
      <c r="Q165" s="18">
        <f t="shared" si="218"/>
        <v>295</v>
      </c>
      <c r="R165" s="4" t="s">
        <v>0</v>
      </c>
      <c r="S165" s="16" t="str">
        <f t="shared" si="219"/>
        <v>02-05</v>
      </c>
      <c r="T165" s="14">
        <f t="shared" si="220"/>
        <v>380</v>
      </c>
      <c r="U165" s="18">
        <f t="shared" si="221"/>
        <v>472</v>
      </c>
      <c r="V165" s="14">
        <f t="shared" si="222"/>
        <v>395</v>
      </c>
      <c r="W165" s="18">
        <f t="shared" si="223"/>
        <v>472</v>
      </c>
      <c r="X165" s="14">
        <f t="shared" si="224"/>
        <v>395</v>
      </c>
      <c r="Y165" s="18">
        <f t="shared" si="225"/>
        <v>455</v>
      </c>
      <c r="Z165" s="14">
        <f t="shared" si="226"/>
        <v>380</v>
      </c>
      <c r="AA165" s="18">
        <f t="shared" si="227"/>
        <v>455</v>
      </c>
      <c r="AB165" s="4" t="s">
        <v>0</v>
      </c>
    </row>
    <row r="166" spans="1:28">
      <c r="A166" s="9" t="s">
        <v>22</v>
      </c>
      <c r="B166" s="24"/>
      <c r="C166" s="26"/>
      <c r="D166" s="25">
        <f t="shared" si="189"/>
        <v>395</v>
      </c>
      <c r="E166" s="29">
        <f t="shared" ref="E166" si="253">E165</f>
        <v>278</v>
      </c>
      <c r="F166" s="25">
        <f t="shared" si="191"/>
        <v>410</v>
      </c>
      <c r="G166" s="29">
        <f t="shared" si="234"/>
        <v>295</v>
      </c>
      <c r="H166" s="4" t="s">
        <v>0</v>
      </c>
      <c r="I166" s="16" t="str">
        <f t="shared" si="210"/>
        <v>02-03</v>
      </c>
      <c r="J166" s="14">
        <f t="shared" si="211"/>
        <v>395</v>
      </c>
      <c r="K166" s="15">
        <f t="shared" si="212"/>
        <v>278</v>
      </c>
      <c r="L166" s="17">
        <f t="shared" si="213"/>
        <v>410</v>
      </c>
      <c r="M166" s="18">
        <f t="shared" si="214"/>
        <v>278</v>
      </c>
      <c r="N166" s="14">
        <f t="shared" si="215"/>
        <v>410</v>
      </c>
      <c r="O166" s="15">
        <f t="shared" si="216"/>
        <v>295</v>
      </c>
      <c r="P166" s="17">
        <f t="shared" si="217"/>
        <v>395</v>
      </c>
      <c r="Q166" s="18">
        <f t="shared" si="218"/>
        <v>295</v>
      </c>
      <c r="R166" s="4" t="s">
        <v>0</v>
      </c>
      <c r="S166" s="16" t="str">
        <f t="shared" si="219"/>
        <v>02-03</v>
      </c>
      <c r="T166" s="14">
        <f t="shared" si="220"/>
        <v>395</v>
      </c>
      <c r="U166" s="18">
        <f t="shared" si="221"/>
        <v>472</v>
      </c>
      <c r="V166" s="14">
        <f t="shared" si="222"/>
        <v>410</v>
      </c>
      <c r="W166" s="18">
        <f t="shared" si="223"/>
        <v>472</v>
      </c>
      <c r="X166" s="14">
        <f t="shared" si="224"/>
        <v>410</v>
      </c>
      <c r="Y166" s="18">
        <f t="shared" si="225"/>
        <v>455</v>
      </c>
      <c r="Z166" s="14">
        <f t="shared" si="226"/>
        <v>395</v>
      </c>
      <c r="AA166" s="18">
        <f t="shared" si="227"/>
        <v>455</v>
      </c>
      <c r="AB166" s="4" t="s">
        <v>0</v>
      </c>
    </row>
    <row r="167" spans="1:28">
      <c r="A167" s="9" t="s">
        <v>21</v>
      </c>
      <c r="B167" s="24"/>
      <c r="C167" s="26"/>
      <c r="D167" s="25">
        <f t="shared" si="189"/>
        <v>411</v>
      </c>
      <c r="E167" s="29">
        <f t="shared" ref="E167" si="254">E166</f>
        <v>278</v>
      </c>
      <c r="F167" s="25">
        <f t="shared" si="191"/>
        <v>426</v>
      </c>
      <c r="G167" s="29">
        <f t="shared" si="234"/>
        <v>295</v>
      </c>
      <c r="H167" s="4" t="s">
        <v>0</v>
      </c>
      <c r="I167" s="16" t="str">
        <f t="shared" si="210"/>
        <v>02-02</v>
      </c>
      <c r="J167" s="14">
        <f t="shared" si="211"/>
        <v>411</v>
      </c>
      <c r="K167" s="15">
        <f t="shared" si="212"/>
        <v>278</v>
      </c>
      <c r="L167" s="17">
        <f t="shared" si="213"/>
        <v>426</v>
      </c>
      <c r="M167" s="18">
        <f t="shared" si="214"/>
        <v>278</v>
      </c>
      <c r="N167" s="14">
        <f t="shared" si="215"/>
        <v>426</v>
      </c>
      <c r="O167" s="15">
        <f t="shared" si="216"/>
        <v>295</v>
      </c>
      <c r="P167" s="17">
        <f t="shared" si="217"/>
        <v>411</v>
      </c>
      <c r="Q167" s="18">
        <f t="shared" si="218"/>
        <v>295</v>
      </c>
      <c r="R167" s="4" t="s">
        <v>0</v>
      </c>
      <c r="S167" s="16" t="str">
        <f t="shared" si="219"/>
        <v>02-02</v>
      </c>
      <c r="T167" s="14">
        <f t="shared" si="220"/>
        <v>411</v>
      </c>
      <c r="U167" s="18">
        <f t="shared" si="221"/>
        <v>472</v>
      </c>
      <c r="V167" s="14">
        <f t="shared" si="222"/>
        <v>426</v>
      </c>
      <c r="W167" s="18">
        <f t="shared" si="223"/>
        <v>472</v>
      </c>
      <c r="X167" s="14">
        <f t="shared" si="224"/>
        <v>426</v>
      </c>
      <c r="Y167" s="18">
        <f t="shared" si="225"/>
        <v>455</v>
      </c>
      <c r="Z167" s="14">
        <f t="shared" si="226"/>
        <v>411</v>
      </c>
      <c r="AA167" s="18">
        <f t="shared" si="227"/>
        <v>455</v>
      </c>
      <c r="AB167" s="4" t="s">
        <v>0</v>
      </c>
    </row>
    <row r="168" spans="1:28">
      <c r="A168" s="9" t="s">
        <v>20</v>
      </c>
      <c r="B168" s="24"/>
      <c r="C168" s="26"/>
      <c r="D168" s="25">
        <f t="shared" si="189"/>
        <v>427</v>
      </c>
      <c r="E168" s="29">
        <f t="shared" ref="E168" si="255">E167</f>
        <v>278</v>
      </c>
      <c r="F168" s="25">
        <f t="shared" si="191"/>
        <v>442</v>
      </c>
      <c r="G168" s="29">
        <f t="shared" si="234"/>
        <v>295</v>
      </c>
      <c r="H168" s="4" t="s">
        <v>0</v>
      </c>
      <c r="I168" s="16" t="str">
        <f t="shared" si="210"/>
        <v>02-01</v>
      </c>
      <c r="J168" s="14">
        <f t="shared" si="211"/>
        <v>427</v>
      </c>
      <c r="K168" s="15">
        <f t="shared" si="212"/>
        <v>278</v>
      </c>
      <c r="L168" s="17">
        <f t="shared" si="213"/>
        <v>442</v>
      </c>
      <c r="M168" s="18">
        <f t="shared" si="214"/>
        <v>278</v>
      </c>
      <c r="N168" s="14">
        <f t="shared" si="215"/>
        <v>442</v>
      </c>
      <c r="O168" s="15">
        <f t="shared" si="216"/>
        <v>295</v>
      </c>
      <c r="P168" s="17">
        <f t="shared" si="217"/>
        <v>427</v>
      </c>
      <c r="Q168" s="18">
        <f t="shared" si="218"/>
        <v>295</v>
      </c>
      <c r="R168" s="4" t="s">
        <v>0</v>
      </c>
      <c r="S168" s="16" t="str">
        <f t="shared" si="219"/>
        <v>02-01</v>
      </c>
      <c r="T168" s="14">
        <f t="shared" si="220"/>
        <v>427</v>
      </c>
      <c r="U168" s="18">
        <f t="shared" si="221"/>
        <v>472</v>
      </c>
      <c r="V168" s="14">
        <f t="shared" si="222"/>
        <v>442</v>
      </c>
      <c r="W168" s="18">
        <f t="shared" si="223"/>
        <v>472</v>
      </c>
      <c r="X168" s="14">
        <f t="shared" si="224"/>
        <v>442</v>
      </c>
      <c r="Y168" s="18">
        <f t="shared" si="225"/>
        <v>455</v>
      </c>
      <c r="Z168" s="14">
        <f t="shared" si="226"/>
        <v>427</v>
      </c>
      <c r="AA168" s="18">
        <f t="shared" si="227"/>
        <v>455</v>
      </c>
      <c r="AB168" s="4" t="s">
        <v>0</v>
      </c>
    </row>
    <row r="169" spans="1:28">
      <c r="A169" s="9" t="s">
        <v>414</v>
      </c>
      <c r="B169" s="24"/>
      <c r="C169" s="26">
        <v>3</v>
      </c>
      <c r="D169" s="25">
        <f>D146</f>
        <v>59</v>
      </c>
      <c r="E169" s="28">
        <v>306</v>
      </c>
      <c r="F169" s="25">
        <f>F146</f>
        <v>74</v>
      </c>
      <c r="G169" s="28">
        <v>323</v>
      </c>
      <c r="H169" s="4" t="s">
        <v>0</v>
      </c>
      <c r="I169" s="16" t="str">
        <f t="shared" si="210"/>
        <v>01-28</v>
      </c>
      <c r="J169" s="14">
        <f t="shared" si="211"/>
        <v>59</v>
      </c>
      <c r="K169" s="15">
        <f t="shared" si="212"/>
        <v>306</v>
      </c>
      <c r="L169" s="17">
        <f t="shared" si="213"/>
        <v>74</v>
      </c>
      <c r="M169" s="18">
        <f t="shared" si="214"/>
        <v>306</v>
      </c>
      <c r="N169" s="14">
        <f t="shared" si="215"/>
        <v>74</v>
      </c>
      <c r="O169" s="15">
        <f t="shared" si="216"/>
        <v>323</v>
      </c>
      <c r="P169" s="17">
        <f t="shared" si="217"/>
        <v>59</v>
      </c>
      <c r="Q169" s="18">
        <f t="shared" si="218"/>
        <v>323</v>
      </c>
      <c r="R169" s="4" t="s">
        <v>0</v>
      </c>
      <c r="S169" s="16" t="str">
        <f t="shared" si="219"/>
        <v>01-28</v>
      </c>
      <c r="T169" s="14">
        <f t="shared" si="220"/>
        <v>59</v>
      </c>
      <c r="U169" s="18">
        <f t="shared" si="221"/>
        <v>444</v>
      </c>
      <c r="V169" s="14">
        <f t="shared" si="222"/>
        <v>74</v>
      </c>
      <c r="W169" s="18">
        <f t="shared" si="223"/>
        <v>444</v>
      </c>
      <c r="X169" s="14">
        <f t="shared" si="224"/>
        <v>74</v>
      </c>
      <c r="Y169" s="18">
        <f t="shared" si="225"/>
        <v>427</v>
      </c>
      <c r="Z169" s="14">
        <f t="shared" si="226"/>
        <v>59</v>
      </c>
      <c r="AA169" s="18">
        <f t="shared" si="227"/>
        <v>427</v>
      </c>
      <c r="AB169" s="4" t="s">
        <v>0</v>
      </c>
    </row>
    <row r="170" spans="1:28">
      <c r="A170" s="9" t="s">
        <v>413</v>
      </c>
      <c r="B170" s="24"/>
      <c r="C170" s="26"/>
      <c r="D170" s="25">
        <f t="shared" si="189"/>
        <v>75</v>
      </c>
      <c r="E170" s="29">
        <f t="shared" ref="E170" si="256">E169</f>
        <v>306</v>
      </c>
      <c r="F170" s="25">
        <f t="shared" si="191"/>
        <v>90</v>
      </c>
      <c r="G170" s="29">
        <f t="shared" ref="G170:G191" si="257">G169</f>
        <v>323</v>
      </c>
      <c r="H170" s="4" t="s">
        <v>0</v>
      </c>
      <c r="I170" s="16" t="str">
        <f t="shared" si="210"/>
        <v>01-27</v>
      </c>
      <c r="J170" s="14">
        <f t="shared" si="211"/>
        <v>75</v>
      </c>
      <c r="K170" s="15">
        <f t="shared" si="212"/>
        <v>306</v>
      </c>
      <c r="L170" s="17">
        <f t="shared" si="213"/>
        <v>90</v>
      </c>
      <c r="M170" s="18">
        <f t="shared" si="214"/>
        <v>306</v>
      </c>
      <c r="N170" s="14">
        <f t="shared" si="215"/>
        <v>90</v>
      </c>
      <c r="O170" s="15">
        <f t="shared" si="216"/>
        <v>323</v>
      </c>
      <c r="P170" s="17">
        <f t="shared" si="217"/>
        <v>75</v>
      </c>
      <c r="Q170" s="18">
        <f t="shared" si="218"/>
        <v>323</v>
      </c>
      <c r="R170" s="4" t="s">
        <v>0</v>
      </c>
      <c r="S170" s="16" t="str">
        <f t="shared" si="219"/>
        <v>01-27</v>
      </c>
      <c r="T170" s="14">
        <f t="shared" si="220"/>
        <v>75</v>
      </c>
      <c r="U170" s="18">
        <f t="shared" si="221"/>
        <v>444</v>
      </c>
      <c r="V170" s="14">
        <f t="shared" si="222"/>
        <v>90</v>
      </c>
      <c r="W170" s="18">
        <f t="shared" si="223"/>
        <v>444</v>
      </c>
      <c r="X170" s="14">
        <f t="shared" si="224"/>
        <v>90</v>
      </c>
      <c r="Y170" s="18">
        <f t="shared" si="225"/>
        <v>427</v>
      </c>
      <c r="Z170" s="14">
        <f t="shared" si="226"/>
        <v>75</v>
      </c>
      <c r="AA170" s="18">
        <f t="shared" si="227"/>
        <v>427</v>
      </c>
      <c r="AB170" s="4" t="s">
        <v>0</v>
      </c>
    </row>
    <row r="171" spans="1:28">
      <c r="A171" s="9" t="s">
        <v>412</v>
      </c>
      <c r="B171" s="24"/>
      <c r="C171" s="26"/>
      <c r="D171" s="25">
        <f t="shared" si="189"/>
        <v>90</v>
      </c>
      <c r="E171" s="29">
        <f t="shared" ref="E171" si="258">E170</f>
        <v>306</v>
      </c>
      <c r="F171" s="25">
        <f t="shared" si="191"/>
        <v>105</v>
      </c>
      <c r="G171" s="29">
        <f t="shared" si="257"/>
        <v>323</v>
      </c>
      <c r="H171" s="4" t="s">
        <v>0</v>
      </c>
      <c r="I171" s="16" t="str">
        <f t="shared" si="210"/>
        <v>01-26</v>
      </c>
      <c r="J171" s="14">
        <f t="shared" si="211"/>
        <v>90</v>
      </c>
      <c r="K171" s="15">
        <f t="shared" si="212"/>
        <v>306</v>
      </c>
      <c r="L171" s="17">
        <f t="shared" si="213"/>
        <v>105</v>
      </c>
      <c r="M171" s="18">
        <f t="shared" si="214"/>
        <v>306</v>
      </c>
      <c r="N171" s="14">
        <f t="shared" si="215"/>
        <v>105</v>
      </c>
      <c r="O171" s="15">
        <f t="shared" si="216"/>
        <v>323</v>
      </c>
      <c r="P171" s="17">
        <f t="shared" si="217"/>
        <v>90</v>
      </c>
      <c r="Q171" s="18">
        <f t="shared" si="218"/>
        <v>323</v>
      </c>
      <c r="R171" s="4" t="s">
        <v>0</v>
      </c>
      <c r="S171" s="16" t="str">
        <f t="shared" si="219"/>
        <v>01-26</v>
      </c>
      <c r="T171" s="14">
        <f t="shared" si="220"/>
        <v>90</v>
      </c>
      <c r="U171" s="18">
        <f t="shared" si="221"/>
        <v>444</v>
      </c>
      <c r="V171" s="14">
        <f t="shared" si="222"/>
        <v>105</v>
      </c>
      <c r="W171" s="18">
        <f t="shared" si="223"/>
        <v>444</v>
      </c>
      <c r="X171" s="14">
        <f t="shared" si="224"/>
        <v>105</v>
      </c>
      <c r="Y171" s="18">
        <f t="shared" si="225"/>
        <v>427</v>
      </c>
      <c r="Z171" s="14">
        <f t="shared" si="226"/>
        <v>90</v>
      </c>
      <c r="AA171" s="18">
        <f t="shared" si="227"/>
        <v>427</v>
      </c>
      <c r="AB171" s="4" t="s">
        <v>0</v>
      </c>
    </row>
    <row r="172" spans="1:28">
      <c r="A172" s="9" t="s">
        <v>411</v>
      </c>
      <c r="B172" s="24"/>
      <c r="C172" s="26"/>
      <c r="D172" s="25">
        <f t="shared" si="189"/>
        <v>106</v>
      </c>
      <c r="E172" s="29">
        <f t="shared" ref="E172" si="259">E171</f>
        <v>306</v>
      </c>
      <c r="F172" s="25">
        <f t="shared" si="191"/>
        <v>121</v>
      </c>
      <c r="G172" s="29">
        <f t="shared" si="257"/>
        <v>323</v>
      </c>
      <c r="H172" s="4" t="s">
        <v>0</v>
      </c>
      <c r="I172" s="16" t="str">
        <f t="shared" si="210"/>
        <v>01-25</v>
      </c>
      <c r="J172" s="14">
        <f t="shared" si="211"/>
        <v>106</v>
      </c>
      <c r="K172" s="15">
        <f t="shared" si="212"/>
        <v>306</v>
      </c>
      <c r="L172" s="17">
        <f t="shared" si="213"/>
        <v>121</v>
      </c>
      <c r="M172" s="18">
        <f t="shared" si="214"/>
        <v>306</v>
      </c>
      <c r="N172" s="14">
        <f t="shared" si="215"/>
        <v>121</v>
      </c>
      <c r="O172" s="15">
        <f t="shared" si="216"/>
        <v>323</v>
      </c>
      <c r="P172" s="17">
        <f t="shared" si="217"/>
        <v>106</v>
      </c>
      <c r="Q172" s="18">
        <f t="shared" si="218"/>
        <v>323</v>
      </c>
      <c r="R172" s="4" t="s">
        <v>0</v>
      </c>
      <c r="S172" s="16" t="str">
        <f t="shared" si="219"/>
        <v>01-25</v>
      </c>
      <c r="T172" s="14">
        <f t="shared" si="220"/>
        <v>106</v>
      </c>
      <c r="U172" s="18">
        <f t="shared" si="221"/>
        <v>444</v>
      </c>
      <c r="V172" s="14">
        <f t="shared" si="222"/>
        <v>121</v>
      </c>
      <c r="W172" s="18">
        <f t="shared" si="223"/>
        <v>444</v>
      </c>
      <c r="X172" s="14">
        <f t="shared" si="224"/>
        <v>121</v>
      </c>
      <c r="Y172" s="18">
        <f t="shared" si="225"/>
        <v>427</v>
      </c>
      <c r="Z172" s="14">
        <f t="shared" si="226"/>
        <v>106</v>
      </c>
      <c r="AA172" s="18">
        <f t="shared" si="227"/>
        <v>427</v>
      </c>
      <c r="AB172" s="4" t="s">
        <v>0</v>
      </c>
    </row>
    <row r="173" spans="1:28">
      <c r="A173" s="9" t="s">
        <v>410</v>
      </c>
      <c r="B173" s="24"/>
      <c r="C173" s="26"/>
      <c r="D173" s="25">
        <f t="shared" si="189"/>
        <v>122</v>
      </c>
      <c r="E173" s="29">
        <f t="shared" ref="E173" si="260">E172</f>
        <v>306</v>
      </c>
      <c r="F173" s="25">
        <f t="shared" si="191"/>
        <v>137</v>
      </c>
      <c r="G173" s="29">
        <f t="shared" si="257"/>
        <v>323</v>
      </c>
      <c r="H173" s="4" t="s">
        <v>0</v>
      </c>
      <c r="I173" s="16" t="str">
        <f t="shared" si="210"/>
        <v>01-23</v>
      </c>
      <c r="J173" s="14">
        <f t="shared" si="211"/>
        <v>122</v>
      </c>
      <c r="K173" s="15">
        <f t="shared" si="212"/>
        <v>306</v>
      </c>
      <c r="L173" s="17">
        <f t="shared" si="213"/>
        <v>137</v>
      </c>
      <c r="M173" s="18">
        <f t="shared" si="214"/>
        <v>306</v>
      </c>
      <c r="N173" s="14">
        <f t="shared" si="215"/>
        <v>137</v>
      </c>
      <c r="O173" s="15">
        <f t="shared" si="216"/>
        <v>323</v>
      </c>
      <c r="P173" s="17">
        <f t="shared" si="217"/>
        <v>122</v>
      </c>
      <c r="Q173" s="18">
        <f t="shared" si="218"/>
        <v>323</v>
      </c>
      <c r="R173" s="4" t="s">
        <v>0</v>
      </c>
      <c r="S173" s="16" t="str">
        <f t="shared" si="219"/>
        <v>01-23</v>
      </c>
      <c r="T173" s="14">
        <f t="shared" si="220"/>
        <v>122</v>
      </c>
      <c r="U173" s="18">
        <f t="shared" si="221"/>
        <v>444</v>
      </c>
      <c r="V173" s="14">
        <f t="shared" si="222"/>
        <v>137</v>
      </c>
      <c r="W173" s="18">
        <f t="shared" si="223"/>
        <v>444</v>
      </c>
      <c r="X173" s="14">
        <f t="shared" si="224"/>
        <v>137</v>
      </c>
      <c r="Y173" s="18">
        <f t="shared" si="225"/>
        <v>427</v>
      </c>
      <c r="Z173" s="14">
        <f t="shared" si="226"/>
        <v>122</v>
      </c>
      <c r="AA173" s="18">
        <f t="shared" si="227"/>
        <v>427</v>
      </c>
      <c r="AB173" s="4" t="s">
        <v>0</v>
      </c>
    </row>
    <row r="174" spans="1:28">
      <c r="A174" s="9" t="s">
        <v>409</v>
      </c>
      <c r="B174" s="24"/>
      <c r="C174" s="26"/>
      <c r="D174" s="25">
        <f t="shared" si="189"/>
        <v>138</v>
      </c>
      <c r="E174" s="29">
        <f t="shared" ref="E174" si="261">E173</f>
        <v>306</v>
      </c>
      <c r="F174" s="25">
        <f t="shared" si="191"/>
        <v>153</v>
      </c>
      <c r="G174" s="29">
        <f t="shared" si="257"/>
        <v>323</v>
      </c>
      <c r="H174" s="4" t="s">
        <v>0</v>
      </c>
      <c r="I174" s="16" t="str">
        <f t="shared" si="0"/>
        <v>01-22</v>
      </c>
      <c r="J174" s="14">
        <f t="shared" si="3"/>
        <v>138</v>
      </c>
      <c r="K174" s="15">
        <f t="shared" si="3"/>
        <v>306</v>
      </c>
      <c r="L174" s="17">
        <f t="shared" si="4"/>
        <v>153</v>
      </c>
      <c r="M174" s="18">
        <f t="shared" si="5"/>
        <v>306</v>
      </c>
      <c r="N174" s="14">
        <f t="shared" si="6"/>
        <v>153</v>
      </c>
      <c r="O174" s="15">
        <f t="shared" si="6"/>
        <v>323</v>
      </c>
      <c r="P174" s="17">
        <f t="shared" si="7"/>
        <v>138</v>
      </c>
      <c r="Q174" s="18">
        <f t="shared" si="8"/>
        <v>323</v>
      </c>
      <c r="R174" s="4" t="s">
        <v>0</v>
      </c>
      <c r="S174" s="16" t="str">
        <f t="shared" si="9"/>
        <v>01-22</v>
      </c>
      <c r="T174" s="14">
        <f t="shared" si="10"/>
        <v>138</v>
      </c>
      <c r="U174" s="18">
        <f t="shared" si="11"/>
        <v>444</v>
      </c>
      <c r="V174" s="14">
        <f t="shared" si="1"/>
        <v>153</v>
      </c>
      <c r="W174" s="18">
        <f t="shared" si="12"/>
        <v>444</v>
      </c>
      <c r="X174" s="14">
        <f t="shared" si="1"/>
        <v>153</v>
      </c>
      <c r="Y174" s="18">
        <f t="shared" si="13"/>
        <v>427</v>
      </c>
      <c r="Z174" s="14">
        <f t="shared" si="1"/>
        <v>138</v>
      </c>
      <c r="AA174" s="18">
        <f t="shared" si="14"/>
        <v>427</v>
      </c>
      <c r="AB174" s="4" t="s">
        <v>0</v>
      </c>
    </row>
    <row r="175" spans="1:28">
      <c r="A175" s="9" t="s">
        <v>408</v>
      </c>
      <c r="B175" s="24"/>
      <c r="C175" s="26"/>
      <c r="D175" s="25">
        <f t="shared" si="189"/>
        <v>153</v>
      </c>
      <c r="E175" s="29">
        <f t="shared" ref="E175" si="262">E174</f>
        <v>306</v>
      </c>
      <c r="F175" s="25">
        <f t="shared" si="191"/>
        <v>168</v>
      </c>
      <c r="G175" s="29">
        <f t="shared" si="257"/>
        <v>323</v>
      </c>
      <c r="H175" s="4" t="s">
        <v>0</v>
      </c>
      <c r="I175" s="16" t="str">
        <f t="shared" si="0"/>
        <v>01-21</v>
      </c>
      <c r="J175" s="14">
        <f t="shared" si="3"/>
        <v>153</v>
      </c>
      <c r="K175" s="15">
        <f t="shared" si="3"/>
        <v>306</v>
      </c>
      <c r="L175" s="17">
        <f t="shared" si="4"/>
        <v>168</v>
      </c>
      <c r="M175" s="18">
        <f t="shared" si="5"/>
        <v>306</v>
      </c>
      <c r="N175" s="14">
        <f t="shared" si="6"/>
        <v>168</v>
      </c>
      <c r="O175" s="15">
        <f t="shared" si="6"/>
        <v>323</v>
      </c>
      <c r="P175" s="17">
        <f t="shared" si="7"/>
        <v>153</v>
      </c>
      <c r="Q175" s="18">
        <f t="shared" si="8"/>
        <v>323</v>
      </c>
      <c r="R175" s="4" t="s">
        <v>0</v>
      </c>
      <c r="S175" s="16" t="str">
        <f t="shared" si="9"/>
        <v>01-21</v>
      </c>
      <c r="T175" s="14">
        <f t="shared" si="10"/>
        <v>153</v>
      </c>
      <c r="U175" s="18">
        <f t="shared" si="11"/>
        <v>444</v>
      </c>
      <c r="V175" s="14">
        <f t="shared" si="1"/>
        <v>168</v>
      </c>
      <c r="W175" s="18">
        <f t="shared" si="12"/>
        <v>444</v>
      </c>
      <c r="X175" s="14">
        <f t="shared" si="1"/>
        <v>168</v>
      </c>
      <c r="Y175" s="18">
        <f t="shared" si="13"/>
        <v>427</v>
      </c>
      <c r="Z175" s="14">
        <f t="shared" si="1"/>
        <v>153</v>
      </c>
      <c r="AA175" s="18">
        <f t="shared" si="14"/>
        <v>427</v>
      </c>
      <c r="AB175" s="4" t="s">
        <v>0</v>
      </c>
    </row>
    <row r="176" spans="1:28">
      <c r="A176" s="9" t="s">
        <v>407</v>
      </c>
      <c r="B176" s="24"/>
      <c r="C176" s="26"/>
      <c r="D176" s="25">
        <f t="shared" si="189"/>
        <v>169</v>
      </c>
      <c r="E176" s="29">
        <f t="shared" ref="E176" si="263">E175</f>
        <v>306</v>
      </c>
      <c r="F176" s="25">
        <f t="shared" si="191"/>
        <v>184</v>
      </c>
      <c r="G176" s="29">
        <f t="shared" si="257"/>
        <v>323</v>
      </c>
      <c r="H176" s="4" t="s">
        <v>0</v>
      </c>
      <c r="I176" s="11" t="str">
        <f t="shared" si="0"/>
        <v>01-20</v>
      </c>
      <c r="J176" s="14">
        <f t="shared" si="3"/>
        <v>169</v>
      </c>
      <c r="K176" s="15">
        <f t="shared" si="3"/>
        <v>306</v>
      </c>
      <c r="L176" s="17">
        <f t="shared" si="4"/>
        <v>184</v>
      </c>
      <c r="M176" s="18">
        <f t="shared" si="5"/>
        <v>306</v>
      </c>
      <c r="N176" s="14">
        <f t="shared" si="6"/>
        <v>184</v>
      </c>
      <c r="O176" s="15">
        <f t="shared" si="6"/>
        <v>323</v>
      </c>
      <c r="P176" s="17">
        <f t="shared" si="7"/>
        <v>169</v>
      </c>
      <c r="Q176" s="18">
        <f t="shared" si="8"/>
        <v>323</v>
      </c>
      <c r="R176" s="4" t="s">
        <v>0</v>
      </c>
      <c r="S176" s="16" t="str">
        <f t="shared" si="9"/>
        <v>01-20</v>
      </c>
      <c r="T176" s="14">
        <f t="shared" si="10"/>
        <v>169</v>
      </c>
      <c r="U176" s="18">
        <f t="shared" si="11"/>
        <v>444</v>
      </c>
      <c r="V176" s="14">
        <f t="shared" si="1"/>
        <v>184</v>
      </c>
      <c r="W176" s="18">
        <f t="shared" si="12"/>
        <v>444</v>
      </c>
      <c r="X176" s="14">
        <f t="shared" si="1"/>
        <v>184</v>
      </c>
      <c r="Y176" s="18">
        <f t="shared" si="13"/>
        <v>427</v>
      </c>
      <c r="Z176" s="14">
        <f t="shared" si="1"/>
        <v>169</v>
      </c>
      <c r="AA176" s="18">
        <f t="shared" si="14"/>
        <v>427</v>
      </c>
      <c r="AB176" s="4" t="s">
        <v>0</v>
      </c>
    </row>
    <row r="177" spans="1:28">
      <c r="A177" s="9" t="s">
        <v>147</v>
      </c>
      <c r="B177" s="24"/>
      <c r="C177" s="26"/>
      <c r="D177" s="25">
        <f t="shared" si="189"/>
        <v>185</v>
      </c>
      <c r="E177" s="29">
        <f t="shared" ref="E177" si="264">E176</f>
        <v>306</v>
      </c>
      <c r="F177" s="25">
        <f t="shared" si="191"/>
        <v>200</v>
      </c>
      <c r="G177" s="29">
        <f t="shared" si="257"/>
        <v>323</v>
      </c>
      <c r="H177" s="4" t="s">
        <v>0</v>
      </c>
      <c r="I177" s="11" t="str">
        <f t="shared" si="0"/>
        <v>01-18</v>
      </c>
      <c r="J177" s="14">
        <f t="shared" si="3"/>
        <v>185</v>
      </c>
      <c r="K177" s="15">
        <f t="shared" si="3"/>
        <v>306</v>
      </c>
      <c r="L177" s="17">
        <f t="shared" si="4"/>
        <v>200</v>
      </c>
      <c r="M177" s="18">
        <f t="shared" si="5"/>
        <v>306</v>
      </c>
      <c r="N177" s="14">
        <f t="shared" si="6"/>
        <v>200</v>
      </c>
      <c r="O177" s="15">
        <f t="shared" si="6"/>
        <v>323</v>
      </c>
      <c r="P177" s="17">
        <f t="shared" si="7"/>
        <v>185</v>
      </c>
      <c r="Q177" s="18">
        <f t="shared" si="8"/>
        <v>323</v>
      </c>
      <c r="R177" s="4" t="s">
        <v>0</v>
      </c>
      <c r="S177" s="16" t="str">
        <f t="shared" si="9"/>
        <v>01-18</v>
      </c>
      <c r="T177" s="14">
        <f t="shared" si="10"/>
        <v>185</v>
      </c>
      <c r="U177" s="18">
        <f t="shared" si="11"/>
        <v>444</v>
      </c>
      <c r="V177" s="14">
        <f t="shared" si="1"/>
        <v>200</v>
      </c>
      <c r="W177" s="18">
        <f t="shared" si="12"/>
        <v>444</v>
      </c>
      <c r="X177" s="14">
        <f t="shared" si="1"/>
        <v>200</v>
      </c>
      <c r="Y177" s="18">
        <f t="shared" si="13"/>
        <v>427</v>
      </c>
      <c r="Z177" s="14">
        <f t="shared" si="1"/>
        <v>185</v>
      </c>
      <c r="AA177" s="18">
        <f t="shared" si="14"/>
        <v>427</v>
      </c>
      <c r="AB177" s="4" t="s">
        <v>0</v>
      </c>
    </row>
    <row r="178" spans="1:28">
      <c r="A178" s="9" t="s">
        <v>146</v>
      </c>
      <c r="B178" s="24"/>
      <c r="C178" s="26"/>
      <c r="D178" s="25">
        <f t="shared" si="189"/>
        <v>200</v>
      </c>
      <c r="E178" s="29">
        <f t="shared" ref="E178" si="265">E177</f>
        <v>306</v>
      </c>
      <c r="F178" s="25">
        <f t="shared" si="191"/>
        <v>215</v>
      </c>
      <c r="G178" s="29">
        <f t="shared" si="257"/>
        <v>323</v>
      </c>
      <c r="H178" s="4" t="s">
        <v>0</v>
      </c>
      <c r="I178" s="11" t="str">
        <f t="shared" si="0"/>
        <v>01-17</v>
      </c>
      <c r="J178" s="14">
        <f t="shared" si="3"/>
        <v>200</v>
      </c>
      <c r="K178" s="15">
        <f t="shared" si="3"/>
        <v>306</v>
      </c>
      <c r="L178" s="17">
        <f t="shared" si="4"/>
        <v>215</v>
      </c>
      <c r="M178" s="18">
        <f t="shared" si="5"/>
        <v>306</v>
      </c>
      <c r="N178" s="14">
        <f t="shared" si="6"/>
        <v>215</v>
      </c>
      <c r="O178" s="15">
        <f t="shared" si="6"/>
        <v>323</v>
      </c>
      <c r="P178" s="17">
        <f t="shared" si="7"/>
        <v>200</v>
      </c>
      <c r="Q178" s="18">
        <f t="shared" si="8"/>
        <v>323</v>
      </c>
      <c r="R178" s="4" t="s">
        <v>0</v>
      </c>
      <c r="S178" s="16" t="str">
        <f t="shared" si="9"/>
        <v>01-17</v>
      </c>
      <c r="T178" s="14">
        <f t="shared" si="10"/>
        <v>200</v>
      </c>
      <c r="U178" s="18">
        <f t="shared" si="11"/>
        <v>444</v>
      </c>
      <c r="V178" s="14">
        <f t="shared" si="1"/>
        <v>215</v>
      </c>
      <c r="W178" s="18">
        <f t="shared" si="12"/>
        <v>444</v>
      </c>
      <c r="X178" s="14">
        <f t="shared" si="1"/>
        <v>215</v>
      </c>
      <c r="Y178" s="18">
        <f t="shared" si="13"/>
        <v>427</v>
      </c>
      <c r="Z178" s="14">
        <f t="shared" si="1"/>
        <v>200</v>
      </c>
      <c r="AA178" s="18">
        <f t="shared" si="14"/>
        <v>427</v>
      </c>
      <c r="AB178" s="4" t="s">
        <v>0</v>
      </c>
    </row>
    <row r="179" spans="1:28">
      <c r="A179" s="9" t="s">
        <v>145</v>
      </c>
      <c r="B179" s="24"/>
      <c r="C179" s="26"/>
      <c r="D179" s="25">
        <f t="shared" si="189"/>
        <v>216</v>
      </c>
      <c r="E179" s="29">
        <f t="shared" ref="E179" si="266">E178</f>
        <v>306</v>
      </c>
      <c r="F179" s="25">
        <f t="shared" si="191"/>
        <v>231</v>
      </c>
      <c r="G179" s="29">
        <f t="shared" si="257"/>
        <v>323</v>
      </c>
      <c r="H179" s="4" t="s">
        <v>0</v>
      </c>
      <c r="I179" s="11" t="str">
        <f t="shared" si="0"/>
        <v>01-16</v>
      </c>
      <c r="J179" s="14">
        <f t="shared" si="3"/>
        <v>216</v>
      </c>
      <c r="K179" s="15">
        <f t="shared" si="3"/>
        <v>306</v>
      </c>
      <c r="L179" s="17">
        <f t="shared" si="4"/>
        <v>231</v>
      </c>
      <c r="M179" s="18">
        <f t="shared" si="5"/>
        <v>306</v>
      </c>
      <c r="N179" s="14">
        <f t="shared" si="6"/>
        <v>231</v>
      </c>
      <c r="O179" s="15">
        <f t="shared" si="6"/>
        <v>323</v>
      </c>
      <c r="P179" s="17">
        <f t="shared" si="7"/>
        <v>216</v>
      </c>
      <c r="Q179" s="18">
        <f t="shared" si="8"/>
        <v>323</v>
      </c>
      <c r="R179" s="4" t="s">
        <v>0</v>
      </c>
      <c r="S179" s="16" t="str">
        <f t="shared" si="9"/>
        <v>01-16</v>
      </c>
      <c r="T179" s="14">
        <f t="shared" si="10"/>
        <v>216</v>
      </c>
      <c r="U179" s="18">
        <f t="shared" si="11"/>
        <v>444</v>
      </c>
      <c r="V179" s="14">
        <f t="shared" si="1"/>
        <v>231</v>
      </c>
      <c r="W179" s="18">
        <f t="shared" si="12"/>
        <v>444</v>
      </c>
      <c r="X179" s="14">
        <f t="shared" si="1"/>
        <v>231</v>
      </c>
      <c r="Y179" s="18">
        <f t="shared" si="13"/>
        <v>427</v>
      </c>
      <c r="Z179" s="14">
        <f t="shared" si="1"/>
        <v>216</v>
      </c>
      <c r="AA179" s="18">
        <f t="shared" si="14"/>
        <v>427</v>
      </c>
      <c r="AB179" s="4" t="s">
        <v>0</v>
      </c>
    </row>
    <row r="180" spans="1:28">
      <c r="A180" s="9" t="s">
        <v>144</v>
      </c>
      <c r="B180" s="24"/>
      <c r="C180" s="26"/>
      <c r="D180" s="25">
        <f t="shared" si="189"/>
        <v>255</v>
      </c>
      <c r="E180" s="29">
        <f t="shared" ref="E180" si="267">E179</f>
        <v>306</v>
      </c>
      <c r="F180" s="25">
        <f t="shared" si="191"/>
        <v>270</v>
      </c>
      <c r="G180" s="29">
        <f t="shared" si="257"/>
        <v>323</v>
      </c>
      <c r="H180" s="4" t="s">
        <v>0</v>
      </c>
      <c r="I180" s="11" t="str">
        <f t="shared" si="0"/>
        <v>01-15</v>
      </c>
      <c r="J180" s="14">
        <f t="shared" si="3"/>
        <v>255</v>
      </c>
      <c r="K180" s="15">
        <f t="shared" si="3"/>
        <v>306</v>
      </c>
      <c r="L180" s="17">
        <f t="shared" si="4"/>
        <v>270</v>
      </c>
      <c r="M180" s="18">
        <f t="shared" si="5"/>
        <v>306</v>
      </c>
      <c r="N180" s="14">
        <f t="shared" si="6"/>
        <v>270</v>
      </c>
      <c r="O180" s="15">
        <f t="shared" si="6"/>
        <v>323</v>
      </c>
      <c r="P180" s="17">
        <f t="shared" si="7"/>
        <v>255</v>
      </c>
      <c r="Q180" s="18">
        <f t="shared" si="8"/>
        <v>323</v>
      </c>
      <c r="R180" s="4" t="s">
        <v>0</v>
      </c>
      <c r="S180" s="16" t="str">
        <f t="shared" si="9"/>
        <v>01-15</v>
      </c>
      <c r="T180" s="14">
        <f t="shared" si="10"/>
        <v>255</v>
      </c>
      <c r="U180" s="18">
        <f t="shared" si="11"/>
        <v>444</v>
      </c>
      <c r="V180" s="14">
        <f t="shared" si="1"/>
        <v>270</v>
      </c>
      <c r="W180" s="18">
        <f t="shared" si="12"/>
        <v>444</v>
      </c>
      <c r="X180" s="14">
        <f t="shared" si="1"/>
        <v>270</v>
      </c>
      <c r="Y180" s="18">
        <f t="shared" si="13"/>
        <v>427</v>
      </c>
      <c r="Z180" s="14">
        <f t="shared" si="1"/>
        <v>255</v>
      </c>
      <c r="AA180" s="18">
        <f t="shared" si="14"/>
        <v>427</v>
      </c>
      <c r="AB180" s="4" t="s">
        <v>0</v>
      </c>
    </row>
    <row r="181" spans="1:28">
      <c r="A181" s="9" t="s">
        <v>143</v>
      </c>
      <c r="B181" s="24"/>
      <c r="C181" s="26"/>
      <c r="D181" s="25">
        <f t="shared" si="189"/>
        <v>271</v>
      </c>
      <c r="E181" s="29">
        <f t="shared" ref="E181" si="268">E180</f>
        <v>306</v>
      </c>
      <c r="F181" s="25">
        <f t="shared" si="191"/>
        <v>286</v>
      </c>
      <c r="G181" s="29">
        <f t="shared" si="257"/>
        <v>323</v>
      </c>
      <c r="H181" s="4" t="s">
        <v>0</v>
      </c>
      <c r="I181" s="11" t="str">
        <f t="shared" si="0"/>
        <v>01-13</v>
      </c>
      <c r="J181" s="14">
        <f t="shared" si="3"/>
        <v>271</v>
      </c>
      <c r="K181" s="15">
        <f t="shared" si="3"/>
        <v>306</v>
      </c>
      <c r="L181" s="17">
        <f t="shared" si="4"/>
        <v>286</v>
      </c>
      <c r="M181" s="18">
        <f t="shared" si="5"/>
        <v>306</v>
      </c>
      <c r="N181" s="14">
        <f t="shared" si="6"/>
        <v>286</v>
      </c>
      <c r="O181" s="15">
        <f t="shared" si="6"/>
        <v>323</v>
      </c>
      <c r="P181" s="17">
        <f t="shared" si="7"/>
        <v>271</v>
      </c>
      <c r="Q181" s="18">
        <f t="shared" si="8"/>
        <v>323</v>
      </c>
      <c r="R181" s="4" t="s">
        <v>0</v>
      </c>
      <c r="S181" s="16" t="str">
        <f t="shared" si="9"/>
        <v>01-13</v>
      </c>
      <c r="T181" s="14">
        <f t="shared" si="10"/>
        <v>271</v>
      </c>
      <c r="U181" s="18">
        <f t="shared" si="11"/>
        <v>444</v>
      </c>
      <c r="V181" s="14">
        <f t="shared" si="1"/>
        <v>286</v>
      </c>
      <c r="W181" s="18">
        <f t="shared" si="12"/>
        <v>444</v>
      </c>
      <c r="X181" s="14">
        <f t="shared" si="1"/>
        <v>286</v>
      </c>
      <c r="Y181" s="18">
        <f t="shared" si="13"/>
        <v>427</v>
      </c>
      <c r="Z181" s="14">
        <f t="shared" si="1"/>
        <v>271</v>
      </c>
      <c r="AA181" s="18">
        <f t="shared" si="14"/>
        <v>427</v>
      </c>
      <c r="AB181" s="4" t="s">
        <v>0</v>
      </c>
    </row>
    <row r="182" spans="1:28">
      <c r="A182" s="9" t="s">
        <v>11</v>
      </c>
      <c r="B182" s="24"/>
      <c r="C182" s="26"/>
      <c r="D182" s="25">
        <f t="shared" si="189"/>
        <v>286</v>
      </c>
      <c r="E182" s="29">
        <f t="shared" ref="E182" si="269">E181</f>
        <v>306</v>
      </c>
      <c r="F182" s="25">
        <f t="shared" si="191"/>
        <v>301</v>
      </c>
      <c r="G182" s="29">
        <f t="shared" si="257"/>
        <v>323</v>
      </c>
      <c r="H182" s="4" t="s">
        <v>0</v>
      </c>
      <c r="I182" s="11" t="str">
        <f t="shared" si="0"/>
        <v>01-12</v>
      </c>
      <c r="J182" s="14">
        <f t="shared" si="3"/>
        <v>286</v>
      </c>
      <c r="K182" s="15">
        <f t="shared" si="3"/>
        <v>306</v>
      </c>
      <c r="L182" s="17">
        <f t="shared" si="4"/>
        <v>301</v>
      </c>
      <c r="M182" s="18">
        <f t="shared" si="5"/>
        <v>306</v>
      </c>
      <c r="N182" s="14">
        <f t="shared" si="6"/>
        <v>301</v>
      </c>
      <c r="O182" s="15">
        <f t="shared" si="6"/>
        <v>323</v>
      </c>
      <c r="P182" s="17">
        <f t="shared" si="7"/>
        <v>286</v>
      </c>
      <c r="Q182" s="18">
        <f t="shared" si="8"/>
        <v>323</v>
      </c>
      <c r="R182" s="4" t="s">
        <v>0</v>
      </c>
      <c r="S182" s="16" t="str">
        <f t="shared" si="9"/>
        <v>01-12</v>
      </c>
      <c r="T182" s="14">
        <f t="shared" si="10"/>
        <v>286</v>
      </c>
      <c r="U182" s="18">
        <f t="shared" si="11"/>
        <v>444</v>
      </c>
      <c r="V182" s="14">
        <f t="shared" si="1"/>
        <v>301</v>
      </c>
      <c r="W182" s="18">
        <f t="shared" si="12"/>
        <v>444</v>
      </c>
      <c r="X182" s="14">
        <f t="shared" si="1"/>
        <v>301</v>
      </c>
      <c r="Y182" s="18">
        <f t="shared" si="13"/>
        <v>427</v>
      </c>
      <c r="Z182" s="14">
        <f t="shared" si="1"/>
        <v>286</v>
      </c>
      <c r="AA182" s="18">
        <f t="shared" si="14"/>
        <v>427</v>
      </c>
      <c r="AB182" s="4" t="s">
        <v>0</v>
      </c>
    </row>
    <row r="183" spans="1:28">
      <c r="A183" s="9" t="s">
        <v>10</v>
      </c>
      <c r="B183" s="24"/>
      <c r="C183" s="26"/>
      <c r="D183" s="25">
        <f t="shared" si="189"/>
        <v>302</v>
      </c>
      <c r="E183" s="29">
        <f t="shared" ref="E183" si="270">E182</f>
        <v>306</v>
      </c>
      <c r="F183" s="25">
        <f t="shared" si="191"/>
        <v>317</v>
      </c>
      <c r="G183" s="29">
        <f t="shared" si="257"/>
        <v>323</v>
      </c>
      <c r="H183" s="4" t="s">
        <v>0</v>
      </c>
      <c r="I183" s="11" t="str">
        <f t="shared" si="0"/>
        <v>01-11</v>
      </c>
      <c r="J183" s="14">
        <f t="shared" si="3"/>
        <v>302</v>
      </c>
      <c r="K183" s="15">
        <f t="shared" si="3"/>
        <v>306</v>
      </c>
      <c r="L183" s="17">
        <f t="shared" si="4"/>
        <v>317</v>
      </c>
      <c r="M183" s="18">
        <f t="shared" si="5"/>
        <v>306</v>
      </c>
      <c r="N183" s="14">
        <f t="shared" si="6"/>
        <v>317</v>
      </c>
      <c r="O183" s="15">
        <f t="shared" si="6"/>
        <v>323</v>
      </c>
      <c r="P183" s="17">
        <f t="shared" si="7"/>
        <v>302</v>
      </c>
      <c r="Q183" s="18">
        <f t="shared" si="8"/>
        <v>323</v>
      </c>
      <c r="R183" s="4" t="s">
        <v>0</v>
      </c>
      <c r="S183" s="16" t="str">
        <f t="shared" si="9"/>
        <v>01-11</v>
      </c>
      <c r="T183" s="14">
        <f t="shared" si="10"/>
        <v>302</v>
      </c>
      <c r="U183" s="18">
        <f t="shared" si="11"/>
        <v>444</v>
      </c>
      <c r="V183" s="14">
        <f t="shared" si="1"/>
        <v>317</v>
      </c>
      <c r="W183" s="18">
        <f t="shared" si="12"/>
        <v>444</v>
      </c>
      <c r="X183" s="14">
        <f t="shared" si="1"/>
        <v>317</v>
      </c>
      <c r="Y183" s="18">
        <f t="shared" si="13"/>
        <v>427</v>
      </c>
      <c r="Z183" s="14">
        <f t="shared" si="1"/>
        <v>302</v>
      </c>
      <c r="AA183" s="18">
        <f t="shared" si="14"/>
        <v>427</v>
      </c>
      <c r="AB183" s="4" t="s">
        <v>0</v>
      </c>
    </row>
    <row r="184" spans="1:28">
      <c r="A184" s="9" t="s">
        <v>9</v>
      </c>
      <c r="B184" s="24"/>
      <c r="C184" s="26"/>
      <c r="D184" s="25">
        <f t="shared" si="189"/>
        <v>317</v>
      </c>
      <c r="E184" s="29">
        <f t="shared" ref="E184" si="271">E183</f>
        <v>306</v>
      </c>
      <c r="F184" s="25">
        <f t="shared" si="191"/>
        <v>332</v>
      </c>
      <c r="G184" s="29">
        <f t="shared" si="257"/>
        <v>323</v>
      </c>
      <c r="H184" s="4" t="s">
        <v>0</v>
      </c>
      <c r="I184" s="11" t="str">
        <f t="shared" si="0"/>
        <v>01-10</v>
      </c>
      <c r="J184" s="14">
        <f t="shared" si="3"/>
        <v>317</v>
      </c>
      <c r="K184" s="15">
        <f t="shared" si="3"/>
        <v>306</v>
      </c>
      <c r="L184" s="17">
        <f t="shared" si="4"/>
        <v>332</v>
      </c>
      <c r="M184" s="18">
        <f t="shared" si="5"/>
        <v>306</v>
      </c>
      <c r="N184" s="14">
        <f t="shared" si="6"/>
        <v>332</v>
      </c>
      <c r="O184" s="15">
        <f t="shared" si="6"/>
        <v>323</v>
      </c>
      <c r="P184" s="17">
        <f t="shared" si="7"/>
        <v>317</v>
      </c>
      <c r="Q184" s="18">
        <f t="shared" si="8"/>
        <v>323</v>
      </c>
      <c r="R184" s="4" t="s">
        <v>0</v>
      </c>
      <c r="S184" s="16" t="str">
        <f t="shared" si="9"/>
        <v>01-10</v>
      </c>
      <c r="T184" s="14">
        <f t="shared" si="10"/>
        <v>317</v>
      </c>
      <c r="U184" s="18">
        <f t="shared" si="11"/>
        <v>444</v>
      </c>
      <c r="V184" s="14">
        <f t="shared" si="1"/>
        <v>332</v>
      </c>
      <c r="W184" s="18">
        <f t="shared" si="12"/>
        <v>444</v>
      </c>
      <c r="X184" s="14">
        <f t="shared" si="1"/>
        <v>332</v>
      </c>
      <c r="Y184" s="18">
        <f t="shared" si="13"/>
        <v>427</v>
      </c>
      <c r="Z184" s="14">
        <f t="shared" si="1"/>
        <v>317</v>
      </c>
      <c r="AA184" s="18">
        <f t="shared" si="14"/>
        <v>427</v>
      </c>
      <c r="AB184" s="4" t="s">
        <v>0</v>
      </c>
    </row>
    <row r="185" spans="1:28">
      <c r="A185" s="9" t="s">
        <v>8</v>
      </c>
      <c r="B185" s="24"/>
      <c r="C185" s="26"/>
      <c r="D185" s="25">
        <f t="shared" si="189"/>
        <v>333</v>
      </c>
      <c r="E185" s="29">
        <f t="shared" ref="E185" si="272">E184</f>
        <v>306</v>
      </c>
      <c r="F185" s="25">
        <f t="shared" si="191"/>
        <v>348</v>
      </c>
      <c r="G185" s="29">
        <f t="shared" si="257"/>
        <v>323</v>
      </c>
      <c r="H185" s="4" t="s">
        <v>0</v>
      </c>
      <c r="I185" s="11" t="str">
        <f t="shared" si="0"/>
        <v>01-08</v>
      </c>
      <c r="J185" s="14">
        <f t="shared" si="3"/>
        <v>333</v>
      </c>
      <c r="K185" s="15">
        <f t="shared" si="3"/>
        <v>306</v>
      </c>
      <c r="L185" s="17">
        <f t="shared" si="4"/>
        <v>348</v>
      </c>
      <c r="M185" s="18">
        <f t="shared" si="5"/>
        <v>306</v>
      </c>
      <c r="N185" s="14">
        <f t="shared" si="6"/>
        <v>348</v>
      </c>
      <c r="O185" s="15">
        <f t="shared" si="6"/>
        <v>323</v>
      </c>
      <c r="P185" s="17">
        <f t="shared" si="7"/>
        <v>333</v>
      </c>
      <c r="Q185" s="18">
        <f t="shared" si="8"/>
        <v>323</v>
      </c>
      <c r="R185" s="4" t="s">
        <v>0</v>
      </c>
      <c r="S185" s="16" t="str">
        <f t="shared" si="9"/>
        <v>01-08</v>
      </c>
      <c r="T185" s="14">
        <f t="shared" si="10"/>
        <v>333</v>
      </c>
      <c r="U185" s="18">
        <f t="shared" si="11"/>
        <v>444</v>
      </c>
      <c r="V185" s="14">
        <f t="shared" si="1"/>
        <v>348</v>
      </c>
      <c r="W185" s="18">
        <f t="shared" si="12"/>
        <v>444</v>
      </c>
      <c r="X185" s="14">
        <f t="shared" si="1"/>
        <v>348</v>
      </c>
      <c r="Y185" s="18">
        <f t="shared" si="13"/>
        <v>427</v>
      </c>
      <c r="Z185" s="14">
        <f t="shared" si="1"/>
        <v>333</v>
      </c>
      <c r="AA185" s="18">
        <f t="shared" si="14"/>
        <v>427</v>
      </c>
      <c r="AB185" s="4" t="s">
        <v>0</v>
      </c>
    </row>
    <row r="186" spans="1:28">
      <c r="A186" s="9" t="s">
        <v>7</v>
      </c>
      <c r="B186" s="24"/>
      <c r="C186" s="26"/>
      <c r="D186" s="25">
        <f t="shared" si="189"/>
        <v>349</v>
      </c>
      <c r="E186" s="29">
        <f t="shared" ref="E186" si="273">E185</f>
        <v>306</v>
      </c>
      <c r="F186" s="25">
        <f t="shared" si="191"/>
        <v>364</v>
      </c>
      <c r="G186" s="29">
        <f t="shared" si="257"/>
        <v>323</v>
      </c>
      <c r="H186" s="4" t="s">
        <v>0</v>
      </c>
      <c r="I186" s="11" t="str">
        <f t="shared" si="0"/>
        <v>01-07</v>
      </c>
      <c r="J186" s="14">
        <f t="shared" si="3"/>
        <v>349</v>
      </c>
      <c r="K186" s="15">
        <f t="shared" si="3"/>
        <v>306</v>
      </c>
      <c r="L186" s="17">
        <f t="shared" si="4"/>
        <v>364</v>
      </c>
      <c r="M186" s="18">
        <f t="shared" si="5"/>
        <v>306</v>
      </c>
      <c r="N186" s="14">
        <f t="shared" si="6"/>
        <v>364</v>
      </c>
      <c r="O186" s="15">
        <f t="shared" si="6"/>
        <v>323</v>
      </c>
      <c r="P186" s="17">
        <f t="shared" si="7"/>
        <v>349</v>
      </c>
      <c r="Q186" s="18">
        <f t="shared" si="8"/>
        <v>323</v>
      </c>
      <c r="R186" s="4" t="s">
        <v>0</v>
      </c>
      <c r="S186" s="16" t="str">
        <f t="shared" si="9"/>
        <v>01-07</v>
      </c>
      <c r="T186" s="14">
        <f t="shared" si="10"/>
        <v>349</v>
      </c>
      <c r="U186" s="18">
        <f t="shared" si="11"/>
        <v>444</v>
      </c>
      <c r="V186" s="14">
        <f t="shared" si="1"/>
        <v>364</v>
      </c>
      <c r="W186" s="18">
        <f t="shared" si="12"/>
        <v>444</v>
      </c>
      <c r="X186" s="14">
        <f t="shared" si="1"/>
        <v>364</v>
      </c>
      <c r="Y186" s="18">
        <f t="shared" si="13"/>
        <v>427</v>
      </c>
      <c r="Z186" s="14">
        <f t="shared" si="1"/>
        <v>349</v>
      </c>
      <c r="AA186" s="18">
        <f t="shared" si="14"/>
        <v>427</v>
      </c>
      <c r="AB186" s="4" t="s">
        <v>0</v>
      </c>
    </row>
    <row r="187" spans="1:28">
      <c r="A187" s="9" t="s">
        <v>6</v>
      </c>
      <c r="B187" s="24"/>
      <c r="C187" s="26"/>
      <c r="D187" s="25">
        <f t="shared" si="189"/>
        <v>364</v>
      </c>
      <c r="E187" s="29">
        <f t="shared" ref="E187" si="274">E186</f>
        <v>306</v>
      </c>
      <c r="F187" s="25">
        <f t="shared" si="191"/>
        <v>379</v>
      </c>
      <c r="G187" s="29">
        <f t="shared" si="257"/>
        <v>323</v>
      </c>
      <c r="H187" s="4" t="s">
        <v>0</v>
      </c>
      <c r="I187" s="11" t="str">
        <f t="shared" si="0"/>
        <v>01-06</v>
      </c>
      <c r="J187" s="14">
        <f t="shared" si="3"/>
        <v>364</v>
      </c>
      <c r="K187" s="15">
        <f t="shared" si="3"/>
        <v>306</v>
      </c>
      <c r="L187" s="17">
        <f t="shared" si="4"/>
        <v>379</v>
      </c>
      <c r="M187" s="18">
        <f t="shared" si="5"/>
        <v>306</v>
      </c>
      <c r="N187" s="14">
        <f t="shared" si="6"/>
        <v>379</v>
      </c>
      <c r="O187" s="15">
        <f t="shared" si="6"/>
        <v>323</v>
      </c>
      <c r="P187" s="17">
        <f t="shared" si="7"/>
        <v>364</v>
      </c>
      <c r="Q187" s="18">
        <f t="shared" si="8"/>
        <v>323</v>
      </c>
      <c r="R187" s="4" t="s">
        <v>0</v>
      </c>
      <c r="S187" s="16" t="str">
        <f t="shared" si="9"/>
        <v>01-06</v>
      </c>
      <c r="T187" s="14">
        <f t="shared" si="10"/>
        <v>364</v>
      </c>
      <c r="U187" s="18">
        <f t="shared" si="11"/>
        <v>444</v>
      </c>
      <c r="V187" s="14">
        <f t="shared" si="1"/>
        <v>379</v>
      </c>
      <c r="W187" s="18">
        <f t="shared" si="12"/>
        <v>444</v>
      </c>
      <c r="X187" s="14">
        <f t="shared" si="1"/>
        <v>379</v>
      </c>
      <c r="Y187" s="18">
        <f t="shared" si="13"/>
        <v>427</v>
      </c>
      <c r="Z187" s="14">
        <f t="shared" si="1"/>
        <v>364</v>
      </c>
      <c r="AA187" s="18">
        <f t="shared" si="14"/>
        <v>427</v>
      </c>
      <c r="AB187" s="4" t="s">
        <v>0</v>
      </c>
    </row>
    <row r="188" spans="1:28">
      <c r="A188" s="9" t="s">
        <v>5</v>
      </c>
      <c r="B188" s="24"/>
      <c r="C188" s="26"/>
      <c r="D188" s="25">
        <f t="shared" ref="D188:D191" si="275">D165</f>
        <v>380</v>
      </c>
      <c r="E188" s="29">
        <f t="shared" ref="E188" si="276">E187</f>
        <v>306</v>
      </c>
      <c r="F188" s="25">
        <f t="shared" ref="F188:F191" si="277">F165</f>
        <v>395</v>
      </c>
      <c r="G188" s="29">
        <f t="shared" si="257"/>
        <v>323</v>
      </c>
      <c r="H188" s="4" t="s">
        <v>0</v>
      </c>
      <c r="I188" s="11" t="str">
        <f t="shared" si="0"/>
        <v>01-05</v>
      </c>
      <c r="J188" s="14">
        <f t="shared" si="3"/>
        <v>380</v>
      </c>
      <c r="K188" s="15">
        <f t="shared" si="3"/>
        <v>306</v>
      </c>
      <c r="L188" s="17">
        <f t="shared" si="4"/>
        <v>395</v>
      </c>
      <c r="M188" s="18">
        <f t="shared" si="5"/>
        <v>306</v>
      </c>
      <c r="N188" s="14">
        <f t="shared" si="6"/>
        <v>395</v>
      </c>
      <c r="O188" s="15">
        <f t="shared" si="6"/>
        <v>323</v>
      </c>
      <c r="P188" s="17">
        <f t="shared" si="7"/>
        <v>380</v>
      </c>
      <c r="Q188" s="18">
        <f t="shared" si="8"/>
        <v>323</v>
      </c>
      <c r="R188" s="4" t="s">
        <v>0</v>
      </c>
      <c r="S188" s="16" t="str">
        <f t="shared" si="9"/>
        <v>01-05</v>
      </c>
      <c r="T188" s="14">
        <f t="shared" si="10"/>
        <v>380</v>
      </c>
      <c r="U188" s="18">
        <f t="shared" si="11"/>
        <v>444</v>
      </c>
      <c r="V188" s="14">
        <f t="shared" ref="V188:V191" si="278">IF(L188&lt;&gt;"",L188,"")</f>
        <v>395</v>
      </c>
      <c r="W188" s="18">
        <f t="shared" si="12"/>
        <v>444</v>
      </c>
      <c r="X188" s="14">
        <f t="shared" ref="X188:X191" si="279">IF(N188&lt;&gt;"",N188,"")</f>
        <v>395</v>
      </c>
      <c r="Y188" s="18">
        <f t="shared" si="13"/>
        <v>427</v>
      </c>
      <c r="Z188" s="14">
        <f t="shared" ref="Z188:Z191" si="280">IF(P188&lt;&gt;"",P188,"")</f>
        <v>380</v>
      </c>
      <c r="AA188" s="18">
        <f t="shared" si="14"/>
        <v>427</v>
      </c>
      <c r="AB188" s="4" t="s">
        <v>0</v>
      </c>
    </row>
    <row r="189" spans="1:28">
      <c r="A189" s="9" t="s">
        <v>4</v>
      </c>
      <c r="B189" s="24"/>
      <c r="C189" s="26"/>
      <c r="D189" s="25">
        <f t="shared" si="275"/>
        <v>395</v>
      </c>
      <c r="E189" s="29">
        <f t="shared" ref="E189" si="281">E188</f>
        <v>306</v>
      </c>
      <c r="F189" s="25">
        <f t="shared" si="277"/>
        <v>410</v>
      </c>
      <c r="G189" s="29">
        <f t="shared" si="257"/>
        <v>323</v>
      </c>
      <c r="H189" s="4" t="s">
        <v>0</v>
      </c>
      <c r="I189" s="11" t="str">
        <f t="shared" si="0"/>
        <v>01-03</v>
      </c>
      <c r="J189" s="14">
        <f t="shared" si="3"/>
        <v>395</v>
      </c>
      <c r="K189" s="15">
        <f t="shared" si="3"/>
        <v>306</v>
      </c>
      <c r="L189" s="17">
        <f t="shared" si="4"/>
        <v>410</v>
      </c>
      <c r="M189" s="18">
        <f t="shared" si="5"/>
        <v>306</v>
      </c>
      <c r="N189" s="14">
        <f t="shared" si="6"/>
        <v>410</v>
      </c>
      <c r="O189" s="15">
        <f t="shared" si="6"/>
        <v>323</v>
      </c>
      <c r="P189" s="17">
        <f t="shared" si="7"/>
        <v>395</v>
      </c>
      <c r="Q189" s="18">
        <f t="shared" si="8"/>
        <v>323</v>
      </c>
      <c r="R189" s="4" t="s">
        <v>0</v>
      </c>
      <c r="S189" s="16" t="str">
        <f t="shared" si="9"/>
        <v>01-03</v>
      </c>
      <c r="T189" s="14">
        <f t="shared" si="10"/>
        <v>395</v>
      </c>
      <c r="U189" s="18">
        <f t="shared" si="11"/>
        <v>444</v>
      </c>
      <c r="V189" s="14">
        <f t="shared" si="278"/>
        <v>410</v>
      </c>
      <c r="W189" s="18">
        <f t="shared" si="12"/>
        <v>444</v>
      </c>
      <c r="X189" s="14">
        <f t="shared" si="279"/>
        <v>410</v>
      </c>
      <c r="Y189" s="18">
        <f t="shared" si="13"/>
        <v>427</v>
      </c>
      <c r="Z189" s="14">
        <f t="shared" si="280"/>
        <v>395</v>
      </c>
      <c r="AA189" s="18">
        <f t="shared" si="14"/>
        <v>427</v>
      </c>
      <c r="AB189" s="4" t="s">
        <v>0</v>
      </c>
    </row>
    <row r="190" spans="1:28">
      <c r="A190" s="9" t="s">
        <v>142</v>
      </c>
      <c r="B190" s="24"/>
      <c r="C190" s="26"/>
      <c r="D190" s="25">
        <f t="shared" si="275"/>
        <v>411</v>
      </c>
      <c r="E190" s="29">
        <f t="shared" ref="E190" si="282">E189</f>
        <v>306</v>
      </c>
      <c r="F190" s="25">
        <f t="shared" si="277"/>
        <v>426</v>
      </c>
      <c r="G190" s="29">
        <f t="shared" si="257"/>
        <v>323</v>
      </c>
      <c r="H190" s="4" t="s">
        <v>0</v>
      </c>
      <c r="I190" s="11" t="str">
        <f t="shared" si="0"/>
        <v>01-02</v>
      </c>
      <c r="J190" s="14">
        <f t="shared" si="3"/>
        <v>411</v>
      </c>
      <c r="K190" s="15">
        <f t="shared" si="3"/>
        <v>306</v>
      </c>
      <c r="L190" s="17">
        <f t="shared" si="4"/>
        <v>426</v>
      </c>
      <c r="M190" s="18">
        <f t="shared" si="5"/>
        <v>306</v>
      </c>
      <c r="N190" s="14">
        <f t="shared" si="6"/>
        <v>426</v>
      </c>
      <c r="O190" s="15">
        <f t="shared" si="6"/>
        <v>323</v>
      </c>
      <c r="P190" s="17">
        <f t="shared" si="7"/>
        <v>411</v>
      </c>
      <c r="Q190" s="18">
        <f t="shared" si="8"/>
        <v>323</v>
      </c>
      <c r="R190" s="4" t="s">
        <v>0</v>
      </c>
      <c r="S190" s="16" t="str">
        <f t="shared" si="9"/>
        <v>01-02</v>
      </c>
      <c r="T190" s="14">
        <f t="shared" si="10"/>
        <v>411</v>
      </c>
      <c r="U190" s="18">
        <f t="shared" si="11"/>
        <v>444</v>
      </c>
      <c r="V190" s="14">
        <f t="shared" si="278"/>
        <v>426</v>
      </c>
      <c r="W190" s="18">
        <f t="shared" si="12"/>
        <v>444</v>
      </c>
      <c r="X190" s="14">
        <f t="shared" si="279"/>
        <v>426</v>
      </c>
      <c r="Y190" s="18">
        <f t="shared" si="13"/>
        <v>427</v>
      </c>
      <c r="Z190" s="14">
        <f t="shared" si="280"/>
        <v>411</v>
      </c>
      <c r="AA190" s="18">
        <f t="shared" si="14"/>
        <v>427</v>
      </c>
      <c r="AB190" s="4" t="s">
        <v>0</v>
      </c>
    </row>
    <row r="191" spans="1:28">
      <c r="A191" s="9" t="s">
        <v>141</v>
      </c>
      <c r="B191" s="24"/>
      <c r="C191" s="26"/>
      <c r="D191" s="25">
        <f t="shared" si="275"/>
        <v>427</v>
      </c>
      <c r="E191" s="29">
        <f t="shared" ref="E191" si="283">E190</f>
        <v>306</v>
      </c>
      <c r="F191" s="25">
        <f t="shared" si="277"/>
        <v>442</v>
      </c>
      <c r="G191" s="29">
        <f t="shared" si="257"/>
        <v>323</v>
      </c>
      <c r="H191" s="4" t="s">
        <v>0</v>
      </c>
      <c r="I191" s="11" t="str">
        <f t="shared" si="0"/>
        <v>01-01</v>
      </c>
      <c r="J191" s="14">
        <f t="shared" si="3"/>
        <v>427</v>
      </c>
      <c r="K191" s="15">
        <f t="shared" si="3"/>
        <v>306</v>
      </c>
      <c r="L191" s="17">
        <f t="shared" si="4"/>
        <v>442</v>
      </c>
      <c r="M191" s="18">
        <f t="shared" si="5"/>
        <v>306</v>
      </c>
      <c r="N191" s="14">
        <f t="shared" si="6"/>
        <v>442</v>
      </c>
      <c r="O191" s="15">
        <f t="shared" si="6"/>
        <v>323</v>
      </c>
      <c r="P191" s="17">
        <f t="shared" si="7"/>
        <v>427</v>
      </c>
      <c r="Q191" s="18">
        <f t="shared" si="8"/>
        <v>323</v>
      </c>
      <c r="R191" s="4" t="s">
        <v>0</v>
      </c>
      <c r="S191" s="16" t="str">
        <f t="shared" si="9"/>
        <v>01-01</v>
      </c>
      <c r="T191" s="14">
        <f t="shared" si="10"/>
        <v>427</v>
      </c>
      <c r="U191" s="18">
        <f t="shared" si="11"/>
        <v>444</v>
      </c>
      <c r="V191" s="14">
        <f t="shared" si="278"/>
        <v>442</v>
      </c>
      <c r="W191" s="18">
        <f t="shared" si="12"/>
        <v>444</v>
      </c>
      <c r="X191" s="14">
        <f t="shared" si="279"/>
        <v>442</v>
      </c>
      <c r="Y191" s="18">
        <f t="shared" si="13"/>
        <v>427</v>
      </c>
      <c r="Z191" s="14">
        <f t="shared" si="280"/>
        <v>427</v>
      </c>
      <c r="AA191" s="18">
        <f t="shared" si="14"/>
        <v>427</v>
      </c>
      <c r="AB191" s="4" t="s">
        <v>0</v>
      </c>
    </row>
  </sheetData>
  <autoFilter ref="A10:AB191" xr:uid="{00000000-0001-0000-0000-000000000000}"/>
  <mergeCells count="2">
    <mergeCell ref="D3:G3"/>
    <mergeCell ref="D4:G4"/>
  </mergeCells>
  <phoneticPr fontId="1"/>
  <hyperlinks>
    <hyperlink ref="N4" r:id="rId1" xr:uid="{2D9C526E-8223-4CA2-8213-CBB1F7EEB311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AC04D-BA6F-4950-B737-C1A193AC82D3}">
  <sheetPr codeName="Sheet9">
    <pageSetUpPr fitToPage="1"/>
  </sheetPr>
  <dimension ref="A1:AB70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SEC_11_3_親D.json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SEC_11_3_親D.png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164</v>
      </c>
      <c r="B11" s="30" t="s">
        <v>698</v>
      </c>
      <c r="C11" s="26"/>
      <c r="D11" s="27">
        <v>31</v>
      </c>
      <c r="E11" s="31">
        <v>134</v>
      </c>
      <c r="F11" s="31">
        <v>58</v>
      </c>
      <c r="G11" s="31">
        <v>154</v>
      </c>
      <c r="H11" s="4" t="s">
        <v>0</v>
      </c>
      <c r="I11" s="16" t="str">
        <f t="shared" ref="I11:I12" si="0">A11</f>
        <v>05-18</v>
      </c>
      <c r="J11" s="14">
        <f>IF(D11&lt;&gt;"",D11,0)</f>
        <v>31</v>
      </c>
      <c r="K11" s="15">
        <f>IF(E11&lt;&gt;"",E11,0)</f>
        <v>134</v>
      </c>
      <c r="L11" s="17">
        <f>N11</f>
        <v>58</v>
      </c>
      <c r="M11" s="18">
        <f>K11</f>
        <v>134</v>
      </c>
      <c r="N11" s="14">
        <f>IF(F11&lt;&gt;"",F11,0)</f>
        <v>58</v>
      </c>
      <c r="O11" s="15">
        <f>IF(G11&lt;&gt;"",G11,0)</f>
        <v>154</v>
      </c>
      <c r="P11" s="17">
        <f>J11</f>
        <v>31</v>
      </c>
      <c r="Q11" s="18">
        <f>O11</f>
        <v>154</v>
      </c>
      <c r="R11" s="4" t="s">
        <v>0</v>
      </c>
      <c r="S11" s="16" t="str">
        <f>I11</f>
        <v>05-18</v>
      </c>
      <c r="T11" s="14">
        <f>IF(J11&lt;&gt;"",J11,"")</f>
        <v>31</v>
      </c>
      <c r="U11" s="18">
        <f>IF(K11&lt;&gt;"",U$6-K11,"")</f>
        <v>616</v>
      </c>
      <c r="V11" s="14">
        <f t="shared" ref="V11:Z12" si="1">IF(L11&lt;&gt;"",L11,"")</f>
        <v>58</v>
      </c>
      <c r="W11" s="18">
        <f>IF(M11&lt;&gt;"",W$6-M11,"")</f>
        <v>616</v>
      </c>
      <c r="X11" s="14">
        <f t="shared" si="1"/>
        <v>58</v>
      </c>
      <c r="Y11" s="18">
        <f>IF(O11&lt;&gt;"",Y$6-O11,"")</f>
        <v>596</v>
      </c>
      <c r="Z11" s="14">
        <f t="shared" si="1"/>
        <v>31</v>
      </c>
      <c r="AA11" s="18">
        <f>IF(Q11&lt;&gt;"",AA$6-Q11,"")</f>
        <v>596</v>
      </c>
      <c r="AB11" s="4" t="s">
        <v>0</v>
      </c>
    </row>
    <row r="12" spans="1:28">
      <c r="A12" s="9" t="s">
        <v>135</v>
      </c>
      <c r="B12" s="24"/>
      <c r="C12" s="26">
        <v>1</v>
      </c>
      <c r="D12" s="28">
        <f>ROUND(D$11+27*$C12, 0)</f>
        <v>58</v>
      </c>
      <c r="E12" s="29">
        <f t="shared" ref="E12:G12" si="2">E11</f>
        <v>134</v>
      </c>
      <c r="F12" s="28">
        <f>ROUND(F$11+27*$C12, 0)</f>
        <v>85</v>
      </c>
      <c r="G12" s="29">
        <f t="shared" si="2"/>
        <v>154</v>
      </c>
      <c r="H12" s="4" t="s">
        <v>0</v>
      </c>
      <c r="I12" s="16" t="str">
        <f t="shared" si="0"/>
        <v>05-17</v>
      </c>
      <c r="J12" s="14">
        <f t="shared" ref="J12:K12" si="3">IF(D12&lt;&gt;"",D12,0)</f>
        <v>58</v>
      </c>
      <c r="K12" s="15">
        <f t="shared" si="3"/>
        <v>134</v>
      </c>
      <c r="L12" s="17">
        <f t="shared" ref="L12" si="4">N12</f>
        <v>85</v>
      </c>
      <c r="M12" s="18">
        <f t="shared" ref="M12" si="5">K12</f>
        <v>134</v>
      </c>
      <c r="N12" s="14">
        <f t="shared" ref="N12:O12" si="6">IF(F12&lt;&gt;"",F12,0)</f>
        <v>85</v>
      </c>
      <c r="O12" s="15">
        <f t="shared" si="6"/>
        <v>154</v>
      </c>
      <c r="P12" s="17">
        <f t="shared" ref="P12" si="7">J12</f>
        <v>58</v>
      </c>
      <c r="Q12" s="18">
        <f t="shared" ref="Q12" si="8">O12</f>
        <v>154</v>
      </c>
      <c r="R12" s="4" t="s">
        <v>0</v>
      </c>
      <c r="S12" s="16" t="str">
        <f t="shared" ref="S12" si="9">I12</f>
        <v>05-17</v>
      </c>
      <c r="T12" s="14">
        <f t="shared" ref="T12" si="10">IF(J12&lt;&gt;"",J12,"")</f>
        <v>58</v>
      </c>
      <c r="U12" s="18">
        <f t="shared" ref="U12" si="11">IF(K12&lt;&gt;"",U$6-K12,"")</f>
        <v>616</v>
      </c>
      <c r="V12" s="14">
        <f t="shared" si="1"/>
        <v>85</v>
      </c>
      <c r="W12" s="18">
        <f t="shared" ref="W12" si="12">IF(M12&lt;&gt;"",W$6-M12,"")</f>
        <v>616</v>
      </c>
      <c r="X12" s="14">
        <f t="shared" si="1"/>
        <v>85</v>
      </c>
      <c r="Y12" s="18">
        <f t="shared" ref="Y12" si="13">IF(O12&lt;&gt;"",Y$6-O12,"")</f>
        <v>596</v>
      </c>
      <c r="Z12" s="14">
        <f t="shared" si="1"/>
        <v>58</v>
      </c>
      <c r="AA12" s="18">
        <f t="shared" ref="AA12" si="14">IF(Q12&lt;&gt;"",AA$6-Q12,"")</f>
        <v>596</v>
      </c>
      <c r="AB12" s="4" t="s">
        <v>0</v>
      </c>
    </row>
    <row r="13" spans="1:28">
      <c r="A13" s="9" t="s">
        <v>163</v>
      </c>
      <c r="B13" s="24"/>
      <c r="C13" s="26">
        <v>2</v>
      </c>
      <c r="D13" s="28">
        <f t="shared" ref="D13:D18" si="15">ROUND(D$11+27*$C13, 0)</f>
        <v>85</v>
      </c>
      <c r="E13" s="29">
        <f t="shared" ref="E13" si="16">E12</f>
        <v>134</v>
      </c>
      <c r="F13" s="28">
        <f t="shared" ref="F13:F18" si="17">ROUND(F$11+27*$C13, 0)</f>
        <v>112</v>
      </c>
      <c r="G13" s="29">
        <f t="shared" ref="G13" si="18">G12</f>
        <v>154</v>
      </c>
      <c r="H13" s="4" t="s">
        <v>0</v>
      </c>
      <c r="I13" s="16" t="str">
        <f t="shared" ref="I13:I70" si="19">A13</f>
        <v>05-16</v>
      </c>
      <c r="J13" s="14">
        <f t="shared" ref="J13:J70" si="20">IF(D13&lt;&gt;"",D13,0)</f>
        <v>85</v>
      </c>
      <c r="K13" s="15">
        <f t="shared" ref="K13:K70" si="21">IF(E13&lt;&gt;"",E13,0)</f>
        <v>134</v>
      </c>
      <c r="L13" s="17">
        <f t="shared" ref="L13:L70" si="22">N13</f>
        <v>112</v>
      </c>
      <c r="M13" s="18">
        <f t="shared" ref="M13:M70" si="23">K13</f>
        <v>134</v>
      </c>
      <c r="N13" s="14">
        <f t="shared" ref="N13:N70" si="24">IF(F13&lt;&gt;"",F13,0)</f>
        <v>112</v>
      </c>
      <c r="O13" s="15">
        <f t="shared" ref="O13:O70" si="25">IF(G13&lt;&gt;"",G13,0)</f>
        <v>154</v>
      </c>
      <c r="P13" s="17">
        <f t="shared" ref="P13:P70" si="26">J13</f>
        <v>85</v>
      </c>
      <c r="Q13" s="18">
        <f t="shared" ref="Q13:Q70" si="27">O13</f>
        <v>154</v>
      </c>
      <c r="R13" s="4" t="s">
        <v>0</v>
      </c>
      <c r="S13" s="16" t="str">
        <f t="shared" ref="S13:S70" si="28">I13</f>
        <v>05-16</v>
      </c>
      <c r="T13" s="14">
        <f t="shared" ref="T13:T70" si="29">IF(J13&lt;&gt;"",J13,"")</f>
        <v>85</v>
      </c>
      <c r="U13" s="18">
        <f t="shared" ref="U13:U70" si="30">IF(K13&lt;&gt;"",U$6-K13,"")</f>
        <v>616</v>
      </c>
      <c r="V13" s="14">
        <f t="shared" ref="V13:V70" si="31">IF(L13&lt;&gt;"",L13,"")</f>
        <v>112</v>
      </c>
      <c r="W13" s="18">
        <f t="shared" ref="W13:W70" si="32">IF(M13&lt;&gt;"",W$6-M13,"")</f>
        <v>616</v>
      </c>
      <c r="X13" s="14">
        <f t="shared" ref="X13:X70" si="33">IF(N13&lt;&gt;"",N13,"")</f>
        <v>112</v>
      </c>
      <c r="Y13" s="18">
        <f t="shared" ref="Y13:Y70" si="34">IF(O13&lt;&gt;"",Y$6-O13,"")</f>
        <v>596</v>
      </c>
      <c r="Z13" s="14">
        <f t="shared" ref="Z13:Z70" si="35">IF(P13&lt;&gt;"",P13,"")</f>
        <v>85</v>
      </c>
      <c r="AA13" s="18">
        <f t="shared" ref="AA13:AA70" si="36">IF(Q13&lt;&gt;"",AA$6-Q13,"")</f>
        <v>596</v>
      </c>
      <c r="AB13" s="4" t="s">
        <v>0</v>
      </c>
    </row>
    <row r="14" spans="1:28">
      <c r="A14" s="9" t="s">
        <v>162</v>
      </c>
      <c r="B14" s="24"/>
      <c r="C14" s="26">
        <v>3</v>
      </c>
      <c r="D14" s="28">
        <f t="shared" si="15"/>
        <v>112</v>
      </c>
      <c r="E14" s="29">
        <f t="shared" ref="E14" si="37">E13</f>
        <v>134</v>
      </c>
      <c r="F14" s="28">
        <f t="shared" si="17"/>
        <v>139</v>
      </c>
      <c r="G14" s="29">
        <f t="shared" ref="G14" si="38">G13</f>
        <v>154</v>
      </c>
      <c r="H14" s="4" t="s">
        <v>0</v>
      </c>
      <c r="I14" s="16" t="str">
        <f t="shared" si="19"/>
        <v>05-15</v>
      </c>
      <c r="J14" s="14">
        <f t="shared" si="20"/>
        <v>112</v>
      </c>
      <c r="K14" s="15">
        <f t="shared" si="21"/>
        <v>134</v>
      </c>
      <c r="L14" s="17">
        <f t="shared" si="22"/>
        <v>139</v>
      </c>
      <c r="M14" s="18">
        <f t="shared" si="23"/>
        <v>134</v>
      </c>
      <c r="N14" s="14">
        <f t="shared" si="24"/>
        <v>139</v>
      </c>
      <c r="O14" s="15">
        <f t="shared" si="25"/>
        <v>154</v>
      </c>
      <c r="P14" s="17">
        <f t="shared" si="26"/>
        <v>112</v>
      </c>
      <c r="Q14" s="18">
        <f t="shared" si="27"/>
        <v>154</v>
      </c>
      <c r="R14" s="4" t="s">
        <v>0</v>
      </c>
      <c r="S14" s="16" t="str">
        <f t="shared" si="28"/>
        <v>05-15</v>
      </c>
      <c r="T14" s="14">
        <f t="shared" si="29"/>
        <v>112</v>
      </c>
      <c r="U14" s="18">
        <f t="shared" si="30"/>
        <v>616</v>
      </c>
      <c r="V14" s="14">
        <f t="shared" si="31"/>
        <v>139</v>
      </c>
      <c r="W14" s="18">
        <f t="shared" si="32"/>
        <v>616</v>
      </c>
      <c r="X14" s="14">
        <f t="shared" si="33"/>
        <v>139</v>
      </c>
      <c r="Y14" s="18">
        <f t="shared" si="34"/>
        <v>596</v>
      </c>
      <c r="Z14" s="14">
        <f t="shared" si="35"/>
        <v>112</v>
      </c>
      <c r="AA14" s="18">
        <f t="shared" si="36"/>
        <v>596</v>
      </c>
      <c r="AB14" s="4" t="s">
        <v>0</v>
      </c>
    </row>
    <row r="15" spans="1:28">
      <c r="A15" s="9" t="s">
        <v>161</v>
      </c>
      <c r="B15" s="24"/>
      <c r="C15" s="26">
        <v>4</v>
      </c>
      <c r="D15" s="28">
        <f t="shared" si="15"/>
        <v>139</v>
      </c>
      <c r="E15" s="29">
        <f t="shared" ref="E15" si="39">E14</f>
        <v>134</v>
      </c>
      <c r="F15" s="28">
        <f t="shared" si="17"/>
        <v>166</v>
      </c>
      <c r="G15" s="29">
        <f t="shared" ref="G15" si="40">G14</f>
        <v>154</v>
      </c>
      <c r="H15" s="4" t="s">
        <v>0</v>
      </c>
      <c r="I15" s="16" t="str">
        <f t="shared" si="19"/>
        <v>05-13</v>
      </c>
      <c r="J15" s="14">
        <f t="shared" si="20"/>
        <v>139</v>
      </c>
      <c r="K15" s="15">
        <f t="shared" si="21"/>
        <v>134</v>
      </c>
      <c r="L15" s="17">
        <f t="shared" si="22"/>
        <v>166</v>
      </c>
      <c r="M15" s="18">
        <f t="shared" si="23"/>
        <v>134</v>
      </c>
      <c r="N15" s="14">
        <f t="shared" si="24"/>
        <v>166</v>
      </c>
      <c r="O15" s="15">
        <f t="shared" si="25"/>
        <v>154</v>
      </c>
      <c r="P15" s="17">
        <f t="shared" si="26"/>
        <v>139</v>
      </c>
      <c r="Q15" s="18">
        <f t="shared" si="27"/>
        <v>154</v>
      </c>
      <c r="R15" s="4" t="s">
        <v>0</v>
      </c>
      <c r="S15" s="16" t="str">
        <f t="shared" si="28"/>
        <v>05-13</v>
      </c>
      <c r="T15" s="14">
        <f t="shared" si="29"/>
        <v>139</v>
      </c>
      <c r="U15" s="18">
        <f t="shared" si="30"/>
        <v>616</v>
      </c>
      <c r="V15" s="14">
        <f t="shared" si="31"/>
        <v>166</v>
      </c>
      <c r="W15" s="18">
        <f t="shared" si="32"/>
        <v>616</v>
      </c>
      <c r="X15" s="14">
        <f t="shared" si="33"/>
        <v>166</v>
      </c>
      <c r="Y15" s="18">
        <f t="shared" si="34"/>
        <v>596</v>
      </c>
      <c r="Z15" s="14">
        <f t="shared" si="35"/>
        <v>139</v>
      </c>
      <c r="AA15" s="18">
        <f t="shared" si="36"/>
        <v>596</v>
      </c>
      <c r="AB15" s="4" t="s">
        <v>0</v>
      </c>
    </row>
    <row r="16" spans="1:28">
      <c r="A16" s="9" t="s">
        <v>49</v>
      </c>
      <c r="B16" s="24"/>
      <c r="C16" s="26">
        <v>5</v>
      </c>
      <c r="D16" s="28">
        <f t="shared" si="15"/>
        <v>166</v>
      </c>
      <c r="E16" s="29">
        <f t="shared" ref="E16" si="41">E15</f>
        <v>134</v>
      </c>
      <c r="F16" s="28">
        <f t="shared" si="17"/>
        <v>193</v>
      </c>
      <c r="G16" s="29">
        <f t="shared" ref="G16" si="42">G15</f>
        <v>154</v>
      </c>
      <c r="H16" s="4" t="s">
        <v>0</v>
      </c>
      <c r="I16" s="16" t="str">
        <f t="shared" si="19"/>
        <v>05-12</v>
      </c>
      <c r="J16" s="14">
        <f t="shared" si="20"/>
        <v>166</v>
      </c>
      <c r="K16" s="15">
        <f t="shared" si="21"/>
        <v>134</v>
      </c>
      <c r="L16" s="17">
        <f t="shared" si="22"/>
        <v>193</v>
      </c>
      <c r="M16" s="18">
        <f t="shared" si="23"/>
        <v>134</v>
      </c>
      <c r="N16" s="14">
        <f t="shared" si="24"/>
        <v>193</v>
      </c>
      <c r="O16" s="15">
        <f t="shared" si="25"/>
        <v>154</v>
      </c>
      <c r="P16" s="17">
        <f t="shared" si="26"/>
        <v>166</v>
      </c>
      <c r="Q16" s="18">
        <f t="shared" si="27"/>
        <v>154</v>
      </c>
      <c r="R16" s="4" t="s">
        <v>0</v>
      </c>
      <c r="S16" s="16" t="str">
        <f t="shared" si="28"/>
        <v>05-12</v>
      </c>
      <c r="T16" s="14">
        <f t="shared" si="29"/>
        <v>166</v>
      </c>
      <c r="U16" s="18">
        <f t="shared" si="30"/>
        <v>616</v>
      </c>
      <c r="V16" s="14">
        <f t="shared" si="31"/>
        <v>193</v>
      </c>
      <c r="W16" s="18">
        <f t="shared" si="32"/>
        <v>616</v>
      </c>
      <c r="X16" s="14">
        <f t="shared" si="33"/>
        <v>193</v>
      </c>
      <c r="Y16" s="18">
        <f t="shared" si="34"/>
        <v>596</v>
      </c>
      <c r="Z16" s="14">
        <f t="shared" si="35"/>
        <v>166</v>
      </c>
      <c r="AA16" s="18">
        <f t="shared" si="36"/>
        <v>596</v>
      </c>
      <c r="AB16" s="4" t="s">
        <v>0</v>
      </c>
    </row>
    <row r="17" spans="1:28">
      <c r="A17" s="9" t="s">
        <v>48</v>
      </c>
      <c r="B17" s="24"/>
      <c r="C17" s="26">
        <v>6</v>
      </c>
      <c r="D17" s="28">
        <f t="shared" si="15"/>
        <v>193</v>
      </c>
      <c r="E17" s="29">
        <f t="shared" ref="E17" si="43">E16</f>
        <v>134</v>
      </c>
      <c r="F17" s="28">
        <f t="shared" si="17"/>
        <v>220</v>
      </c>
      <c r="G17" s="29">
        <f t="shared" ref="G17" si="44">G16</f>
        <v>154</v>
      </c>
      <c r="H17" s="4" t="s">
        <v>0</v>
      </c>
      <c r="I17" s="16" t="str">
        <f t="shared" si="19"/>
        <v>05-11</v>
      </c>
      <c r="J17" s="14">
        <f t="shared" si="20"/>
        <v>193</v>
      </c>
      <c r="K17" s="15">
        <f t="shared" si="21"/>
        <v>134</v>
      </c>
      <c r="L17" s="17">
        <f t="shared" si="22"/>
        <v>220</v>
      </c>
      <c r="M17" s="18">
        <f t="shared" si="23"/>
        <v>134</v>
      </c>
      <c r="N17" s="14">
        <f t="shared" si="24"/>
        <v>220</v>
      </c>
      <c r="O17" s="15">
        <f t="shared" si="25"/>
        <v>154</v>
      </c>
      <c r="P17" s="17">
        <f t="shared" si="26"/>
        <v>193</v>
      </c>
      <c r="Q17" s="18">
        <f t="shared" si="27"/>
        <v>154</v>
      </c>
      <c r="R17" s="4" t="s">
        <v>0</v>
      </c>
      <c r="S17" s="16" t="str">
        <f t="shared" si="28"/>
        <v>05-11</v>
      </c>
      <c r="T17" s="14">
        <f t="shared" si="29"/>
        <v>193</v>
      </c>
      <c r="U17" s="18">
        <f t="shared" si="30"/>
        <v>616</v>
      </c>
      <c r="V17" s="14">
        <f t="shared" si="31"/>
        <v>220</v>
      </c>
      <c r="W17" s="18">
        <f t="shared" si="32"/>
        <v>616</v>
      </c>
      <c r="X17" s="14">
        <f t="shared" si="33"/>
        <v>220</v>
      </c>
      <c r="Y17" s="18">
        <f t="shared" si="34"/>
        <v>596</v>
      </c>
      <c r="Z17" s="14">
        <f t="shared" si="35"/>
        <v>193</v>
      </c>
      <c r="AA17" s="18">
        <f t="shared" si="36"/>
        <v>596</v>
      </c>
      <c r="AB17" s="4" t="s">
        <v>0</v>
      </c>
    </row>
    <row r="18" spans="1:28">
      <c r="A18" s="9" t="s">
        <v>47</v>
      </c>
      <c r="B18" s="24"/>
      <c r="C18" s="26">
        <v>7</v>
      </c>
      <c r="D18" s="28">
        <f t="shared" si="15"/>
        <v>220</v>
      </c>
      <c r="E18" s="29">
        <f t="shared" ref="E18" si="45">E17</f>
        <v>134</v>
      </c>
      <c r="F18" s="28">
        <f t="shared" si="17"/>
        <v>247</v>
      </c>
      <c r="G18" s="29">
        <f t="shared" ref="G18" si="46">G17</f>
        <v>154</v>
      </c>
      <c r="H18" s="4" t="s">
        <v>0</v>
      </c>
      <c r="I18" s="16" t="str">
        <f t="shared" si="19"/>
        <v>05-10</v>
      </c>
      <c r="J18" s="14">
        <f t="shared" si="20"/>
        <v>220</v>
      </c>
      <c r="K18" s="15">
        <f t="shared" si="21"/>
        <v>134</v>
      </c>
      <c r="L18" s="17">
        <f t="shared" si="22"/>
        <v>247</v>
      </c>
      <c r="M18" s="18">
        <f t="shared" si="23"/>
        <v>134</v>
      </c>
      <c r="N18" s="14">
        <f t="shared" si="24"/>
        <v>247</v>
      </c>
      <c r="O18" s="15">
        <f t="shared" si="25"/>
        <v>154</v>
      </c>
      <c r="P18" s="17">
        <f t="shared" si="26"/>
        <v>220</v>
      </c>
      <c r="Q18" s="18">
        <f t="shared" si="27"/>
        <v>154</v>
      </c>
      <c r="R18" s="4" t="s">
        <v>0</v>
      </c>
      <c r="S18" s="16" t="str">
        <f t="shared" si="28"/>
        <v>05-10</v>
      </c>
      <c r="T18" s="14">
        <f t="shared" si="29"/>
        <v>220</v>
      </c>
      <c r="U18" s="18">
        <f t="shared" si="30"/>
        <v>616</v>
      </c>
      <c r="V18" s="14">
        <f t="shared" si="31"/>
        <v>247</v>
      </c>
      <c r="W18" s="18">
        <f t="shared" si="32"/>
        <v>616</v>
      </c>
      <c r="X18" s="14">
        <f t="shared" si="33"/>
        <v>247</v>
      </c>
      <c r="Y18" s="18">
        <f t="shared" si="34"/>
        <v>596</v>
      </c>
      <c r="Z18" s="14">
        <f t="shared" si="35"/>
        <v>220</v>
      </c>
      <c r="AA18" s="18">
        <f t="shared" si="36"/>
        <v>596</v>
      </c>
      <c r="AB18" s="4" t="s">
        <v>0</v>
      </c>
    </row>
    <row r="19" spans="1:28">
      <c r="A19" s="9" t="s">
        <v>46</v>
      </c>
      <c r="B19" s="24"/>
      <c r="C19" s="26"/>
      <c r="D19" s="27">
        <v>268</v>
      </c>
      <c r="E19" s="31">
        <v>134</v>
      </c>
      <c r="F19" s="31">
        <v>295</v>
      </c>
      <c r="G19" s="31">
        <v>154</v>
      </c>
      <c r="H19" s="4" t="s">
        <v>0</v>
      </c>
      <c r="I19" s="16" t="str">
        <f t="shared" si="19"/>
        <v>05-08</v>
      </c>
      <c r="J19" s="14">
        <f t="shared" si="20"/>
        <v>268</v>
      </c>
      <c r="K19" s="15">
        <f t="shared" si="21"/>
        <v>134</v>
      </c>
      <c r="L19" s="17">
        <f t="shared" si="22"/>
        <v>295</v>
      </c>
      <c r="M19" s="18">
        <f t="shared" si="23"/>
        <v>134</v>
      </c>
      <c r="N19" s="14">
        <f t="shared" si="24"/>
        <v>295</v>
      </c>
      <c r="O19" s="15">
        <f t="shared" si="25"/>
        <v>154</v>
      </c>
      <c r="P19" s="17">
        <f t="shared" si="26"/>
        <v>268</v>
      </c>
      <c r="Q19" s="18">
        <f t="shared" si="27"/>
        <v>154</v>
      </c>
      <c r="R19" s="4" t="s">
        <v>0</v>
      </c>
      <c r="S19" s="16" t="str">
        <f t="shared" si="28"/>
        <v>05-08</v>
      </c>
      <c r="T19" s="14">
        <f t="shared" si="29"/>
        <v>268</v>
      </c>
      <c r="U19" s="18">
        <f t="shared" si="30"/>
        <v>616</v>
      </c>
      <c r="V19" s="14">
        <f t="shared" si="31"/>
        <v>295</v>
      </c>
      <c r="W19" s="18">
        <f t="shared" si="32"/>
        <v>616</v>
      </c>
      <c r="X19" s="14">
        <f t="shared" si="33"/>
        <v>295</v>
      </c>
      <c r="Y19" s="18">
        <f t="shared" si="34"/>
        <v>596</v>
      </c>
      <c r="Z19" s="14">
        <f t="shared" si="35"/>
        <v>268</v>
      </c>
      <c r="AA19" s="18">
        <f t="shared" si="36"/>
        <v>596</v>
      </c>
      <c r="AB19" s="4" t="s">
        <v>0</v>
      </c>
    </row>
    <row r="20" spans="1:28">
      <c r="A20" s="9" t="s">
        <v>45</v>
      </c>
      <c r="B20" s="24"/>
      <c r="C20" s="26">
        <v>1</v>
      </c>
      <c r="D20" s="28">
        <f>ROUND(D$19+27*$C20, 0)</f>
        <v>295</v>
      </c>
      <c r="E20" s="29">
        <f t="shared" ref="E20" si="47">E19</f>
        <v>134</v>
      </c>
      <c r="F20" s="28">
        <f>ROUND(F$19+27*$C20, 0)</f>
        <v>322</v>
      </c>
      <c r="G20" s="29">
        <f t="shared" ref="G20:G25" si="48">G19</f>
        <v>154</v>
      </c>
      <c r="H20" s="4" t="s">
        <v>0</v>
      </c>
      <c r="I20" s="16" t="str">
        <f t="shared" si="19"/>
        <v>05-07</v>
      </c>
      <c r="J20" s="14">
        <f t="shared" si="20"/>
        <v>295</v>
      </c>
      <c r="K20" s="15">
        <f t="shared" si="21"/>
        <v>134</v>
      </c>
      <c r="L20" s="17">
        <f t="shared" si="22"/>
        <v>322</v>
      </c>
      <c r="M20" s="18">
        <f t="shared" si="23"/>
        <v>134</v>
      </c>
      <c r="N20" s="14">
        <f t="shared" si="24"/>
        <v>322</v>
      </c>
      <c r="O20" s="15">
        <f t="shared" si="25"/>
        <v>154</v>
      </c>
      <c r="P20" s="17">
        <f t="shared" si="26"/>
        <v>295</v>
      </c>
      <c r="Q20" s="18">
        <f t="shared" si="27"/>
        <v>154</v>
      </c>
      <c r="R20" s="4" t="s">
        <v>0</v>
      </c>
      <c r="S20" s="16" t="str">
        <f t="shared" si="28"/>
        <v>05-07</v>
      </c>
      <c r="T20" s="14">
        <f t="shared" si="29"/>
        <v>295</v>
      </c>
      <c r="U20" s="18">
        <f t="shared" si="30"/>
        <v>616</v>
      </c>
      <c r="V20" s="14">
        <f t="shared" si="31"/>
        <v>322</v>
      </c>
      <c r="W20" s="18">
        <f t="shared" si="32"/>
        <v>616</v>
      </c>
      <c r="X20" s="14">
        <f t="shared" si="33"/>
        <v>322</v>
      </c>
      <c r="Y20" s="18">
        <f t="shared" si="34"/>
        <v>596</v>
      </c>
      <c r="Z20" s="14">
        <f t="shared" si="35"/>
        <v>295</v>
      </c>
      <c r="AA20" s="18">
        <f t="shared" si="36"/>
        <v>596</v>
      </c>
      <c r="AB20" s="4" t="s">
        <v>0</v>
      </c>
    </row>
    <row r="21" spans="1:28">
      <c r="A21" s="9" t="s">
        <v>44</v>
      </c>
      <c r="B21" s="24"/>
      <c r="C21" s="26">
        <v>2</v>
      </c>
      <c r="D21" s="28">
        <f t="shared" ref="D21:D25" si="49">ROUND(D$19+27*$C21, 0)</f>
        <v>322</v>
      </c>
      <c r="E21" s="29">
        <f t="shared" ref="E21" si="50">E20</f>
        <v>134</v>
      </c>
      <c r="F21" s="28">
        <f t="shared" ref="F21:F25" si="51">ROUND(F$19+27*$C21, 0)</f>
        <v>349</v>
      </c>
      <c r="G21" s="29">
        <f t="shared" si="48"/>
        <v>154</v>
      </c>
      <c r="H21" s="4" t="s">
        <v>0</v>
      </c>
      <c r="I21" s="16" t="str">
        <f t="shared" si="19"/>
        <v>05-06</v>
      </c>
      <c r="J21" s="14">
        <f t="shared" si="20"/>
        <v>322</v>
      </c>
      <c r="K21" s="15">
        <f t="shared" si="21"/>
        <v>134</v>
      </c>
      <c r="L21" s="17">
        <f t="shared" si="22"/>
        <v>349</v>
      </c>
      <c r="M21" s="18">
        <f t="shared" si="23"/>
        <v>134</v>
      </c>
      <c r="N21" s="14">
        <f t="shared" si="24"/>
        <v>349</v>
      </c>
      <c r="O21" s="15">
        <f t="shared" si="25"/>
        <v>154</v>
      </c>
      <c r="P21" s="17">
        <f t="shared" si="26"/>
        <v>322</v>
      </c>
      <c r="Q21" s="18">
        <f t="shared" si="27"/>
        <v>154</v>
      </c>
      <c r="R21" s="4" t="s">
        <v>0</v>
      </c>
      <c r="S21" s="16" t="str">
        <f t="shared" si="28"/>
        <v>05-06</v>
      </c>
      <c r="T21" s="14">
        <f t="shared" si="29"/>
        <v>322</v>
      </c>
      <c r="U21" s="18">
        <f t="shared" si="30"/>
        <v>616</v>
      </c>
      <c r="V21" s="14">
        <f t="shared" si="31"/>
        <v>349</v>
      </c>
      <c r="W21" s="18">
        <f t="shared" si="32"/>
        <v>616</v>
      </c>
      <c r="X21" s="14">
        <f t="shared" si="33"/>
        <v>349</v>
      </c>
      <c r="Y21" s="18">
        <f t="shared" si="34"/>
        <v>596</v>
      </c>
      <c r="Z21" s="14">
        <f t="shared" si="35"/>
        <v>322</v>
      </c>
      <c r="AA21" s="18">
        <f t="shared" si="36"/>
        <v>596</v>
      </c>
      <c r="AB21" s="4" t="s">
        <v>0</v>
      </c>
    </row>
    <row r="22" spans="1:28">
      <c r="A22" s="9" t="s">
        <v>43</v>
      </c>
      <c r="B22" s="24"/>
      <c r="C22" s="26">
        <v>3</v>
      </c>
      <c r="D22" s="28">
        <f t="shared" si="49"/>
        <v>349</v>
      </c>
      <c r="E22" s="29">
        <f t="shared" ref="E22" si="52">E21</f>
        <v>134</v>
      </c>
      <c r="F22" s="28">
        <f t="shared" si="51"/>
        <v>376</v>
      </c>
      <c r="G22" s="29">
        <f t="shared" si="48"/>
        <v>154</v>
      </c>
      <c r="H22" s="4" t="s">
        <v>0</v>
      </c>
      <c r="I22" s="16" t="str">
        <f t="shared" si="19"/>
        <v>05-05</v>
      </c>
      <c r="J22" s="14">
        <f t="shared" si="20"/>
        <v>349</v>
      </c>
      <c r="K22" s="15">
        <f t="shared" si="21"/>
        <v>134</v>
      </c>
      <c r="L22" s="17">
        <f t="shared" si="22"/>
        <v>376</v>
      </c>
      <c r="M22" s="18">
        <f t="shared" si="23"/>
        <v>134</v>
      </c>
      <c r="N22" s="14">
        <f t="shared" si="24"/>
        <v>376</v>
      </c>
      <c r="O22" s="15">
        <f t="shared" si="25"/>
        <v>154</v>
      </c>
      <c r="P22" s="17">
        <f t="shared" si="26"/>
        <v>349</v>
      </c>
      <c r="Q22" s="18">
        <f t="shared" si="27"/>
        <v>154</v>
      </c>
      <c r="R22" s="4" t="s">
        <v>0</v>
      </c>
      <c r="S22" s="16" t="str">
        <f t="shared" si="28"/>
        <v>05-05</v>
      </c>
      <c r="T22" s="14">
        <f t="shared" si="29"/>
        <v>349</v>
      </c>
      <c r="U22" s="18">
        <f t="shared" si="30"/>
        <v>616</v>
      </c>
      <c r="V22" s="14">
        <f t="shared" si="31"/>
        <v>376</v>
      </c>
      <c r="W22" s="18">
        <f t="shared" si="32"/>
        <v>616</v>
      </c>
      <c r="X22" s="14">
        <f t="shared" si="33"/>
        <v>376</v>
      </c>
      <c r="Y22" s="18">
        <f t="shared" si="34"/>
        <v>596</v>
      </c>
      <c r="Z22" s="14">
        <f t="shared" si="35"/>
        <v>349</v>
      </c>
      <c r="AA22" s="18">
        <f t="shared" si="36"/>
        <v>596</v>
      </c>
      <c r="AB22" s="4" t="s">
        <v>0</v>
      </c>
    </row>
    <row r="23" spans="1:28">
      <c r="A23" s="9" t="s">
        <v>42</v>
      </c>
      <c r="B23" s="24"/>
      <c r="C23" s="26">
        <v>4</v>
      </c>
      <c r="D23" s="28">
        <f t="shared" si="49"/>
        <v>376</v>
      </c>
      <c r="E23" s="29">
        <f t="shared" ref="E23" si="53">E22</f>
        <v>134</v>
      </c>
      <c r="F23" s="28">
        <f t="shared" si="51"/>
        <v>403</v>
      </c>
      <c r="G23" s="29">
        <f t="shared" si="48"/>
        <v>154</v>
      </c>
      <c r="H23" s="4" t="s">
        <v>0</v>
      </c>
      <c r="I23" s="16" t="str">
        <f t="shared" si="19"/>
        <v>05-03</v>
      </c>
      <c r="J23" s="14">
        <f t="shared" si="20"/>
        <v>376</v>
      </c>
      <c r="K23" s="15">
        <f t="shared" si="21"/>
        <v>134</v>
      </c>
      <c r="L23" s="17">
        <f t="shared" si="22"/>
        <v>403</v>
      </c>
      <c r="M23" s="18">
        <f t="shared" si="23"/>
        <v>134</v>
      </c>
      <c r="N23" s="14">
        <f t="shared" si="24"/>
        <v>403</v>
      </c>
      <c r="O23" s="15">
        <f t="shared" si="25"/>
        <v>154</v>
      </c>
      <c r="P23" s="17">
        <f t="shared" si="26"/>
        <v>376</v>
      </c>
      <c r="Q23" s="18">
        <f t="shared" si="27"/>
        <v>154</v>
      </c>
      <c r="R23" s="4" t="s">
        <v>0</v>
      </c>
      <c r="S23" s="16" t="str">
        <f t="shared" si="28"/>
        <v>05-03</v>
      </c>
      <c r="T23" s="14">
        <f t="shared" si="29"/>
        <v>376</v>
      </c>
      <c r="U23" s="18">
        <f t="shared" si="30"/>
        <v>616</v>
      </c>
      <c r="V23" s="14">
        <f t="shared" si="31"/>
        <v>403</v>
      </c>
      <c r="W23" s="18">
        <f t="shared" si="32"/>
        <v>616</v>
      </c>
      <c r="X23" s="14">
        <f t="shared" si="33"/>
        <v>403</v>
      </c>
      <c r="Y23" s="18">
        <f t="shared" si="34"/>
        <v>596</v>
      </c>
      <c r="Z23" s="14">
        <f t="shared" si="35"/>
        <v>376</v>
      </c>
      <c r="AA23" s="18">
        <f t="shared" si="36"/>
        <v>596</v>
      </c>
      <c r="AB23" s="4" t="s">
        <v>0</v>
      </c>
    </row>
    <row r="24" spans="1:28">
      <c r="A24" s="9" t="s">
        <v>41</v>
      </c>
      <c r="B24" s="24"/>
      <c r="C24" s="26">
        <v>5</v>
      </c>
      <c r="D24" s="28">
        <f t="shared" si="49"/>
        <v>403</v>
      </c>
      <c r="E24" s="29">
        <f t="shared" ref="E24" si="54">E23</f>
        <v>134</v>
      </c>
      <c r="F24" s="28">
        <f t="shared" si="51"/>
        <v>430</v>
      </c>
      <c r="G24" s="29">
        <f t="shared" si="48"/>
        <v>154</v>
      </c>
      <c r="H24" s="4" t="s">
        <v>0</v>
      </c>
      <c r="I24" s="16" t="str">
        <f t="shared" si="19"/>
        <v>05-02</v>
      </c>
      <c r="J24" s="14">
        <f t="shared" si="20"/>
        <v>403</v>
      </c>
      <c r="K24" s="15">
        <f t="shared" si="21"/>
        <v>134</v>
      </c>
      <c r="L24" s="17">
        <f t="shared" si="22"/>
        <v>430</v>
      </c>
      <c r="M24" s="18">
        <f t="shared" si="23"/>
        <v>134</v>
      </c>
      <c r="N24" s="14">
        <f t="shared" si="24"/>
        <v>430</v>
      </c>
      <c r="O24" s="15">
        <f t="shared" si="25"/>
        <v>154</v>
      </c>
      <c r="P24" s="17">
        <f t="shared" si="26"/>
        <v>403</v>
      </c>
      <c r="Q24" s="18">
        <f t="shared" si="27"/>
        <v>154</v>
      </c>
      <c r="R24" s="4" t="s">
        <v>0</v>
      </c>
      <c r="S24" s="16" t="str">
        <f t="shared" si="28"/>
        <v>05-02</v>
      </c>
      <c r="T24" s="14">
        <f t="shared" si="29"/>
        <v>403</v>
      </c>
      <c r="U24" s="18">
        <f t="shared" si="30"/>
        <v>616</v>
      </c>
      <c r="V24" s="14">
        <f t="shared" si="31"/>
        <v>430</v>
      </c>
      <c r="W24" s="18">
        <f t="shared" si="32"/>
        <v>616</v>
      </c>
      <c r="X24" s="14">
        <f t="shared" si="33"/>
        <v>430</v>
      </c>
      <c r="Y24" s="18">
        <f t="shared" si="34"/>
        <v>596</v>
      </c>
      <c r="Z24" s="14">
        <f t="shared" si="35"/>
        <v>403</v>
      </c>
      <c r="AA24" s="18">
        <f t="shared" si="36"/>
        <v>596</v>
      </c>
      <c r="AB24" s="4" t="s">
        <v>0</v>
      </c>
    </row>
    <row r="25" spans="1:28">
      <c r="A25" s="9" t="s">
        <v>40</v>
      </c>
      <c r="B25" s="24"/>
      <c r="C25" s="26">
        <v>6</v>
      </c>
      <c r="D25" s="28">
        <f t="shared" si="49"/>
        <v>430</v>
      </c>
      <c r="E25" s="29">
        <f t="shared" ref="E25" si="55">E24</f>
        <v>134</v>
      </c>
      <c r="F25" s="28">
        <f t="shared" si="51"/>
        <v>457</v>
      </c>
      <c r="G25" s="29">
        <f t="shared" si="48"/>
        <v>154</v>
      </c>
      <c r="H25" s="4" t="s">
        <v>0</v>
      </c>
      <c r="I25" s="16" t="str">
        <f t="shared" si="19"/>
        <v>05-01</v>
      </c>
      <c r="J25" s="14">
        <f t="shared" si="20"/>
        <v>430</v>
      </c>
      <c r="K25" s="15">
        <f t="shared" si="21"/>
        <v>134</v>
      </c>
      <c r="L25" s="17">
        <f t="shared" si="22"/>
        <v>457</v>
      </c>
      <c r="M25" s="18">
        <f t="shared" si="23"/>
        <v>134</v>
      </c>
      <c r="N25" s="14">
        <f t="shared" si="24"/>
        <v>457</v>
      </c>
      <c r="O25" s="15">
        <f t="shared" si="25"/>
        <v>154</v>
      </c>
      <c r="P25" s="17">
        <f t="shared" si="26"/>
        <v>430</v>
      </c>
      <c r="Q25" s="18">
        <f t="shared" si="27"/>
        <v>154</v>
      </c>
      <c r="R25" s="4" t="s">
        <v>0</v>
      </c>
      <c r="S25" s="16" t="str">
        <f t="shared" si="28"/>
        <v>05-01</v>
      </c>
      <c r="T25" s="14">
        <f t="shared" si="29"/>
        <v>430</v>
      </c>
      <c r="U25" s="18">
        <f t="shared" si="30"/>
        <v>616</v>
      </c>
      <c r="V25" s="14">
        <f t="shared" si="31"/>
        <v>457</v>
      </c>
      <c r="W25" s="18">
        <f t="shared" si="32"/>
        <v>616</v>
      </c>
      <c r="X25" s="14">
        <f t="shared" si="33"/>
        <v>457</v>
      </c>
      <c r="Y25" s="18">
        <f t="shared" si="34"/>
        <v>596</v>
      </c>
      <c r="Z25" s="14">
        <f t="shared" si="35"/>
        <v>430</v>
      </c>
      <c r="AA25" s="18">
        <f t="shared" si="36"/>
        <v>596</v>
      </c>
      <c r="AB25" s="4" t="s">
        <v>0</v>
      </c>
    </row>
    <row r="26" spans="1:28">
      <c r="A26" s="9" t="s">
        <v>158</v>
      </c>
      <c r="B26" s="24"/>
      <c r="C26" s="26">
        <v>1</v>
      </c>
      <c r="D26" s="25">
        <f>D11</f>
        <v>31</v>
      </c>
      <c r="E26" s="28">
        <f>ROUND(E$11+25*$C26, 0)</f>
        <v>159</v>
      </c>
      <c r="F26" s="25">
        <f>F11</f>
        <v>58</v>
      </c>
      <c r="G26" s="28">
        <f>ROUND(G$11+25*$C26, 0)</f>
        <v>179</v>
      </c>
      <c r="H26" s="4" t="s">
        <v>0</v>
      </c>
      <c r="I26" s="16" t="str">
        <f t="shared" si="19"/>
        <v>03-18</v>
      </c>
      <c r="J26" s="14">
        <f t="shared" si="20"/>
        <v>31</v>
      </c>
      <c r="K26" s="15">
        <f t="shared" si="21"/>
        <v>159</v>
      </c>
      <c r="L26" s="17">
        <f t="shared" si="22"/>
        <v>58</v>
      </c>
      <c r="M26" s="18">
        <f t="shared" si="23"/>
        <v>159</v>
      </c>
      <c r="N26" s="14">
        <f t="shared" si="24"/>
        <v>58</v>
      </c>
      <c r="O26" s="15">
        <f t="shared" si="25"/>
        <v>179</v>
      </c>
      <c r="P26" s="17">
        <f t="shared" si="26"/>
        <v>31</v>
      </c>
      <c r="Q26" s="18">
        <f t="shared" si="27"/>
        <v>179</v>
      </c>
      <c r="R26" s="4" t="s">
        <v>0</v>
      </c>
      <c r="S26" s="16" t="str">
        <f t="shared" si="28"/>
        <v>03-18</v>
      </c>
      <c r="T26" s="14">
        <f t="shared" si="29"/>
        <v>31</v>
      </c>
      <c r="U26" s="18">
        <f t="shared" si="30"/>
        <v>591</v>
      </c>
      <c r="V26" s="14">
        <f t="shared" si="31"/>
        <v>58</v>
      </c>
      <c r="W26" s="18">
        <f t="shared" si="32"/>
        <v>591</v>
      </c>
      <c r="X26" s="14">
        <f t="shared" si="33"/>
        <v>58</v>
      </c>
      <c r="Y26" s="18">
        <f t="shared" si="34"/>
        <v>571</v>
      </c>
      <c r="Z26" s="14">
        <f t="shared" si="35"/>
        <v>31</v>
      </c>
      <c r="AA26" s="18">
        <f t="shared" si="36"/>
        <v>571</v>
      </c>
      <c r="AB26" s="4" t="s">
        <v>0</v>
      </c>
    </row>
    <row r="27" spans="1:28">
      <c r="A27" s="9" t="s">
        <v>157</v>
      </c>
      <c r="B27" s="24"/>
      <c r="C27" s="26"/>
      <c r="D27" s="25">
        <f t="shared" ref="D27:D70" si="56">D12</f>
        <v>58</v>
      </c>
      <c r="E27" s="29">
        <f t="shared" ref="E27:G30" si="57">E26</f>
        <v>159</v>
      </c>
      <c r="F27" s="25">
        <f t="shared" ref="F27:F70" si="58">F12</f>
        <v>85</v>
      </c>
      <c r="G27" s="29">
        <f t="shared" si="57"/>
        <v>179</v>
      </c>
      <c r="H27" s="4" t="s">
        <v>0</v>
      </c>
      <c r="I27" s="16" t="str">
        <f t="shared" si="19"/>
        <v>03-17</v>
      </c>
      <c r="J27" s="14">
        <f t="shared" si="20"/>
        <v>58</v>
      </c>
      <c r="K27" s="15">
        <f t="shared" si="21"/>
        <v>159</v>
      </c>
      <c r="L27" s="17">
        <f t="shared" si="22"/>
        <v>85</v>
      </c>
      <c r="M27" s="18">
        <f t="shared" si="23"/>
        <v>159</v>
      </c>
      <c r="N27" s="14">
        <f t="shared" si="24"/>
        <v>85</v>
      </c>
      <c r="O27" s="15">
        <f t="shared" si="25"/>
        <v>179</v>
      </c>
      <c r="P27" s="17">
        <f t="shared" si="26"/>
        <v>58</v>
      </c>
      <c r="Q27" s="18">
        <f t="shared" si="27"/>
        <v>179</v>
      </c>
      <c r="R27" s="4" t="s">
        <v>0</v>
      </c>
      <c r="S27" s="16" t="str">
        <f t="shared" si="28"/>
        <v>03-17</v>
      </c>
      <c r="T27" s="14">
        <f t="shared" si="29"/>
        <v>58</v>
      </c>
      <c r="U27" s="18">
        <f t="shared" si="30"/>
        <v>591</v>
      </c>
      <c r="V27" s="14">
        <f t="shared" si="31"/>
        <v>85</v>
      </c>
      <c r="W27" s="18">
        <f t="shared" si="32"/>
        <v>591</v>
      </c>
      <c r="X27" s="14">
        <f t="shared" si="33"/>
        <v>85</v>
      </c>
      <c r="Y27" s="18">
        <f t="shared" si="34"/>
        <v>571</v>
      </c>
      <c r="Z27" s="14">
        <f t="shared" si="35"/>
        <v>58</v>
      </c>
      <c r="AA27" s="18">
        <f t="shared" si="36"/>
        <v>571</v>
      </c>
      <c r="AB27" s="4" t="s">
        <v>0</v>
      </c>
    </row>
    <row r="28" spans="1:28">
      <c r="A28" s="9" t="s">
        <v>156</v>
      </c>
      <c r="B28" s="24"/>
      <c r="C28" s="26"/>
      <c r="D28" s="25">
        <f t="shared" si="56"/>
        <v>85</v>
      </c>
      <c r="E28" s="29">
        <f t="shared" si="57"/>
        <v>159</v>
      </c>
      <c r="F28" s="25">
        <f t="shared" si="58"/>
        <v>112</v>
      </c>
      <c r="G28" s="29">
        <f t="shared" si="57"/>
        <v>179</v>
      </c>
      <c r="H28" s="4" t="s">
        <v>0</v>
      </c>
      <c r="I28" s="16" t="str">
        <f t="shared" si="19"/>
        <v>03-16</v>
      </c>
      <c r="J28" s="14">
        <f t="shared" si="20"/>
        <v>85</v>
      </c>
      <c r="K28" s="15">
        <f t="shared" si="21"/>
        <v>159</v>
      </c>
      <c r="L28" s="17">
        <f t="shared" si="22"/>
        <v>112</v>
      </c>
      <c r="M28" s="18">
        <f t="shared" si="23"/>
        <v>159</v>
      </c>
      <c r="N28" s="14">
        <f t="shared" si="24"/>
        <v>112</v>
      </c>
      <c r="O28" s="15">
        <f t="shared" si="25"/>
        <v>179</v>
      </c>
      <c r="P28" s="17">
        <f t="shared" si="26"/>
        <v>85</v>
      </c>
      <c r="Q28" s="18">
        <f t="shared" si="27"/>
        <v>179</v>
      </c>
      <c r="R28" s="4" t="s">
        <v>0</v>
      </c>
      <c r="S28" s="16" t="str">
        <f t="shared" si="28"/>
        <v>03-16</v>
      </c>
      <c r="T28" s="14">
        <f t="shared" si="29"/>
        <v>85</v>
      </c>
      <c r="U28" s="18">
        <f t="shared" si="30"/>
        <v>591</v>
      </c>
      <c r="V28" s="14">
        <f t="shared" si="31"/>
        <v>112</v>
      </c>
      <c r="W28" s="18">
        <f t="shared" si="32"/>
        <v>591</v>
      </c>
      <c r="X28" s="14">
        <f t="shared" si="33"/>
        <v>112</v>
      </c>
      <c r="Y28" s="18">
        <f t="shared" si="34"/>
        <v>571</v>
      </c>
      <c r="Z28" s="14">
        <f t="shared" si="35"/>
        <v>85</v>
      </c>
      <c r="AA28" s="18">
        <f t="shared" si="36"/>
        <v>571</v>
      </c>
      <c r="AB28" s="4" t="s">
        <v>0</v>
      </c>
    </row>
    <row r="29" spans="1:28">
      <c r="A29" s="9" t="s">
        <v>155</v>
      </c>
      <c r="B29" s="24"/>
      <c r="C29" s="26"/>
      <c r="D29" s="25">
        <f t="shared" si="56"/>
        <v>112</v>
      </c>
      <c r="E29" s="29">
        <f t="shared" si="57"/>
        <v>159</v>
      </c>
      <c r="F29" s="25">
        <f t="shared" si="58"/>
        <v>139</v>
      </c>
      <c r="G29" s="29">
        <f t="shared" si="57"/>
        <v>179</v>
      </c>
      <c r="H29" s="4" t="s">
        <v>0</v>
      </c>
      <c r="I29" s="16" t="str">
        <f t="shared" si="19"/>
        <v>03-15</v>
      </c>
      <c r="J29" s="14">
        <f t="shared" si="20"/>
        <v>112</v>
      </c>
      <c r="K29" s="15">
        <f t="shared" si="21"/>
        <v>159</v>
      </c>
      <c r="L29" s="17">
        <f t="shared" si="22"/>
        <v>139</v>
      </c>
      <c r="M29" s="18">
        <f t="shared" si="23"/>
        <v>159</v>
      </c>
      <c r="N29" s="14">
        <f t="shared" si="24"/>
        <v>139</v>
      </c>
      <c r="O29" s="15">
        <f t="shared" si="25"/>
        <v>179</v>
      </c>
      <c r="P29" s="17">
        <f t="shared" si="26"/>
        <v>112</v>
      </c>
      <c r="Q29" s="18">
        <f t="shared" si="27"/>
        <v>179</v>
      </c>
      <c r="R29" s="4" t="s">
        <v>0</v>
      </c>
      <c r="S29" s="16" t="str">
        <f t="shared" si="28"/>
        <v>03-15</v>
      </c>
      <c r="T29" s="14">
        <f t="shared" si="29"/>
        <v>112</v>
      </c>
      <c r="U29" s="18">
        <f t="shared" si="30"/>
        <v>591</v>
      </c>
      <c r="V29" s="14">
        <f t="shared" si="31"/>
        <v>139</v>
      </c>
      <c r="W29" s="18">
        <f t="shared" si="32"/>
        <v>591</v>
      </c>
      <c r="X29" s="14">
        <f t="shared" si="33"/>
        <v>139</v>
      </c>
      <c r="Y29" s="18">
        <f t="shared" si="34"/>
        <v>571</v>
      </c>
      <c r="Z29" s="14">
        <f t="shared" si="35"/>
        <v>112</v>
      </c>
      <c r="AA29" s="18">
        <f t="shared" si="36"/>
        <v>571</v>
      </c>
      <c r="AB29" s="4" t="s">
        <v>0</v>
      </c>
    </row>
    <row r="30" spans="1:28">
      <c r="A30" s="9" t="s">
        <v>154</v>
      </c>
      <c r="B30" s="24"/>
      <c r="C30" s="26"/>
      <c r="D30" s="25">
        <f t="shared" si="56"/>
        <v>139</v>
      </c>
      <c r="E30" s="29">
        <f t="shared" si="57"/>
        <v>159</v>
      </c>
      <c r="F30" s="25">
        <f t="shared" si="58"/>
        <v>166</v>
      </c>
      <c r="G30" s="29">
        <f t="shared" si="57"/>
        <v>179</v>
      </c>
      <c r="H30" s="4" t="s">
        <v>0</v>
      </c>
      <c r="I30" s="16" t="str">
        <f t="shared" si="19"/>
        <v>03-13</v>
      </c>
      <c r="J30" s="14">
        <f t="shared" si="20"/>
        <v>139</v>
      </c>
      <c r="K30" s="15">
        <f t="shared" si="21"/>
        <v>159</v>
      </c>
      <c r="L30" s="17">
        <f t="shared" si="22"/>
        <v>166</v>
      </c>
      <c r="M30" s="18">
        <f t="shared" si="23"/>
        <v>159</v>
      </c>
      <c r="N30" s="14">
        <f t="shared" si="24"/>
        <v>166</v>
      </c>
      <c r="O30" s="15">
        <f t="shared" si="25"/>
        <v>179</v>
      </c>
      <c r="P30" s="17">
        <f t="shared" si="26"/>
        <v>139</v>
      </c>
      <c r="Q30" s="18">
        <f t="shared" si="27"/>
        <v>179</v>
      </c>
      <c r="R30" s="4" t="s">
        <v>0</v>
      </c>
      <c r="S30" s="16" t="str">
        <f t="shared" si="28"/>
        <v>03-13</v>
      </c>
      <c r="T30" s="14">
        <f t="shared" si="29"/>
        <v>139</v>
      </c>
      <c r="U30" s="18">
        <f t="shared" si="30"/>
        <v>591</v>
      </c>
      <c r="V30" s="14">
        <f t="shared" si="31"/>
        <v>166</v>
      </c>
      <c r="W30" s="18">
        <f t="shared" si="32"/>
        <v>591</v>
      </c>
      <c r="X30" s="14">
        <f t="shared" si="33"/>
        <v>166</v>
      </c>
      <c r="Y30" s="18">
        <f t="shared" si="34"/>
        <v>571</v>
      </c>
      <c r="Z30" s="14">
        <f t="shared" si="35"/>
        <v>139</v>
      </c>
      <c r="AA30" s="18">
        <f t="shared" si="36"/>
        <v>571</v>
      </c>
      <c r="AB30" s="4" t="s">
        <v>0</v>
      </c>
    </row>
    <row r="31" spans="1:28">
      <c r="A31" s="9" t="s">
        <v>39</v>
      </c>
      <c r="B31" s="24"/>
      <c r="C31" s="26"/>
      <c r="D31" s="25">
        <f t="shared" si="56"/>
        <v>166</v>
      </c>
      <c r="E31" s="29">
        <f t="shared" ref="E31" si="59">E30</f>
        <v>159</v>
      </c>
      <c r="F31" s="25">
        <f t="shared" si="58"/>
        <v>193</v>
      </c>
      <c r="G31" s="29">
        <f t="shared" ref="G31" si="60">G30</f>
        <v>179</v>
      </c>
      <c r="H31" s="4" t="s">
        <v>0</v>
      </c>
      <c r="I31" s="16" t="str">
        <f t="shared" si="19"/>
        <v>03-12</v>
      </c>
      <c r="J31" s="14">
        <f t="shared" si="20"/>
        <v>166</v>
      </c>
      <c r="K31" s="15">
        <f t="shared" si="21"/>
        <v>159</v>
      </c>
      <c r="L31" s="17">
        <f t="shared" si="22"/>
        <v>193</v>
      </c>
      <c r="M31" s="18">
        <f t="shared" si="23"/>
        <v>159</v>
      </c>
      <c r="N31" s="14">
        <f t="shared" si="24"/>
        <v>193</v>
      </c>
      <c r="O31" s="15">
        <f t="shared" si="25"/>
        <v>179</v>
      </c>
      <c r="P31" s="17">
        <f t="shared" si="26"/>
        <v>166</v>
      </c>
      <c r="Q31" s="18">
        <f t="shared" si="27"/>
        <v>179</v>
      </c>
      <c r="R31" s="4" t="s">
        <v>0</v>
      </c>
      <c r="S31" s="16" t="str">
        <f t="shared" si="28"/>
        <v>03-12</v>
      </c>
      <c r="T31" s="14">
        <f t="shared" si="29"/>
        <v>166</v>
      </c>
      <c r="U31" s="18">
        <f t="shared" si="30"/>
        <v>591</v>
      </c>
      <c r="V31" s="14">
        <f t="shared" si="31"/>
        <v>193</v>
      </c>
      <c r="W31" s="18">
        <f t="shared" si="32"/>
        <v>591</v>
      </c>
      <c r="X31" s="14">
        <f t="shared" si="33"/>
        <v>193</v>
      </c>
      <c r="Y31" s="18">
        <f t="shared" si="34"/>
        <v>571</v>
      </c>
      <c r="Z31" s="14">
        <f t="shared" si="35"/>
        <v>166</v>
      </c>
      <c r="AA31" s="18">
        <f t="shared" si="36"/>
        <v>571</v>
      </c>
      <c r="AB31" s="4" t="s">
        <v>0</v>
      </c>
    </row>
    <row r="32" spans="1:28">
      <c r="A32" s="9" t="s">
        <v>38</v>
      </c>
      <c r="B32" s="24"/>
      <c r="C32" s="26"/>
      <c r="D32" s="25">
        <f t="shared" si="56"/>
        <v>193</v>
      </c>
      <c r="E32" s="29">
        <f t="shared" ref="E32" si="61">E31</f>
        <v>159</v>
      </c>
      <c r="F32" s="25">
        <f t="shared" si="58"/>
        <v>220</v>
      </c>
      <c r="G32" s="29">
        <f t="shared" ref="G32" si="62">G31</f>
        <v>179</v>
      </c>
      <c r="H32" s="4" t="s">
        <v>0</v>
      </c>
      <c r="I32" s="16" t="str">
        <f t="shared" si="19"/>
        <v>03-11</v>
      </c>
      <c r="J32" s="14">
        <f t="shared" si="20"/>
        <v>193</v>
      </c>
      <c r="K32" s="15">
        <f t="shared" si="21"/>
        <v>159</v>
      </c>
      <c r="L32" s="17">
        <f t="shared" si="22"/>
        <v>220</v>
      </c>
      <c r="M32" s="18">
        <f t="shared" si="23"/>
        <v>159</v>
      </c>
      <c r="N32" s="14">
        <f t="shared" si="24"/>
        <v>220</v>
      </c>
      <c r="O32" s="15">
        <f t="shared" si="25"/>
        <v>179</v>
      </c>
      <c r="P32" s="17">
        <f t="shared" si="26"/>
        <v>193</v>
      </c>
      <c r="Q32" s="18">
        <f t="shared" si="27"/>
        <v>179</v>
      </c>
      <c r="R32" s="4" t="s">
        <v>0</v>
      </c>
      <c r="S32" s="16" t="str">
        <f t="shared" si="28"/>
        <v>03-11</v>
      </c>
      <c r="T32" s="14">
        <f t="shared" si="29"/>
        <v>193</v>
      </c>
      <c r="U32" s="18">
        <f t="shared" si="30"/>
        <v>591</v>
      </c>
      <c r="V32" s="14">
        <f t="shared" si="31"/>
        <v>220</v>
      </c>
      <c r="W32" s="18">
        <f t="shared" si="32"/>
        <v>591</v>
      </c>
      <c r="X32" s="14">
        <f t="shared" si="33"/>
        <v>220</v>
      </c>
      <c r="Y32" s="18">
        <f t="shared" si="34"/>
        <v>571</v>
      </c>
      <c r="Z32" s="14">
        <f t="shared" si="35"/>
        <v>193</v>
      </c>
      <c r="AA32" s="18">
        <f t="shared" si="36"/>
        <v>571</v>
      </c>
      <c r="AB32" s="4" t="s">
        <v>0</v>
      </c>
    </row>
    <row r="33" spans="1:28">
      <c r="A33" s="9" t="s">
        <v>37</v>
      </c>
      <c r="B33" s="24"/>
      <c r="C33" s="26"/>
      <c r="D33" s="25">
        <f t="shared" si="56"/>
        <v>220</v>
      </c>
      <c r="E33" s="29">
        <f t="shared" ref="E33" si="63">E32</f>
        <v>159</v>
      </c>
      <c r="F33" s="25">
        <f t="shared" si="58"/>
        <v>247</v>
      </c>
      <c r="G33" s="29">
        <f t="shared" ref="G33" si="64">G32</f>
        <v>179</v>
      </c>
      <c r="H33" s="4" t="s">
        <v>0</v>
      </c>
      <c r="I33" s="16" t="str">
        <f t="shared" si="19"/>
        <v>03-10</v>
      </c>
      <c r="J33" s="14">
        <f t="shared" si="20"/>
        <v>220</v>
      </c>
      <c r="K33" s="15">
        <f t="shared" si="21"/>
        <v>159</v>
      </c>
      <c r="L33" s="17">
        <f t="shared" si="22"/>
        <v>247</v>
      </c>
      <c r="M33" s="18">
        <f t="shared" si="23"/>
        <v>159</v>
      </c>
      <c r="N33" s="14">
        <f t="shared" si="24"/>
        <v>247</v>
      </c>
      <c r="O33" s="15">
        <f t="shared" si="25"/>
        <v>179</v>
      </c>
      <c r="P33" s="17">
        <f t="shared" si="26"/>
        <v>220</v>
      </c>
      <c r="Q33" s="18">
        <f t="shared" si="27"/>
        <v>179</v>
      </c>
      <c r="R33" s="4" t="s">
        <v>0</v>
      </c>
      <c r="S33" s="16" t="str">
        <f t="shared" si="28"/>
        <v>03-10</v>
      </c>
      <c r="T33" s="14">
        <f t="shared" si="29"/>
        <v>220</v>
      </c>
      <c r="U33" s="18">
        <f t="shared" si="30"/>
        <v>591</v>
      </c>
      <c r="V33" s="14">
        <f t="shared" si="31"/>
        <v>247</v>
      </c>
      <c r="W33" s="18">
        <f t="shared" si="32"/>
        <v>591</v>
      </c>
      <c r="X33" s="14">
        <f t="shared" si="33"/>
        <v>247</v>
      </c>
      <c r="Y33" s="18">
        <f t="shared" si="34"/>
        <v>571</v>
      </c>
      <c r="Z33" s="14">
        <f t="shared" si="35"/>
        <v>220</v>
      </c>
      <c r="AA33" s="18">
        <f t="shared" si="36"/>
        <v>571</v>
      </c>
      <c r="AB33" s="4" t="s">
        <v>0</v>
      </c>
    </row>
    <row r="34" spans="1:28">
      <c r="A34" s="9" t="s">
        <v>36</v>
      </c>
      <c r="B34" s="24"/>
      <c r="C34" s="26"/>
      <c r="D34" s="25">
        <f t="shared" si="56"/>
        <v>268</v>
      </c>
      <c r="E34" s="29">
        <f t="shared" ref="E34" si="65">E33</f>
        <v>159</v>
      </c>
      <c r="F34" s="25">
        <f t="shared" si="58"/>
        <v>295</v>
      </c>
      <c r="G34" s="29">
        <f t="shared" ref="G34" si="66">G33</f>
        <v>179</v>
      </c>
      <c r="H34" s="4" t="s">
        <v>0</v>
      </c>
      <c r="I34" s="16" t="str">
        <f t="shared" si="19"/>
        <v>03-08</v>
      </c>
      <c r="J34" s="14">
        <f t="shared" si="20"/>
        <v>268</v>
      </c>
      <c r="K34" s="15">
        <f t="shared" si="21"/>
        <v>159</v>
      </c>
      <c r="L34" s="17">
        <f t="shared" si="22"/>
        <v>295</v>
      </c>
      <c r="M34" s="18">
        <f t="shared" si="23"/>
        <v>159</v>
      </c>
      <c r="N34" s="14">
        <f t="shared" si="24"/>
        <v>295</v>
      </c>
      <c r="O34" s="15">
        <f t="shared" si="25"/>
        <v>179</v>
      </c>
      <c r="P34" s="17">
        <f t="shared" si="26"/>
        <v>268</v>
      </c>
      <c r="Q34" s="18">
        <f t="shared" si="27"/>
        <v>179</v>
      </c>
      <c r="R34" s="4" t="s">
        <v>0</v>
      </c>
      <c r="S34" s="16" t="str">
        <f t="shared" si="28"/>
        <v>03-08</v>
      </c>
      <c r="T34" s="14">
        <f t="shared" si="29"/>
        <v>268</v>
      </c>
      <c r="U34" s="18">
        <f t="shared" si="30"/>
        <v>591</v>
      </c>
      <c r="V34" s="14">
        <f t="shared" si="31"/>
        <v>295</v>
      </c>
      <c r="W34" s="18">
        <f t="shared" si="32"/>
        <v>591</v>
      </c>
      <c r="X34" s="14">
        <f t="shared" si="33"/>
        <v>295</v>
      </c>
      <c r="Y34" s="18">
        <f t="shared" si="34"/>
        <v>571</v>
      </c>
      <c r="Z34" s="14">
        <f t="shared" si="35"/>
        <v>268</v>
      </c>
      <c r="AA34" s="18">
        <f t="shared" si="36"/>
        <v>571</v>
      </c>
      <c r="AB34" s="4" t="s">
        <v>0</v>
      </c>
    </row>
    <row r="35" spans="1:28">
      <c r="A35" s="9" t="s">
        <v>35</v>
      </c>
      <c r="B35" s="24"/>
      <c r="C35" s="26"/>
      <c r="D35" s="25">
        <f t="shared" si="56"/>
        <v>295</v>
      </c>
      <c r="E35" s="29">
        <f t="shared" ref="E35" si="67">E34</f>
        <v>159</v>
      </c>
      <c r="F35" s="25">
        <f t="shared" si="58"/>
        <v>322</v>
      </c>
      <c r="G35" s="29">
        <f t="shared" ref="G35" si="68">G34</f>
        <v>179</v>
      </c>
      <c r="H35" s="4" t="s">
        <v>0</v>
      </c>
      <c r="I35" s="16" t="str">
        <f t="shared" si="19"/>
        <v>03-07</v>
      </c>
      <c r="J35" s="14">
        <f t="shared" si="20"/>
        <v>295</v>
      </c>
      <c r="K35" s="15">
        <f t="shared" si="21"/>
        <v>159</v>
      </c>
      <c r="L35" s="17">
        <f t="shared" si="22"/>
        <v>322</v>
      </c>
      <c r="M35" s="18">
        <f t="shared" si="23"/>
        <v>159</v>
      </c>
      <c r="N35" s="14">
        <f t="shared" si="24"/>
        <v>322</v>
      </c>
      <c r="O35" s="15">
        <f t="shared" si="25"/>
        <v>179</v>
      </c>
      <c r="P35" s="17">
        <f t="shared" si="26"/>
        <v>295</v>
      </c>
      <c r="Q35" s="18">
        <f t="shared" si="27"/>
        <v>179</v>
      </c>
      <c r="R35" s="4" t="s">
        <v>0</v>
      </c>
      <c r="S35" s="16" t="str">
        <f t="shared" si="28"/>
        <v>03-07</v>
      </c>
      <c r="T35" s="14">
        <f t="shared" si="29"/>
        <v>295</v>
      </c>
      <c r="U35" s="18">
        <f t="shared" si="30"/>
        <v>591</v>
      </c>
      <c r="V35" s="14">
        <f t="shared" si="31"/>
        <v>322</v>
      </c>
      <c r="W35" s="18">
        <f t="shared" si="32"/>
        <v>591</v>
      </c>
      <c r="X35" s="14">
        <f t="shared" si="33"/>
        <v>322</v>
      </c>
      <c r="Y35" s="18">
        <f t="shared" si="34"/>
        <v>571</v>
      </c>
      <c r="Z35" s="14">
        <f t="shared" si="35"/>
        <v>295</v>
      </c>
      <c r="AA35" s="18">
        <f t="shared" si="36"/>
        <v>571</v>
      </c>
      <c r="AB35" s="4" t="s">
        <v>0</v>
      </c>
    </row>
    <row r="36" spans="1:28">
      <c r="A36" s="9" t="s">
        <v>34</v>
      </c>
      <c r="B36" s="24"/>
      <c r="C36" s="26"/>
      <c r="D36" s="25">
        <f t="shared" si="56"/>
        <v>322</v>
      </c>
      <c r="E36" s="29">
        <f t="shared" ref="E36" si="69">E35</f>
        <v>159</v>
      </c>
      <c r="F36" s="25">
        <f t="shared" si="58"/>
        <v>349</v>
      </c>
      <c r="G36" s="29">
        <f t="shared" ref="G36" si="70">G35</f>
        <v>179</v>
      </c>
      <c r="H36" s="4" t="s">
        <v>0</v>
      </c>
      <c r="I36" s="16" t="str">
        <f t="shared" si="19"/>
        <v>03-06</v>
      </c>
      <c r="J36" s="14">
        <f t="shared" si="20"/>
        <v>322</v>
      </c>
      <c r="K36" s="15">
        <f t="shared" si="21"/>
        <v>159</v>
      </c>
      <c r="L36" s="17">
        <f t="shared" si="22"/>
        <v>349</v>
      </c>
      <c r="M36" s="18">
        <f t="shared" si="23"/>
        <v>159</v>
      </c>
      <c r="N36" s="14">
        <f t="shared" si="24"/>
        <v>349</v>
      </c>
      <c r="O36" s="15">
        <f t="shared" si="25"/>
        <v>179</v>
      </c>
      <c r="P36" s="17">
        <f t="shared" si="26"/>
        <v>322</v>
      </c>
      <c r="Q36" s="18">
        <f t="shared" si="27"/>
        <v>179</v>
      </c>
      <c r="R36" s="4" t="s">
        <v>0</v>
      </c>
      <c r="S36" s="16" t="str">
        <f t="shared" si="28"/>
        <v>03-06</v>
      </c>
      <c r="T36" s="14">
        <f t="shared" si="29"/>
        <v>322</v>
      </c>
      <c r="U36" s="18">
        <f t="shared" si="30"/>
        <v>591</v>
      </c>
      <c r="V36" s="14">
        <f t="shared" si="31"/>
        <v>349</v>
      </c>
      <c r="W36" s="18">
        <f t="shared" si="32"/>
        <v>591</v>
      </c>
      <c r="X36" s="14">
        <f t="shared" si="33"/>
        <v>349</v>
      </c>
      <c r="Y36" s="18">
        <f t="shared" si="34"/>
        <v>571</v>
      </c>
      <c r="Z36" s="14">
        <f t="shared" si="35"/>
        <v>322</v>
      </c>
      <c r="AA36" s="18">
        <f t="shared" si="36"/>
        <v>571</v>
      </c>
      <c r="AB36" s="4" t="s">
        <v>0</v>
      </c>
    </row>
    <row r="37" spans="1:28">
      <c r="A37" s="9" t="s">
        <v>33</v>
      </c>
      <c r="B37" s="24"/>
      <c r="C37" s="26"/>
      <c r="D37" s="25">
        <f t="shared" si="56"/>
        <v>349</v>
      </c>
      <c r="E37" s="29">
        <f t="shared" ref="E37" si="71">E36</f>
        <v>159</v>
      </c>
      <c r="F37" s="25">
        <f t="shared" si="58"/>
        <v>376</v>
      </c>
      <c r="G37" s="29">
        <f t="shared" ref="G37" si="72">G36</f>
        <v>179</v>
      </c>
      <c r="H37" s="4" t="s">
        <v>0</v>
      </c>
      <c r="I37" s="16" t="str">
        <f t="shared" si="19"/>
        <v>03-05</v>
      </c>
      <c r="J37" s="14">
        <f t="shared" si="20"/>
        <v>349</v>
      </c>
      <c r="K37" s="15">
        <f t="shared" si="21"/>
        <v>159</v>
      </c>
      <c r="L37" s="17">
        <f t="shared" si="22"/>
        <v>376</v>
      </c>
      <c r="M37" s="18">
        <f t="shared" si="23"/>
        <v>159</v>
      </c>
      <c r="N37" s="14">
        <f t="shared" si="24"/>
        <v>376</v>
      </c>
      <c r="O37" s="15">
        <f t="shared" si="25"/>
        <v>179</v>
      </c>
      <c r="P37" s="17">
        <f t="shared" si="26"/>
        <v>349</v>
      </c>
      <c r="Q37" s="18">
        <f t="shared" si="27"/>
        <v>179</v>
      </c>
      <c r="R37" s="4" t="s">
        <v>0</v>
      </c>
      <c r="S37" s="16" t="str">
        <f t="shared" si="28"/>
        <v>03-05</v>
      </c>
      <c r="T37" s="14">
        <f t="shared" si="29"/>
        <v>349</v>
      </c>
      <c r="U37" s="18">
        <f t="shared" si="30"/>
        <v>591</v>
      </c>
      <c r="V37" s="14">
        <f t="shared" si="31"/>
        <v>376</v>
      </c>
      <c r="W37" s="18">
        <f t="shared" si="32"/>
        <v>591</v>
      </c>
      <c r="X37" s="14">
        <f t="shared" si="33"/>
        <v>376</v>
      </c>
      <c r="Y37" s="18">
        <f t="shared" si="34"/>
        <v>571</v>
      </c>
      <c r="Z37" s="14">
        <f t="shared" si="35"/>
        <v>349</v>
      </c>
      <c r="AA37" s="18">
        <f t="shared" si="36"/>
        <v>571</v>
      </c>
      <c r="AB37" s="4" t="s">
        <v>0</v>
      </c>
    </row>
    <row r="38" spans="1:28">
      <c r="A38" s="9" t="s">
        <v>32</v>
      </c>
      <c r="B38" s="24"/>
      <c r="C38" s="26"/>
      <c r="D38" s="25">
        <f t="shared" si="56"/>
        <v>376</v>
      </c>
      <c r="E38" s="29">
        <f t="shared" ref="E38" si="73">E37</f>
        <v>159</v>
      </c>
      <c r="F38" s="25">
        <f t="shared" si="58"/>
        <v>403</v>
      </c>
      <c r="G38" s="29">
        <f t="shared" ref="G38" si="74">G37</f>
        <v>179</v>
      </c>
      <c r="H38" s="4" t="s">
        <v>0</v>
      </c>
      <c r="I38" s="16" t="str">
        <f t="shared" si="19"/>
        <v>03-03</v>
      </c>
      <c r="J38" s="14">
        <f t="shared" si="20"/>
        <v>376</v>
      </c>
      <c r="K38" s="15">
        <f t="shared" si="21"/>
        <v>159</v>
      </c>
      <c r="L38" s="17">
        <f t="shared" si="22"/>
        <v>403</v>
      </c>
      <c r="M38" s="18">
        <f t="shared" si="23"/>
        <v>159</v>
      </c>
      <c r="N38" s="14">
        <f t="shared" si="24"/>
        <v>403</v>
      </c>
      <c r="O38" s="15">
        <f t="shared" si="25"/>
        <v>179</v>
      </c>
      <c r="P38" s="17">
        <f t="shared" si="26"/>
        <v>376</v>
      </c>
      <c r="Q38" s="18">
        <f t="shared" si="27"/>
        <v>179</v>
      </c>
      <c r="R38" s="4" t="s">
        <v>0</v>
      </c>
      <c r="S38" s="16" t="str">
        <f t="shared" si="28"/>
        <v>03-03</v>
      </c>
      <c r="T38" s="14">
        <f t="shared" si="29"/>
        <v>376</v>
      </c>
      <c r="U38" s="18">
        <f t="shared" si="30"/>
        <v>591</v>
      </c>
      <c r="V38" s="14">
        <f t="shared" si="31"/>
        <v>403</v>
      </c>
      <c r="W38" s="18">
        <f t="shared" si="32"/>
        <v>591</v>
      </c>
      <c r="X38" s="14">
        <f t="shared" si="33"/>
        <v>403</v>
      </c>
      <c r="Y38" s="18">
        <f t="shared" si="34"/>
        <v>571</v>
      </c>
      <c r="Z38" s="14">
        <f t="shared" si="35"/>
        <v>376</v>
      </c>
      <c r="AA38" s="18">
        <f t="shared" si="36"/>
        <v>571</v>
      </c>
      <c r="AB38" s="4" t="s">
        <v>0</v>
      </c>
    </row>
    <row r="39" spans="1:28">
      <c r="A39" s="9" t="s">
        <v>31</v>
      </c>
      <c r="B39" s="24"/>
      <c r="C39" s="26"/>
      <c r="D39" s="25">
        <f t="shared" si="56"/>
        <v>403</v>
      </c>
      <c r="E39" s="29">
        <f t="shared" ref="E39" si="75">E38</f>
        <v>159</v>
      </c>
      <c r="F39" s="25">
        <f t="shared" si="58"/>
        <v>430</v>
      </c>
      <c r="G39" s="29">
        <f t="shared" ref="G39" si="76">G38</f>
        <v>179</v>
      </c>
      <c r="H39" s="4" t="s">
        <v>0</v>
      </c>
      <c r="I39" s="16" t="str">
        <f t="shared" si="19"/>
        <v>03-02</v>
      </c>
      <c r="J39" s="14">
        <f t="shared" si="20"/>
        <v>403</v>
      </c>
      <c r="K39" s="15">
        <f t="shared" si="21"/>
        <v>159</v>
      </c>
      <c r="L39" s="17">
        <f t="shared" si="22"/>
        <v>430</v>
      </c>
      <c r="M39" s="18">
        <f t="shared" si="23"/>
        <v>159</v>
      </c>
      <c r="N39" s="14">
        <f t="shared" si="24"/>
        <v>430</v>
      </c>
      <c r="O39" s="15">
        <f t="shared" si="25"/>
        <v>179</v>
      </c>
      <c r="P39" s="17">
        <f t="shared" si="26"/>
        <v>403</v>
      </c>
      <c r="Q39" s="18">
        <f t="shared" si="27"/>
        <v>179</v>
      </c>
      <c r="R39" s="4" t="s">
        <v>0</v>
      </c>
      <c r="S39" s="16" t="str">
        <f t="shared" si="28"/>
        <v>03-02</v>
      </c>
      <c r="T39" s="14">
        <f t="shared" si="29"/>
        <v>403</v>
      </c>
      <c r="U39" s="18">
        <f t="shared" si="30"/>
        <v>591</v>
      </c>
      <c r="V39" s="14">
        <f t="shared" si="31"/>
        <v>430</v>
      </c>
      <c r="W39" s="18">
        <f t="shared" si="32"/>
        <v>591</v>
      </c>
      <c r="X39" s="14">
        <f t="shared" si="33"/>
        <v>430</v>
      </c>
      <c r="Y39" s="18">
        <f t="shared" si="34"/>
        <v>571</v>
      </c>
      <c r="Z39" s="14">
        <f t="shared" si="35"/>
        <v>403</v>
      </c>
      <c r="AA39" s="18">
        <f t="shared" si="36"/>
        <v>571</v>
      </c>
      <c r="AB39" s="4" t="s">
        <v>0</v>
      </c>
    </row>
    <row r="40" spans="1:28">
      <c r="A40" s="9" t="s">
        <v>30</v>
      </c>
      <c r="B40" s="24"/>
      <c r="C40" s="26"/>
      <c r="D40" s="25">
        <f t="shared" si="56"/>
        <v>430</v>
      </c>
      <c r="E40" s="29">
        <f t="shared" ref="E40" si="77">E39</f>
        <v>159</v>
      </c>
      <c r="F40" s="25">
        <f t="shared" si="58"/>
        <v>457</v>
      </c>
      <c r="G40" s="29">
        <f t="shared" ref="G40" si="78">G39</f>
        <v>179</v>
      </c>
      <c r="H40" s="4" t="s">
        <v>0</v>
      </c>
      <c r="I40" s="16" t="str">
        <f t="shared" si="19"/>
        <v>03-01</v>
      </c>
      <c r="J40" s="14">
        <f t="shared" si="20"/>
        <v>430</v>
      </c>
      <c r="K40" s="15">
        <f t="shared" si="21"/>
        <v>159</v>
      </c>
      <c r="L40" s="17">
        <f t="shared" si="22"/>
        <v>457</v>
      </c>
      <c r="M40" s="18">
        <f t="shared" si="23"/>
        <v>159</v>
      </c>
      <c r="N40" s="14">
        <f t="shared" si="24"/>
        <v>457</v>
      </c>
      <c r="O40" s="15">
        <f t="shared" si="25"/>
        <v>179</v>
      </c>
      <c r="P40" s="17">
        <f t="shared" si="26"/>
        <v>430</v>
      </c>
      <c r="Q40" s="18">
        <f t="shared" si="27"/>
        <v>179</v>
      </c>
      <c r="R40" s="4" t="s">
        <v>0</v>
      </c>
      <c r="S40" s="16" t="str">
        <f t="shared" si="28"/>
        <v>03-01</v>
      </c>
      <c r="T40" s="14">
        <f t="shared" si="29"/>
        <v>430</v>
      </c>
      <c r="U40" s="18">
        <f t="shared" si="30"/>
        <v>591</v>
      </c>
      <c r="V40" s="14">
        <f t="shared" si="31"/>
        <v>457</v>
      </c>
      <c r="W40" s="18">
        <f t="shared" si="32"/>
        <v>591</v>
      </c>
      <c r="X40" s="14">
        <f t="shared" si="33"/>
        <v>457</v>
      </c>
      <c r="Y40" s="18">
        <f t="shared" si="34"/>
        <v>571</v>
      </c>
      <c r="Z40" s="14">
        <f t="shared" si="35"/>
        <v>430</v>
      </c>
      <c r="AA40" s="18">
        <f t="shared" si="36"/>
        <v>571</v>
      </c>
      <c r="AB40" s="4" t="s">
        <v>0</v>
      </c>
    </row>
    <row r="41" spans="1:28">
      <c r="A41" s="9" t="s">
        <v>152</v>
      </c>
      <c r="B41" s="24"/>
      <c r="C41" s="26">
        <v>2</v>
      </c>
      <c r="D41" s="25">
        <f>D26</f>
        <v>31</v>
      </c>
      <c r="E41" s="28">
        <f>ROUND(E$11+25*$C41, 0)</f>
        <v>184</v>
      </c>
      <c r="F41" s="25">
        <f>F26</f>
        <v>58</v>
      </c>
      <c r="G41" s="28">
        <f>ROUND(G$11+25*$C41, 0)</f>
        <v>204</v>
      </c>
      <c r="H41" s="4" t="s">
        <v>0</v>
      </c>
      <c r="I41" s="16" t="str">
        <f t="shared" si="19"/>
        <v>02-18</v>
      </c>
      <c r="J41" s="14">
        <f t="shared" si="20"/>
        <v>31</v>
      </c>
      <c r="K41" s="15">
        <f t="shared" si="21"/>
        <v>184</v>
      </c>
      <c r="L41" s="17">
        <f t="shared" si="22"/>
        <v>58</v>
      </c>
      <c r="M41" s="18">
        <f t="shared" si="23"/>
        <v>184</v>
      </c>
      <c r="N41" s="14">
        <f t="shared" si="24"/>
        <v>58</v>
      </c>
      <c r="O41" s="15">
        <f t="shared" si="25"/>
        <v>204</v>
      </c>
      <c r="P41" s="17">
        <f t="shared" si="26"/>
        <v>31</v>
      </c>
      <c r="Q41" s="18">
        <f t="shared" si="27"/>
        <v>204</v>
      </c>
      <c r="R41" s="4" t="s">
        <v>0</v>
      </c>
      <c r="S41" s="16" t="str">
        <f t="shared" si="28"/>
        <v>02-18</v>
      </c>
      <c r="T41" s="14">
        <f t="shared" si="29"/>
        <v>31</v>
      </c>
      <c r="U41" s="18">
        <f t="shared" si="30"/>
        <v>566</v>
      </c>
      <c r="V41" s="14">
        <f t="shared" si="31"/>
        <v>58</v>
      </c>
      <c r="W41" s="18">
        <f t="shared" si="32"/>
        <v>566</v>
      </c>
      <c r="X41" s="14">
        <f t="shared" si="33"/>
        <v>58</v>
      </c>
      <c r="Y41" s="18">
        <f t="shared" si="34"/>
        <v>546</v>
      </c>
      <c r="Z41" s="14">
        <f t="shared" si="35"/>
        <v>31</v>
      </c>
      <c r="AA41" s="18">
        <f t="shared" si="36"/>
        <v>546</v>
      </c>
      <c r="AB41" s="4" t="s">
        <v>0</v>
      </c>
    </row>
    <row r="42" spans="1:28">
      <c r="A42" s="9" t="s">
        <v>151</v>
      </c>
      <c r="B42" s="24"/>
      <c r="C42" s="26"/>
      <c r="D42" s="25">
        <f t="shared" si="56"/>
        <v>58</v>
      </c>
      <c r="E42" s="29">
        <f t="shared" ref="E42" si="79">E41</f>
        <v>184</v>
      </c>
      <c r="F42" s="25">
        <f t="shared" si="58"/>
        <v>85</v>
      </c>
      <c r="G42" s="29">
        <f t="shared" ref="G42" si="80">G41</f>
        <v>204</v>
      </c>
      <c r="H42" s="4" t="s">
        <v>0</v>
      </c>
      <c r="I42" s="16" t="str">
        <f t="shared" si="19"/>
        <v>02-17</v>
      </c>
      <c r="J42" s="14">
        <f t="shared" si="20"/>
        <v>58</v>
      </c>
      <c r="K42" s="15">
        <f t="shared" si="21"/>
        <v>184</v>
      </c>
      <c r="L42" s="17">
        <f t="shared" si="22"/>
        <v>85</v>
      </c>
      <c r="M42" s="18">
        <f t="shared" si="23"/>
        <v>184</v>
      </c>
      <c r="N42" s="14">
        <f t="shared" si="24"/>
        <v>85</v>
      </c>
      <c r="O42" s="15">
        <f t="shared" si="25"/>
        <v>204</v>
      </c>
      <c r="P42" s="17">
        <f t="shared" si="26"/>
        <v>58</v>
      </c>
      <c r="Q42" s="18">
        <f t="shared" si="27"/>
        <v>204</v>
      </c>
      <c r="R42" s="4" t="s">
        <v>0</v>
      </c>
      <c r="S42" s="16" t="str">
        <f t="shared" si="28"/>
        <v>02-17</v>
      </c>
      <c r="T42" s="14">
        <f t="shared" si="29"/>
        <v>58</v>
      </c>
      <c r="U42" s="18">
        <f t="shared" si="30"/>
        <v>566</v>
      </c>
      <c r="V42" s="14">
        <f t="shared" si="31"/>
        <v>85</v>
      </c>
      <c r="W42" s="18">
        <f t="shared" si="32"/>
        <v>566</v>
      </c>
      <c r="X42" s="14">
        <f t="shared" si="33"/>
        <v>85</v>
      </c>
      <c r="Y42" s="18">
        <f t="shared" si="34"/>
        <v>546</v>
      </c>
      <c r="Z42" s="14">
        <f t="shared" si="35"/>
        <v>58</v>
      </c>
      <c r="AA42" s="18">
        <f t="shared" si="36"/>
        <v>546</v>
      </c>
      <c r="AB42" s="4" t="s">
        <v>0</v>
      </c>
    </row>
    <row r="43" spans="1:28">
      <c r="A43" s="9" t="s">
        <v>150</v>
      </c>
      <c r="B43" s="24"/>
      <c r="C43" s="26"/>
      <c r="D43" s="25">
        <f t="shared" si="56"/>
        <v>85</v>
      </c>
      <c r="E43" s="29">
        <f t="shared" ref="E43" si="81">E42</f>
        <v>184</v>
      </c>
      <c r="F43" s="25">
        <f t="shared" si="58"/>
        <v>112</v>
      </c>
      <c r="G43" s="29">
        <f t="shared" ref="G43" si="82">G42</f>
        <v>204</v>
      </c>
      <c r="H43" s="4" t="s">
        <v>0</v>
      </c>
      <c r="I43" s="16" t="str">
        <f t="shared" si="19"/>
        <v>02-16</v>
      </c>
      <c r="J43" s="14">
        <f t="shared" si="20"/>
        <v>85</v>
      </c>
      <c r="K43" s="15">
        <f t="shared" si="21"/>
        <v>184</v>
      </c>
      <c r="L43" s="17">
        <f t="shared" si="22"/>
        <v>112</v>
      </c>
      <c r="M43" s="18">
        <f t="shared" si="23"/>
        <v>184</v>
      </c>
      <c r="N43" s="14">
        <f t="shared" si="24"/>
        <v>112</v>
      </c>
      <c r="O43" s="15">
        <f t="shared" si="25"/>
        <v>204</v>
      </c>
      <c r="P43" s="17">
        <f t="shared" si="26"/>
        <v>85</v>
      </c>
      <c r="Q43" s="18">
        <f t="shared" si="27"/>
        <v>204</v>
      </c>
      <c r="R43" s="4" t="s">
        <v>0</v>
      </c>
      <c r="S43" s="16" t="str">
        <f t="shared" si="28"/>
        <v>02-16</v>
      </c>
      <c r="T43" s="14">
        <f t="shared" si="29"/>
        <v>85</v>
      </c>
      <c r="U43" s="18">
        <f t="shared" si="30"/>
        <v>566</v>
      </c>
      <c r="V43" s="14">
        <f t="shared" si="31"/>
        <v>112</v>
      </c>
      <c r="W43" s="18">
        <f t="shared" si="32"/>
        <v>566</v>
      </c>
      <c r="X43" s="14">
        <f t="shared" si="33"/>
        <v>112</v>
      </c>
      <c r="Y43" s="18">
        <f t="shared" si="34"/>
        <v>546</v>
      </c>
      <c r="Z43" s="14">
        <f t="shared" si="35"/>
        <v>85</v>
      </c>
      <c r="AA43" s="18">
        <f t="shared" si="36"/>
        <v>546</v>
      </c>
      <c r="AB43" s="4" t="s">
        <v>0</v>
      </c>
    </row>
    <row r="44" spans="1:28">
      <c r="A44" s="9" t="s">
        <v>149</v>
      </c>
      <c r="B44" s="24"/>
      <c r="C44" s="26"/>
      <c r="D44" s="25">
        <f t="shared" si="56"/>
        <v>112</v>
      </c>
      <c r="E44" s="29">
        <f t="shared" ref="E44" si="83">E43</f>
        <v>184</v>
      </c>
      <c r="F44" s="25">
        <f t="shared" si="58"/>
        <v>139</v>
      </c>
      <c r="G44" s="29">
        <f t="shared" ref="G44" si="84">G43</f>
        <v>204</v>
      </c>
      <c r="H44" s="4" t="s">
        <v>0</v>
      </c>
      <c r="I44" s="16" t="str">
        <f t="shared" si="19"/>
        <v>02-15</v>
      </c>
      <c r="J44" s="14">
        <f t="shared" si="20"/>
        <v>112</v>
      </c>
      <c r="K44" s="15">
        <f t="shared" si="21"/>
        <v>184</v>
      </c>
      <c r="L44" s="17">
        <f t="shared" si="22"/>
        <v>139</v>
      </c>
      <c r="M44" s="18">
        <f t="shared" si="23"/>
        <v>184</v>
      </c>
      <c r="N44" s="14">
        <f t="shared" si="24"/>
        <v>139</v>
      </c>
      <c r="O44" s="15">
        <f t="shared" si="25"/>
        <v>204</v>
      </c>
      <c r="P44" s="17">
        <f t="shared" si="26"/>
        <v>112</v>
      </c>
      <c r="Q44" s="18">
        <f t="shared" si="27"/>
        <v>204</v>
      </c>
      <c r="R44" s="4" t="s">
        <v>0</v>
      </c>
      <c r="S44" s="16" t="str">
        <f t="shared" si="28"/>
        <v>02-15</v>
      </c>
      <c r="T44" s="14">
        <f t="shared" si="29"/>
        <v>112</v>
      </c>
      <c r="U44" s="18">
        <f t="shared" si="30"/>
        <v>566</v>
      </c>
      <c r="V44" s="14">
        <f t="shared" si="31"/>
        <v>139</v>
      </c>
      <c r="W44" s="18">
        <f t="shared" si="32"/>
        <v>566</v>
      </c>
      <c r="X44" s="14">
        <f t="shared" si="33"/>
        <v>139</v>
      </c>
      <c r="Y44" s="18">
        <f t="shared" si="34"/>
        <v>546</v>
      </c>
      <c r="Z44" s="14">
        <f t="shared" si="35"/>
        <v>112</v>
      </c>
      <c r="AA44" s="18">
        <f t="shared" si="36"/>
        <v>546</v>
      </c>
      <c r="AB44" s="4" t="s">
        <v>0</v>
      </c>
    </row>
    <row r="45" spans="1:28">
      <c r="A45" s="9" t="s">
        <v>148</v>
      </c>
      <c r="B45" s="24"/>
      <c r="C45" s="26"/>
      <c r="D45" s="25">
        <f t="shared" si="56"/>
        <v>139</v>
      </c>
      <c r="E45" s="29">
        <f t="shared" ref="E45" si="85">E44</f>
        <v>184</v>
      </c>
      <c r="F45" s="25">
        <f t="shared" si="58"/>
        <v>166</v>
      </c>
      <c r="G45" s="29">
        <f t="shared" ref="G45:G55" si="86">G44</f>
        <v>204</v>
      </c>
      <c r="H45" s="4" t="s">
        <v>0</v>
      </c>
      <c r="I45" s="16" t="str">
        <f t="shared" si="19"/>
        <v>02-13</v>
      </c>
      <c r="J45" s="14">
        <f t="shared" si="20"/>
        <v>139</v>
      </c>
      <c r="K45" s="15">
        <f t="shared" si="21"/>
        <v>184</v>
      </c>
      <c r="L45" s="17">
        <f t="shared" si="22"/>
        <v>166</v>
      </c>
      <c r="M45" s="18">
        <f t="shared" si="23"/>
        <v>184</v>
      </c>
      <c r="N45" s="14">
        <f t="shared" si="24"/>
        <v>166</v>
      </c>
      <c r="O45" s="15">
        <f t="shared" si="25"/>
        <v>204</v>
      </c>
      <c r="P45" s="17">
        <f t="shared" si="26"/>
        <v>139</v>
      </c>
      <c r="Q45" s="18">
        <f t="shared" si="27"/>
        <v>204</v>
      </c>
      <c r="R45" s="4" t="s">
        <v>0</v>
      </c>
      <c r="S45" s="16" t="str">
        <f t="shared" si="28"/>
        <v>02-13</v>
      </c>
      <c r="T45" s="14">
        <f t="shared" si="29"/>
        <v>139</v>
      </c>
      <c r="U45" s="18">
        <f t="shared" si="30"/>
        <v>566</v>
      </c>
      <c r="V45" s="14">
        <f t="shared" si="31"/>
        <v>166</v>
      </c>
      <c r="W45" s="18">
        <f t="shared" si="32"/>
        <v>566</v>
      </c>
      <c r="X45" s="14">
        <f t="shared" si="33"/>
        <v>166</v>
      </c>
      <c r="Y45" s="18">
        <f t="shared" si="34"/>
        <v>546</v>
      </c>
      <c r="Z45" s="14">
        <f t="shared" si="35"/>
        <v>139</v>
      </c>
      <c r="AA45" s="18">
        <f t="shared" si="36"/>
        <v>546</v>
      </c>
      <c r="AB45" s="4" t="s">
        <v>0</v>
      </c>
    </row>
    <row r="46" spans="1:28">
      <c r="A46" s="9" t="s">
        <v>29</v>
      </c>
      <c r="B46" s="24"/>
      <c r="C46" s="26"/>
      <c r="D46" s="25">
        <f t="shared" si="56"/>
        <v>166</v>
      </c>
      <c r="E46" s="29">
        <f t="shared" ref="E46" si="87">E45</f>
        <v>184</v>
      </c>
      <c r="F46" s="25">
        <f t="shared" si="58"/>
        <v>193</v>
      </c>
      <c r="G46" s="29">
        <f t="shared" si="86"/>
        <v>204</v>
      </c>
      <c r="H46" s="4" t="s">
        <v>0</v>
      </c>
      <c r="I46" s="16" t="str">
        <f t="shared" si="19"/>
        <v>02-12</v>
      </c>
      <c r="J46" s="14">
        <f t="shared" si="20"/>
        <v>166</v>
      </c>
      <c r="K46" s="15">
        <f t="shared" si="21"/>
        <v>184</v>
      </c>
      <c r="L46" s="17">
        <f t="shared" si="22"/>
        <v>193</v>
      </c>
      <c r="M46" s="18">
        <f t="shared" si="23"/>
        <v>184</v>
      </c>
      <c r="N46" s="14">
        <f t="shared" si="24"/>
        <v>193</v>
      </c>
      <c r="O46" s="15">
        <f t="shared" si="25"/>
        <v>204</v>
      </c>
      <c r="P46" s="17">
        <f t="shared" si="26"/>
        <v>166</v>
      </c>
      <c r="Q46" s="18">
        <f t="shared" si="27"/>
        <v>204</v>
      </c>
      <c r="R46" s="4" t="s">
        <v>0</v>
      </c>
      <c r="S46" s="16" t="str">
        <f t="shared" si="28"/>
        <v>02-12</v>
      </c>
      <c r="T46" s="14">
        <f t="shared" si="29"/>
        <v>166</v>
      </c>
      <c r="U46" s="18">
        <f t="shared" si="30"/>
        <v>566</v>
      </c>
      <c r="V46" s="14">
        <f t="shared" si="31"/>
        <v>193</v>
      </c>
      <c r="W46" s="18">
        <f t="shared" si="32"/>
        <v>566</v>
      </c>
      <c r="X46" s="14">
        <f t="shared" si="33"/>
        <v>193</v>
      </c>
      <c r="Y46" s="18">
        <f t="shared" si="34"/>
        <v>546</v>
      </c>
      <c r="Z46" s="14">
        <f t="shared" si="35"/>
        <v>166</v>
      </c>
      <c r="AA46" s="18">
        <f t="shared" si="36"/>
        <v>546</v>
      </c>
      <c r="AB46" s="4" t="s">
        <v>0</v>
      </c>
    </row>
    <row r="47" spans="1:28">
      <c r="A47" s="9" t="s">
        <v>28</v>
      </c>
      <c r="B47" s="24"/>
      <c r="C47" s="26"/>
      <c r="D47" s="25">
        <f t="shared" si="56"/>
        <v>193</v>
      </c>
      <c r="E47" s="29">
        <f t="shared" ref="E47" si="88">E46</f>
        <v>184</v>
      </c>
      <c r="F47" s="25">
        <f t="shared" si="58"/>
        <v>220</v>
      </c>
      <c r="G47" s="29">
        <f t="shared" si="86"/>
        <v>204</v>
      </c>
      <c r="H47" s="4" t="s">
        <v>0</v>
      </c>
      <c r="I47" s="16" t="str">
        <f t="shared" si="19"/>
        <v>02-11</v>
      </c>
      <c r="J47" s="14">
        <f t="shared" si="20"/>
        <v>193</v>
      </c>
      <c r="K47" s="15">
        <f t="shared" si="21"/>
        <v>184</v>
      </c>
      <c r="L47" s="17">
        <f t="shared" si="22"/>
        <v>220</v>
      </c>
      <c r="M47" s="18">
        <f t="shared" si="23"/>
        <v>184</v>
      </c>
      <c r="N47" s="14">
        <f t="shared" si="24"/>
        <v>220</v>
      </c>
      <c r="O47" s="15">
        <f t="shared" si="25"/>
        <v>204</v>
      </c>
      <c r="P47" s="17">
        <f t="shared" si="26"/>
        <v>193</v>
      </c>
      <c r="Q47" s="18">
        <f t="shared" si="27"/>
        <v>204</v>
      </c>
      <c r="R47" s="4" t="s">
        <v>0</v>
      </c>
      <c r="S47" s="16" t="str">
        <f t="shared" si="28"/>
        <v>02-11</v>
      </c>
      <c r="T47" s="14">
        <f t="shared" si="29"/>
        <v>193</v>
      </c>
      <c r="U47" s="18">
        <f t="shared" si="30"/>
        <v>566</v>
      </c>
      <c r="V47" s="14">
        <f t="shared" si="31"/>
        <v>220</v>
      </c>
      <c r="W47" s="18">
        <f t="shared" si="32"/>
        <v>566</v>
      </c>
      <c r="X47" s="14">
        <f t="shared" si="33"/>
        <v>220</v>
      </c>
      <c r="Y47" s="18">
        <f t="shared" si="34"/>
        <v>546</v>
      </c>
      <c r="Z47" s="14">
        <f t="shared" si="35"/>
        <v>193</v>
      </c>
      <c r="AA47" s="18">
        <f t="shared" si="36"/>
        <v>546</v>
      </c>
      <c r="AB47" s="4" t="s">
        <v>0</v>
      </c>
    </row>
    <row r="48" spans="1:28">
      <c r="A48" s="9" t="s">
        <v>27</v>
      </c>
      <c r="B48" s="24"/>
      <c r="C48" s="26"/>
      <c r="D48" s="25">
        <f t="shared" si="56"/>
        <v>220</v>
      </c>
      <c r="E48" s="29">
        <f t="shared" ref="E48" si="89">E47</f>
        <v>184</v>
      </c>
      <c r="F48" s="25">
        <f t="shared" si="58"/>
        <v>247</v>
      </c>
      <c r="G48" s="29">
        <f t="shared" si="86"/>
        <v>204</v>
      </c>
      <c r="H48" s="4" t="s">
        <v>0</v>
      </c>
      <c r="I48" s="16" t="str">
        <f t="shared" si="19"/>
        <v>02-10</v>
      </c>
      <c r="J48" s="14">
        <f t="shared" si="20"/>
        <v>220</v>
      </c>
      <c r="K48" s="15">
        <f t="shared" si="21"/>
        <v>184</v>
      </c>
      <c r="L48" s="17">
        <f t="shared" si="22"/>
        <v>247</v>
      </c>
      <c r="M48" s="18">
        <f t="shared" si="23"/>
        <v>184</v>
      </c>
      <c r="N48" s="14">
        <f t="shared" si="24"/>
        <v>247</v>
      </c>
      <c r="O48" s="15">
        <f t="shared" si="25"/>
        <v>204</v>
      </c>
      <c r="P48" s="17">
        <f t="shared" si="26"/>
        <v>220</v>
      </c>
      <c r="Q48" s="18">
        <f t="shared" si="27"/>
        <v>204</v>
      </c>
      <c r="R48" s="4" t="s">
        <v>0</v>
      </c>
      <c r="S48" s="16" t="str">
        <f t="shared" si="28"/>
        <v>02-10</v>
      </c>
      <c r="T48" s="14">
        <f t="shared" si="29"/>
        <v>220</v>
      </c>
      <c r="U48" s="18">
        <f t="shared" si="30"/>
        <v>566</v>
      </c>
      <c r="V48" s="14">
        <f t="shared" si="31"/>
        <v>247</v>
      </c>
      <c r="W48" s="18">
        <f t="shared" si="32"/>
        <v>566</v>
      </c>
      <c r="X48" s="14">
        <f t="shared" si="33"/>
        <v>247</v>
      </c>
      <c r="Y48" s="18">
        <f t="shared" si="34"/>
        <v>546</v>
      </c>
      <c r="Z48" s="14">
        <f t="shared" si="35"/>
        <v>220</v>
      </c>
      <c r="AA48" s="18">
        <f t="shared" si="36"/>
        <v>546</v>
      </c>
      <c r="AB48" s="4" t="s">
        <v>0</v>
      </c>
    </row>
    <row r="49" spans="1:28">
      <c r="A49" s="9" t="s">
        <v>26</v>
      </c>
      <c r="B49" s="24"/>
      <c r="C49" s="26"/>
      <c r="D49" s="25">
        <f t="shared" si="56"/>
        <v>268</v>
      </c>
      <c r="E49" s="29">
        <f t="shared" ref="E49" si="90">E48</f>
        <v>184</v>
      </c>
      <c r="F49" s="25">
        <f t="shared" si="58"/>
        <v>295</v>
      </c>
      <c r="G49" s="29">
        <f t="shared" si="86"/>
        <v>204</v>
      </c>
      <c r="H49" s="4" t="s">
        <v>0</v>
      </c>
      <c r="I49" s="16" t="str">
        <f t="shared" si="19"/>
        <v>02-08</v>
      </c>
      <c r="J49" s="14">
        <f t="shared" si="20"/>
        <v>268</v>
      </c>
      <c r="K49" s="15">
        <f t="shared" si="21"/>
        <v>184</v>
      </c>
      <c r="L49" s="17">
        <f t="shared" si="22"/>
        <v>295</v>
      </c>
      <c r="M49" s="18">
        <f t="shared" si="23"/>
        <v>184</v>
      </c>
      <c r="N49" s="14">
        <f t="shared" si="24"/>
        <v>295</v>
      </c>
      <c r="O49" s="15">
        <f t="shared" si="25"/>
        <v>204</v>
      </c>
      <c r="P49" s="17">
        <f t="shared" si="26"/>
        <v>268</v>
      </c>
      <c r="Q49" s="18">
        <f t="shared" si="27"/>
        <v>204</v>
      </c>
      <c r="R49" s="4" t="s">
        <v>0</v>
      </c>
      <c r="S49" s="16" t="str">
        <f t="shared" si="28"/>
        <v>02-08</v>
      </c>
      <c r="T49" s="14">
        <f t="shared" si="29"/>
        <v>268</v>
      </c>
      <c r="U49" s="18">
        <f t="shared" si="30"/>
        <v>566</v>
      </c>
      <c r="V49" s="14">
        <f t="shared" si="31"/>
        <v>295</v>
      </c>
      <c r="W49" s="18">
        <f t="shared" si="32"/>
        <v>566</v>
      </c>
      <c r="X49" s="14">
        <f t="shared" si="33"/>
        <v>295</v>
      </c>
      <c r="Y49" s="18">
        <f t="shared" si="34"/>
        <v>546</v>
      </c>
      <c r="Z49" s="14">
        <f t="shared" si="35"/>
        <v>268</v>
      </c>
      <c r="AA49" s="18">
        <f t="shared" si="36"/>
        <v>546</v>
      </c>
      <c r="AB49" s="4" t="s">
        <v>0</v>
      </c>
    </row>
    <row r="50" spans="1:28">
      <c r="A50" s="9" t="s">
        <v>25</v>
      </c>
      <c r="B50" s="24"/>
      <c r="C50" s="26"/>
      <c r="D50" s="25">
        <f t="shared" si="56"/>
        <v>295</v>
      </c>
      <c r="E50" s="29">
        <f t="shared" ref="E50" si="91">E49</f>
        <v>184</v>
      </c>
      <c r="F50" s="25">
        <f t="shared" si="58"/>
        <v>322</v>
      </c>
      <c r="G50" s="29">
        <f t="shared" si="86"/>
        <v>204</v>
      </c>
      <c r="H50" s="4" t="s">
        <v>0</v>
      </c>
      <c r="I50" s="16" t="str">
        <f t="shared" si="19"/>
        <v>02-07</v>
      </c>
      <c r="J50" s="14">
        <f t="shared" si="20"/>
        <v>295</v>
      </c>
      <c r="K50" s="15">
        <f t="shared" si="21"/>
        <v>184</v>
      </c>
      <c r="L50" s="17">
        <f t="shared" si="22"/>
        <v>322</v>
      </c>
      <c r="M50" s="18">
        <f t="shared" si="23"/>
        <v>184</v>
      </c>
      <c r="N50" s="14">
        <f t="shared" si="24"/>
        <v>322</v>
      </c>
      <c r="O50" s="15">
        <f t="shared" si="25"/>
        <v>204</v>
      </c>
      <c r="P50" s="17">
        <f t="shared" si="26"/>
        <v>295</v>
      </c>
      <c r="Q50" s="18">
        <f t="shared" si="27"/>
        <v>204</v>
      </c>
      <c r="R50" s="4" t="s">
        <v>0</v>
      </c>
      <c r="S50" s="16" t="str">
        <f t="shared" si="28"/>
        <v>02-07</v>
      </c>
      <c r="T50" s="14">
        <f t="shared" si="29"/>
        <v>295</v>
      </c>
      <c r="U50" s="18">
        <f t="shared" si="30"/>
        <v>566</v>
      </c>
      <c r="V50" s="14">
        <f t="shared" si="31"/>
        <v>322</v>
      </c>
      <c r="W50" s="18">
        <f t="shared" si="32"/>
        <v>566</v>
      </c>
      <c r="X50" s="14">
        <f t="shared" si="33"/>
        <v>322</v>
      </c>
      <c r="Y50" s="18">
        <f t="shared" si="34"/>
        <v>546</v>
      </c>
      <c r="Z50" s="14">
        <f t="shared" si="35"/>
        <v>295</v>
      </c>
      <c r="AA50" s="18">
        <f t="shared" si="36"/>
        <v>546</v>
      </c>
      <c r="AB50" s="4" t="s">
        <v>0</v>
      </c>
    </row>
    <row r="51" spans="1:28">
      <c r="A51" s="9" t="s">
        <v>24</v>
      </c>
      <c r="B51" s="24"/>
      <c r="C51" s="26"/>
      <c r="D51" s="25">
        <f t="shared" si="56"/>
        <v>322</v>
      </c>
      <c r="E51" s="29">
        <f t="shared" ref="E51" si="92">E50</f>
        <v>184</v>
      </c>
      <c r="F51" s="25">
        <f t="shared" si="58"/>
        <v>349</v>
      </c>
      <c r="G51" s="29">
        <f t="shared" si="86"/>
        <v>204</v>
      </c>
      <c r="H51" s="4" t="s">
        <v>0</v>
      </c>
      <c r="I51" s="16" t="str">
        <f t="shared" si="19"/>
        <v>02-06</v>
      </c>
      <c r="J51" s="14">
        <f t="shared" si="20"/>
        <v>322</v>
      </c>
      <c r="K51" s="15">
        <f t="shared" si="21"/>
        <v>184</v>
      </c>
      <c r="L51" s="17">
        <f t="shared" si="22"/>
        <v>349</v>
      </c>
      <c r="M51" s="18">
        <f t="shared" si="23"/>
        <v>184</v>
      </c>
      <c r="N51" s="14">
        <f t="shared" si="24"/>
        <v>349</v>
      </c>
      <c r="O51" s="15">
        <f t="shared" si="25"/>
        <v>204</v>
      </c>
      <c r="P51" s="17">
        <f t="shared" si="26"/>
        <v>322</v>
      </c>
      <c r="Q51" s="18">
        <f t="shared" si="27"/>
        <v>204</v>
      </c>
      <c r="R51" s="4" t="s">
        <v>0</v>
      </c>
      <c r="S51" s="16" t="str">
        <f t="shared" si="28"/>
        <v>02-06</v>
      </c>
      <c r="T51" s="14">
        <f t="shared" si="29"/>
        <v>322</v>
      </c>
      <c r="U51" s="18">
        <f t="shared" si="30"/>
        <v>566</v>
      </c>
      <c r="V51" s="14">
        <f t="shared" si="31"/>
        <v>349</v>
      </c>
      <c r="W51" s="18">
        <f t="shared" si="32"/>
        <v>566</v>
      </c>
      <c r="X51" s="14">
        <f t="shared" si="33"/>
        <v>349</v>
      </c>
      <c r="Y51" s="18">
        <f t="shared" si="34"/>
        <v>546</v>
      </c>
      <c r="Z51" s="14">
        <f t="shared" si="35"/>
        <v>322</v>
      </c>
      <c r="AA51" s="18">
        <f t="shared" si="36"/>
        <v>546</v>
      </c>
      <c r="AB51" s="4" t="s">
        <v>0</v>
      </c>
    </row>
    <row r="52" spans="1:28">
      <c r="A52" s="9" t="s">
        <v>23</v>
      </c>
      <c r="B52" s="24"/>
      <c r="C52" s="26"/>
      <c r="D52" s="25">
        <f t="shared" si="56"/>
        <v>349</v>
      </c>
      <c r="E52" s="29">
        <f t="shared" ref="E52" si="93">E51</f>
        <v>184</v>
      </c>
      <c r="F52" s="25">
        <f t="shared" si="58"/>
        <v>376</v>
      </c>
      <c r="G52" s="29">
        <f t="shared" si="86"/>
        <v>204</v>
      </c>
      <c r="H52" s="4" t="s">
        <v>0</v>
      </c>
      <c r="I52" s="16" t="str">
        <f t="shared" si="19"/>
        <v>02-05</v>
      </c>
      <c r="J52" s="14">
        <f t="shared" si="20"/>
        <v>349</v>
      </c>
      <c r="K52" s="15">
        <f t="shared" si="21"/>
        <v>184</v>
      </c>
      <c r="L52" s="17">
        <f t="shared" si="22"/>
        <v>376</v>
      </c>
      <c r="M52" s="18">
        <f t="shared" si="23"/>
        <v>184</v>
      </c>
      <c r="N52" s="14">
        <f t="shared" si="24"/>
        <v>376</v>
      </c>
      <c r="O52" s="15">
        <f t="shared" si="25"/>
        <v>204</v>
      </c>
      <c r="P52" s="17">
        <f t="shared" si="26"/>
        <v>349</v>
      </c>
      <c r="Q52" s="18">
        <f t="shared" si="27"/>
        <v>204</v>
      </c>
      <c r="R52" s="4" t="s">
        <v>0</v>
      </c>
      <c r="S52" s="16" t="str">
        <f t="shared" si="28"/>
        <v>02-05</v>
      </c>
      <c r="T52" s="14">
        <f t="shared" si="29"/>
        <v>349</v>
      </c>
      <c r="U52" s="18">
        <f t="shared" si="30"/>
        <v>566</v>
      </c>
      <c r="V52" s="14">
        <f t="shared" si="31"/>
        <v>376</v>
      </c>
      <c r="W52" s="18">
        <f t="shared" si="32"/>
        <v>566</v>
      </c>
      <c r="X52" s="14">
        <f t="shared" si="33"/>
        <v>376</v>
      </c>
      <c r="Y52" s="18">
        <f t="shared" si="34"/>
        <v>546</v>
      </c>
      <c r="Z52" s="14">
        <f t="shared" si="35"/>
        <v>349</v>
      </c>
      <c r="AA52" s="18">
        <f t="shared" si="36"/>
        <v>546</v>
      </c>
      <c r="AB52" s="4" t="s">
        <v>0</v>
      </c>
    </row>
    <row r="53" spans="1:28">
      <c r="A53" s="9" t="s">
        <v>22</v>
      </c>
      <c r="B53" s="24"/>
      <c r="C53" s="26"/>
      <c r="D53" s="25">
        <f t="shared" si="56"/>
        <v>376</v>
      </c>
      <c r="E53" s="29">
        <f t="shared" ref="E53" si="94">E52</f>
        <v>184</v>
      </c>
      <c r="F53" s="25">
        <f t="shared" si="58"/>
        <v>403</v>
      </c>
      <c r="G53" s="29">
        <f t="shared" si="86"/>
        <v>204</v>
      </c>
      <c r="H53" s="4" t="s">
        <v>0</v>
      </c>
      <c r="I53" s="16" t="str">
        <f t="shared" si="19"/>
        <v>02-03</v>
      </c>
      <c r="J53" s="14">
        <f t="shared" si="20"/>
        <v>376</v>
      </c>
      <c r="K53" s="15">
        <f t="shared" si="21"/>
        <v>184</v>
      </c>
      <c r="L53" s="17">
        <f t="shared" si="22"/>
        <v>403</v>
      </c>
      <c r="M53" s="18">
        <f t="shared" si="23"/>
        <v>184</v>
      </c>
      <c r="N53" s="14">
        <f t="shared" si="24"/>
        <v>403</v>
      </c>
      <c r="O53" s="15">
        <f t="shared" si="25"/>
        <v>204</v>
      </c>
      <c r="P53" s="17">
        <f t="shared" si="26"/>
        <v>376</v>
      </c>
      <c r="Q53" s="18">
        <f t="shared" si="27"/>
        <v>204</v>
      </c>
      <c r="R53" s="4" t="s">
        <v>0</v>
      </c>
      <c r="S53" s="16" t="str">
        <f t="shared" si="28"/>
        <v>02-03</v>
      </c>
      <c r="T53" s="14">
        <f t="shared" si="29"/>
        <v>376</v>
      </c>
      <c r="U53" s="18">
        <f t="shared" si="30"/>
        <v>566</v>
      </c>
      <c r="V53" s="14">
        <f t="shared" si="31"/>
        <v>403</v>
      </c>
      <c r="W53" s="18">
        <f t="shared" si="32"/>
        <v>566</v>
      </c>
      <c r="X53" s="14">
        <f t="shared" si="33"/>
        <v>403</v>
      </c>
      <c r="Y53" s="18">
        <f t="shared" si="34"/>
        <v>546</v>
      </c>
      <c r="Z53" s="14">
        <f t="shared" si="35"/>
        <v>376</v>
      </c>
      <c r="AA53" s="18">
        <f t="shared" si="36"/>
        <v>546</v>
      </c>
      <c r="AB53" s="4" t="s">
        <v>0</v>
      </c>
    </row>
    <row r="54" spans="1:28">
      <c r="A54" s="9" t="s">
        <v>21</v>
      </c>
      <c r="B54" s="24"/>
      <c r="C54" s="26"/>
      <c r="D54" s="25">
        <f t="shared" si="56"/>
        <v>403</v>
      </c>
      <c r="E54" s="29">
        <f t="shared" ref="E54" si="95">E53</f>
        <v>184</v>
      </c>
      <c r="F54" s="25">
        <f t="shared" si="58"/>
        <v>430</v>
      </c>
      <c r="G54" s="29">
        <f t="shared" si="86"/>
        <v>204</v>
      </c>
      <c r="H54" s="4" t="s">
        <v>0</v>
      </c>
      <c r="I54" s="16" t="str">
        <f t="shared" si="19"/>
        <v>02-02</v>
      </c>
      <c r="J54" s="14">
        <f t="shared" si="20"/>
        <v>403</v>
      </c>
      <c r="K54" s="15">
        <f t="shared" si="21"/>
        <v>184</v>
      </c>
      <c r="L54" s="17">
        <f t="shared" si="22"/>
        <v>430</v>
      </c>
      <c r="M54" s="18">
        <f t="shared" si="23"/>
        <v>184</v>
      </c>
      <c r="N54" s="14">
        <f t="shared" si="24"/>
        <v>430</v>
      </c>
      <c r="O54" s="15">
        <f t="shared" si="25"/>
        <v>204</v>
      </c>
      <c r="P54" s="17">
        <f t="shared" si="26"/>
        <v>403</v>
      </c>
      <c r="Q54" s="18">
        <f t="shared" si="27"/>
        <v>204</v>
      </c>
      <c r="R54" s="4" t="s">
        <v>0</v>
      </c>
      <c r="S54" s="16" t="str">
        <f t="shared" si="28"/>
        <v>02-02</v>
      </c>
      <c r="T54" s="14">
        <f t="shared" si="29"/>
        <v>403</v>
      </c>
      <c r="U54" s="18">
        <f t="shared" si="30"/>
        <v>566</v>
      </c>
      <c r="V54" s="14">
        <f t="shared" si="31"/>
        <v>430</v>
      </c>
      <c r="W54" s="18">
        <f t="shared" si="32"/>
        <v>566</v>
      </c>
      <c r="X54" s="14">
        <f t="shared" si="33"/>
        <v>430</v>
      </c>
      <c r="Y54" s="18">
        <f t="shared" si="34"/>
        <v>546</v>
      </c>
      <c r="Z54" s="14">
        <f t="shared" si="35"/>
        <v>403</v>
      </c>
      <c r="AA54" s="18">
        <f t="shared" si="36"/>
        <v>546</v>
      </c>
      <c r="AB54" s="4" t="s">
        <v>0</v>
      </c>
    </row>
    <row r="55" spans="1:28">
      <c r="A55" s="9" t="s">
        <v>20</v>
      </c>
      <c r="B55" s="24"/>
      <c r="C55" s="26"/>
      <c r="D55" s="25">
        <f t="shared" si="56"/>
        <v>430</v>
      </c>
      <c r="E55" s="29">
        <f t="shared" ref="E55" si="96">E54</f>
        <v>184</v>
      </c>
      <c r="F55" s="25">
        <f t="shared" si="58"/>
        <v>457</v>
      </c>
      <c r="G55" s="29">
        <f t="shared" si="86"/>
        <v>204</v>
      </c>
      <c r="H55" s="4" t="s">
        <v>0</v>
      </c>
      <c r="I55" s="16" t="str">
        <f t="shared" si="19"/>
        <v>02-01</v>
      </c>
      <c r="J55" s="14">
        <f t="shared" si="20"/>
        <v>430</v>
      </c>
      <c r="K55" s="15">
        <f t="shared" si="21"/>
        <v>184</v>
      </c>
      <c r="L55" s="17">
        <f t="shared" si="22"/>
        <v>457</v>
      </c>
      <c r="M55" s="18">
        <f t="shared" si="23"/>
        <v>184</v>
      </c>
      <c r="N55" s="14">
        <f t="shared" si="24"/>
        <v>457</v>
      </c>
      <c r="O55" s="15">
        <f t="shared" si="25"/>
        <v>204</v>
      </c>
      <c r="P55" s="17">
        <f t="shared" si="26"/>
        <v>430</v>
      </c>
      <c r="Q55" s="18">
        <f t="shared" si="27"/>
        <v>204</v>
      </c>
      <c r="R55" s="4" t="s">
        <v>0</v>
      </c>
      <c r="S55" s="16" t="str">
        <f t="shared" si="28"/>
        <v>02-01</v>
      </c>
      <c r="T55" s="14">
        <f t="shared" si="29"/>
        <v>430</v>
      </c>
      <c r="U55" s="18">
        <f t="shared" si="30"/>
        <v>566</v>
      </c>
      <c r="V55" s="14">
        <f t="shared" si="31"/>
        <v>457</v>
      </c>
      <c r="W55" s="18">
        <f t="shared" si="32"/>
        <v>566</v>
      </c>
      <c r="X55" s="14">
        <f t="shared" si="33"/>
        <v>457</v>
      </c>
      <c r="Y55" s="18">
        <f t="shared" si="34"/>
        <v>546</v>
      </c>
      <c r="Z55" s="14">
        <f t="shared" si="35"/>
        <v>430</v>
      </c>
      <c r="AA55" s="18">
        <f t="shared" si="36"/>
        <v>546</v>
      </c>
      <c r="AB55" s="4" t="s">
        <v>0</v>
      </c>
    </row>
    <row r="56" spans="1:28">
      <c r="A56" s="9" t="s">
        <v>147</v>
      </c>
      <c r="B56" s="24"/>
      <c r="C56" s="26">
        <v>3</v>
      </c>
      <c r="D56" s="25">
        <f>D41</f>
        <v>31</v>
      </c>
      <c r="E56" s="28">
        <f>ROUND(E$11+25*$C56, 0)</f>
        <v>209</v>
      </c>
      <c r="F56" s="25">
        <f>F41</f>
        <v>58</v>
      </c>
      <c r="G56" s="28">
        <f>ROUND(G$11+25*$C56, 0)</f>
        <v>229</v>
      </c>
      <c r="H56" s="4" t="s">
        <v>0</v>
      </c>
      <c r="I56" s="16" t="str">
        <f t="shared" si="19"/>
        <v>01-18</v>
      </c>
      <c r="J56" s="14">
        <f t="shared" si="20"/>
        <v>31</v>
      </c>
      <c r="K56" s="15">
        <f t="shared" si="21"/>
        <v>209</v>
      </c>
      <c r="L56" s="17">
        <f t="shared" si="22"/>
        <v>58</v>
      </c>
      <c r="M56" s="18">
        <f t="shared" si="23"/>
        <v>209</v>
      </c>
      <c r="N56" s="14">
        <f t="shared" si="24"/>
        <v>58</v>
      </c>
      <c r="O56" s="15">
        <f t="shared" si="25"/>
        <v>229</v>
      </c>
      <c r="P56" s="17">
        <f t="shared" si="26"/>
        <v>31</v>
      </c>
      <c r="Q56" s="18">
        <f t="shared" si="27"/>
        <v>229</v>
      </c>
      <c r="R56" s="4" t="s">
        <v>0</v>
      </c>
      <c r="S56" s="16" t="str">
        <f t="shared" si="28"/>
        <v>01-18</v>
      </c>
      <c r="T56" s="14">
        <f t="shared" si="29"/>
        <v>31</v>
      </c>
      <c r="U56" s="18">
        <f t="shared" si="30"/>
        <v>541</v>
      </c>
      <c r="V56" s="14">
        <f t="shared" si="31"/>
        <v>58</v>
      </c>
      <c r="W56" s="18">
        <f t="shared" si="32"/>
        <v>541</v>
      </c>
      <c r="X56" s="14">
        <f t="shared" si="33"/>
        <v>58</v>
      </c>
      <c r="Y56" s="18">
        <f t="shared" si="34"/>
        <v>521</v>
      </c>
      <c r="Z56" s="14">
        <f t="shared" si="35"/>
        <v>31</v>
      </c>
      <c r="AA56" s="18">
        <f t="shared" si="36"/>
        <v>521</v>
      </c>
      <c r="AB56" s="4" t="s">
        <v>0</v>
      </c>
    </row>
    <row r="57" spans="1:28">
      <c r="A57" s="9" t="s">
        <v>146</v>
      </c>
      <c r="B57" s="24"/>
      <c r="C57" s="26"/>
      <c r="D57" s="25">
        <f t="shared" si="56"/>
        <v>58</v>
      </c>
      <c r="E57" s="29">
        <f t="shared" ref="E57" si="97">E56</f>
        <v>209</v>
      </c>
      <c r="F57" s="25">
        <f t="shared" si="58"/>
        <v>85</v>
      </c>
      <c r="G57" s="29">
        <f t="shared" ref="G57:G70" si="98">G56</f>
        <v>229</v>
      </c>
      <c r="H57" s="4" t="s">
        <v>0</v>
      </c>
      <c r="I57" s="16" t="str">
        <f t="shared" si="19"/>
        <v>01-17</v>
      </c>
      <c r="J57" s="14">
        <f t="shared" si="20"/>
        <v>58</v>
      </c>
      <c r="K57" s="15">
        <f t="shared" si="21"/>
        <v>209</v>
      </c>
      <c r="L57" s="17">
        <f t="shared" si="22"/>
        <v>85</v>
      </c>
      <c r="M57" s="18">
        <f t="shared" si="23"/>
        <v>209</v>
      </c>
      <c r="N57" s="14">
        <f t="shared" si="24"/>
        <v>85</v>
      </c>
      <c r="O57" s="15">
        <f t="shared" si="25"/>
        <v>229</v>
      </c>
      <c r="P57" s="17">
        <f t="shared" si="26"/>
        <v>58</v>
      </c>
      <c r="Q57" s="18">
        <f t="shared" si="27"/>
        <v>229</v>
      </c>
      <c r="R57" s="4" t="s">
        <v>0</v>
      </c>
      <c r="S57" s="16" t="str">
        <f t="shared" si="28"/>
        <v>01-17</v>
      </c>
      <c r="T57" s="14">
        <f t="shared" si="29"/>
        <v>58</v>
      </c>
      <c r="U57" s="18">
        <f t="shared" si="30"/>
        <v>541</v>
      </c>
      <c r="V57" s="14">
        <f t="shared" si="31"/>
        <v>85</v>
      </c>
      <c r="W57" s="18">
        <f t="shared" si="32"/>
        <v>541</v>
      </c>
      <c r="X57" s="14">
        <f t="shared" si="33"/>
        <v>85</v>
      </c>
      <c r="Y57" s="18">
        <f t="shared" si="34"/>
        <v>521</v>
      </c>
      <c r="Z57" s="14">
        <f t="shared" si="35"/>
        <v>58</v>
      </c>
      <c r="AA57" s="18">
        <f t="shared" si="36"/>
        <v>521</v>
      </c>
      <c r="AB57" s="4" t="s">
        <v>0</v>
      </c>
    </row>
    <row r="58" spans="1:28">
      <c r="A58" s="9" t="s">
        <v>145</v>
      </c>
      <c r="B58" s="24"/>
      <c r="C58" s="26"/>
      <c r="D58" s="25">
        <f t="shared" si="56"/>
        <v>85</v>
      </c>
      <c r="E58" s="29">
        <f t="shared" ref="E58" si="99">E57</f>
        <v>209</v>
      </c>
      <c r="F58" s="25">
        <f t="shared" si="58"/>
        <v>112</v>
      </c>
      <c r="G58" s="29">
        <f t="shared" si="98"/>
        <v>229</v>
      </c>
      <c r="H58" s="4" t="s">
        <v>0</v>
      </c>
      <c r="I58" s="16" t="str">
        <f t="shared" si="19"/>
        <v>01-16</v>
      </c>
      <c r="J58" s="14">
        <f t="shared" si="20"/>
        <v>85</v>
      </c>
      <c r="K58" s="15">
        <f t="shared" si="21"/>
        <v>209</v>
      </c>
      <c r="L58" s="17">
        <f t="shared" si="22"/>
        <v>112</v>
      </c>
      <c r="M58" s="18">
        <f t="shared" si="23"/>
        <v>209</v>
      </c>
      <c r="N58" s="14">
        <f t="shared" si="24"/>
        <v>112</v>
      </c>
      <c r="O58" s="15">
        <f t="shared" si="25"/>
        <v>229</v>
      </c>
      <c r="P58" s="17">
        <f t="shared" si="26"/>
        <v>85</v>
      </c>
      <c r="Q58" s="18">
        <f t="shared" si="27"/>
        <v>229</v>
      </c>
      <c r="R58" s="4" t="s">
        <v>0</v>
      </c>
      <c r="S58" s="16" t="str">
        <f t="shared" si="28"/>
        <v>01-16</v>
      </c>
      <c r="T58" s="14">
        <f t="shared" si="29"/>
        <v>85</v>
      </c>
      <c r="U58" s="18">
        <f t="shared" si="30"/>
        <v>541</v>
      </c>
      <c r="V58" s="14">
        <f t="shared" si="31"/>
        <v>112</v>
      </c>
      <c r="W58" s="18">
        <f t="shared" si="32"/>
        <v>541</v>
      </c>
      <c r="X58" s="14">
        <f t="shared" si="33"/>
        <v>112</v>
      </c>
      <c r="Y58" s="18">
        <f t="shared" si="34"/>
        <v>521</v>
      </c>
      <c r="Z58" s="14">
        <f t="shared" si="35"/>
        <v>85</v>
      </c>
      <c r="AA58" s="18">
        <f t="shared" si="36"/>
        <v>521</v>
      </c>
      <c r="AB58" s="4" t="s">
        <v>0</v>
      </c>
    </row>
    <row r="59" spans="1:28">
      <c r="A59" s="9" t="s">
        <v>144</v>
      </c>
      <c r="B59" s="24"/>
      <c r="C59" s="26"/>
      <c r="D59" s="25">
        <f t="shared" si="56"/>
        <v>112</v>
      </c>
      <c r="E59" s="29">
        <f t="shared" ref="E59" si="100">E58</f>
        <v>209</v>
      </c>
      <c r="F59" s="25">
        <f t="shared" si="58"/>
        <v>139</v>
      </c>
      <c r="G59" s="29">
        <f t="shared" si="98"/>
        <v>229</v>
      </c>
      <c r="H59" s="4" t="s">
        <v>0</v>
      </c>
      <c r="I59" s="16" t="str">
        <f t="shared" si="19"/>
        <v>01-15</v>
      </c>
      <c r="J59" s="14">
        <f t="shared" si="20"/>
        <v>112</v>
      </c>
      <c r="K59" s="15">
        <f t="shared" si="21"/>
        <v>209</v>
      </c>
      <c r="L59" s="17">
        <f t="shared" si="22"/>
        <v>139</v>
      </c>
      <c r="M59" s="18">
        <f t="shared" si="23"/>
        <v>209</v>
      </c>
      <c r="N59" s="14">
        <f t="shared" si="24"/>
        <v>139</v>
      </c>
      <c r="O59" s="15">
        <f t="shared" si="25"/>
        <v>229</v>
      </c>
      <c r="P59" s="17">
        <f t="shared" si="26"/>
        <v>112</v>
      </c>
      <c r="Q59" s="18">
        <f t="shared" si="27"/>
        <v>229</v>
      </c>
      <c r="R59" s="4" t="s">
        <v>0</v>
      </c>
      <c r="S59" s="16" t="str">
        <f t="shared" si="28"/>
        <v>01-15</v>
      </c>
      <c r="T59" s="14">
        <f t="shared" si="29"/>
        <v>112</v>
      </c>
      <c r="U59" s="18">
        <f t="shared" si="30"/>
        <v>541</v>
      </c>
      <c r="V59" s="14">
        <f t="shared" si="31"/>
        <v>139</v>
      </c>
      <c r="W59" s="18">
        <f t="shared" si="32"/>
        <v>541</v>
      </c>
      <c r="X59" s="14">
        <f t="shared" si="33"/>
        <v>139</v>
      </c>
      <c r="Y59" s="18">
        <f t="shared" si="34"/>
        <v>521</v>
      </c>
      <c r="Z59" s="14">
        <f t="shared" si="35"/>
        <v>112</v>
      </c>
      <c r="AA59" s="18">
        <f t="shared" si="36"/>
        <v>521</v>
      </c>
      <c r="AB59" s="4" t="s">
        <v>0</v>
      </c>
    </row>
    <row r="60" spans="1:28">
      <c r="A60" s="9" t="s">
        <v>143</v>
      </c>
      <c r="B60" s="24"/>
      <c r="C60" s="26"/>
      <c r="D60" s="25">
        <f t="shared" si="56"/>
        <v>139</v>
      </c>
      <c r="E60" s="29">
        <f t="shared" ref="E60" si="101">E59</f>
        <v>209</v>
      </c>
      <c r="F60" s="25">
        <f t="shared" si="58"/>
        <v>166</v>
      </c>
      <c r="G60" s="29">
        <f t="shared" si="98"/>
        <v>229</v>
      </c>
      <c r="H60" s="4" t="s">
        <v>0</v>
      </c>
      <c r="I60" s="16" t="str">
        <f t="shared" si="19"/>
        <v>01-13</v>
      </c>
      <c r="J60" s="14">
        <f t="shared" si="20"/>
        <v>139</v>
      </c>
      <c r="K60" s="15">
        <f t="shared" si="21"/>
        <v>209</v>
      </c>
      <c r="L60" s="17">
        <f t="shared" si="22"/>
        <v>166</v>
      </c>
      <c r="M60" s="18">
        <f t="shared" si="23"/>
        <v>209</v>
      </c>
      <c r="N60" s="14">
        <f t="shared" si="24"/>
        <v>166</v>
      </c>
      <c r="O60" s="15">
        <f t="shared" si="25"/>
        <v>229</v>
      </c>
      <c r="P60" s="17">
        <f t="shared" si="26"/>
        <v>139</v>
      </c>
      <c r="Q60" s="18">
        <f t="shared" si="27"/>
        <v>229</v>
      </c>
      <c r="R60" s="4" t="s">
        <v>0</v>
      </c>
      <c r="S60" s="16" t="str">
        <f t="shared" si="28"/>
        <v>01-13</v>
      </c>
      <c r="T60" s="14">
        <f t="shared" si="29"/>
        <v>139</v>
      </c>
      <c r="U60" s="18">
        <f t="shared" si="30"/>
        <v>541</v>
      </c>
      <c r="V60" s="14">
        <f t="shared" si="31"/>
        <v>166</v>
      </c>
      <c r="W60" s="18">
        <f t="shared" si="32"/>
        <v>541</v>
      </c>
      <c r="X60" s="14">
        <f t="shared" si="33"/>
        <v>166</v>
      </c>
      <c r="Y60" s="18">
        <f t="shared" si="34"/>
        <v>521</v>
      </c>
      <c r="Z60" s="14">
        <f t="shared" si="35"/>
        <v>139</v>
      </c>
      <c r="AA60" s="18">
        <f t="shared" si="36"/>
        <v>521</v>
      </c>
      <c r="AB60" s="4" t="s">
        <v>0</v>
      </c>
    </row>
    <row r="61" spans="1:28">
      <c r="A61" s="9" t="s">
        <v>11</v>
      </c>
      <c r="B61" s="24"/>
      <c r="C61" s="26"/>
      <c r="D61" s="25">
        <f t="shared" si="56"/>
        <v>166</v>
      </c>
      <c r="E61" s="29">
        <f t="shared" ref="E61" si="102">E60</f>
        <v>209</v>
      </c>
      <c r="F61" s="25">
        <f t="shared" si="58"/>
        <v>193</v>
      </c>
      <c r="G61" s="29">
        <f t="shared" si="98"/>
        <v>229</v>
      </c>
      <c r="H61" s="4" t="s">
        <v>0</v>
      </c>
      <c r="I61" s="16" t="str">
        <f t="shared" si="19"/>
        <v>01-12</v>
      </c>
      <c r="J61" s="14">
        <f t="shared" si="20"/>
        <v>166</v>
      </c>
      <c r="K61" s="15">
        <f t="shared" si="21"/>
        <v>209</v>
      </c>
      <c r="L61" s="17">
        <f t="shared" si="22"/>
        <v>193</v>
      </c>
      <c r="M61" s="18">
        <f t="shared" si="23"/>
        <v>209</v>
      </c>
      <c r="N61" s="14">
        <f t="shared" si="24"/>
        <v>193</v>
      </c>
      <c r="O61" s="15">
        <f t="shared" si="25"/>
        <v>229</v>
      </c>
      <c r="P61" s="17">
        <f t="shared" si="26"/>
        <v>166</v>
      </c>
      <c r="Q61" s="18">
        <f t="shared" si="27"/>
        <v>229</v>
      </c>
      <c r="R61" s="4" t="s">
        <v>0</v>
      </c>
      <c r="S61" s="16" t="str">
        <f t="shared" si="28"/>
        <v>01-12</v>
      </c>
      <c r="T61" s="14">
        <f t="shared" si="29"/>
        <v>166</v>
      </c>
      <c r="U61" s="18">
        <f t="shared" si="30"/>
        <v>541</v>
      </c>
      <c r="V61" s="14">
        <f t="shared" si="31"/>
        <v>193</v>
      </c>
      <c r="W61" s="18">
        <f t="shared" si="32"/>
        <v>541</v>
      </c>
      <c r="X61" s="14">
        <f t="shared" si="33"/>
        <v>193</v>
      </c>
      <c r="Y61" s="18">
        <f t="shared" si="34"/>
        <v>521</v>
      </c>
      <c r="Z61" s="14">
        <f t="shared" si="35"/>
        <v>166</v>
      </c>
      <c r="AA61" s="18">
        <f t="shared" si="36"/>
        <v>521</v>
      </c>
      <c r="AB61" s="4" t="s">
        <v>0</v>
      </c>
    </row>
    <row r="62" spans="1:28">
      <c r="A62" s="9" t="s">
        <v>10</v>
      </c>
      <c r="B62" s="24"/>
      <c r="C62" s="26"/>
      <c r="D62" s="25">
        <f t="shared" si="56"/>
        <v>193</v>
      </c>
      <c r="E62" s="29">
        <f t="shared" ref="E62" si="103">E61</f>
        <v>209</v>
      </c>
      <c r="F62" s="25">
        <f t="shared" si="58"/>
        <v>220</v>
      </c>
      <c r="G62" s="29">
        <f t="shared" si="98"/>
        <v>229</v>
      </c>
      <c r="H62" s="4" t="s">
        <v>0</v>
      </c>
      <c r="I62" s="16" t="str">
        <f t="shared" si="19"/>
        <v>01-11</v>
      </c>
      <c r="J62" s="14">
        <f t="shared" si="20"/>
        <v>193</v>
      </c>
      <c r="K62" s="15">
        <f t="shared" si="21"/>
        <v>209</v>
      </c>
      <c r="L62" s="17">
        <f t="shared" si="22"/>
        <v>220</v>
      </c>
      <c r="M62" s="18">
        <f t="shared" si="23"/>
        <v>209</v>
      </c>
      <c r="N62" s="14">
        <f t="shared" si="24"/>
        <v>220</v>
      </c>
      <c r="O62" s="15">
        <f t="shared" si="25"/>
        <v>229</v>
      </c>
      <c r="P62" s="17">
        <f t="shared" si="26"/>
        <v>193</v>
      </c>
      <c r="Q62" s="18">
        <f t="shared" si="27"/>
        <v>229</v>
      </c>
      <c r="R62" s="4" t="s">
        <v>0</v>
      </c>
      <c r="S62" s="16" t="str">
        <f t="shared" si="28"/>
        <v>01-11</v>
      </c>
      <c r="T62" s="14">
        <f t="shared" si="29"/>
        <v>193</v>
      </c>
      <c r="U62" s="18">
        <f t="shared" si="30"/>
        <v>541</v>
      </c>
      <c r="V62" s="14">
        <f t="shared" si="31"/>
        <v>220</v>
      </c>
      <c r="W62" s="18">
        <f t="shared" si="32"/>
        <v>541</v>
      </c>
      <c r="X62" s="14">
        <f t="shared" si="33"/>
        <v>220</v>
      </c>
      <c r="Y62" s="18">
        <f t="shared" si="34"/>
        <v>521</v>
      </c>
      <c r="Z62" s="14">
        <f t="shared" si="35"/>
        <v>193</v>
      </c>
      <c r="AA62" s="18">
        <f t="shared" si="36"/>
        <v>521</v>
      </c>
      <c r="AB62" s="4" t="s">
        <v>0</v>
      </c>
    </row>
    <row r="63" spans="1:28">
      <c r="A63" s="9" t="s">
        <v>9</v>
      </c>
      <c r="B63" s="24"/>
      <c r="C63" s="26"/>
      <c r="D63" s="25">
        <f t="shared" si="56"/>
        <v>220</v>
      </c>
      <c r="E63" s="29">
        <f t="shared" ref="E63" si="104">E62</f>
        <v>209</v>
      </c>
      <c r="F63" s="25">
        <f t="shared" si="58"/>
        <v>247</v>
      </c>
      <c r="G63" s="29">
        <f t="shared" si="98"/>
        <v>229</v>
      </c>
      <c r="H63" s="4" t="s">
        <v>0</v>
      </c>
      <c r="I63" s="16" t="str">
        <f t="shared" si="19"/>
        <v>01-10</v>
      </c>
      <c r="J63" s="14">
        <f t="shared" si="20"/>
        <v>220</v>
      </c>
      <c r="K63" s="15">
        <f t="shared" si="21"/>
        <v>209</v>
      </c>
      <c r="L63" s="17">
        <f t="shared" si="22"/>
        <v>247</v>
      </c>
      <c r="M63" s="18">
        <f t="shared" si="23"/>
        <v>209</v>
      </c>
      <c r="N63" s="14">
        <f t="shared" si="24"/>
        <v>247</v>
      </c>
      <c r="O63" s="15">
        <f t="shared" si="25"/>
        <v>229</v>
      </c>
      <c r="P63" s="17">
        <f t="shared" si="26"/>
        <v>220</v>
      </c>
      <c r="Q63" s="18">
        <f t="shared" si="27"/>
        <v>229</v>
      </c>
      <c r="R63" s="4" t="s">
        <v>0</v>
      </c>
      <c r="S63" s="16" t="str">
        <f t="shared" si="28"/>
        <v>01-10</v>
      </c>
      <c r="T63" s="14">
        <f t="shared" si="29"/>
        <v>220</v>
      </c>
      <c r="U63" s="18">
        <f t="shared" si="30"/>
        <v>541</v>
      </c>
      <c r="V63" s="14">
        <f t="shared" si="31"/>
        <v>247</v>
      </c>
      <c r="W63" s="18">
        <f t="shared" si="32"/>
        <v>541</v>
      </c>
      <c r="X63" s="14">
        <f t="shared" si="33"/>
        <v>247</v>
      </c>
      <c r="Y63" s="18">
        <f t="shared" si="34"/>
        <v>521</v>
      </c>
      <c r="Z63" s="14">
        <f t="shared" si="35"/>
        <v>220</v>
      </c>
      <c r="AA63" s="18">
        <f t="shared" si="36"/>
        <v>521</v>
      </c>
      <c r="AB63" s="4" t="s">
        <v>0</v>
      </c>
    </row>
    <row r="64" spans="1:28">
      <c r="A64" s="9" t="s">
        <v>8</v>
      </c>
      <c r="B64" s="24"/>
      <c r="C64" s="26"/>
      <c r="D64" s="25">
        <f t="shared" si="56"/>
        <v>268</v>
      </c>
      <c r="E64" s="29">
        <f t="shared" ref="E64" si="105">E63</f>
        <v>209</v>
      </c>
      <c r="F64" s="25">
        <f t="shared" si="58"/>
        <v>295</v>
      </c>
      <c r="G64" s="29">
        <f t="shared" si="98"/>
        <v>229</v>
      </c>
      <c r="H64" s="4" t="s">
        <v>0</v>
      </c>
      <c r="I64" s="16" t="str">
        <f t="shared" si="19"/>
        <v>01-08</v>
      </c>
      <c r="J64" s="14">
        <f t="shared" si="20"/>
        <v>268</v>
      </c>
      <c r="K64" s="15">
        <f t="shared" si="21"/>
        <v>209</v>
      </c>
      <c r="L64" s="17">
        <f t="shared" si="22"/>
        <v>295</v>
      </c>
      <c r="M64" s="18">
        <f t="shared" si="23"/>
        <v>209</v>
      </c>
      <c r="N64" s="14">
        <f t="shared" si="24"/>
        <v>295</v>
      </c>
      <c r="O64" s="15">
        <f t="shared" si="25"/>
        <v>229</v>
      </c>
      <c r="P64" s="17">
        <f t="shared" si="26"/>
        <v>268</v>
      </c>
      <c r="Q64" s="18">
        <f t="shared" si="27"/>
        <v>229</v>
      </c>
      <c r="R64" s="4" t="s">
        <v>0</v>
      </c>
      <c r="S64" s="16" t="str">
        <f t="shared" si="28"/>
        <v>01-08</v>
      </c>
      <c r="T64" s="14">
        <f t="shared" si="29"/>
        <v>268</v>
      </c>
      <c r="U64" s="18">
        <f t="shared" si="30"/>
        <v>541</v>
      </c>
      <c r="V64" s="14">
        <f t="shared" si="31"/>
        <v>295</v>
      </c>
      <c r="W64" s="18">
        <f t="shared" si="32"/>
        <v>541</v>
      </c>
      <c r="X64" s="14">
        <f t="shared" si="33"/>
        <v>295</v>
      </c>
      <c r="Y64" s="18">
        <f t="shared" si="34"/>
        <v>521</v>
      </c>
      <c r="Z64" s="14">
        <f t="shared" si="35"/>
        <v>268</v>
      </c>
      <c r="AA64" s="18">
        <f t="shared" si="36"/>
        <v>521</v>
      </c>
      <c r="AB64" s="4" t="s">
        <v>0</v>
      </c>
    </row>
    <row r="65" spans="1:28">
      <c r="A65" s="9" t="s">
        <v>7</v>
      </c>
      <c r="B65" s="24"/>
      <c r="C65" s="26"/>
      <c r="D65" s="25">
        <f t="shared" si="56"/>
        <v>295</v>
      </c>
      <c r="E65" s="29">
        <f t="shared" ref="E65" si="106">E64</f>
        <v>209</v>
      </c>
      <c r="F65" s="25">
        <f t="shared" si="58"/>
        <v>322</v>
      </c>
      <c r="G65" s="29">
        <f t="shared" si="98"/>
        <v>229</v>
      </c>
      <c r="H65" s="4" t="s">
        <v>0</v>
      </c>
      <c r="I65" s="16" t="str">
        <f t="shared" si="19"/>
        <v>01-07</v>
      </c>
      <c r="J65" s="14">
        <f t="shared" si="20"/>
        <v>295</v>
      </c>
      <c r="K65" s="15">
        <f t="shared" si="21"/>
        <v>209</v>
      </c>
      <c r="L65" s="17">
        <f t="shared" si="22"/>
        <v>322</v>
      </c>
      <c r="M65" s="18">
        <f t="shared" si="23"/>
        <v>209</v>
      </c>
      <c r="N65" s="14">
        <f t="shared" si="24"/>
        <v>322</v>
      </c>
      <c r="O65" s="15">
        <f t="shared" si="25"/>
        <v>229</v>
      </c>
      <c r="P65" s="17">
        <f t="shared" si="26"/>
        <v>295</v>
      </c>
      <c r="Q65" s="18">
        <f t="shared" si="27"/>
        <v>229</v>
      </c>
      <c r="R65" s="4" t="s">
        <v>0</v>
      </c>
      <c r="S65" s="16" t="str">
        <f t="shared" si="28"/>
        <v>01-07</v>
      </c>
      <c r="T65" s="14">
        <f t="shared" si="29"/>
        <v>295</v>
      </c>
      <c r="U65" s="18">
        <f t="shared" si="30"/>
        <v>541</v>
      </c>
      <c r="V65" s="14">
        <f t="shared" si="31"/>
        <v>322</v>
      </c>
      <c r="W65" s="18">
        <f t="shared" si="32"/>
        <v>541</v>
      </c>
      <c r="X65" s="14">
        <f t="shared" si="33"/>
        <v>322</v>
      </c>
      <c r="Y65" s="18">
        <f t="shared" si="34"/>
        <v>521</v>
      </c>
      <c r="Z65" s="14">
        <f t="shared" si="35"/>
        <v>295</v>
      </c>
      <c r="AA65" s="18">
        <f t="shared" si="36"/>
        <v>521</v>
      </c>
      <c r="AB65" s="4" t="s">
        <v>0</v>
      </c>
    </row>
    <row r="66" spans="1:28">
      <c r="A66" s="9" t="s">
        <v>6</v>
      </c>
      <c r="B66" s="24"/>
      <c r="C66" s="26"/>
      <c r="D66" s="25">
        <f t="shared" si="56"/>
        <v>322</v>
      </c>
      <c r="E66" s="29">
        <f t="shared" ref="E66" si="107">E65</f>
        <v>209</v>
      </c>
      <c r="F66" s="25">
        <f t="shared" si="58"/>
        <v>349</v>
      </c>
      <c r="G66" s="29">
        <f t="shared" si="98"/>
        <v>229</v>
      </c>
      <c r="H66" s="4" t="s">
        <v>0</v>
      </c>
      <c r="I66" s="16" t="str">
        <f t="shared" si="19"/>
        <v>01-06</v>
      </c>
      <c r="J66" s="14">
        <f t="shared" si="20"/>
        <v>322</v>
      </c>
      <c r="K66" s="15">
        <f t="shared" si="21"/>
        <v>209</v>
      </c>
      <c r="L66" s="17">
        <f t="shared" si="22"/>
        <v>349</v>
      </c>
      <c r="M66" s="18">
        <f t="shared" si="23"/>
        <v>209</v>
      </c>
      <c r="N66" s="14">
        <f t="shared" si="24"/>
        <v>349</v>
      </c>
      <c r="O66" s="15">
        <f t="shared" si="25"/>
        <v>229</v>
      </c>
      <c r="P66" s="17">
        <f t="shared" si="26"/>
        <v>322</v>
      </c>
      <c r="Q66" s="18">
        <f t="shared" si="27"/>
        <v>229</v>
      </c>
      <c r="R66" s="4" t="s">
        <v>0</v>
      </c>
      <c r="S66" s="16" t="str">
        <f t="shared" si="28"/>
        <v>01-06</v>
      </c>
      <c r="T66" s="14">
        <f t="shared" si="29"/>
        <v>322</v>
      </c>
      <c r="U66" s="18">
        <f t="shared" si="30"/>
        <v>541</v>
      </c>
      <c r="V66" s="14">
        <f t="shared" si="31"/>
        <v>349</v>
      </c>
      <c r="W66" s="18">
        <f t="shared" si="32"/>
        <v>541</v>
      </c>
      <c r="X66" s="14">
        <f t="shared" si="33"/>
        <v>349</v>
      </c>
      <c r="Y66" s="18">
        <f t="shared" si="34"/>
        <v>521</v>
      </c>
      <c r="Z66" s="14">
        <f t="shared" si="35"/>
        <v>322</v>
      </c>
      <c r="AA66" s="18">
        <f t="shared" si="36"/>
        <v>521</v>
      </c>
      <c r="AB66" s="4" t="s">
        <v>0</v>
      </c>
    </row>
    <row r="67" spans="1:28">
      <c r="A67" s="9" t="s">
        <v>5</v>
      </c>
      <c r="B67" s="24"/>
      <c r="C67" s="26"/>
      <c r="D67" s="25">
        <f t="shared" si="56"/>
        <v>349</v>
      </c>
      <c r="E67" s="29">
        <f t="shared" ref="E67" si="108">E66</f>
        <v>209</v>
      </c>
      <c r="F67" s="25">
        <f t="shared" si="58"/>
        <v>376</v>
      </c>
      <c r="G67" s="29">
        <f t="shared" si="98"/>
        <v>229</v>
      </c>
      <c r="H67" s="4" t="s">
        <v>0</v>
      </c>
      <c r="I67" s="16" t="str">
        <f t="shared" si="19"/>
        <v>01-05</v>
      </c>
      <c r="J67" s="14">
        <f t="shared" si="20"/>
        <v>349</v>
      </c>
      <c r="K67" s="15">
        <f t="shared" si="21"/>
        <v>209</v>
      </c>
      <c r="L67" s="17">
        <f t="shared" si="22"/>
        <v>376</v>
      </c>
      <c r="M67" s="18">
        <f t="shared" si="23"/>
        <v>209</v>
      </c>
      <c r="N67" s="14">
        <f t="shared" si="24"/>
        <v>376</v>
      </c>
      <c r="O67" s="15">
        <f t="shared" si="25"/>
        <v>229</v>
      </c>
      <c r="P67" s="17">
        <f t="shared" si="26"/>
        <v>349</v>
      </c>
      <c r="Q67" s="18">
        <f t="shared" si="27"/>
        <v>229</v>
      </c>
      <c r="R67" s="4" t="s">
        <v>0</v>
      </c>
      <c r="S67" s="16" t="str">
        <f t="shared" si="28"/>
        <v>01-05</v>
      </c>
      <c r="T67" s="14">
        <f t="shared" si="29"/>
        <v>349</v>
      </c>
      <c r="U67" s="18">
        <f t="shared" si="30"/>
        <v>541</v>
      </c>
      <c r="V67" s="14">
        <f t="shared" si="31"/>
        <v>376</v>
      </c>
      <c r="W67" s="18">
        <f t="shared" si="32"/>
        <v>541</v>
      </c>
      <c r="X67" s="14">
        <f t="shared" si="33"/>
        <v>376</v>
      </c>
      <c r="Y67" s="18">
        <f t="shared" si="34"/>
        <v>521</v>
      </c>
      <c r="Z67" s="14">
        <f t="shared" si="35"/>
        <v>349</v>
      </c>
      <c r="AA67" s="18">
        <f t="shared" si="36"/>
        <v>521</v>
      </c>
      <c r="AB67" s="4" t="s">
        <v>0</v>
      </c>
    </row>
    <row r="68" spans="1:28">
      <c r="A68" s="9" t="s">
        <v>4</v>
      </c>
      <c r="B68" s="24"/>
      <c r="C68" s="26"/>
      <c r="D68" s="25">
        <f t="shared" si="56"/>
        <v>376</v>
      </c>
      <c r="E68" s="29">
        <f t="shared" ref="E68" si="109">E67</f>
        <v>209</v>
      </c>
      <c r="F68" s="25">
        <f t="shared" si="58"/>
        <v>403</v>
      </c>
      <c r="G68" s="29">
        <f t="shared" si="98"/>
        <v>229</v>
      </c>
      <c r="H68" s="4" t="s">
        <v>0</v>
      </c>
      <c r="I68" s="16" t="str">
        <f t="shared" si="19"/>
        <v>01-03</v>
      </c>
      <c r="J68" s="14">
        <f t="shared" si="20"/>
        <v>376</v>
      </c>
      <c r="K68" s="15">
        <f t="shared" si="21"/>
        <v>209</v>
      </c>
      <c r="L68" s="17">
        <f t="shared" si="22"/>
        <v>403</v>
      </c>
      <c r="M68" s="18">
        <f t="shared" si="23"/>
        <v>209</v>
      </c>
      <c r="N68" s="14">
        <f t="shared" si="24"/>
        <v>403</v>
      </c>
      <c r="O68" s="15">
        <f t="shared" si="25"/>
        <v>229</v>
      </c>
      <c r="P68" s="17">
        <f t="shared" si="26"/>
        <v>376</v>
      </c>
      <c r="Q68" s="18">
        <f t="shared" si="27"/>
        <v>229</v>
      </c>
      <c r="R68" s="4" t="s">
        <v>0</v>
      </c>
      <c r="S68" s="16" t="str">
        <f t="shared" si="28"/>
        <v>01-03</v>
      </c>
      <c r="T68" s="14">
        <f t="shared" si="29"/>
        <v>376</v>
      </c>
      <c r="U68" s="18">
        <f t="shared" si="30"/>
        <v>541</v>
      </c>
      <c r="V68" s="14">
        <f t="shared" si="31"/>
        <v>403</v>
      </c>
      <c r="W68" s="18">
        <f t="shared" si="32"/>
        <v>541</v>
      </c>
      <c r="X68" s="14">
        <f t="shared" si="33"/>
        <v>403</v>
      </c>
      <c r="Y68" s="18">
        <f t="shared" si="34"/>
        <v>521</v>
      </c>
      <c r="Z68" s="14">
        <f t="shared" si="35"/>
        <v>376</v>
      </c>
      <c r="AA68" s="18">
        <f t="shared" si="36"/>
        <v>521</v>
      </c>
      <c r="AB68" s="4" t="s">
        <v>0</v>
      </c>
    </row>
    <row r="69" spans="1:28">
      <c r="A69" s="9" t="s">
        <v>142</v>
      </c>
      <c r="B69" s="24"/>
      <c r="C69" s="26"/>
      <c r="D69" s="25">
        <f t="shared" si="56"/>
        <v>403</v>
      </c>
      <c r="E69" s="29">
        <f t="shared" ref="E69" si="110">E68</f>
        <v>209</v>
      </c>
      <c r="F69" s="25">
        <f t="shared" si="58"/>
        <v>430</v>
      </c>
      <c r="G69" s="29">
        <f t="shared" si="98"/>
        <v>229</v>
      </c>
      <c r="H69" s="4" t="s">
        <v>0</v>
      </c>
      <c r="I69" s="16" t="str">
        <f t="shared" si="19"/>
        <v>01-02</v>
      </c>
      <c r="J69" s="14">
        <f t="shared" si="20"/>
        <v>403</v>
      </c>
      <c r="K69" s="15">
        <f t="shared" si="21"/>
        <v>209</v>
      </c>
      <c r="L69" s="17">
        <f t="shared" si="22"/>
        <v>430</v>
      </c>
      <c r="M69" s="18">
        <f t="shared" si="23"/>
        <v>209</v>
      </c>
      <c r="N69" s="14">
        <f t="shared" si="24"/>
        <v>430</v>
      </c>
      <c r="O69" s="15">
        <f t="shared" si="25"/>
        <v>229</v>
      </c>
      <c r="P69" s="17">
        <f t="shared" si="26"/>
        <v>403</v>
      </c>
      <c r="Q69" s="18">
        <f t="shared" si="27"/>
        <v>229</v>
      </c>
      <c r="R69" s="4" t="s">
        <v>0</v>
      </c>
      <c r="S69" s="16" t="str">
        <f t="shared" si="28"/>
        <v>01-02</v>
      </c>
      <c r="T69" s="14">
        <f t="shared" si="29"/>
        <v>403</v>
      </c>
      <c r="U69" s="18">
        <f t="shared" si="30"/>
        <v>541</v>
      </c>
      <c r="V69" s="14">
        <f t="shared" si="31"/>
        <v>430</v>
      </c>
      <c r="W69" s="18">
        <f t="shared" si="32"/>
        <v>541</v>
      </c>
      <c r="X69" s="14">
        <f t="shared" si="33"/>
        <v>430</v>
      </c>
      <c r="Y69" s="18">
        <f t="shared" si="34"/>
        <v>521</v>
      </c>
      <c r="Z69" s="14">
        <f t="shared" si="35"/>
        <v>403</v>
      </c>
      <c r="AA69" s="18">
        <f t="shared" si="36"/>
        <v>521</v>
      </c>
      <c r="AB69" s="4" t="s">
        <v>0</v>
      </c>
    </row>
    <row r="70" spans="1:28">
      <c r="A70" s="9" t="s">
        <v>141</v>
      </c>
      <c r="B70" s="24"/>
      <c r="C70" s="26"/>
      <c r="D70" s="25">
        <f t="shared" si="56"/>
        <v>430</v>
      </c>
      <c r="E70" s="29">
        <f t="shared" ref="E70" si="111">E69</f>
        <v>209</v>
      </c>
      <c r="F70" s="25">
        <f t="shared" si="58"/>
        <v>457</v>
      </c>
      <c r="G70" s="29">
        <f t="shared" si="98"/>
        <v>229</v>
      </c>
      <c r="H70" s="4" t="s">
        <v>0</v>
      </c>
      <c r="I70" s="16" t="str">
        <f t="shared" si="19"/>
        <v>01-01</v>
      </c>
      <c r="J70" s="14">
        <f t="shared" si="20"/>
        <v>430</v>
      </c>
      <c r="K70" s="15">
        <f t="shared" si="21"/>
        <v>209</v>
      </c>
      <c r="L70" s="17">
        <f t="shared" si="22"/>
        <v>457</v>
      </c>
      <c r="M70" s="18">
        <f t="shared" si="23"/>
        <v>209</v>
      </c>
      <c r="N70" s="14">
        <f t="shared" si="24"/>
        <v>457</v>
      </c>
      <c r="O70" s="15">
        <f t="shared" si="25"/>
        <v>229</v>
      </c>
      <c r="P70" s="17">
        <f t="shared" si="26"/>
        <v>430</v>
      </c>
      <c r="Q70" s="18">
        <f t="shared" si="27"/>
        <v>229</v>
      </c>
      <c r="R70" s="4" t="s">
        <v>0</v>
      </c>
      <c r="S70" s="16" t="str">
        <f t="shared" si="28"/>
        <v>01-01</v>
      </c>
      <c r="T70" s="14">
        <f t="shared" si="29"/>
        <v>430</v>
      </c>
      <c r="U70" s="18">
        <f t="shared" si="30"/>
        <v>541</v>
      </c>
      <c r="V70" s="14">
        <f t="shared" si="31"/>
        <v>457</v>
      </c>
      <c r="W70" s="18">
        <f t="shared" si="32"/>
        <v>541</v>
      </c>
      <c r="X70" s="14">
        <f t="shared" si="33"/>
        <v>457</v>
      </c>
      <c r="Y70" s="18">
        <f t="shared" si="34"/>
        <v>521</v>
      </c>
      <c r="Z70" s="14">
        <f t="shared" si="35"/>
        <v>430</v>
      </c>
      <c r="AA70" s="18">
        <f t="shared" si="36"/>
        <v>521</v>
      </c>
      <c r="AB70" s="4" t="s">
        <v>0</v>
      </c>
    </row>
  </sheetData>
  <autoFilter ref="A10:AB70" xr:uid="{00000000-0001-0000-0000-000000000000}"/>
  <mergeCells count="2">
    <mergeCell ref="D3:G3"/>
    <mergeCell ref="D4:G4"/>
  </mergeCells>
  <phoneticPr fontId="1"/>
  <hyperlinks>
    <hyperlink ref="N4" r:id="rId1" xr:uid="{444CD6AA-F32C-4443-8EF4-EF93B804781D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1040-28FA-4541-92BF-F998FB25F282}">
  <sheetPr codeName="Sheet10">
    <pageSetUpPr fitToPage="1"/>
  </sheetPr>
  <dimension ref="A1:AA100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16384" width="12.625" style="2"/>
  </cols>
  <sheetData>
    <row r="1" spans="1:27">
      <c r="A1" s="1" t="s">
        <v>132</v>
      </c>
      <c r="Q1" s="2"/>
      <c r="S1" s="1" t="s">
        <v>127</v>
      </c>
      <c r="AA1" s="2"/>
    </row>
    <row r="2" spans="1:27">
      <c r="A2" s="6" t="s">
        <v>111</v>
      </c>
      <c r="B2" s="7" t="s">
        <v>110</v>
      </c>
    </row>
    <row r="3" spans="1:27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SEC_11_3_親E.json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</row>
    <row r="4" spans="1:27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SEC_11_3_親E.png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</row>
    <row r="5" spans="1:27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親E</v>
      </c>
    </row>
    <row r="6" spans="1:27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7" ht="9" customHeight="1"/>
    <row r="8" spans="1:27" ht="9" customHeight="1"/>
    <row r="9" spans="1:27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7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</row>
    <row r="11" spans="1:27">
      <c r="A11" s="9" t="s">
        <v>98</v>
      </c>
      <c r="B11" s="30" t="s">
        <v>698</v>
      </c>
      <c r="C11" s="4" t="s">
        <v>0</v>
      </c>
      <c r="D11" s="27" t="s">
        <v>694</v>
      </c>
      <c r="E11" s="31" t="s">
        <v>695</v>
      </c>
      <c r="F11" s="31" t="s">
        <v>696</v>
      </c>
      <c r="G11" s="31" t="s">
        <v>697</v>
      </c>
      <c r="H11" s="4" t="s">
        <v>0</v>
      </c>
      <c r="I11" s="16" t="str">
        <f t="shared" ref="I11:I12" si="0">A11</f>
        <v>11-12</v>
      </c>
      <c r="J11" s="14" t="str">
        <f>IF(D11&lt;&gt;"",D11,0)</f>
        <v>66</v>
      </c>
      <c r="K11" s="15" t="str">
        <f>IF(E11&lt;&gt;"",E11,0)</f>
        <v>67</v>
      </c>
      <c r="L11" s="17" t="str">
        <f>N11</f>
        <v>105</v>
      </c>
      <c r="M11" s="18" t="str">
        <f>K11</f>
        <v>67</v>
      </c>
      <c r="N11" s="14" t="str">
        <f>IF(F11&lt;&gt;"",F11,0)</f>
        <v>105</v>
      </c>
      <c r="O11" s="15" t="str">
        <f>IF(G11&lt;&gt;"",G11,0)</f>
        <v>96</v>
      </c>
      <c r="P11" s="17" t="str">
        <f>J11</f>
        <v>66</v>
      </c>
      <c r="Q11" s="18" t="str">
        <f>O11</f>
        <v>96</v>
      </c>
      <c r="R11" s="4" t="s">
        <v>0</v>
      </c>
      <c r="S11" s="16" t="str">
        <f>I11</f>
        <v>11-12</v>
      </c>
      <c r="T11" s="14" t="str">
        <f>IF(J11&lt;&gt;"",J11,"")</f>
        <v>66</v>
      </c>
      <c r="U11" s="18">
        <f>IF(K11&lt;&gt;"",U$6-K11,"")</f>
        <v>683</v>
      </c>
      <c r="V11" s="14" t="str">
        <f t="shared" ref="V11:Z12" si="1">IF(L11&lt;&gt;"",L11,"")</f>
        <v>105</v>
      </c>
      <c r="W11" s="18">
        <f>IF(M11&lt;&gt;"",W$6-M11,"")</f>
        <v>683</v>
      </c>
      <c r="X11" s="14" t="str">
        <f t="shared" si="1"/>
        <v>105</v>
      </c>
      <c r="Y11" s="18">
        <f>IF(O11&lt;&gt;"",Y$6-O11,"")</f>
        <v>654</v>
      </c>
      <c r="Z11" s="14" t="str">
        <f t="shared" si="1"/>
        <v>66</v>
      </c>
      <c r="AA11" s="18">
        <f>IF(Q11&lt;&gt;"",AA$6-Q11,"")</f>
        <v>654</v>
      </c>
    </row>
    <row r="12" spans="1:27">
      <c r="A12" s="9" t="s">
        <v>97</v>
      </c>
      <c r="B12" s="24"/>
      <c r="C12" s="26">
        <v>1</v>
      </c>
      <c r="D12" s="28">
        <f>ROUND(D$11+38.5*$C12, 0)</f>
        <v>105</v>
      </c>
      <c r="E12" s="29" t="str">
        <f>E$11</f>
        <v>67</v>
      </c>
      <c r="F12" s="28">
        <f t="shared" ref="F12:F20" si="2">ROUND(F$11+38.5*$C12, 0)</f>
        <v>144</v>
      </c>
      <c r="G12" s="29" t="str">
        <f>G$11</f>
        <v>96</v>
      </c>
      <c r="H12" s="4" t="s">
        <v>0</v>
      </c>
      <c r="I12" s="16" t="str">
        <f t="shared" si="0"/>
        <v>11-11</v>
      </c>
      <c r="J12" s="14">
        <f t="shared" ref="J12:K12" si="3">IF(D12&lt;&gt;"",D12,0)</f>
        <v>105</v>
      </c>
      <c r="K12" s="15" t="str">
        <f t="shared" si="3"/>
        <v>67</v>
      </c>
      <c r="L12" s="17">
        <f t="shared" ref="L12" si="4">N12</f>
        <v>144</v>
      </c>
      <c r="M12" s="18" t="str">
        <f t="shared" ref="M12" si="5">K12</f>
        <v>67</v>
      </c>
      <c r="N12" s="14">
        <f t="shared" ref="N12:O12" si="6">IF(F12&lt;&gt;"",F12,0)</f>
        <v>144</v>
      </c>
      <c r="O12" s="15" t="str">
        <f t="shared" si="6"/>
        <v>96</v>
      </c>
      <c r="P12" s="17">
        <f t="shared" ref="P12" si="7">J12</f>
        <v>105</v>
      </c>
      <c r="Q12" s="18" t="str">
        <f t="shared" ref="Q12" si="8">O12</f>
        <v>96</v>
      </c>
      <c r="R12" s="4" t="s">
        <v>0</v>
      </c>
      <c r="S12" s="16" t="str">
        <f t="shared" ref="S12" si="9">I12</f>
        <v>11-11</v>
      </c>
      <c r="T12" s="14">
        <f t="shared" ref="T12" si="10">IF(J12&lt;&gt;"",J12,"")</f>
        <v>105</v>
      </c>
      <c r="U12" s="18">
        <f t="shared" ref="U12" si="11">IF(K12&lt;&gt;"",U$6-K12,"")</f>
        <v>683</v>
      </c>
      <c r="V12" s="14">
        <f t="shared" si="1"/>
        <v>144</v>
      </c>
      <c r="W12" s="18">
        <f t="shared" ref="W12" si="12">IF(M12&lt;&gt;"",W$6-M12,"")</f>
        <v>683</v>
      </c>
      <c r="X12" s="14">
        <f t="shared" si="1"/>
        <v>144</v>
      </c>
      <c r="Y12" s="18">
        <f t="shared" ref="Y12" si="13">IF(O12&lt;&gt;"",Y$6-O12,"")</f>
        <v>654</v>
      </c>
      <c r="Z12" s="14">
        <f t="shared" si="1"/>
        <v>105</v>
      </c>
      <c r="AA12" s="18">
        <f t="shared" ref="AA12" si="14">IF(Q12&lt;&gt;"",AA$6-Q12,"")</f>
        <v>654</v>
      </c>
    </row>
    <row r="13" spans="1:27">
      <c r="A13" s="9" t="s">
        <v>96</v>
      </c>
      <c r="B13" s="24"/>
      <c r="C13" s="26">
        <v>2</v>
      </c>
      <c r="D13" s="28">
        <f t="shared" ref="D13:D20" si="15">ROUND(D$11+38.5*$C13, 0)</f>
        <v>143</v>
      </c>
      <c r="E13" s="29" t="str">
        <f t="shared" ref="E13:G20" si="16">E$11</f>
        <v>67</v>
      </c>
      <c r="F13" s="28">
        <f t="shared" si="2"/>
        <v>182</v>
      </c>
      <c r="G13" s="29" t="str">
        <f t="shared" si="16"/>
        <v>96</v>
      </c>
      <c r="H13" s="4" t="s">
        <v>0</v>
      </c>
      <c r="I13" s="16" t="str">
        <f t="shared" ref="I13:I73" si="17">A13</f>
        <v>11-10</v>
      </c>
      <c r="J13" s="14">
        <f t="shared" ref="J13:J73" si="18">IF(D13&lt;&gt;"",D13,0)</f>
        <v>143</v>
      </c>
      <c r="K13" s="15" t="str">
        <f t="shared" ref="K13:K73" si="19">IF(E13&lt;&gt;"",E13,0)</f>
        <v>67</v>
      </c>
      <c r="L13" s="17">
        <f t="shared" ref="L13:L73" si="20">N13</f>
        <v>182</v>
      </c>
      <c r="M13" s="18" t="str">
        <f t="shared" ref="M13:M73" si="21">K13</f>
        <v>67</v>
      </c>
      <c r="N13" s="14">
        <f t="shared" ref="N13:N73" si="22">IF(F13&lt;&gt;"",F13,0)</f>
        <v>182</v>
      </c>
      <c r="O13" s="15" t="str">
        <f t="shared" ref="O13:O73" si="23">IF(G13&lt;&gt;"",G13,0)</f>
        <v>96</v>
      </c>
      <c r="P13" s="17">
        <f t="shared" ref="P13:P73" si="24">J13</f>
        <v>143</v>
      </c>
      <c r="Q13" s="18" t="str">
        <f t="shared" ref="Q13:Q73" si="25">O13</f>
        <v>96</v>
      </c>
      <c r="R13" s="4" t="s">
        <v>0</v>
      </c>
      <c r="S13" s="16" t="str">
        <f t="shared" ref="S13:S73" si="26">I13</f>
        <v>11-10</v>
      </c>
      <c r="T13" s="14">
        <f t="shared" ref="T13:T73" si="27">IF(J13&lt;&gt;"",J13,"")</f>
        <v>143</v>
      </c>
      <c r="U13" s="18">
        <f t="shared" ref="U13:U73" si="28">IF(K13&lt;&gt;"",U$6-K13,"")</f>
        <v>683</v>
      </c>
      <c r="V13" s="14">
        <f t="shared" ref="V13:V73" si="29">IF(L13&lt;&gt;"",L13,"")</f>
        <v>182</v>
      </c>
      <c r="W13" s="18">
        <f t="shared" ref="W13:W73" si="30">IF(M13&lt;&gt;"",W$6-M13,"")</f>
        <v>683</v>
      </c>
      <c r="X13" s="14">
        <f t="shared" ref="X13:X73" si="31">IF(N13&lt;&gt;"",N13,"")</f>
        <v>182</v>
      </c>
      <c r="Y13" s="18">
        <f t="shared" ref="Y13:Y73" si="32">IF(O13&lt;&gt;"",Y$6-O13,"")</f>
        <v>654</v>
      </c>
      <c r="Z13" s="14">
        <f t="shared" ref="Z13:Z73" si="33">IF(P13&lt;&gt;"",P13,"")</f>
        <v>143</v>
      </c>
      <c r="AA13" s="18">
        <f t="shared" ref="AA13:AA73" si="34">IF(Q13&lt;&gt;"",AA$6-Q13,"")</f>
        <v>654</v>
      </c>
    </row>
    <row r="14" spans="1:27">
      <c r="A14" s="9" t="s">
        <v>95</v>
      </c>
      <c r="B14" s="24"/>
      <c r="C14" s="26">
        <v>3</v>
      </c>
      <c r="D14" s="28">
        <f t="shared" si="15"/>
        <v>182</v>
      </c>
      <c r="E14" s="29" t="str">
        <f t="shared" si="16"/>
        <v>67</v>
      </c>
      <c r="F14" s="28">
        <f t="shared" si="2"/>
        <v>221</v>
      </c>
      <c r="G14" s="29" t="str">
        <f t="shared" si="16"/>
        <v>96</v>
      </c>
      <c r="H14" s="4" t="s">
        <v>0</v>
      </c>
      <c r="I14" s="16" t="str">
        <f t="shared" si="17"/>
        <v>11-08</v>
      </c>
      <c r="J14" s="14">
        <f t="shared" si="18"/>
        <v>182</v>
      </c>
      <c r="K14" s="15" t="str">
        <f t="shared" si="19"/>
        <v>67</v>
      </c>
      <c r="L14" s="17">
        <f t="shared" si="20"/>
        <v>221</v>
      </c>
      <c r="M14" s="18" t="str">
        <f t="shared" si="21"/>
        <v>67</v>
      </c>
      <c r="N14" s="14">
        <f t="shared" si="22"/>
        <v>221</v>
      </c>
      <c r="O14" s="15" t="str">
        <f t="shared" si="23"/>
        <v>96</v>
      </c>
      <c r="P14" s="17">
        <f t="shared" si="24"/>
        <v>182</v>
      </c>
      <c r="Q14" s="18" t="str">
        <f t="shared" si="25"/>
        <v>96</v>
      </c>
      <c r="R14" s="4" t="s">
        <v>0</v>
      </c>
      <c r="S14" s="16" t="str">
        <f t="shared" si="26"/>
        <v>11-08</v>
      </c>
      <c r="T14" s="14">
        <f t="shared" si="27"/>
        <v>182</v>
      </c>
      <c r="U14" s="18">
        <f t="shared" si="28"/>
        <v>683</v>
      </c>
      <c r="V14" s="14">
        <f t="shared" si="29"/>
        <v>221</v>
      </c>
      <c r="W14" s="18">
        <f t="shared" si="30"/>
        <v>683</v>
      </c>
      <c r="X14" s="14">
        <f t="shared" si="31"/>
        <v>221</v>
      </c>
      <c r="Y14" s="18">
        <f t="shared" si="32"/>
        <v>654</v>
      </c>
      <c r="Z14" s="14">
        <f t="shared" si="33"/>
        <v>182</v>
      </c>
      <c r="AA14" s="18">
        <f t="shared" si="34"/>
        <v>654</v>
      </c>
    </row>
    <row r="15" spans="1:27">
      <c r="A15" s="9" t="s">
        <v>94</v>
      </c>
      <c r="B15" s="24"/>
      <c r="C15" s="26">
        <v>4</v>
      </c>
      <c r="D15" s="28">
        <f t="shared" si="15"/>
        <v>220</v>
      </c>
      <c r="E15" s="29" t="str">
        <f t="shared" si="16"/>
        <v>67</v>
      </c>
      <c r="F15" s="28">
        <f t="shared" si="2"/>
        <v>259</v>
      </c>
      <c r="G15" s="29" t="str">
        <f t="shared" si="16"/>
        <v>96</v>
      </c>
      <c r="H15" s="4" t="s">
        <v>0</v>
      </c>
      <c r="I15" s="16" t="str">
        <f t="shared" si="17"/>
        <v>11-07</v>
      </c>
      <c r="J15" s="14">
        <f t="shared" si="18"/>
        <v>220</v>
      </c>
      <c r="K15" s="15" t="str">
        <f t="shared" si="19"/>
        <v>67</v>
      </c>
      <c r="L15" s="17">
        <f t="shared" si="20"/>
        <v>259</v>
      </c>
      <c r="M15" s="18" t="str">
        <f t="shared" si="21"/>
        <v>67</v>
      </c>
      <c r="N15" s="14">
        <f t="shared" si="22"/>
        <v>259</v>
      </c>
      <c r="O15" s="15" t="str">
        <f t="shared" si="23"/>
        <v>96</v>
      </c>
      <c r="P15" s="17">
        <f t="shared" si="24"/>
        <v>220</v>
      </c>
      <c r="Q15" s="18" t="str">
        <f t="shared" si="25"/>
        <v>96</v>
      </c>
      <c r="R15" s="4" t="s">
        <v>0</v>
      </c>
      <c r="S15" s="16" t="str">
        <f t="shared" si="26"/>
        <v>11-07</v>
      </c>
      <c r="T15" s="14">
        <f t="shared" si="27"/>
        <v>220</v>
      </c>
      <c r="U15" s="18">
        <f t="shared" si="28"/>
        <v>683</v>
      </c>
      <c r="V15" s="14">
        <f t="shared" si="29"/>
        <v>259</v>
      </c>
      <c r="W15" s="18">
        <f t="shared" si="30"/>
        <v>683</v>
      </c>
      <c r="X15" s="14">
        <f t="shared" si="31"/>
        <v>259</v>
      </c>
      <c r="Y15" s="18">
        <f t="shared" si="32"/>
        <v>654</v>
      </c>
      <c r="Z15" s="14">
        <f t="shared" si="33"/>
        <v>220</v>
      </c>
      <c r="AA15" s="18">
        <f t="shared" si="34"/>
        <v>654</v>
      </c>
    </row>
    <row r="16" spans="1:27">
      <c r="A16" s="9" t="s">
        <v>93</v>
      </c>
      <c r="B16" s="24"/>
      <c r="C16" s="26">
        <v>5</v>
      </c>
      <c r="D16" s="28">
        <f t="shared" si="15"/>
        <v>259</v>
      </c>
      <c r="E16" s="29" t="str">
        <f t="shared" si="16"/>
        <v>67</v>
      </c>
      <c r="F16" s="28">
        <f t="shared" si="2"/>
        <v>298</v>
      </c>
      <c r="G16" s="29" t="str">
        <f t="shared" si="16"/>
        <v>96</v>
      </c>
      <c r="H16" s="4" t="s">
        <v>0</v>
      </c>
      <c r="I16" s="16" t="str">
        <f t="shared" si="17"/>
        <v>11-06</v>
      </c>
      <c r="J16" s="14">
        <f t="shared" si="18"/>
        <v>259</v>
      </c>
      <c r="K16" s="15" t="str">
        <f t="shared" si="19"/>
        <v>67</v>
      </c>
      <c r="L16" s="17">
        <f t="shared" si="20"/>
        <v>298</v>
      </c>
      <c r="M16" s="18" t="str">
        <f t="shared" si="21"/>
        <v>67</v>
      </c>
      <c r="N16" s="14">
        <f t="shared" si="22"/>
        <v>298</v>
      </c>
      <c r="O16" s="15" t="str">
        <f t="shared" si="23"/>
        <v>96</v>
      </c>
      <c r="P16" s="17">
        <f t="shared" si="24"/>
        <v>259</v>
      </c>
      <c r="Q16" s="18" t="str">
        <f t="shared" si="25"/>
        <v>96</v>
      </c>
      <c r="R16" s="4" t="s">
        <v>0</v>
      </c>
      <c r="S16" s="16" t="str">
        <f t="shared" si="26"/>
        <v>11-06</v>
      </c>
      <c r="T16" s="14">
        <f t="shared" si="27"/>
        <v>259</v>
      </c>
      <c r="U16" s="18">
        <f t="shared" si="28"/>
        <v>683</v>
      </c>
      <c r="V16" s="14">
        <f t="shared" si="29"/>
        <v>298</v>
      </c>
      <c r="W16" s="18">
        <f t="shared" si="30"/>
        <v>683</v>
      </c>
      <c r="X16" s="14">
        <f t="shared" si="31"/>
        <v>298</v>
      </c>
      <c r="Y16" s="18">
        <f t="shared" si="32"/>
        <v>654</v>
      </c>
      <c r="Z16" s="14">
        <f t="shared" si="33"/>
        <v>259</v>
      </c>
      <c r="AA16" s="18">
        <f t="shared" si="34"/>
        <v>654</v>
      </c>
    </row>
    <row r="17" spans="1:27">
      <c r="A17" s="9" t="s">
        <v>92</v>
      </c>
      <c r="B17" s="24"/>
      <c r="C17" s="26">
        <v>6</v>
      </c>
      <c r="D17" s="28">
        <f t="shared" si="15"/>
        <v>297</v>
      </c>
      <c r="E17" s="29" t="str">
        <f t="shared" si="16"/>
        <v>67</v>
      </c>
      <c r="F17" s="28">
        <f t="shared" si="2"/>
        <v>336</v>
      </c>
      <c r="G17" s="29" t="str">
        <f t="shared" si="16"/>
        <v>96</v>
      </c>
      <c r="H17" s="4" t="s">
        <v>0</v>
      </c>
      <c r="I17" s="16" t="str">
        <f t="shared" si="17"/>
        <v>11-05</v>
      </c>
      <c r="J17" s="14">
        <f t="shared" si="18"/>
        <v>297</v>
      </c>
      <c r="K17" s="15" t="str">
        <f t="shared" si="19"/>
        <v>67</v>
      </c>
      <c r="L17" s="17">
        <f t="shared" si="20"/>
        <v>336</v>
      </c>
      <c r="M17" s="18" t="str">
        <f t="shared" si="21"/>
        <v>67</v>
      </c>
      <c r="N17" s="14">
        <f t="shared" si="22"/>
        <v>336</v>
      </c>
      <c r="O17" s="15" t="str">
        <f t="shared" si="23"/>
        <v>96</v>
      </c>
      <c r="P17" s="17">
        <f t="shared" si="24"/>
        <v>297</v>
      </c>
      <c r="Q17" s="18" t="str">
        <f t="shared" si="25"/>
        <v>96</v>
      </c>
      <c r="R17" s="4" t="s">
        <v>0</v>
      </c>
      <c r="S17" s="16" t="str">
        <f t="shared" si="26"/>
        <v>11-05</v>
      </c>
      <c r="T17" s="14">
        <f t="shared" si="27"/>
        <v>297</v>
      </c>
      <c r="U17" s="18">
        <f t="shared" si="28"/>
        <v>683</v>
      </c>
      <c r="V17" s="14">
        <f t="shared" si="29"/>
        <v>336</v>
      </c>
      <c r="W17" s="18">
        <f t="shared" si="30"/>
        <v>683</v>
      </c>
      <c r="X17" s="14">
        <f t="shared" si="31"/>
        <v>336</v>
      </c>
      <c r="Y17" s="18">
        <f t="shared" si="32"/>
        <v>654</v>
      </c>
      <c r="Z17" s="14">
        <f t="shared" si="33"/>
        <v>297</v>
      </c>
      <c r="AA17" s="18">
        <f t="shared" si="34"/>
        <v>654</v>
      </c>
    </row>
    <row r="18" spans="1:27">
      <c r="A18" s="9" t="s">
        <v>91</v>
      </c>
      <c r="B18" s="24"/>
      <c r="C18" s="26">
        <v>7</v>
      </c>
      <c r="D18" s="28">
        <f t="shared" si="15"/>
        <v>336</v>
      </c>
      <c r="E18" s="29" t="str">
        <f t="shared" si="16"/>
        <v>67</v>
      </c>
      <c r="F18" s="28">
        <f t="shared" si="2"/>
        <v>375</v>
      </c>
      <c r="G18" s="29" t="str">
        <f t="shared" si="16"/>
        <v>96</v>
      </c>
      <c r="H18" s="4" t="s">
        <v>0</v>
      </c>
      <c r="I18" s="16" t="str">
        <f t="shared" si="17"/>
        <v>11-03</v>
      </c>
      <c r="J18" s="14">
        <f t="shared" si="18"/>
        <v>336</v>
      </c>
      <c r="K18" s="15" t="str">
        <f t="shared" si="19"/>
        <v>67</v>
      </c>
      <c r="L18" s="17">
        <f t="shared" si="20"/>
        <v>375</v>
      </c>
      <c r="M18" s="18" t="str">
        <f t="shared" si="21"/>
        <v>67</v>
      </c>
      <c r="N18" s="14">
        <f t="shared" si="22"/>
        <v>375</v>
      </c>
      <c r="O18" s="15" t="str">
        <f t="shared" si="23"/>
        <v>96</v>
      </c>
      <c r="P18" s="17">
        <f t="shared" si="24"/>
        <v>336</v>
      </c>
      <c r="Q18" s="18" t="str">
        <f t="shared" si="25"/>
        <v>96</v>
      </c>
      <c r="R18" s="4" t="s">
        <v>0</v>
      </c>
      <c r="S18" s="16" t="str">
        <f t="shared" si="26"/>
        <v>11-03</v>
      </c>
      <c r="T18" s="14">
        <f t="shared" si="27"/>
        <v>336</v>
      </c>
      <c r="U18" s="18">
        <f t="shared" si="28"/>
        <v>683</v>
      </c>
      <c r="V18" s="14">
        <f t="shared" si="29"/>
        <v>375</v>
      </c>
      <c r="W18" s="18">
        <f t="shared" si="30"/>
        <v>683</v>
      </c>
      <c r="X18" s="14">
        <f t="shared" si="31"/>
        <v>375</v>
      </c>
      <c r="Y18" s="18">
        <f t="shared" si="32"/>
        <v>654</v>
      </c>
      <c r="Z18" s="14">
        <f t="shared" si="33"/>
        <v>336</v>
      </c>
      <c r="AA18" s="18">
        <f t="shared" si="34"/>
        <v>654</v>
      </c>
    </row>
    <row r="19" spans="1:27">
      <c r="A19" s="9" t="s">
        <v>90</v>
      </c>
      <c r="B19" s="24"/>
      <c r="C19" s="26">
        <v>8</v>
      </c>
      <c r="D19" s="28">
        <f t="shared" si="15"/>
        <v>374</v>
      </c>
      <c r="E19" s="29" t="str">
        <f t="shared" si="16"/>
        <v>67</v>
      </c>
      <c r="F19" s="28">
        <f t="shared" si="2"/>
        <v>413</v>
      </c>
      <c r="G19" s="29" t="str">
        <f t="shared" si="16"/>
        <v>96</v>
      </c>
      <c r="H19" s="4" t="s">
        <v>0</v>
      </c>
      <c r="I19" s="16" t="str">
        <f t="shared" si="17"/>
        <v>11-02</v>
      </c>
      <c r="J19" s="14">
        <f t="shared" si="18"/>
        <v>374</v>
      </c>
      <c r="K19" s="15" t="str">
        <f t="shared" si="19"/>
        <v>67</v>
      </c>
      <c r="L19" s="17">
        <f t="shared" si="20"/>
        <v>413</v>
      </c>
      <c r="M19" s="18" t="str">
        <f t="shared" si="21"/>
        <v>67</v>
      </c>
      <c r="N19" s="14">
        <f t="shared" si="22"/>
        <v>413</v>
      </c>
      <c r="O19" s="15" t="str">
        <f t="shared" si="23"/>
        <v>96</v>
      </c>
      <c r="P19" s="17">
        <f t="shared" si="24"/>
        <v>374</v>
      </c>
      <c r="Q19" s="18" t="str">
        <f t="shared" si="25"/>
        <v>96</v>
      </c>
      <c r="R19" s="4" t="s">
        <v>0</v>
      </c>
      <c r="S19" s="16" t="str">
        <f t="shared" si="26"/>
        <v>11-02</v>
      </c>
      <c r="T19" s="14">
        <f t="shared" si="27"/>
        <v>374</v>
      </c>
      <c r="U19" s="18">
        <f t="shared" si="28"/>
        <v>683</v>
      </c>
      <c r="V19" s="14">
        <f t="shared" si="29"/>
        <v>413</v>
      </c>
      <c r="W19" s="18">
        <f t="shared" si="30"/>
        <v>683</v>
      </c>
      <c r="X19" s="14">
        <f t="shared" si="31"/>
        <v>413</v>
      </c>
      <c r="Y19" s="18">
        <f t="shared" si="32"/>
        <v>654</v>
      </c>
      <c r="Z19" s="14">
        <f t="shared" si="33"/>
        <v>374</v>
      </c>
      <c r="AA19" s="18">
        <f t="shared" si="34"/>
        <v>654</v>
      </c>
    </row>
    <row r="20" spans="1:27">
      <c r="A20" s="9" t="s">
        <v>89</v>
      </c>
      <c r="B20" s="24"/>
      <c r="C20" s="26">
        <v>9</v>
      </c>
      <c r="D20" s="28">
        <f t="shared" si="15"/>
        <v>413</v>
      </c>
      <c r="E20" s="29" t="str">
        <f t="shared" si="16"/>
        <v>67</v>
      </c>
      <c r="F20" s="28">
        <f t="shared" si="2"/>
        <v>452</v>
      </c>
      <c r="G20" s="29" t="str">
        <f t="shared" si="16"/>
        <v>96</v>
      </c>
      <c r="H20" s="4" t="s">
        <v>0</v>
      </c>
      <c r="I20" s="16" t="str">
        <f t="shared" si="17"/>
        <v>11-01</v>
      </c>
      <c r="J20" s="14">
        <f t="shared" si="18"/>
        <v>413</v>
      </c>
      <c r="K20" s="15" t="str">
        <f t="shared" si="19"/>
        <v>67</v>
      </c>
      <c r="L20" s="17">
        <f t="shared" si="20"/>
        <v>452</v>
      </c>
      <c r="M20" s="18" t="str">
        <f t="shared" si="21"/>
        <v>67</v>
      </c>
      <c r="N20" s="14">
        <f t="shared" si="22"/>
        <v>452</v>
      </c>
      <c r="O20" s="15" t="str">
        <f t="shared" si="23"/>
        <v>96</v>
      </c>
      <c r="P20" s="17">
        <f t="shared" si="24"/>
        <v>413</v>
      </c>
      <c r="Q20" s="18" t="str">
        <f t="shared" si="25"/>
        <v>96</v>
      </c>
      <c r="R20" s="4" t="s">
        <v>0</v>
      </c>
      <c r="S20" s="16" t="str">
        <f t="shared" si="26"/>
        <v>11-01</v>
      </c>
      <c r="T20" s="14">
        <f t="shared" si="27"/>
        <v>413</v>
      </c>
      <c r="U20" s="18">
        <f t="shared" si="28"/>
        <v>683</v>
      </c>
      <c r="V20" s="14">
        <f t="shared" si="29"/>
        <v>452</v>
      </c>
      <c r="W20" s="18">
        <f t="shared" si="30"/>
        <v>683</v>
      </c>
      <c r="X20" s="14">
        <f t="shared" si="31"/>
        <v>452</v>
      </c>
      <c r="Y20" s="18">
        <f t="shared" si="32"/>
        <v>654</v>
      </c>
      <c r="Z20" s="14">
        <f t="shared" si="33"/>
        <v>413</v>
      </c>
      <c r="AA20" s="18">
        <f t="shared" si="34"/>
        <v>654</v>
      </c>
    </row>
    <row r="21" spans="1:27">
      <c r="A21" s="9" t="s">
        <v>88</v>
      </c>
      <c r="B21" s="24"/>
      <c r="C21" s="26">
        <v>1</v>
      </c>
      <c r="D21" s="25" t="str">
        <f>D11</f>
        <v>66</v>
      </c>
      <c r="E21" s="28">
        <f>ROUND(E$11+69.2*$C21, 0)</f>
        <v>136</v>
      </c>
      <c r="F21" s="25" t="str">
        <f>F11</f>
        <v>105</v>
      </c>
      <c r="G21" s="28">
        <f>ROUND(G$11+69.2*$C21, 0)</f>
        <v>165</v>
      </c>
      <c r="H21" s="4" t="s">
        <v>0</v>
      </c>
      <c r="I21" s="16" t="str">
        <f t="shared" si="17"/>
        <v>10-12</v>
      </c>
      <c r="J21" s="14" t="str">
        <f t="shared" si="18"/>
        <v>66</v>
      </c>
      <c r="K21" s="15">
        <f t="shared" si="19"/>
        <v>136</v>
      </c>
      <c r="L21" s="17" t="str">
        <f t="shared" si="20"/>
        <v>105</v>
      </c>
      <c r="M21" s="18">
        <f t="shared" si="21"/>
        <v>136</v>
      </c>
      <c r="N21" s="14" t="str">
        <f t="shared" si="22"/>
        <v>105</v>
      </c>
      <c r="O21" s="15">
        <f t="shared" si="23"/>
        <v>165</v>
      </c>
      <c r="P21" s="17" t="str">
        <f t="shared" si="24"/>
        <v>66</v>
      </c>
      <c r="Q21" s="18">
        <f t="shared" si="25"/>
        <v>165</v>
      </c>
      <c r="R21" s="4" t="s">
        <v>0</v>
      </c>
      <c r="S21" s="16" t="str">
        <f t="shared" si="26"/>
        <v>10-12</v>
      </c>
      <c r="T21" s="14" t="str">
        <f t="shared" si="27"/>
        <v>66</v>
      </c>
      <c r="U21" s="18">
        <f t="shared" si="28"/>
        <v>614</v>
      </c>
      <c r="V21" s="14" t="str">
        <f t="shared" si="29"/>
        <v>105</v>
      </c>
      <c r="W21" s="18">
        <f t="shared" si="30"/>
        <v>614</v>
      </c>
      <c r="X21" s="14" t="str">
        <f t="shared" si="31"/>
        <v>105</v>
      </c>
      <c r="Y21" s="18">
        <f t="shared" si="32"/>
        <v>585</v>
      </c>
      <c r="Z21" s="14" t="str">
        <f t="shared" si="33"/>
        <v>66</v>
      </c>
      <c r="AA21" s="18">
        <f t="shared" si="34"/>
        <v>585</v>
      </c>
    </row>
    <row r="22" spans="1:27">
      <c r="A22" s="9" t="s">
        <v>87</v>
      </c>
      <c r="B22" s="24"/>
      <c r="C22" s="26"/>
      <c r="D22" s="25">
        <f t="shared" ref="D22:D56" si="35">D12</f>
        <v>105</v>
      </c>
      <c r="E22" s="29">
        <f>E21</f>
        <v>136</v>
      </c>
      <c r="F22" s="25">
        <f t="shared" ref="F22:F56" si="36">F12</f>
        <v>144</v>
      </c>
      <c r="G22" s="29">
        <f>G21</f>
        <v>165</v>
      </c>
      <c r="H22" s="4" t="s">
        <v>0</v>
      </c>
      <c r="I22" s="16" t="str">
        <f t="shared" si="17"/>
        <v>10-11</v>
      </c>
      <c r="J22" s="14">
        <f t="shared" si="18"/>
        <v>105</v>
      </c>
      <c r="K22" s="15">
        <f t="shared" si="19"/>
        <v>136</v>
      </c>
      <c r="L22" s="17">
        <f t="shared" si="20"/>
        <v>144</v>
      </c>
      <c r="M22" s="18">
        <f t="shared" si="21"/>
        <v>136</v>
      </c>
      <c r="N22" s="14">
        <f t="shared" si="22"/>
        <v>144</v>
      </c>
      <c r="O22" s="15">
        <f t="shared" si="23"/>
        <v>165</v>
      </c>
      <c r="P22" s="17">
        <f t="shared" si="24"/>
        <v>105</v>
      </c>
      <c r="Q22" s="18">
        <f t="shared" si="25"/>
        <v>165</v>
      </c>
      <c r="R22" s="4" t="s">
        <v>0</v>
      </c>
      <c r="S22" s="16" t="str">
        <f t="shared" si="26"/>
        <v>10-11</v>
      </c>
      <c r="T22" s="14">
        <f t="shared" si="27"/>
        <v>105</v>
      </c>
      <c r="U22" s="18">
        <f t="shared" si="28"/>
        <v>614</v>
      </c>
      <c r="V22" s="14">
        <f t="shared" si="29"/>
        <v>144</v>
      </c>
      <c r="W22" s="18">
        <f t="shared" si="30"/>
        <v>614</v>
      </c>
      <c r="X22" s="14">
        <f t="shared" si="31"/>
        <v>144</v>
      </c>
      <c r="Y22" s="18">
        <f t="shared" si="32"/>
        <v>585</v>
      </c>
      <c r="Z22" s="14">
        <f t="shared" si="33"/>
        <v>105</v>
      </c>
      <c r="AA22" s="18">
        <f t="shared" si="34"/>
        <v>585</v>
      </c>
    </row>
    <row r="23" spans="1:27">
      <c r="A23" s="9" t="s">
        <v>86</v>
      </c>
      <c r="B23" s="24"/>
      <c r="C23" s="26"/>
      <c r="D23" s="25">
        <f t="shared" si="35"/>
        <v>143</v>
      </c>
      <c r="E23" s="29">
        <f t="shared" ref="E23:G30" si="37">E22</f>
        <v>136</v>
      </c>
      <c r="F23" s="25">
        <f t="shared" si="36"/>
        <v>182</v>
      </c>
      <c r="G23" s="29">
        <f t="shared" si="37"/>
        <v>165</v>
      </c>
      <c r="H23" s="4" t="s">
        <v>0</v>
      </c>
      <c r="I23" s="16" t="str">
        <f t="shared" si="17"/>
        <v>10-10</v>
      </c>
      <c r="J23" s="14">
        <f t="shared" si="18"/>
        <v>143</v>
      </c>
      <c r="K23" s="15">
        <f t="shared" si="19"/>
        <v>136</v>
      </c>
      <c r="L23" s="17">
        <f t="shared" si="20"/>
        <v>182</v>
      </c>
      <c r="M23" s="18">
        <f t="shared" si="21"/>
        <v>136</v>
      </c>
      <c r="N23" s="14">
        <f t="shared" si="22"/>
        <v>182</v>
      </c>
      <c r="O23" s="15">
        <f t="shared" si="23"/>
        <v>165</v>
      </c>
      <c r="P23" s="17">
        <f t="shared" si="24"/>
        <v>143</v>
      </c>
      <c r="Q23" s="18">
        <f t="shared" si="25"/>
        <v>165</v>
      </c>
      <c r="R23" s="4" t="s">
        <v>0</v>
      </c>
      <c r="S23" s="16" t="str">
        <f t="shared" si="26"/>
        <v>10-10</v>
      </c>
      <c r="T23" s="14">
        <f t="shared" si="27"/>
        <v>143</v>
      </c>
      <c r="U23" s="18">
        <f t="shared" si="28"/>
        <v>614</v>
      </c>
      <c r="V23" s="14">
        <f t="shared" si="29"/>
        <v>182</v>
      </c>
      <c r="W23" s="18">
        <f t="shared" si="30"/>
        <v>614</v>
      </c>
      <c r="X23" s="14">
        <f t="shared" si="31"/>
        <v>182</v>
      </c>
      <c r="Y23" s="18">
        <f t="shared" si="32"/>
        <v>585</v>
      </c>
      <c r="Z23" s="14">
        <f t="shared" si="33"/>
        <v>143</v>
      </c>
      <c r="AA23" s="18">
        <f t="shared" si="34"/>
        <v>585</v>
      </c>
    </row>
    <row r="24" spans="1:27">
      <c r="A24" s="9" t="s">
        <v>85</v>
      </c>
      <c r="B24" s="24"/>
      <c r="C24" s="26"/>
      <c r="D24" s="25">
        <f t="shared" si="35"/>
        <v>182</v>
      </c>
      <c r="E24" s="29">
        <f t="shared" si="37"/>
        <v>136</v>
      </c>
      <c r="F24" s="25">
        <f t="shared" si="36"/>
        <v>221</v>
      </c>
      <c r="G24" s="29">
        <f t="shared" si="37"/>
        <v>165</v>
      </c>
      <c r="H24" s="4" t="s">
        <v>0</v>
      </c>
      <c r="I24" s="16" t="str">
        <f t="shared" si="17"/>
        <v>10-08</v>
      </c>
      <c r="J24" s="14">
        <f t="shared" si="18"/>
        <v>182</v>
      </c>
      <c r="K24" s="15">
        <f t="shared" si="19"/>
        <v>136</v>
      </c>
      <c r="L24" s="17">
        <f t="shared" si="20"/>
        <v>221</v>
      </c>
      <c r="M24" s="18">
        <f t="shared" si="21"/>
        <v>136</v>
      </c>
      <c r="N24" s="14">
        <f t="shared" si="22"/>
        <v>221</v>
      </c>
      <c r="O24" s="15">
        <f t="shared" si="23"/>
        <v>165</v>
      </c>
      <c r="P24" s="17">
        <f t="shared" si="24"/>
        <v>182</v>
      </c>
      <c r="Q24" s="18">
        <f t="shared" si="25"/>
        <v>165</v>
      </c>
      <c r="R24" s="4" t="s">
        <v>0</v>
      </c>
      <c r="S24" s="16" t="str">
        <f t="shared" si="26"/>
        <v>10-08</v>
      </c>
      <c r="T24" s="14">
        <f t="shared" si="27"/>
        <v>182</v>
      </c>
      <c r="U24" s="18">
        <f t="shared" si="28"/>
        <v>614</v>
      </c>
      <c r="V24" s="14">
        <f t="shared" si="29"/>
        <v>221</v>
      </c>
      <c r="W24" s="18">
        <f t="shared" si="30"/>
        <v>614</v>
      </c>
      <c r="X24" s="14">
        <f t="shared" si="31"/>
        <v>221</v>
      </c>
      <c r="Y24" s="18">
        <f t="shared" si="32"/>
        <v>585</v>
      </c>
      <c r="Z24" s="14">
        <f t="shared" si="33"/>
        <v>182</v>
      </c>
      <c r="AA24" s="18">
        <f t="shared" si="34"/>
        <v>585</v>
      </c>
    </row>
    <row r="25" spans="1:27">
      <c r="A25" s="9" t="s">
        <v>84</v>
      </c>
      <c r="B25" s="24"/>
      <c r="C25" s="26"/>
      <c r="D25" s="25">
        <f t="shared" si="35"/>
        <v>220</v>
      </c>
      <c r="E25" s="29">
        <f t="shared" si="37"/>
        <v>136</v>
      </c>
      <c r="F25" s="25">
        <f t="shared" si="36"/>
        <v>259</v>
      </c>
      <c r="G25" s="29">
        <f t="shared" si="37"/>
        <v>165</v>
      </c>
      <c r="H25" s="4" t="s">
        <v>0</v>
      </c>
      <c r="I25" s="16" t="str">
        <f t="shared" si="17"/>
        <v>10-07</v>
      </c>
      <c r="J25" s="14">
        <f t="shared" si="18"/>
        <v>220</v>
      </c>
      <c r="K25" s="15">
        <f t="shared" si="19"/>
        <v>136</v>
      </c>
      <c r="L25" s="17">
        <f t="shared" si="20"/>
        <v>259</v>
      </c>
      <c r="M25" s="18">
        <f t="shared" si="21"/>
        <v>136</v>
      </c>
      <c r="N25" s="14">
        <f t="shared" si="22"/>
        <v>259</v>
      </c>
      <c r="O25" s="15">
        <f t="shared" si="23"/>
        <v>165</v>
      </c>
      <c r="P25" s="17">
        <f t="shared" si="24"/>
        <v>220</v>
      </c>
      <c r="Q25" s="18">
        <f t="shared" si="25"/>
        <v>165</v>
      </c>
      <c r="R25" s="4" t="s">
        <v>0</v>
      </c>
      <c r="S25" s="16" t="str">
        <f t="shared" si="26"/>
        <v>10-07</v>
      </c>
      <c r="T25" s="14">
        <f t="shared" si="27"/>
        <v>220</v>
      </c>
      <c r="U25" s="18">
        <f t="shared" si="28"/>
        <v>614</v>
      </c>
      <c r="V25" s="14">
        <f t="shared" si="29"/>
        <v>259</v>
      </c>
      <c r="W25" s="18">
        <f t="shared" si="30"/>
        <v>614</v>
      </c>
      <c r="X25" s="14">
        <f t="shared" si="31"/>
        <v>259</v>
      </c>
      <c r="Y25" s="18">
        <f t="shared" si="32"/>
        <v>585</v>
      </c>
      <c r="Z25" s="14">
        <f t="shared" si="33"/>
        <v>220</v>
      </c>
      <c r="AA25" s="18">
        <f t="shared" si="34"/>
        <v>585</v>
      </c>
    </row>
    <row r="26" spans="1:27">
      <c r="A26" s="9" t="s">
        <v>83</v>
      </c>
      <c r="B26" s="24"/>
      <c r="C26" s="26"/>
      <c r="D26" s="25">
        <f t="shared" si="35"/>
        <v>259</v>
      </c>
      <c r="E26" s="29">
        <f t="shared" si="37"/>
        <v>136</v>
      </c>
      <c r="F26" s="25">
        <f t="shared" si="36"/>
        <v>298</v>
      </c>
      <c r="G26" s="29">
        <f t="shared" si="37"/>
        <v>165</v>
      </c>
      <c r="H26" s="4" t="s">
        <v>0</v>
      </c>
      <c r="I26" s="16" t="str">
        <f t="shared" si="17"/>
        <v>10-06</v>
      </c>
      <c r="J26" s="14">
        <f t="shared" si="18"/>
        <v>259</v>
      </c>
      <c r="K26" s="15">
        <f t="shared" si="19"/>
        <v>136</v>
      </c>
      <c r="L26" s="17">
        <f t="shared" si="20"/>
        <v>298</v>
      </c>
      <c r="M26" s="18">
        <f t="shared" si="21"/>
        <v>136</v>
      </c>
      <c r="N26" s="14">
        <f t="shared" si="22"/>
        <v>298</v>
      </c>
      <c r="O26" s="15">
        <f t="shared" si="23"/>
        <v>165</v>
      </c>
      <c r="P26" s="17">
        <f t="shared" si="24"/>
        <v>259</v>
      </c>
      <c r="Q26" s="18">
        <f t="shared" si="25"/>
        <v>165</v>
      </c>
      <c r="R26" s="4" t="s">
        <v>0</v>
      </c>
      <c r="S26" s="16" t="str">
        <f t="shared" si="26"/>
        <v>10-06</v>
      </c>
      <c r="T26" s="14">
        <f t="shared" si="27"/>
        <v>259</v>
      </c>
      <c r="U26" s="18">
        <f t="shared" si="28"/>
        <v>614</v>
      </c>
      <c r="V26" s="14">
        <f t="shared" si="29"/>
        <v>298</v>
      </c>
      <c r="W26" s="18">
        <f t="shared" si="30"/>
        <v>614</v>
      </c>
      <c r="X26" s="14">
        <f t="shared" si="31"/>
        <v>298</v>
      </c>
      <c r="Y26" s="18">
        <f t="shared" si="32"/>
        <v>585</v>
      </c>
      <c r="Z26" s="14">
        <f t="shared" si="33"/>
        <v>259</v>
      </c>
      <c r="AA26" s="18">
        <f t="shared" si="34"/>
        <v>585</v>
      </c>
    </row>
    <row r="27" spans="1:27">
      <c r="A27" s="9" t="s">
        <v>82</v>
      </c>
      <c r="B27" s="24"/>
      <c r="C27" s="26"/>
      <c r="D27" s="25">
        <f t="shared" si="35"/>
        <v>297</v>
      </c>
      <c r="E27" s="29">
        <f t="shared" si="37"/>
        <v>136</v>
      </c>
      <c r="F27" s="25">
        <f t="shared" si="36"/>
        <v>336</v>
      </c>
      <c r="G27" s="29">
        <f t="shared" si="37"/>
        <v>165</v>
      </c>
      <c r="H27" s="4" t="s">
        <v>0</v>
      </c>
      <c r="I27" s="16" t="str">
        <f t="shared" si="17"/>
        <v>10-05</v>
      </c>
      <c r="J27" s="14">
        <f t="shared" si="18"/>
        <v>297</v>
      </c>
      <c r="K27" s="15">
        <f t="shared" si="19"/>
        <v>136</v>
      </c>
      <c r="L27" s="17">
        <f t="shared" si="20"/>
        <v>336</v>
      </c>
      <c r="M27" s="18">
        <f t="shared" si="21"/>
        <v>136</v>
      </c>
      <c r="N27" s="14">
        <f t="shared" si="22"/>
        <v>336</v>
      </c>
      <c r="O27" s="15">
        <f t="shared" si="23"/>
        <v>165</v>
      </c>
      <c r="P27" s="17">
        <f t="shared" si="24"/>
        <v>297</v>
      </c>
      <c r="Q27" s="18">
        <f t="shared" si="25"/>
        <v>165</v>
      </c>
      <c r="R27" s="4" t="s">
        <v>0</v>
      </c>
      <c r="S27" s="16" t="str">
        <f t="shared" si="26"/>
        <v>10-05</v>
      </c>
      <c r="T27" s="14">
        <f t="shared" si="27"/>
        <v>297</v>
      </c>
      <c r="U27" s="18">
        <f t="shared" si="28"/>
        <v>614</v>
      </c>
      <c r="V27" s="14">
        <f t="shared" si="29"/>
        <v>336</v>
      </c>
      <c r="W27" s="18">
        <f t="shared" si="30"/>
        <v>614</v>
      </c>
      <c r="X27" s="14">
        <f t="shared" si="31"/>
        <v>336</v>
      </c>
      <c r="Y27" s="18">
        <f t="shared" si="32"/>
        <v>585</v>
      </c>
      <c r="Z27" s="14">
        <f t="shared" si="33"/>
        <v>297</v>
      </c>
      <c r="AA27" s="18">
        <f t="shared" si="34"/>
        <v>585</v>
      </c>
    </row>
    <row r="28" spans="1:27">
      <c r="A28" s="9" t="s">
        <v>81</v>
      </c>
      <c r="B28" s="24"/>
      <c r="C28" s="26"/>
      <c r="D28" s="25">
        <f t="shared" si="35"/>
        <v>336</v>
      </c>
      <c r="E28" s="29">
        <f t="shared" si="37"/>
        <v>136</v>
      </c>
      <c r="F28" s="25">
        <f t="shared" si="36"/>
        <v>375</v>
      </c>
      <c r="G28" s="29">
        <f t="shared" si="37"/>
        <v>165</v>
      </c>
      <c r="H28" s="4" t="s">
        <v>0</v>
      </c>
      <c r="I28" s="16" t="str">
        <f t="shared" si="17"/>
        <v>10-03</v>
      </c>
      <c r="J28" s="14">
        <f t="shared" si="18"/>
        <v>336</v>
      </c>
      <c r="K28" s="15">
        <f t="shared" si="19"/>
        <v>136</v>
      </c>
      <c r="L28" s="17">
        <f t="shared" si="20"/>
        <v>375</v>
      </c>
      <c r="M28" s="18">
        <f t="shared" si="21"/>
        <v>136</v>
      </c>
      <c r="N28" s="14">
        <f t="shared" si="22"/>
        <v>375</v>
      </c>
      <c r="O28" s="15">
        <f t="shared" si="23"/>
        <v>165</v>
      </c>
      <c r="P28" s="17">
        <f t="shared" si="24"/>
        <v>336</v>
      </c>
      <c r="Q28" s="18">
        <f t="shared" si="25"/>
        <v>165</v>
      </c>
      <c r="R28" s="4" t="s">
        <v>0</v>
      </c>
      <c r="S28" s="16" t="str">
        <f t="shared" si="26"/>
        <v>10-03</v>
      </c>
      <c r="T28" s="14">
        <f t="shared" si="27"/>
        <v>336</v>
      </c>
      <c r="U28" s="18">
        <f t="shared" si="28"/>
        <v>614</v>
      </c>
      <c r="V28" s="14">
        <f t="shared" si="29"/>
        <v>375</v>
      </c>
      <c r="W28" s="18">
        <f t="shared" si="30"/>
        <v>614</v>
      </c>
      <c r="X28" s="14">
        <f t="shared" si="31"/>
        <v>375</v>
      </c>
      <c r="Y28" s="18">
        <f t="shared" si="32"/>
        <v>585</v>
      </c>
      <c r="Z28" s="14">
        <f t="shared" si="33"/>
        <v>336</v>
      </c>
      <c r="AA28" s="18">
        <f t="shared" si="34"/>
        <v>585</v>
      </c>
    </row>
    <row r="29" spans="1:27">
      <c r="A29" s="9" t="s">
        <v>80</v>
      </c>
      <c r="B29" s="24"/>
      <c r="C29" s="26"/>
      <c r="D29" s="25">
        <f t="shared" si="35"/>
        <v>374</v>
      </c>
      <c r="E29" s="29">
        <f t="shared" si="37"/>
        <v>136</v>
      </c>
      <c r="F29" s="25">
        <f t="shared" si="36"/>
        <v>413</v>
      </c>
      <c r="G29" s="29">
        <f t="shared" si="37"/>
        <v>165</v>
      </c>
      <c r="H29" s="4" t="s">
        <v>0</v>
      </c>
      <c r="I29" s="16" t="str">
        <f t="shared" si="17"/>
        <v>10-02</v>
      </c>
      <c r="J29" s="14">
        <f t="shared" si="18"/>
        <v>374</v>
      </c>
      <c r="K29" s="15">
        <f t="shared" si="19"/>
        <v>136</v>
      </c>
      <c r="L29" s="17">
        <f t="shared" si="20"/>
        <v>413</v>
      </c>
      <c r="M29" s="18">
        <f t="shared" si="21"/>
        <v>136</v>
      </c>
      <c r="N29" s="14">
        <f t="shared" si="22"/>
        <v>413</v>
      </c>
      <c r="O29" s="15">
        <f t="shared" si="23"/>
        <v>165</v>
      </c>
      <c r="P29" s="17">
        <f t="shared" si="24"/>
        <v>374</v>
      </c>
      <c r="Q29" s="18">
        <f t="shared" si="25"/>
        <v>165</v>
      </c>
      <c r="R29" s="4" t="s">
        <v>0</v>
      </c>
      <c r="S29" s="16" t="str">
        <f t="shared" si="26"/>
        <v>10-02</v>
      </c>
      <c r="T29" s="14">
        <f t="shared" si="27"/>
        <v>374</v>
      </c>
      <c r="U29" s="18">
        <f t="shared" si="28"/>
        <v>614</v>
      </c>
      <c r="V29" s="14">
        <f t="shared" si="29"/>
        <v>413</v>
      </c>
      <c r="W29" s="18">
        <f t="shared" si="30"/>
        <v>614</v>
      </c>
      <c r="X29" s="14">
        <f t="shared" si="31"/>
        <v>413</v>
      </c>
      <c r="Y29" s="18">
        <f t="shared" si="32"/>
        <v>585</v>
      </c>
      <c r="Z29" s="14">
        <f t="shared" si="33"/>
        <v>374</v>
      </c>
      <c r="AA29" s="18">
        <f t="shared" si="34"/>
        <v>585</v>
      </c>
    </row>
    <row r="30" spans="1:27">
      <c r="A30" s="9" t="s">
        <v>79</v>
      </c>
      <c r="B30" s="24"/>
      <c r="C30" s="26"/>
      <c r="D30" s="25">
        <f t="shared" si="35"/>
        <v>413</v>
      </c>
      <c r="E30" s="29">
        <f t="shared" si="37"/>
        <v>136</v>
      </c>
      <c r="F30" s="25">
        <f t="shared" si="36"/>
        <v>452</v>
      </c>
      <c r="G30" s="29">
        <f t="shared" si="37"/>
        <v>165</v>
      </c>
      <c r="H30" s="4" t="s">
        <v>0</v>
      </c>
      <c r="I30" s="16" t="str">
        <f t="shared" si="17"/>
        <v>10-01</v>
      </c>
      <c r="J30" s="14">
        <f t="shared" si="18"/>
        <v>413</v>
      </c>
      <c r="K30" s="15">
        <f t="shared" si="19"/>
        <v>136</v>
      </c>
      <c r="L30" s="17">
        <f t="shared" si="20"/>
        <v>452</v>
      </c>
      <c r="M30" s="18">
        <f t="shared" si="21"/>
        <v>136</v>
      </c>
      <c r="N30" s="14">
        <f t="shared" si="22"/>
        <v>452</v>
      </c>
      <c r="O30" s="15">
        <f t="shared" si="23"/>
        <v>165</v>
      </c>
      <c r="P30" s="17">
        <f t="shared" si="24"/>
        <v>413</v>
      </c>
      <c r="Q30" s="18">
        <f t="shared" si="25"/>
        <v>165</v>
      </c>
      <c r="R30" s="4" t="s">
        <v>0</v>
      </c>
      <c r="S30" s="16" t="str">
        <f t="shared" si="26"/>
        <v>10-01</v>
      </c>
      <c r="T30" s="14">
        <f t="shared" si="27"/>
        <v>413</v>
      </c>
      <c r="U30" s="18">
        <f t="shared" si="28"/>
        <v>614</v>
      </c>
      <c r="V30" s="14">
        <f t="shared" si="29"/>
        <v>452</v>
      </c>
      <c r="W30" s="18">
        <f t="shared" si="30"/>
        <v>614</v>
      </c>
      <c r="X30" s="14">
        <f t="shared" si="31"/>
        <v>452</v>
      </c>
      <c r="Y30" s="18">
        <f t="shared" si="32"/>
        <v>585</v>
      </c>
      <c r="Z30" s="14">
        <f t="shared" si="33"/>
        <v>413</v>
      </c>
      <c r="AA30" s="18">
        <f t="shared" si="34"/>
        <v>585</v>
      </c>
    </row>
    <row r="31" spans="1:27">
      <c r="A31" s="9" t="s">
        <v>78</v>
      </c>
      <c r="B31" s="24"/>
      <c r="C31" s="26">
        <v>2</v>
      </c>
      <c r="D31" s="25" t="str">
        <f t="shared" si="35"/>
        <v>66</v>
      </c>
      <c r="E31" s="28">
        <f t="shared" ref="E31" si="38">ROUND(E$11+69.2*$C31, 0)</f>
        <v>205</v>
      </c>
      <c r="F31" s="25" t="str">
        <f t="shared" si="36"/>
        <v>105</v>
      </c>
      <c r="G31" s="28">
        <f t="shared" ref="G31" si="39">ROUND(G$11+69.2*$C31, 0)</f>
        <v>234</v>
      </c>
      <c r="H31" s="4" t="s">
        <v>0</v>
      </c>
      <c r="I31" s="16" t="str">
        <f t="shared" si="17"/>
        <v>08-12</v>
      </c>
      <c r="J31" s="14" t="str">
        <f t="shared" si="18"/>
        <v>66</v>
      </c>
      <c r="K31" s="15">
        <f t="shared" si="19"/>
        <v>205</v>
      </c>
      <c r="L31" s="17" t="str">
        <f t="shared" si="20"/>
        <v>105</v>
      </c>
      <c r="M31" s="18">
        <f t="shared" si="21"/>
        <v>205</v>
      </c>
      <c r="N31" s="14" t="str">
        <f t="shared" si="22"/>
        <v>105</v>
      </c>
      <c r="O31" s="15">
        <f t="shared" si="23"/>
        <v>234</v>
      </c>
      <c r="P31" s="17" t="str">
        <f t="shared" si="24"/>
        <v>66</v>
      </c>
      <c r="Q31" s="18">
        <f t="shared" si="25"/>
        <v>234</v>
      </c>
      <c r="R31" s="4" t="s">
        <v>0</v>
      </c>
      <c r="S31" s="16" t="str">
        <f t="shared" si="26"/>
        <v>08-12</v>
      </c>
      <c r="T31" s="14" t="str">
        <f t="shared" si="27"/>
        <v>66</v>
      </c>
      <c r="U31" s="18">
        <f t="shared" si="28"/>
        <v>545</v>
      </c>
      <c r="V31" s="14" t="str">
        <f t="shared" si="29"/>
        <v>105</v>
      </c>
      <c r="W31" s="18">
        <f t="shared" si="30"/>
        <v>545</v>
      </c>
      <c r="X31" s="14" t="str">
        <f t="shared" si="31"/>
        <v>105</v>
      </c>
      <c r="Y31" s="18">
        <f t="shared" si="32"/>
        <v>516</v>
      </c>
      <c r="Z31" s="14" t="str">
        <f t="shared" si="33"/>
        <v>66</v>
      </c>
      <c r="AA31" s="18">
        <f t="shared" si="34"/>
        <v>516</v>
      </c>
    </row>
    <row r="32" spans="1:27">
      <c r="A32" s="9" t="s">
        <v>77</v>
      </c>
      <c r="B32" s="24"/>
      <c r="C32" s="26"/>
      <c r="D32" s="25">
        <f t="shared" si="35"/>
        <v>105</v>
      </c>
      <c r="E32" s="29">
        <f t="shared" ref="E32:E40" si="40">E31</f>
        <v>205</v>
      </c>
      <c r="F32" s="25">
        <f t="shared" si="36"/>
        <v>144</v>
      </c>
      <c r="G32" s="29">
        <f t="shared" ref="G32:G40" si="41">G31</f>
        <v>234</v>
      </c>
      <c r="H32" s="4" t="s">
        <v>0</v>
      </c>
      <c r="I32" s="16" t="str">
        <f t="shared" si="17"/>
        <v>08-11</v>
      </c>
      <c r="J32" s="14">
        <f t="shared" si="18"/>
        <v>105</v>
      </c>
      <c r="K32" s="15">
        <f t="shared" si="19"/>
        <v>205</v>
      </c>
      <c r="L32" s="17">
        <f t="shared" si="20"/>
        <v>144</v>
      </c>
      <c r="M32" s="18">
        <f t="shared" si="21"/>
        <v>205</v>
      </c>
      <c r="N32" s="14">
        <f t="shared" si="22"/>
        <v>144</v>
      </c>
      <c r="O32" s="15">
        <f t="shared" si="23"/>
        <v>234</v>
      </c>
      <c r="P32" s="17">
        <f t="shared" si="24"/>
        <v>105</v>
      </c>
      <c r="Q32" s="18">
        <f t="shared" si="25"/>
        <v>234</v>
      </c>
      <c r="R32" s="4" t="s">
        <v>0</v>
      </c>
      <c r="S32" s="16" t="str">
        <f t="shared" si="26"/>
        <v>08-11</v>
      </c>
      <c r="T32" s="14">
        <f t="shared" si="27"/>
        <v>105</v>
      </c>
      <c r="U32" s="18">
        <f t="shared" si="28"/>
        <v>545</v>
      </c>
      <c r="V32" s="14">
        <f t="shared" si="29"/>
        <v>144</v>
      </c>
      <c r="W32" s="18">
        <f t="shared" si="30"/>
        <v>545</v>
      </c>
      <c r="X32" s="14">
        <f t="shared" si="31"/>
        <v>144</v>
      </c>
      <c r="Y32" s="18">
        <f t="shared" si="32"/>
        <v>516</v>
      </c>
      <c r="Z32" s="14">
        <f t="shared" si="33"/>
        <v>105</v>
      </c>
      <c r="AA32" s="18">
        <f t="shared" si="34"/>
        <v>516</v>
      </c>
    </row>
    <row r="33" spans="1:27">
      <c r="A33" s="9" t="s">
        <v>76</v>
      </c>
      <c r="B33" s="24"/>
      <c r="C33" s="26"/>
      <c r="D33" s="25">
        <f t="shared" si="35"/>
        <v>143</v>
      </c>
      <c r="E33" s="29">
        <f t="shared" si="40"/>
        <v>205</v>
      </c>
      <c r="F33" s="25">
        <f t="shared" si="36"/>
        <v>182</v>
      </c>
      <c r="G33" s="29">
        <f t="shared" si="41"/>
        <v>234</v>
      </c>
      <c r="H33" s="4" t="s">
        <v>0</v>
      </c>
      <c r="I33" s="16" t="str">
        <f t="shared" si="17"/>
        <v>08-10</v>
      </c>
      <c r="J33" s="14">
        <f t="shared" si="18"/>
        <v>143</v>
      </c>
      <c r="K33" s="15">
        <f t="shared" si="19"/>
        <v>205</v>
      </c>
      <c r="L33" s="17">
        <f t="shared" si="20"/>
        <v>182</v>
      </c>
      <c r="M33" s="18">
        <f t="shared" si="21"/>
        <v>205</v>
      </c>
      <c r="N33" s="14">
        <f t="shared" si="22"/>
        <v>182</v>
      </c>
      <c r="O33" s="15">
        <f t="shared" si="23"/>
        <v>234</v>
      </c>
      <c r="P33" s="17">
        <f t="shared" si="24"/>
        <v>143</v>
      </c>
      <c r="Q33" s="18">
        <f t="shared" si="25"/>
        <v>234</v>
      </c>
      <c r="R33" s="4" t="s">
        <v>0</v>
      </c>
      <c r="S33" s="16" t="str">
        <f t="shared" si="26"/>
        <v>08-10</v>
      </c>
      <c r="T33" s="14">
        <f t="shared" si="27"/>
        <v>143</v>
      </c>
      <c r="U33" s="18">
        <f t="shared" si="28"/>
        <v>545</v>
      </c>
      <c r="V33" s="14">
        <f t="shared" si="29"/>
        <v>182</v>
      </c>
      <c r="W33" s="18">
        <f t="shared" si="30"/>
        <v>545</v>
      </c>
      <c r="X33" s="14">
        <f t="shared" si="31"/>
        <v>182</v>
      </c>
      <c r="Y33" s="18">
        <f t="shared" si="32"/>
        <v>516</v>
      </c>
      <c r="Z33" s="14">
        <f t="shared" si="33"/>
        <v>143</v>
      </c>
      <c r="AA33" s="18">
        <f t="shared" si="34"/>
        <v>516</v>
      </c>
    </row>
    <row r="34" spans="1:27">
      <c r="A34" s="9" t="s">
        <v>75</v>
      </c>
      <c r="B34" s="24"/>
      <c r="C34" s="26"/>
      <c r="D34" s="25">
        <f t="shared" si="35"/>
        <v>182</v>
      </c>
      <c r="E34" s="29">
        <f t="shared" si="40"/>
        <v>205</v>
      </c>
      <c r="F34" s="25">
        <f t="shared" si="36"/>
        <v>221</v>
      </c>
      <c r="G34" s="29">
        <f t="shared" si="41"/>
        <v>234</v>
      </c>
      <c r="H34" s="4" t="s">
        <v>0</v>
      </c>
      <c r="I34" s="16" t="str">
        <f t="shared" si="17"/>
        <v>08-08</v>
      </c>
      <c r="J34" s="14">
        <f t="shared" si="18"/>
        <v>182</v>
      </c>
      <c r="K34" s="15">
        <f t="shared" si="19"/>
        <v>205</v>
      </c>
      <c r="L34" s="17">
        <f t="shared" si="20"/>
        <v>221</v>
      </c>
      <c r="M34" s="18">
        <f t="shared" si="21"/>
        <v>205</v>
      </c>
      <c r="N34" s="14">
        <f t="shared" si="22"/>
        <v>221</v>
      </c>
      <c r="O34" s="15">
        <f t="shared" si="23"/>
        <v>234</v>
      </c>
      <c r="P34" s="17">
        <f t="shared" si="24"/>
        <v>182</v>
      </c>
      <c r="Q34" s="18">
        <f t="shared" si="25"/>
        <v>234</v>
      </c>
      <c r="R34" s="4" t="s">
        <v>0</v>
      </c>
      <c r="S34" s="16" t="str">
        <f t="shared" si="26"/>
        <v>08-08</v>
      </c>
      <c r="T34" s="14">
        <f t="shared" si="27"/>
        <v>182</v>
      </c>
      <c r="U34" s="18">
        <f t="shared" si="28"/>
        <v>545</v>
      </c>
      <c r="V34" s="14">
        <f t="shared" si="29"/>
        <v>221</v>
      </c>
      <c r="W34" s="18">
        <f t="shared" si="30"/>
        <v>545</v>
      </c>
      <c r="X34" s="14">
        <f t="shared" si="31"/>
        <v>221</v>
      </c>
      <c r="Y34" s="18">
        <f t="shared" si="32"/>
        <v>516</v>
      </c>
      <c r="Z34" s="14">
        <f t="shared" si="33"/>
        <v>182</v>
      </c>
      <c r="AA34" s="18">
        <f t="shared" si="34"/>
        <v>516</v>
      </c>
    </row>
    <row r="35" spans="1:27">
      <c r="A35" s="9" t="s">
        <v>74</v>
      </c>
      <c r="B35" s="24"/>
      <c r="C35" s="26"/>
      <c r="D35" s="25">
        <f t="shared" si="35"/>
        <v>220</v>
      </c>
      <c r="E35" s="29">
        <f t="shared" si="40"/>
        <v>205</v>
      </c>
      <c r="F35" s="25">
        <f t="shared" si="36"/>
        <v>259</v>
      </c>
      <c r="G35" s="29">
        <f t="shared" si="41"/>
        <v>234</v>
      </c>
      <c r="H35" s="4" t="s">
        <v>0</v>
      </c>
      <c r="I35" s="16" t="str">
        <f t="shared" si="17"/>
        <v>08-07</v>
      </c>
      <c r="J35" s="14">
        <f t="shared" si="18"/>
        <v>220</v>
      </c>
      <c r="K35" s="15">
        <f t="shared" si="19"/>
        <v>205</v>
      </c>
      <c r="L35" s="17">
        <f t="shared" si="20"/>
        <v>259</v>
      </c>
      <c r="M35" s="18">
        <f t="shared" si="21"/>
        <v>205</v>
      </c>
      <c r="N35" s="14">
        <f t="shared" si="22"/>
        <v>259</v>
      </c>
      <c r="O35" s="15">
        <f t="shared" si="23"/>
        <v>234</v>
      </c>
      <c r="P35" s="17">
        <f t="shared" si="24"/>
        <v>220</v>
      </c>
      <c r="Q35" s="18">
        <f t="shared" si="25"/>
        <v>234</v>
      </c>
      <c r="R35" s="4" t="s">
        <v>0</v>
      </c>
      <c r="S35" s="16" t="str">
        <f t="shared" si="26"/>
        <v>08-07</v>
      </c>
      <c r="T35" s="14">
        <f t="shared" si="27"/>
        <v>220</v>
      </c>
      <c r="U35" s="18">
        <f t="shared" si="28"/>
        <v>545</v>
      </c>
      <c r="V35" s="14">
        <f t="shared" si="29"/>
        <v>259</v>
      </c>
      <c r="W35" s="18">
        <f t="shared" si="30"/>
        <v>545</v>
      </c>
      <c r="X35" s="14">
        <f t="shared" si="31"/>
        <v>259</v>
      </c>
      <c r="Y35" s="18">
        <f t="shared" si="32"/>
        <v>516</v>
      </c>
      <c r="Z35" s="14">
        <f t="shared" si="33"/>
        <v>220</v>
      </c>
      <c r="AA35" s="18">
        <f t="shared" si="34"/>
        <v>516</v>
      </c>
    </row>
    <row r="36" spans="1:27">
      <c r="A36" s="9" t="s">
        <v>73</v>
      </c>
      <c r="B36" s="24"/>
      <c r="C36" s="26"/>
      <c r="D36" s="25">
        <f t="shared" si="35"/>
        <v>259</v>
      </c>
      <c r="E36" s="29">
        <f t="shared" si="40"/>
        <v>205</v>
      </c>
      <c r="F36" s="25">
        <f t="shared" si="36"/>
        <v>298</v>
      </c>
      <c r="G36" s="29">
        <f t="shared" si="41"/>
        <v>234</v>
      </c>
      <c r="H36" s="4" t="s">
        <v>0</v>
      </c>
      <c r="I36" s="16" t="str">
        <f t="shared" si="17"/>
        <v>08-06</v>
      </c>
      <c r="J36" s="14">
        <f t="shared" si="18"/>
        <v>259</v>
      </c>
      <c r="K36" s="15">
        <f t="shared" si="19"/>
        <v>205</v>
      </c>
      <c r="L36" s="17">
        <f t="shared" si="20"/>
        <v>298</v>
      </c>
      <c r="M36" s="18">
        <f t="shared" si="21"/>
        <v>205</v>
      </c>
      <c r="N36" s="14">
        <f t="shared" si="22"/>
        <v>298</v>
      </c>
      <c r="O36" s="15">
        <f t="shared" si="23"/>
        <v>234</v>
      </c>
      <c r="P36" s="17">
        <f t="shared" si="24"/>
        <v>259</v>
      </c>
      <c r="Q36" s="18">
        <f t="shared" si="25"/>
        <v>234</v>
      </c>
      <c r="R36" s="4" t="s">
        <v>0</v>
      </c>
      <c r="S36" s="16" t="str">
        <f t="shared" si="26"/>
        <v>08-06</v>
      </c>
      <c r="T36" s="14">
        <f t="shared" si="27"/>
        <v>259</v>
      </c>
      <c r="U36" s="18">
        <f t="shared" si="28"/>
        <v>545</v>
      </c>
      <c r="V36" s="14">
        <f t="shared" si="29"/>
        <v>298</v>
      </c>
      <c r="W36" s="18">
        <f t="shared" si="30"/>
        <v>545</v>
      </c>
      <c r="X36" s="14">
        <f t="shared" si="31"/>
        <v>298</v>
      </c>
      <c r="Y36" s="18">
        <f t="shared" si="32"/>
        <v>516</v>
      </c>
      <c r="Z36" s="14">
        <f t="shared" si="33"/>
        <v>259</v>
      </c>
      <c r="AA36" s="18">
        <f t="shared" si="34"/>
        <v>516</v>
      </c>
    </row>
    <row r="37" spans="1:27">
      <c r="A37" s="9" t="s">
        <v>72</v>
      </c>
      <c r="B37" s="24"/>
      <c r="C37" s="26"/>
      <c r="D37" s="25">
        <f t="shared" si="35"/>
        <v>297</v>
      </c>
      <c r="E37" s="29">
        <f t="shared" si="40"/>
        <v>205</v>
      </c>
      <c r="F37" s="25">
        <f t="shared" si="36"/>
        <v>336</v>
      </c>
      <c r="G37" s="29">
        <f t="shared" si="41"/>
        <v>234</v>
      </c>
      <c r="H37" s="4" t="s">
        <v>0</v>
      </c>
      <c r="I37" s="16" t="str">
        <f t="shared" si="17"/>
        <v>08-05</v>
      </c>
      <c r="J37" s="14">
        <f t="shared" si="18"/>
        <v>297</v>
      </c>
      <c r="K37" s="15">
        <f t="shared" si="19"/>
        <v>205</v>
      </c>
      <c r="L37" s="17">
        <f t="shared" si="20"/>
        <v>336</v>
      </c>
      <c r="M37" s="18">
        <f t="shared" si="21"/>
        <v>205</v>
      </c>
      <c r="N37" s="14">
        <f t="shared" si="22"/>
        <v>336</v>
      </c>
      <c r="O37" s="15">
        <f t="shared" si="23"/>
        <v>234</v>
      </c>
      <c r="P37" s="17">
        <f t="shared" si="24"/>
        <v>297</v>
      </c>
      <c r="Q37" s="18">
        <f t="shared" si="25"/>
        <v>234</v>
      </c>
      <c r="R37" s="4" t="s">
        <v>0</v>
      </c>
      <c r="S37" s="16" t="str">
        <f t="shared" si="26"/>
        <v>08-05</v>
      </c>
      <c r="T37" s="14">
        <f t="shared" si="27"/>
        <v>297</v>
      </c>
      <c r="U37" s="18">
        <f t="shared" si="28"/>
        <v>545</v>
      </c>
      <c r="V37" s="14">
        <f t="shared" si="29"/>
        <v>336</v>
      </c>
      <c r="W37" s="18">
        <f t="shared" si="30"/>
        <v>545</v>
      </c>
      <c r="X37" s="14">
        <f t="shared" si="31"/>
        <v>336</v>
      </c>
      <c r="Y37" s="18">
        <f t="shared" si="32"/>
        <v>516</v>
      </c>
      <c r="Z37" s="14">
        <f t="shared" si="33"/>
        <v>297</v>
      </c>
      <c r="AA37" s="18">
        <f t="shared" si="34"/>
        <v>516</v>
      </c>
    </row>
    <row r="38" spans="1:27">
      <c r="A38" s="9" t="s">
        <v>71</v>
      </c>
      <c r="B38" s="24"/>
      <c r="C38" s="26"/>
      <c r="D38" s="25">
        <f t="shared" si="35"/>
        <v>336</v>
      </c>
      <c r="E38" s="29">
        <f t="shared" si="40"/>
        <v>205</v>
      </c>
      <c r="F38" s="25">
        <f t="shared" si="36"/>
        <v>375</v>
      </c>
      <c r="G38" s="29">
        <f t="shared" si="41"/>
        <v>234</v>
      </c>
      <c r="H38" s="4" t="s">
        <v>0</v>
      </c>
      <c r="I38" s="16" t="str">
        <f t="shared" si="17"/>
        <v>08-03</v>
      </c>
      <c r="J38" s="14">
        <f t="shared" si="18"/>
        <v>336</v>
      </c>
      <c r="K38" s="15">
        <f t="shared" si="19"/>
        <v>205</v>
      </c>
      <c r="L38" s="17">
        <f t="shared" si="20"/>
        <v>375</v>
      </c>
      <c r="M38" s="18">
        <f t="shared" si="21"/>
        <v>205</v>
      </c>
      <c r="N38" s="14">
        <f t="shared" si="22"/>
        <v>375</v>
      </c>
      <c r="O38" s="15">
        <f t="shared" si="23"/>
        <v>234</v>
      </c>
      <c r="P38" s="17">
        <f t="shared" si="24"/>
        <v>336</v>
      </c>
      <c r="Q38" s="18">
        <f t="shared" si="25"/>
        <v>234</v>
      </c>
      <c r="R38" s="4" t="s">
        <v>0</v>
      </c>
      <c r="S38" s="16" t="str">
        <f t="shared" si="26"/>
        <v>08-03</v>
      </c>
      <c r="T38" s="14">
        <f t="shared" si="27"/>
        <v>336</v>
      </c>
      <c r="U38" s="18">
        <f t="shared" si="28"/>
        <v>545</v>
      </c>
      <c r="V38" s="14">
        <f t="shared" si="29"/>
        <v>375</v>
      </c>
      <c r="W38" s="18">
        <f t="shared" si="30"/>
        <v>545</v>
      </c>
      <c r="X38" s="14">
        <f t="shared" si="31"/>
        <v>375</v>
      </c>
      <c r="Y38" s="18">
        <f t="shared" si="32"/>
        <v>516</v>
      </c>
      <c r="Z38" s="14">
        <f t="shared" si="33"/>
        <v>336</v>
      </c>
      <c r="AA38" s="18">
        <f t="shared" si="34"/>
        <v>516</v>
      </c>
    </row>
    <row r="39" spans="1:27">
      <c r="A39" s="9" t="s">
        <v>70</v>
      </c>
      <c r="B39" s="24"/>
      <c r="C39" s="26"/>
      <c r="D39" s="25">
        <f t="shared" si="35"/>
        <v>374</v>
      </c>
      <c r="E39" s="29">
        <f t="shared" si="40"/>
        <v>205</v>
      </c>
      <c r="F39" s="25">
        <f t="shared" si="36"/>
        <v>413</v>
      </c>
      <c r="G39" s="29">
        <f t="shared" si="41"/>
        <v>234</v>
      </c>
      <c r="H39" s="4" t="s">
        <v>0</v>
      </c>
      <c r="I39" s="16" t="str">
        <f t="shared" si="17"/>
        <v>08-02</v>
      </c>
      <c r="J39" s="14">
        <f t="shared" si="18"/>
        <v>374</v>
      </c>
      <c r="K39" s="15">
        <f t="shared" si="19"/>
        <v>205</v>
      </c>
      <c r="L39" s="17">
        <f t="shared" si="20"/>
        <v>413</v>
      </c>
      <c r="M39" s="18">
        <f t="shared" si="21"/>
        <v>205</v>
      </c>
      <c r="N39" s="14">
        <f t="shared" si="22"/>
        <v>413</v>
      </c>
      <c r="O39" s="15">
        <f t="shared" si="23"/>
        <v>234</v>
      </c>
      <c r="P39" s="17">
        <f t="shared" si="24"/>
        <v>374</v>
      </c>
      <c r="Q39" s="18">
        <f t="shared" si="25"/>
        <v>234</v>
      </c>
      <c r="R39" s="4" t="s">
        <v>0</v>
      </c>
      <c r="S39" s="16" t="str">
        <f t="shared" si="26"/>
        <v>08-02</v>
      </c>
      <c r="T39" s="14">
        <f t="shared" si="27"/>
        <v>374</v>
      </c>
      <c r="U39" s="18">
        <f t="shared" si="28"/>
        <v>545</v>
      </c>
      <c r="V39" s="14">
        <f t="shared" si="29"/>
        <v>413</v>
      </c>
      <c r="W39" s="18">
        <f t="shared" si="30"/>
        <v>545</v>
      </c>
      <c r="X39" s="14">
        <f t="shared" si="31"/>
        <v>413</v>
      </c>
      <c r="Y39" s="18">
        <f t="shared" si="32"/>
        <v>516</v>
      </c>
      <c r="Z39" s="14">
        <f t="shared" si="33"/>
        <v>374</v>
      </c>
      <c r="AA39" s="18">
        <f t="shared" si="34"/>
        <v>516</v>
      </c>
    </row>
    <row r="40" spans="1:27">
      <c r="A40" s="9" t="s">
        <v>69</v>
      </c>
      <c r="B40" s="24"/>
      <c r="C40" s="26"/>
      <c r="D40" s="25">
        <f t="shared" si="35"/>
        <v>413</v>
      </c>
      <c r="E40" s="29">
        <f t="shared" si="40"/>
        <v>205</v>
      </c>
      <c r="F40" s="25">
        <f t="shared" si="36"/>
        <v>452</v>
      </c>
      <c r="G40" s="29">
        <f t="shared" si="41"/>
        <v>234</v>
      </c>
      <c r="H40" s="4" t="s">
        <v>0</v>
      </c>
      <c r="I40" s="16" t="str">
        <f t="shared" si="17"/>
        <v>08-01</v>
      </c>
      <c r="J40" s="14">
        <f t="shared" si="18"/>
        <v>413</v>
      </c>
      <c r="K40" s="15">
        <f t="shared" si="19"/>
        <v>205</v>
      </c>
      <c r="L40" s="17">
        <f t="shared" si="20"/>
        <v>452</v>
      </c>
      <c r="M40" s="18">
        <f t="shared" si="21"/>
        <v>205</v>
      </c>
      <c r="N40" s="14">
        <f t="shared" si="22"/>
        <v>452</v>
      </c>
      <c r="O40" s="15">
        <f t="shared" si="23"/>
        <v>234</v>
      </c>
      <c r="P40" s="17">
        <f t="shared" si="24"/>
        <v>413</v>
      </c>
      <c r="Q40" s="18">
        <f t="shared" si="25"/>
        <v>234</v>
      </c>
      <c r="R40" s="4" t="s">
        <v>0</v>
      </c>
      <c r="S40" s="16" t="str">
        <f t="shared" si="26"/>
        <v>08-01</v>
      </c>
      <c r="T40" s="14">
        <f t="shared" si="27"/>
        <v>413</v>
      </c>
      <c r="U40" s="18">
        <f t="shared" si="28"/>
        <v>545</v>
      </c>
      <c r="V40" s="14">
        <f t="shared" si="29"/>
        <v>452</v>
      </c>
      <c r="W40" s="18">
        <f t="shared" si="30"/>
        <v>545</v>
      </c>
      <c r="X40" s="14">
        <f t="shared" si="31"/>
        <v>452</v>
      </c>
      <c r="Y40" s="18">
        <f t="shared" si="32"/>
        <v>516</v>
      </c>
      <c r="Z40" s="14">
        <f t="shared" si="33"/>
        <v>413</v>
      </c>
      <c r="AA40" s="18">
        <f t="shared" si="34"/>
        <v>516</v>
      </c>
    </row>
    <row r="41" spans="1:27">
      <c r="A41" s="9" t="s">
        <v>68</v>
      </c>
      <c r="B41" s="24"/>
      <c r="C41" s="26">
        <v>3</v>
      </c>
      <c r="D41" s="25" t="str">
        <f t="shared" si="35"/>
        <v>66</v>
      </c>
      <c r="E41" s="28">
        <f t="shared" ref="E41" si="42">ROUND(E$11+69.2*$C41, 0)</f>
        <v>275</v>
      </c>
      <c r="F41" s="25" t="str">
        <f t="shared" si="36"/>
        <v>105</v>
      </c>
      <c r="G41" s="28">
        <f t="shared" ref="G41" si="43">ROUND(G$11+69.2*$C41, 0)</f>
        <v>304</v>
      </c>
      <c r="H41" s="4" t="s">
        <v>0</v>
      </c>
      <c r="I41" s="16" t="str">
        <f t="shared" si="17"/>
        <v>07-12</v>
      </c>
      <c r="J41" s="14" t="str">
        <f t="shared" si="18"/>
        <v>66</v>
      </c>
      <c r="K41" s="15">
        <f t="shared" si="19"/>
        <v>275</v>
      </c>
      <c r="L41" s="17" t="str">
        <f t="shared" si="20"/>
        <v>105</v>
      </c>
      <c r="M41" s="18">
        <f t="shared" si="21"/>
        <v>275</v>
      </c>
      <c r="N41" s="14" t="str">
        <f t="shared" si="22"/>
        <v>105</v>
      </c>
      <c r="O41" s="15">
        <f t="shared" si="23"/>
        <v>304</v>
      </c>
      <c r="P41" s="17" t="str">
        <f t="shared" si="24"/>
        <v>66</v>
      </c>
      <c r="Q41" s="18">
        <f t="shared" si="25"/>
        <v>304</v>
      </c>
      <c r="R41" s="4" t="s">
        <v>0</v>
      </c>
      <c r="S41" s="16" t="str">
        <f t="shared" si="26"/>
        <v>07-12</v>
      </c>
      <c r="T41" s="14" t="str">
        <f t="shared" si="27"/>
        <v>66</v>
      </c>
      <c r="U41" s="18">
        <f t="shared" si="28"/>
        <v>475</v>
      </c>
      <c r="V41" s="14" t="str">
        <f t="shared" si="29"/>
        <v>105</v>
      </c>
      <c r="W41" s="18">
        <f t="shared" si="30"/>
        <v>475</v>
      </c>
      <c r="X41" s="14" t="str">
        <f t="shared" si="31"/>
        <v>105</v>
      </c>
      <c r="Y41" s="18">
        <f t="shared" si="32"/>
        <v>446</v>
      </c>
      <c r="Z41" s="14" t="str">
        <f t="shared" si="33"/>
        <v>66</v>
      </c>
      <c r="AA41" s="18">
        <f t="shared" si="34"/>
        <v>446</v>
      </c>
    </row>
    <row r="42" spans="1:27">
      <c r="A42" s="9" t="s">
        <v>67</v>
      </c>
      <c r="B42" s="24"/>
      <c r="C42" s="26"/>
      <c r="D42" s="25">
        <f t="shared" si="35"/>
        <v>105</v>
      </c>
      <c r="E42" s="29">
        <f t="shared" ref="E42:E50" si="44">E41</f>
        <v>275</v>
      </c>
      <c r="F42" s="25">
        <f t="shared" si="36"/>
        <v>144</v>
      </c>
      <c r="G42" s="29">
        <f t="shared" ref="G42:G50" si="45">G41</f>
        <v>304</v>
      </c>
      <c r="H42" s="4" t="s">
        <v>0</v>
      </c>
      <c r="I42" s="16" t="str">
        <f t="shared" si="17"/>
        <v>07-11</v>
      </c>
      <c r="J42" s="14">
        <f t="shared" si="18"/>
        <v>105</v>
      </c>
      <c r="K42" s="15">
        <f t="shared" si="19"/>
        <v>275</v>
      </c>
      <c r="L42" s="17">
        <f t="shared" si="20"/>
        <v>144</v>
      </c>
      <c r="M42" s="18">
        <f t="shared" si="21"/>
        <v>275</v>
      </c>
      <c r="N42" s="14">
        <f t="shared" si="22"/>
        <v>144</v>
      </c>
      <c r="O42" s="15">
        <f t="shared" si="23"/>
        <v>304</v>
      </c>
      <c r="P42" s="17">
        <f t="shared" si="24"/>
        <v>105</v>
      </c>
      <c r="Q42" s="18">
        <f t="shared" si="25"/>
        <v>304</v>
      </c>
      <c r="R42" s="4" t="s">
        <v>0</v>
      </c>
      <c r="S42" s="16" t="str">
        <f t="shared" si="26"/>
        <v>07-11</v>
      </c>
      <c r="T42" s="14">
        <f t="shared" si="27"/>
        <v>105</v>
      </c>
      <c r="U42" s="18">
        <f t="shared" si="28"/>
        <v>475</v>
      </c>
      <c r="V42" s="14">
        <f t="shared" si="29"/>
        <v>144</v>
      </c>
      <c r="W42" s="18">
        <f t="shared" si="30"/>
        <v>475</v>
      </c>
      <c r="X42" s="14">
        <f t="shared" si="31"/>
        <v>144</v>
      </c>
      <c r="Y42" s="18">
        <f t="shared" si="32"/>
        <v>446</v>
      </c>
      <c r="Z42" s="14">
        <f t="shared" si="33"/>
        <v>105</v>
      </c>
      <c r="AA42" s="18">
        <f t="shared" si="34"/>
        <v>446</v>
      </c>
    </row>
    <row r="43" spans="1:27">
      <c r="A43" s="9" t="s">
        <v>66</v>
      </c>
      <c r="B43" s="24"/>
      <c r="C43" s="26"/>
      <c r="D43" s="25">
        <f t="shared" si="35"/>
        <v>143</v>
      </c>
      <c r="E43" s="29">
        <f t="shared" si="44"/>
        <v>275</v>
      </c>
      <c r="F43" s="25">
        <f t="shared" si="36"/>
        <v>182</v>
      </c>
      <c r="G43" s="29">
        <f t="shared" si="45"/>
        <v>304</v>
      </c>
      <c r="H43" s="4" t="s">
        <v>0</v>
      </c>
      <c r="I43" s="16" t="str">
        <f t="shared" si="17"/>
        <v>07-10</v>
      </c>
      <c r="J43" s="14">
        <f t="shared" si="18"/>
        <v>143</v>
      </c>
      <c r="K43" s="15">
        <f t="shared" si="19"/>
        <v>275</v>
      </c>
      <c r="L43" s="17">
        <f t="shared" si="20"/>
        <v>182</v>
      </c>
      <c r="M43" s="18">
        <f t="shared" si="21"/>
        <v>275</v>
      </c>
      <c r="N43" s="14">
        <f t="shared" si="22"/>
        <v>182</v>
      </c>
      <c r="O43" s="15">
        <f t="shared" si="23"/>
        <v>304</v>
      </c>
      <c r="P43" s="17">
        <f t="shared" si="24"/>
        <v>143</v>
      </c>
      <c r="Q43" s="18">
        <f t="shared" si="25"/>
        <v>304</v>
      </c>
      <c r="R43" s="4" t="s">
        <v>0</v>
      </c>
      <c r="S43" s="16" t="str">
        <f t="shared" si="26"/>
        <v>07-10</v>
      </c>
      <c r="T43" s="14">
        <f t="shared" si="27"/>
        <v>143</v>
      </c>
      <c r="U43" s="18">
        <f t="shared" si="28"/>
        <v>475</v>
      </c>
      <c r="V43" s="14">
        <f t="shared" si="29"/>
        <v>182</v>
      </c>
      <c r="W43" s="18">
        <f t="shared" si="30"/>
        <v>475</v>
      </c>
      <c r="X43" s="14">
        <f t="shared" si="31"/>
        <v>182</v>
      </c>
      <c r="Y43" s="18">
        <f t="shared" si="32"/>
        <v>446</v>
      </c>
      <c r="Z43" s="14">
        <f t="shared" si="33"/>
        <v>143</v>
      </c>
      <c r="AA43" s="18">
        <f t="shared" si="34"/>
        <v>446</v>
      </c>
    </row>
    <row r="44" spans="1:27">
      <c r="A44" s="9" t="s">
        <v>65</v>
      </c>
      <c r="B44" s="24"/>
      <c r="C44" s="26"/>
      <c r="D44" s="25">
        <f t="shared" si="35"/>
        <v>182</v>
      </c>
      <c r="E44" s="29">
        <f t="shared" si="44"/>
        <v>275</v>
      </c>
      <c r="F44" s="25">
        <f t="shared" si="36"/>
        <v>221</v>
      </c>
      <c r="G44" s="29">
        <f t="shared" si="45"/>
        <v>304</v>
      </c>
      <c r="H44" s="4" t="s">
        <v>0</v>
      </c>
      <c r="I44" s="16" t="str">
        <f t="shared" si="17"/>
        <v>07-08</v>
      </c>
      <c r="J44" s="14">
        <f t="shared" si="18"/>
        <v>182</v>
      </c>
      <c r="K44" s="15">
        <f t="shared" si="19"/>
        <v>275</v>
      </c>
      <c r="L44" s="17">
        <f t="shared" si="20"/>
        <v>221</v>
      </c>
      <c r="M44" s="18">
        <f t="shared" si="21"/>
        <v>275</v>
      </c>
      <c r="N44" s="14">
        <f t="shared" si="22"/>
        <v>221</v>
      </c>
      <c r="O44" s="15">
        <f t="shared" si="23"/>
        <v>304</v>
      </c>
      <c r="P44" s="17">
        <f t="shared" si="24"/>
        <v>182</v>
      </c>
      <c r="Q44" s="18">
        <f t="shared" si="25"/>
        <v>304</v>
      </c>
      <c r="R44" s="4" t="s">
        <v>0</v>
      </c>
      <c r="S44" s="16" t="str">
        <f t="shared" si="26"/>
        <v>07-08</v>
      </c>
      <c r="T44" s="14">
        <f t="shared" si="27"/>
        <v>182</v>
      </c>
      <c r="U44" s="18">
        <f t="shared" si="28"/>
        <v>475</v>
      </c>
      <c r="V44" s="14">
        <f t="shared" si="29"/>
        <v>221</v>
      </c>
      <c r="W44" s="18">
        <f t="shared" si="30"/>
        <v>475</v>
      </c>
      <c r="X44" s="14">
        <f t="shared" si="31"/>
        <v>221</v>
      </c>
      <c r="Y44" s="18">
        <f t="shared" si="32"/>
        <v>446</v>
      </c>
      <c r="Z44" s="14">
        <f t="shared" si="33"/>
        <v>182</v>
      </c>
      <c r="AA44" s="18">
        <f t="shared" si="34"/>
        <v>446</v>
      </c>
    </row>
    <row r="45" spans="1:27">
      <c r="A45" s="9" t="s">
        <v>64</v>
      </c>
      <c r="B45" s="24"/>
      <c r="C45" s="26"/>
      <c r="D45" s="25">
        <f t="shared" si="35"/>
        <v>220</v>
      </c>
      <c r="E45" s="29">
        <f t="shared" si="44"/>
        <v>275</v>
      </c>
      <c r="F45" s="25">
        <f t="shared" si="36"/>
        <v>259</v>
      </c>
      <c r="G45" s="29">
        <f t="shared" si="45"/>
        <v>304</v>
      </c>
      <c r="H45" s="4" t="s">
        <v>0</v>
      </c>
      <c r="I45" s="16" t="str">
        <f t="shared" si="17"/>
        <v>07-07</v>
      </c>
      <c r="J45" s="14">
        <f t="shared" si="18"/>
        <v>220</v>
      </c>
      <c r="K45" s="15">
        <f t="shared" si="19"/>
        <v>275</v>
      </c>
      <c r="L45" s="17">
        <f t="shared" si="20"/>
        <v>259</v>
      </c>
      <c r="M45" s="18">
        <f t="shared" si="21"/>
        <v>275</v>
      </c>
      <c r="N45" s="14">
        <f t="shared" si="22"/>
        <v>259</v>
      </c>
      <c r="O45" s="15">
        <f t="shared" si="23"/>
        <v>304</v>
      </c>
      <c r="P45" s="17">
        <f t="shared" si="24"/>
        <v>220</v>
      </c>
      <c r="Q45" s="18">
        <f t="shared" si="25"/>
        <v>304</v>
      </c>
      <c r="R45" s="4" t="s">
        <v>0</v>
      </c>
      <c r="S45" s="16" t="str">
        <f t="shared" si="26"/>
        <v>07-07</v>
      </c>
      <c r="T45" s="14">
        <f t="shared" si="27"/>
        <v>220</v>
      </c>
      <c r="U45" s="18">
        <f t="shared" si="28"/>
        <v>475</v>
      </c>
      <c r="V45" s="14">
        <f t="shared" si="29"/>
        <v>259</v>
      </c>
      <c r="W45" s="18">
        <f t="shared" si="30"/>
        <v>475</v>
      </c>
      <c r="X45" s="14">
        <f t="shared" si="31"/>
        <v>259</v>
      </c>
      <c r="Y45" s="18">
        <f t="shared" si="32"/>
        <v>446</v>
      </c>
      <c r="Z45" s="14">
        <f t="shared" si="33"/>
        <v>220</v>
      </c>
      <c r="AA45" s="18">
        <f t="shared" si="34"/>
        <v>446</v>
      </c>
    </row>
    <row r="46" spans="1:27">
      <c r="A46" s="9" t="s">
        <v>63</v>
      </c>
      <c r="B46" s="24"/>
      <c r="C46" s="26"/>
      <c r="D46" s="25">
        <f t="shared" si="35"/>
        <v>259</v>
      </c>
      <c r="E46" s="29">
        <f t="shared" si="44"/>
        <v>275</v>
      </c>
      <c r="F46" s="25">
        <f t="shared" si="36"/>
        <v>298</v>
      </c>
      <c r="G46" s="29">
        <f t="shared" si="45"/>
        <v>304</v>
      </c>
      <c r="H46" s="4" t="s">
        <v>0</v>
      </c>
      <c r="I46" s="16" t="str">
        <f t="shared" si="17"/>
        <v>07-06</v>
      </c>
      <c r="J46" s="14">
        <f t="shared" si="18"/>
        <v>259</v>
      </c>
      <c r="K46" s="15">
        <f t="shared" si="19"/>
        <v>275</v>
      </c>
      <c r="L46" s="17">
        <f t="shared" si="20"/>
        <v>298</v>
      </c>
      <c r="M46" s="18">
        <f t="shared" si="21"/>
        <v>275</v>
      </c>
      <c r="N46" s="14">
        <f t="shared" si="22"/>
        <v>298</v>
      </c>
      <c r="O46" s="15">
        <f t="shared" si="23"/>
        <v>304</v>
      </c>
      <c r="P46" s="17">
        <f t="shared" si="24"/>
        <v>259</v>
      </c>
      <c r="Q46" s="18">
        <f t="shared" si="25"/>
        <v>304</v>
      </c>
      <c r="R46" s="4" t="s">
        <v>0</v>
      </c>
      <c r="S46" s="16" t="str">
        <f t="shared" si="26"/>
        <v>07-06</v>
      </c>
      <c r="T46" s="14">
        <f t="shared" si="27"/>
        <v>259</v>
      </c>
      <c r="U46" s="18">
        <f t="shared" si="28"/>
        <v>475</v>
      </c>
      <c r="V46" s="14">
        <f t="shared" si="29"/>
        <v>298</v>
      </c>
      <c r="W46" s="18">
        <f t="shared" si="30"/>
        <v>475</v>
      </c>
      <c r="X46" s="14">
        <f t="shared" si="31"/>
        <v>298</v>
      </c>
      <c r="Y46" s="18">
        <f t="shared" si="32"/>
        <v>446</v>
      </c>
      <c r="Z46" s="14">
        <f t="shared" si="33"/>
        <v>259</v>
      </c>
      <c r="AA46" s="18">
        <f t="shared" si="34"/>
        <v>446</v>
      </c>
    </row>
    <row r="47" spans="1:27">
      <c r="A47" s="9" t="s">
        <v>62</v>
      </c>
      <c r="B47" s="24"/>
      <c r="C47" s="26"/>
      <c r="D47" s="25">
        <f t="shared" si="35"/>
        <v>297</v>
      </c>
      <c r="E47" s="29">
        <f t="shared" si="44"/>
        <v>275</v>
      </c>
      <c r="F47" s="25">
        <f t="shared" si="36"/>
        <v>336</v>
      </c>
      <c r="G47" s="29">
        <f t="shared" si="45"/>
        <v>304</v>
      </c>
      <c r="H47" s="4" t="s">
        <v>0</v>
      </c>
      <c r="I47" s="16" t="str">
        <f t="shared" si="17"/>
        <v>07-05</v>
      </c>
      <c r="J47" s="14">
        <f t="shared" si="18"/>
        <v>297</v>
      </c>
      <c r="K47" s="15">
        <f t="shared" si="19"/>
        <v>275</v>
      </c>
      <c r="L47" s="17">
        <f t="shared" si="20"/>
        <v>336</v>
      </c>
      <c r="M47" s="18">
        <f t="shared" si="21"/>
        <v>275</v>
      </c>
      <c r="N47" s="14">
        <f t="shared" si="22"/>
        <v>336</v>
      </c>
      <c r="O47" s="15">
        <f t="shared" si="23"/>
        <v>304</v>
      </c>
      <c r="P47" s="17">
        <f t="shared" si="24"/>
        <v>297</v>
      </c>
      <c r="Q47" s="18">
        <f t="shared" si="25"/>
        <v>304</v>
      </c>
      <c r="R47" s="4" t="s">
        <v>0</v>
      </c>
      <c r="S47" s="16" t="str">
        <f t="shared" si="26"/>
        <v>07-05</v>
      </c>
      <c r="T47" s="14">
        <f t="shared" si="27"/>
        <v>297</v>
      </c>
      <c r="U47" s="18">
        <f t="shared" si="28"/>
        <v>475</v>
      </c>
      <c r="V47" s="14">
        <f t="shared" si="29"/>
        <v>336</v>
      </c>
      <c r="W47" s="18">
        <f t="shared" si="30"/>
        <v>475</v>
      </c>
      <c r="X47" s="14">
        <f t="shared" si="31"/>
        <v>336</v>
      </c>
      <c r="Y47" s="18">
        <f t="shared" si="32"/>
        <v>446</v>
      </c>
      <c r="Z47" s="14">
        <f t="shared" si="33"/>
        <v>297</v>
      </c>
      <c r="AA47" s="18">
        <f t="shared" si="34"/>
        <v>446</v>
      </c>
    </row>
    <row r="48" spans="1:27">
      <c r="A48" s="9" t="s">
        <v>3</v>
      </c>
      <c r="B48" s="24"/>
      <c r="C48" s="26"/>
      <c r="D48" s="25">
        <f t="shared" si="35"/>
        <v>336</v>
      </c>
      <c r="E48" s="29">
        <f t="shared" si="44"/>
        <v>275</v>
      </c>
      <c r="F48" s="25">
        <f t="shared" si="36"/>
        <v>375</v>
      </c>
      <c r="G48" s="29">
        <f t="shared" si="45"/>
        <v>304</v>
      </c>
      <c r="H48" s="4" t="s">
        <v>0</v>
      </c>
      <c r="I48" s="16" t="str">
        <f t="shared" si="17"/>
        <v>07-03</v>
      </c>
      <c r="J48" s="14">
        <f t="shared" si="18"/>
        <v>336</v>
      </c>
      <c r="K48" s="15">
        <f t="shared" si="19"/>
        <v>275</v>
      </c>
      <c r="L48" s="17">
        <f t="shared" si="20"/>
        <v>375</v>
      </c>
      <c r="M48" s="18">
        <f t="shared" si="21"/>
        <v>275</v>
      </c>
      <c r="N48" s="14">
        <f t="shared" si="22"/>
        <v>375</v>
      </c>
      <c r="O48" s="15">
        <f t="shared" si="23"/>
        <v>304</v>
      </c>
      <c r="P48" s="17">
        <f t="shared" si="24"/>
        <v>336</v>
      </c>
      <c r="Q48" s="18">
        <f t="shared" si="25"/>
        <v>304</v>
      </c>
      <c r="R48" s="4" t="s">
        <v>0</v>
      </c>
      <c r="S48" s="16" t="str">
        <f t="shared" si="26"/>
        <v>07-03</v>
      </c>
      <c r="T48" s="14">
        <f t="shared" si="27"/>
        <v>336</v>
      </c>
      <c r="U48" s="18">
        <f t="shared" si="28"/>
        <v>475</v>
      </c>
      <c r="V48" s="14">
        <f t="shared" si="29"/>
        <v>375</v>
      </c>
      <c r="W48" s="18">
        <f t="shared" si="30"/>
        <v>475</v>
      </c>
      <c r="X48" s="14">
        <f t="shared" si="31"/>
        <v>375</v>
      </c>
      <c r="Y48" s="18">
        <f t="shared" si="32"/>
        <v>446</v>
      </c>
      <c r="Z48" s="14">
        <f t="shared" si="33"/>
        <v>336</v>
      </c>
      <c r="AA48" s="18">
        <f t="shared" si="34"/>
        <v>446</v>
      </c>
    </row>
    <row r="49" spans="1:27">
      <c r="A49" s="9" t="s">
        <v>61</v>
      </c>
      <c r="B49" s="24"/>
      <c r="C49" s="26"/>
      <c r="D49" s="25">
        <f t="shared" si="35"/>
        <v>374</v>
      </c>
      <c r="E49" s="29">
        <f t="shared" si="44"/>
        <v>275</v>
      </c>
      <c r="F49" s="25">
        <f t="shared" si="36"/>
        <v>413</v>
      </c>
      <c r="G49" s="29">
        <f t="shared" si="45"/>
        <v>304</v>
      </c>
      <c r="H49" s="4" t="s">
        <v>0</v>
      </c>
      <c r="I49" s="16" t="str">
        <f t="shared" si="17"/>
        <v>07-02</v>
      </c>
      <c r="J49" s="14">
        <f t="shared" si="18"/>
        <v>374</v>
      </c>
      <c r="K49" s="15">
        <f t="shared" si="19"/>
        <v>275</v>
      </c>
      <c r="L49" s="17">
        <f t="shared" si="20"/>
        <v>413</v>
      </c>
      <c r="M49" s="18">
        <f t="shared" si="21"/>
        <v>275</v>
      </c>
      <c r="N49" s="14">
        <f t="shared" si="22"/>
        <v>413</v>
      </c>
      <c r="O49" s="15">
        <f t="shared" si="23"/>
        <v>304</v>
      </c>
      <c r="P49" s="17">
        <f t="shared" si="24"/>
        <v>374</v>
      </c>
      <c r="Q49" s="18">
        <f t="shared" si="25"/>
        <v>304</v>
      </c>
      <c r="R49" s="4" t="s">
        <v>0</v>
      </c>
      <c r="S49" s="16" t="str">
        <f t="shared" si="26"/>
        <v>07-02</v>
      </c>
      <c r="T49" s="14">
        <f t="shared" si="27"/>
        <v>374</v>
      </c>
      <c r="U49" s="18">
        <f t="shared" si="28"/>
        <v>475</v>
      </c>
      <c r="V49" s="14">
        <f t="shared" si="29"/>
        <v>413</v>
      </c>
      <c r="W49" s="18">
        <f t="shared" si="30"/>
        <v>475</v>
      </c>
      <c r="X49" s="14">
        <f t="shared" si="31"/>
        <v>413</v>
      </c>
      <c r="Y49" s="18">
        <f t="shared" si="32"/>
        <v>446</v>
      </c>
      <c r="Z49" s="14">
        <f t="shared" si="33"/>
        <v>374</v>
      </c>
      <c r="AA49" s="18">
        <f t="shared" si="34"/>
        <v>446</v>
      </c>
    </row>
    <row r="50" spans="1:27">
      <c r="A50" s="9" t="s">
        <v>60</v>
      </c>
      <c r="B50" s="24"/>
      <c r="C50" s="26"/>
      <c r="D50" s="25">
        <f t="shared" si="35"/>
        <v>413</v>
      </c>
      <c r="E50" s="29">
        <f t="shared" si="44"/>
        <v>275</v>
      </c>
      <c r="F50" s="25">
        <f t="shared" si="36"/>
        <v>452</v>
      </c>
      <c r="G50" s="29">
        <f t="shared" si="45"/>
        <v>304</v>
      </c>
      <c r="H50" s="4" t="s">
        <v>0</v>
      </c>
      <c r="I50" s="16" t="str">
        <f t="shared" si="17"/>
        <v>07-01</v>
      </c>
      <c r="J50" s="14">
        <f t="shared" si="18"/>
        <v>413</v>
      </c>
      <c r="K50" s="15">
        <f t="shared" si="19"/>
        <v>275</v>
      </c>
      <c r="L50" s="17">
        <f t="shared" si="20"/>
        <v>452</v>
      </c>
      <c r="M50" s="18">
        <f t="shared" si="21"/>
        <v>275</v>
      </c>
      <c r="N50" s="14">
        <f t="shared" si="22"/>
        <v>452</v>
      </c>
      <c r="O50" s="15">
        <f t="shared" si="23"/>
        <v>304</v>
      </c>
      <c r="P50" s="17">
        <f t="shared" si="24"/>
        <v>413</v>
      </c>
      <c r="Q50" s="18">
        <f t="shared" si="25"/>
        <v>304</v>
      </c>
      <c r="R50" s="4" t="s">
        <v>0</v>
      </c>
      <c r="S50" s="16" t="str">
        <f t="shared" si="26"/>
        <v>07-01</v>
      </c>
      <c r="T50" s="14">
        <f t="shared" si="27"/>
        <v>413</v>
      </c>
      <c r="U50" s="18">
        <f t="shared" si="28"/>
        <v>475</v>
      </c>
      <c r="V50" s="14">
        <f t="shared" si="29"/>
        <v>452</v>
      </c>
      <c r="W50" s="18">
        <f t="shared" si="30"/>
        <v>475</v>
      </c>
      <c r="X50" s="14">
        <f t="shared" si="31"/>
        <v>452</v>
      </c>
      <c r="Y50" s="18">
        <f t="shared" si="32"/>
        <v>446</v>
      </c>
      <c r="Z50" s="14">
        <f t="shared" si="33"/>
        <v>413</v>
      </c>
      <c r="AA50" s="18">
        <f t="shared" si="34"/>
        <v>446</v>
      </c>
    </row>
    <row r="51" spans="1:27">
      <c r="A51" s="9" t="s">
        <v>59</v>
      </c>
      <c r="B51" s="24"/>
      <c r="C51" s="26">
        <v>4</v>
      </c>
      <c r="D51" s="25" t="str">
        <f t="shared" si="35"/>
        <v>66</v>
      </c>
      <c r="E51" s="28">
        <f t="shared" ref="E51" si="46">ROUND(E$11+69.2*$C51, 0)</f>
        <v>344</v>
      </c>
      <c r="F51" s="25" t="str">
        <f t="shared" si="36"/>
        <v>105</v>
      </c>
      <c r="G51" s="28">
        <f t="shared" ref="G51" si="47">ROUND(G$11+69.2*$C51, 0)</f>
        <v>373</v>
      </c>
      <c r="H51" s="4" t="s">
        <v>0</v>
      </c>
      <c r="I51" s="16" t="str">
        <f t="shared" si="17"/>
        <v>06-12</v>
      </c>
      <c r="J51" s="14" t="str">
        <f t="shared" si="18"/>
        <v>66</v>
      </c>
      <c r="K51" s="15">
        <f t="shared" si="19"/>
        <v>344</v>
      </c>
      <c r="L51" s="17" t="str">
        <f t="shared" si="20"/>
        <v>105</v>
      </c>
      <c r="M51" s="18">
        <f t="shared" si="21"/>
        <v>344</v>
      </c>
      <c r="N51" s="14" t="str">
        <f t="shared" si="22"/>
        <v>105</v>
      </c>
      <c r="O51" s="15">
        <f t="shared" si="23"/>
        <v>373</v>
      </c>
      <c r="P51" s="17" t="str">
        <f t="shared" si="24"/>
        <v>66</v>
      </c>
      <c r="Q51" s="18">
        <f t="shared" si="25"/>
        <v>373</v>
      </c>
      <c r="R51" s="4" t="s">
        <v>0</v>
      </c>
      <c r="S51" s="16" t="str">
        <f t="shared" si="26"/>
        <v>06-12</v>
      </c>
      <c r="T51" s="14" t="str">
        <f t="shared" si="27"/>
        <v>66</v>
      </c>
      <c r="U51" s="18">
        <f t="shared" si="28"/>
        <v>406</v>
      </c>
      <c r="V51" s="14" t="str">
        <f t="shared" si="29"/>
        <v>105</v>
      </c>
      <c r="W51" s="18">
        <f t="shared" si="30"/>
        <v>406</v>
      </c>
      <c r="X51" s="14" t="str">
        <f t="shared" si="31"/>
        <v>105</v>
      </c>
      <c r="Y51" s="18">
        <f t="shared" si="32"/>
        <v>377</v>
      </c>
      <c r="Z51" s="14" t="str">
        <f t="shared" si="33"/>
        <v>66</v>
      </c>
      <c r="AA51" s="18">
        <f t="shared" si="34"/>
        <v>377</v>
      </c>
    </row>
    <row r="52" spans="1:27">
      <c r="A52" s="9" t="s">
        <v>58</v>
      </c>
      <c r="B52" s="24"/>
      <c r="C52" s="26"/>
      <c r="D52" s="25">
        <f t="shared" si="35"/>
        <v>105</v>
      </c>
      <c r="E52" s="29">
        <f t="shared" ref="E52:E60" si="48">E51</f>
        <v>344</v>
      </c>
      <c r="F52" s="25">
        <f t="shared" si="36"/>
        <v>144</v>
      </c>
      <c r="G52" s="29">
        <f t="shared" ref="G52:G60" si="49">G51</f>
        <v>373</v>
      </c>
      <c r="H52" s="4" t="s">
        <v>0</v>
      </c>
      <c r="I52" s="16" t="str">
        <f t="shared" si="17"/>
        <v>06-11</v>
      </c>
      <c r="J52" s="14">
        <f t="shared" si="18"/>
        <v>105</v>
      </c>
      <c r="K52" s="15">
        <f t="shared" si="19"/>
        <v>344</v>
      </c>
      <c r="L52" s="17">
        <f t="shared" si="20"/>
        <v>144</v>
      </c>
      <c r="M52" s="18">
        <f t="shared" si="21"/>
        <v>344</v>
      </c>
      <c r="N52" s="14">
        <f t="shared" si="22"/>
        <v>144</v>
      </c>
      <c r="O52" s="15">
        <f t="shared" si="23"/>
        <v>373</v>
      </c>
      <c r="P52" s="17">
        <f t="shared" si="24"/>
        <v>105</v>
      </c>
      <c r="Q52" s="18">
        <f t="shared" si="25"/>
        <v>373</v>
      </c>
      <c r="R52" s="4" t="s">
        <v>0</v>
      </c>
      <c r="S52" s="16" t="str">
        <f t="shared" si="26"/>
        <v>06-11</v>
      </c>
      <c r="T52" s="14">
        <f t="shared" si="27"/>
        <v>105</v>
      </c>
      <c r="U52" s="18">
        <f t="shared" si="28"/>
        <v>406</v>
      </c>
      <c r="V52" s="14">
        <f t="shared" si="29"/>
        <v>144</v>
      </c>
      <c r="W52" s="18">
        <f t="shared" si="30"/>
        <v>406</v>
      </c>
      <c r="X52" s="14">
        <f t="shared" si="31"/>
        <v>144</v>
      </c>
      <c r="Y52" s="18">
        <f t="shared" si="32"/>
        <v>377</v>
      </c>
      <c r="Z52" s="14">
        <f t="shared" si="33"/>
        <v>105</v>
      </c>
      <c r="AA52" s="18">
        <f t="shared" si="34"/>
        <v>377</v>
      </c>
    </row>
    <row r="53" spans="1:27">
      <c r="A53" s="9" t="s">
        <v>57</v>
      </c>
      <c r="B53" s="24"/>
      <c r="C53" s="26"/>
      <c r="D53" s="25">
        <f t="shared" si="35"/>
        <v>143</v>
      </c>
      <c r="E53" s="29">
        <f t="shared" si="48"/>
        <v>344</v>
      </c>
      <c r="F53" s="25">
        <f t="shared" si="36"/>
        <v>182</v>
      </c>
      <c r="G53" s="29">
        <f t="shared" si="49"/>
        <v>373</v>
      </c>
      <c r="H53" s="4" t="s">
        <v>0</v>
      </c>
      <c r="I53" s="16" t="str">
        <f t="shared" si="17"/>
        <v>06-10</v>
      </c>
      <c r="J53" s="14">
        <f t="shared" si="18"/>
        <v>143</v>
      </c>
      <c r="K53" s="15">
        <f t="shared" si="19"/>
        <v>344</v>
      </c>
      <c r="L53" s="17">
        <f t="shared" si="20"/>
        <v>182</v>
      </c>
      <c r="M53" s="18">
        <f t="shared" si="21"/>
        <v>344</v>
      </c>
      <c r="N53" s="14">
        <f t="shared" si="22"/>
        <v>182</v>
      </c>
      <c r="O53" s="15">
        <f t="shared" si="23"/>
        <v>373</v>
      </c>
      <c r="P53" s="17">
        <f t="shared" si="24"/>
        <v>143</v>
      </c>
      <c r="Q53" s="18">
        <f t="shared" si="25"/>
        <v>373</v>
      </c>
      <c r="R53" s="4" t="s">
        <v>0</v>
      </c>
      <c r="S53" s="16" t="str">
        <f t="shared" si="26"/>
        <v>06-10</v>
      </c>
      <c r="T53" s="14">
        <f t="shared" si="27"/>
        <v>143</v>
      </c>
      <c r="U53" s="18">
        <f t="shared" si="28"/>
        <v>406</v>
      </c>
      <c r="V53" s="14">
        <f t="shared" si="29"/>
        <v>182</v>
      </c>
      <c r="W53" s="18">
        <f t="shared" si="30"/>
        <v>406</v>
      </c>
      <c r="X53" s="14">
        <f t="shared" si="31"/>
        <v>182</v>
      </c>
      <c r="Y53" s="18">
        <f t="shared" si="32"/>
        <v>377</v>
      </c>
      <c r="Z53" s="14">
        <f t="shared" si="33"/>
        <v>143</v>
      </c>
      <c r="AA53" s="18">
        <f t="shared" si="34"/>
        <v>377</v>
      </c>
    </row>
    <row r="54" spans="1:27">
      <c r="A54" s="9" t="s">
        <v>56</v>
      </c>
      <c r="B54" s="24"/>
      <c r="C54" s="26"/>
      <c r="D54" s="25">
        <f t="shared" si="35"/>
        <v>182</v>
      </c>
      <c r="E54" s="29">
        <f t="shared" si="48"/>
        <v>344</v>
      </c>
      <c r="F54" s="25">
        <f t="shared" si="36"/>
        <v>221</v>
      </c>
      <c r="G54" s="29">
        <f t="shared" si="49"/>
        <v>373</v>
      </c>
      <c r="H54" s="4" t="s">
        <v>0</v>
      </c>
      <c r="I54" s="16" t="str">
        <f t="shared" si="17"/>
        <v>06-08</v>
      </c>
      <c r="J54" s="14">
        <f t="shared" si="18"/>
        <v>182</v>
      </c>
      <c r="K54" s="15">
        <f t="shared" si="19"/>
        <v>344</v>
      </c>
      <c r="L54" s="17">
        <f t="shared" si="20"/>
        <v>221</v>
      </c>
      <c r="M54" s="18">
        <f t="shared" si="21"/>
        <v>344</v>
      </c>
      <c r="N54" s="14">
        <f t="shared" si="22"/>
        <v>221</v>
      </c>
      <c r="O54" s="15">
        <f t="shared" si="23"/>
        <v>373</v>
      </c>
      <c r="P54" s="17">
        <f t="shared" si="24"/>
        <v>182</v>
      </c>
      <c r="Q54" s="18">
        <f t="shared" si="25"/>
        <v>373</v>
      </c>
      <c r="R54" s="4" t="s">
        <v>0</v>
      </c>
      <c r="S54" s="16" t="str">
        <f t="shared" si="26"/>
        <v>06-08</v>
      </c>
      <c r="T54" s="14">
        <f t="shared" si="27"/>
        <v>182</v>
      </c>
      <c r="U54" s="18">
        <f t="shared" si="28"/>
        <v>406</v>
      </c>
      <c r="V54" s="14">
        <f t="shared" si="29"/>
        <v>221</v>
      </c>
      <c r="W54" s="18">
        <f t="shared" si="30"/>
        <v>406</v>
      </c>
      <c r="X54" s="14">
        <f t="shared" si="31"/>
        <v>221</v>
      </c>
      <c r="Y54" s="18">
        <f t="shared" si="32"/>
        <v>377</v>
      </c>
      <c r="Z54" s="14">
        <f t="shared" si="33"/>
        <v>182</v>
      </c>
      <c r="AA54" s="18">
        <f t="shared" si="34"/>
        <v>377</v>
      </c>
    </row>
    <row r="55" spans="1:27">
      <c r="A55" s="9" t="s">
        <v>55</v>
      </c>
      <c r="B55" s="24"/>
      <c r="C55" s="26"/>
      <c r="D55" s="25">
        <f t="shared" si="35"/>
        <v>220</v>
      </c>
      <c r="E55" s="29">
        <f t="shared" si="48"/>
        <v>344</v>
      </c>
      <c r="F55" s="25">
        <f t="shared" si="36"/>
        <v>259</v>
      </c>
      <c r="G55" s="29">
        <f t="shared" si="49"/>
        <v>373</v>
      </c>
      <c r="H55" s="4" t="s">
        <v>0</v>
      </c>
      <c r="I55" s="16" t="str">
        <f t="shared" si="17"/>
        <v>06-07</v>
      </c>
      <c r="J55" s="14">
        <f t="shared" si="18"/>
        <v>220</v>
      </c>
      <c r="K55" s="15">
        <f t="shared" si="19"/>
        <v>344</v>
      </c>
      <c r="L55" s="17">
        <f t="shared" si="20"/>
        <v>259</v>
      </c>
      <c r="M55" s="18">
        <f t="shared" si="21"/>
        <v>344</v>
      </c>
      <c r="N55" s="14">
        <f t="shared" si="22"/>
        <v>259</v>
      </c>
      <c r="O55" s="15">
        <f t="shared" si="23"/>
        <v>373</v>
      </c>
      <c r="P55" s="17">
        <f t="shared" si="24"/>
        <v>220</v>
      </c>
      <c r="Q55" s="18">
        <f t="shared" si="25"/>
        <v>373</v>
      </c>
      <c r="R55" s="4" t="s">
        <v>0</v>
      </c>
      <c r="S55" s="16" t="str">
        <f t="shared" si="26"/>
        <v>06-07</v>
      </c>
      <c r="T55" s="14">
        <f t="shared" si="27"/>
        <v>220</v>
      </c>
      <c r="U55" s="18">
        <f t="shared" si="28"/>
        <v>406</v>
      </c>
      <c r="V55" s="14">
        <f t="shared" si="29"/>
        <v>259</v>
      </c>
      <c r="W55" s="18">
        <f t="shared" si="30"/>
        <v>406</v>
      </c>
      <c r="X55" s="14">
        <f t="shared" si="31"/>
        <v>259</v>
      </c>
      <c r="Y55" s="18">
        <f t="shared" si="32"/>
        <v>377</v>
      </c>
      <c r="Z55" s="14">
        <f t="shared" si="33"/>
        <v>220</v>
      </c>
      <c r="AA55" s="18">
        <f t="shared" si="34"/>
        <v>377</v>
      </c>
    </row>
    <row r="56" spans="1:27">
      <c r="A56" s="9" t="s">
        <v>54</v>
      </c>
      <c r="B56" s="24"/>
      <c r="C56" s="26"/>
      <c r="D56" s="25">
        <f t="shared" si="35"/>
        <v>259</v>
      </c>
      <c r="E56" s="29">
        <f t="shared" si="48"/>
        <v>344</v>
      </c>
      <c r="F56" s="25">
        <f t="shared" si="36"/>
        <v>298</v>
      </c>
      <c r="G56" s="29">
        <f t="shared" si="49"/>
        <v>373</v>
      </c>
      <c r="H56" s="4" t="s">
        <v>0</v>
      </c>
      <c r="I56" s="16" t="str">
        <f t="shared" si="17"/>
        <v>06-06</v>
      </c>
      <c r="J56" s="14">
        <f t="shared" si="18"/>
        <v>259</v>
      </c>
      <c r="K56" s="15">
        <f t="shared" si="19"/>
        <v>344</v>
      </c>
      <c r="L56" s="17">
        <f t="shared" si="20"/>
        <v>298</v>
      </c>
      <c r="M56" s="18">
        <f t="shared" si="21"/>
        <v>344</v>
      </c>
      <c r="N56" s="14">
        <f t="shared" si="22"/>
        <v>298</v>
      </c>
      <c r="O56" s="15">
        <f t="shared" si="23"/>
        <v>373</v>
      </c>
      <c r="P56" s="17">
        <f t="shared" si="24"/>
        <v>259</v>
      </c>
      <c r="Q56" s="18">
        <f t="shared" si="25"/>
        <v>373</v>
      </c>
      <c r="R56" s="4" t="s">
        <v>0</v>
      </c>
      <c r="S56" s="16" t="str">
        <f t="shared" si="26"/>
        <v>06-06</v>
      </c>
      <c r="T56" s="14">
        <f t="shared" si="27"/>
        <v>259</v>
      </c>
      <c r="U56" s="18">
        <f t="shared" si="28"/>
        <v>406</v>
      </c>
      <c r="V56" s="14">
        <f t="shared" si="29"/>
        <v>298</v>
      </c>
      <c r="W56" s="18">
        <f t="shared" si="30"/>
        <v>406</v>
      </c>
      <c r="X56" s="14">
        <f t="shared" si="31"/>
        <v>298</v>
      </c>
      <c r="Y56" s="18">
        <f t="shared" si="32"/>
        <v>377</v>
      </c>
      <c r="Z56" s="14">
        <f t="shared" si="33"/>
        <v>259</v>
      </c>
      <c r="AA56" s="18">
        <f t="shared" si="34"/>
        <v>377</v>
      </c>
    </row>
    <row r="57" spans="1:27">
      <c r="A57" s="9" t="s">
        <v>53</v>
      </c>
      <c r="B57" s="24"/>
      <c r="C57" s="26"/>
      <c r="D57" s="25">
        <f t="shared" ref="D57:D100" si="50">D47</f>
        <v>297</v>
      </c>
      <c r="E57" s="29">
        <f t="shared" si="48"/>
        <v>344</v>
      </c>
      <c r="F57" s="25">
        <f t="shared" ref="F57:F100" si="51">F47</f>
        <v>336</v>
      </c>
      <c r="G57" s="29">
        <f t="shared" si="49"/>
        <v>373</v>
      </c>
      <c r="H57" s="4" t="s">
        <v>0</v>
      </c>
      <c r="I57" s="16" t="str">
        <f t="shared" si="17"/>
        <v>06-05</v>
      </c>
      <c r="J57" s="14">
        <f t="shared" si="18"/>
        <v>297</v>
      </c>
      <c r="K57" s="15">
        <f t="shared" si="19"/>
        <v>344</v>
      </c>
      <c r="L57" s="17">
        <f t="shared" si="20"/>
        <v>336</v>
      </c>
      <c r="M57" s="18">
        <f t="shared" si="21"/>
        <v>344</v>
      </c>
      <c r="N57" s="14">
        <f t="shared" si="22"/>
        <v>336</v>
      </c>
      <c r="O57" s="15">
        <f t="shared" si="23"/>
        <v>373</v>
      </c>
      <c r="P57" s="17">
        <f t="shared" si="24"/>
        <v>297</v>
      </c>
      <c r="Q57" s="18">
        <f t="shared" si="25"/>
        <v>373</v>
      </c>
      <c r="R57" s="4" t="s">
        <v>0</v>
      </c>
      <c r="S57" s="16" t="str">
        <f t="shared" si="26"/>
        <v>06-05</v>
      </c>
      <c r="T57" s="14">
        <f t="shared" si="27"/>
        <v>297</v>
      </c>
      <c r="U57" s="18">
        <f t="shared" si="28"/>
        <v>406</v>
      </c>
      <c r="V57" s="14">
        <f t="shared" si="29"/>
        <v>336</v>
      </c>
      <c r="W57" s="18">
        <f t="shared" si="30"/>
        <v>406</v>
      </c>
      <c r="X57" s="14">
        <f t="shared" si="31"/>
        <v>336</v>
      </c>
      <c r="Y57" s="18">
        <f t="shared" si="32"/>
        <v>377</v>
      </c>
      <c r="Z57" s="14">
        <f t="shared" si="33"/>
        <v>297</v>
      </c>
      <c r="AA57" s="18">
        <f t="shared" si="34"/>
        <v>377</v>
      </c>
    </row>
    <row r="58" spans="1:27">
      <c r="A58" s="9" t="s">
        <v>52</v>
      </c>
      <c r="B58" s="24"/>
      <c r="C58" s="26"/>
      <c r="D58" s="25">
        <f t="shared" si="50"/>
        <v>336</v>
      </c>
      <c r="E58" s="29">
        <f t="shared" si="48"/>
        <v>344</v>
      </c>
      <c r="F58" s="25">
        <f t="shared" si="51"/>
        <v>375</v>
      </c>
      <c r="G58" s="29">
        <f t="shared" si="49"/>
        <v>373</v>
      </c>
      <c r="H58" s="4" t="s">
        <v>0</v>
      </c>
      <c r="I58" s="16" t="str">
        <f t="shared" si="17"/>
        <v>06-03</v>
      </c>
      <c r="J58" s="14">
        <f t="shared" si="18"/>
        <v>336</v>
      </c>
      <c r="K58" s="15">
        <f t="shared" si="19"/>
        <v>344</v>
      </c>
      <c r="L58" s="17">
        <f t="shared" si="20"/>
        <v>375</v>
      </c>
      <c r="M58" s="18">
        <f t="shared" si="21"/>
        <v>344</v>
      </c>
      <c r="N58" s="14">
        <f t="shared" si="22"/>
        <v>375</v>
      </c>
      <c r="O58" s="15">
        <f t="shared" si="23"/>
        <v>373</v>
      </c>
      <c r="P58" s="17">
        <f t="shared" si="24"/>
        <v>336</v>
      </c>
      <c r="Q58" s="18">
        <f t="shared" si="25"/>
        <v>373</v>
      </c>
      <c r="R58" s="4" t="s">
        <v>0</v>
      </c>
      <c r="S58" s="16" t="str">
        <f t="shared" si="26"/>
        <v>06-03</v>
      </c>
      <c r="T58" s="14">
        <f t="shared" si="27"/>
        <v>336</v>
      </c>
      <c r="U58" s="18">
        <f t="shared" si="28"/>
        <v>406</v>
      </c>
      <c r="V58" s="14">
        <f t="shared" si="29"/>
        <v>375</v>
      </c>
      <c r="W58" s="18">
        <f t="shared" si="30"/>
        <v>406</v>
      </c>
      <c r="X58" s="14">
        <f t="shared" si="31"/>
        <v>375</v>
      </c>
      <c r="Y58" s="18">
        <f t="shared" si="32"/>
        <v>377</v>
      </c>
      <c r="Z58" s="14">
        <f t="shared" si="33"/>
        <v>336</v>
      </c>
      <c r="AA58" s="18">
        <f t="shared" si="34"/>
        <v>377</v>
      </c>
    </row>
    <row r="59" spans="1:27">
      <c r="A59" s="9" t="s">
        <v>51</v>
      </c>
      <c r="B59" s="24"/>
      <c r="C59" s="26"/>
      <c r="D59" s="25">
        <f t="shared" si="50"/>
        <v>374</v>
      </c>
      <c r="E59" s="29">
        <f t="shared" si="48"/>
        <v>344</v>
      </c>
      <c r="F59" s="25">
        <f t="shared" si="51"/>
        <v>413</v>
      </c>
      <c r="G59" s="29">
        <f t="shared" si="49"/>
        <v>373</v>
      </c>
      <c r="H59" s="4" t="s">
        <v>0</v>
      </c>
      <c r="I59" s="16" t="str">
        <f t="shared" si="17"/>
        <v>06-02</v>
      </c>
      <c r="J59" s="14">
        <f t="shared" si="18"/>
        <v>374</v>
      </c>
      <c r="K59" s="15">
        <f t="shared" si="19"/>
        <v>344</v>
      </c>
      <c r="L59" s="17">
        <f t="shared" si="20"/>
        <v>413</v>
      </c>
      <c r="M59" s="18">
        <f t="shared" si="21"/>
        <v>344</v>
      </c>
      <c r="N59" s="14">
        <f t="shared" si="22"/>
        <v>413</v>
      </c>
      <c r="O59" s="15">
        <f t="shared" si="23"/>
        <v>373</v>
      </c>
      <c r="P59" s="17">
        <f t="shared" si="24"/>
        <v>374</v>
      </c>
      <c r="Q59" s="18">
        <f t="shared" si="25"/>
        <v>373</v>
      </c>
      <c r="R59" s="4" t="s">
        <v>0</v>
      </c>
      <c r="S59" s="16" t="str">
        <f t="shared" si="26"/>
        <v>06-02</v>
      </c>
      <c r="T59" s="14">
        <f t="shared" si="27"/>
        <v>374</v>
      </c>
      <c r="U59" s="18">
        <f t="shared" si="28"/>
        <v>406</v>
      </c>
      <c r="V59" s="14">
        <f t="shared" si="29"/>
        <v>413</v>
      </c>
      <c r="W59" s="18">
        <f t="shared" si="30"/>
        <v>406</v>
      </c>
      <c r="X59" s="14">
        <f t="shared" si="31"/>
        <v>413</v>
      </c>
      <c r="Y59" s="18">
        <f t="shared" si="32"/>
        <v>377</v>
      </c>
      <c r="Z59" s="14">
        <f t="shared" si="33"/>
        <v>374</v>
      </c>
      <c r="AA59" s="18">
        <f t="shared" si="34"/>
        <v>377</v>
      </c>
    </row>
    <row r="60" spans="1:27">
      <c r="A60" s="9" t="s">
        <v>50</v>
      </c>
      <c r="B60" s="24"/>
      <c r="C60" s="26"/>
      <c r="D60" s="25">
        <f t="shared" si="50"/>
        <v>413</v>
      </c>
      <c r="E60" s="29">
        <f t="shared" si="48"/>
        <v>344</v>
      </c>
      <c r="F60" s="25">
        <f t="shared" si="51"/>
        <v>452</v>
      </c>
      <c r="G60" s="29">
        <f t="shared" si="49"/>
        <v>373</v>
      </c>
      <c r="H60" s="4" t="s">
        <v>0</v>
      </c>
      <c r="I60" s="16" t="str">
        <f t="shared" si="17"/>
        <v>06-01</v>
      </c>
      <c r="J60" s="14">
        <f t="shared" si="18"/>
        <v>413</v>
      </c>
      <c r="K60" s="15">
        <f t="shared" si="19"/>
        <v>344</v>
      </c>
      <c r="L60" s="17">
        <f t="shared" si="20"/>
        <v>452</v>
      </c>
      <c r="M60" s="18">
        <f t="shared" si="21"/>
        <v>344</v>
      </c>
      <c r="N60" s="14">
        <f t="shared" si="22"/>
        <v>452</v>
      </c>
      <c r="O60" s="15">
        <f t="shared" si="23"/>
        <v>373</v>
      </c>
      <c r="P60" s="17">
        <f t="shared" si="24"/>
        <v>413</v>
      </c>
      <c r="Q60" s="18">
        <f t="shared" si="25"/>
        <v>373</v>
      </c>
      <c r="R60" s="4" t="s">
        <v>0</v>
      </c>
      <c r="S60" s="16" t="str">
        <f t="shared" si="26"/>
        <v>06-01</v>
      </c>
      <c r="T60" s="14">
        <f t="shared" si="27"/>
        <v>413</v>
      </c>
      <c r="U60" s="18">
        <f t="shared" si="28"/>
        <v>406</v>
      </c>
      <c r="V60" s="14">
        <f t="shared" si="29"/>
        <v>452</v>
      </c>
      <c r="W60" s="18">
        <f t="shared" si="30"/>
        <v>406</v>
      </c>
      <c r="X60" s="14">
        <f t="shared" si="31"/>
        <v>452</v>
      </c>
      <c r="Y60" s="18">
        <f t="shared" si="32"/>
        <v>377</v>
      </c>
      <c r="Z60" s="14">
        <f t="shared" si="33"/>
        <v>413</v>
      </c>
      <c r="AA60" s="18">
        <f t="shared" si="34"/>
        <v>377</v>
      </c>
    </row>
    <row r="61" spans="1:27">
      <c r="A61" s="9" t="s">
        <v>49</v>
      </c>
      <c r="B61" s="24"/>
      <c r="C61" s="26">
        <v>5</v>
      </c>
      <c r="D61" s="25" t="str">
        <f t="shared" si="50"/>
        <v>66</v>
      </c>
      <c r="E61" s="28">
        <f t="shared" ref="E61" si="52">ROUND(E$11+69.2*$C61, 0)</f>
        <v>413</v>
      </c>
      <c r="F61" s="25" t="str">
        <f t="shared" si="51"/>
        <v>105</v>
      </c>
      <c r="G61" s="28">
        <f t="shared" ref="G61" si="53">ROUND(G$11+69.2*$C61, 0)</f>
        <v>442</v>
      </c>
      <c r="H61" s="4" t="s">
        <v>0</v>
      </c>
      <c r="I61" s="16" t="str">
        <f t="shared" si="17"/>
        <v>05-12</v>
      </c>
      <c r="J61" s="14" t="str">
        <f t="shared" si="18"/>
        <v>66</v>
      </c>
      <c r="K61" s="15">
        <f t="shared" si="19"/>
        <v>413</v>
      </c>
      <c r="L61" s="17" t="str">
        <f t="shared" si="20"/>
        <v>105</v>
      </c>
      <c r="M61" s="18">
        <f t="shared" si="21"/>
        <v>413</v>
      </c>
      <c r="N61" s="14" t="str">
        <f t="shared" si="22"/>
        <v>105</v>
      </c>
      <c r="O61" s="15">
        <f t="shared" si="23"/>
        <v>442</v>
      </c>
      <c r="P61" s="17" t="str">
        <f t="shared" si="24"/>
        <v>66</v>
      </c>
      <c r="Q61" s="18">
        <f t="shared" si="25"/>
        <v>442</v>
      </c>
      <c r="R61" s="4" t="s">
        <v>0</v>
      </c>
      <c r="S61" s="16" t="str">
        <f t="shared" si="26"/>
        <v>05-12</v>
      </c>
      <c r="T61" s="14" t="str">
        <f t="shared" si="27"/>
        <v>66</v>
      </c>
      <c r="U61" s="18">
        <f t="shared" si="28"/>
        <v>337</v>
      </c>
      <c r="V61" s="14" t="str">
        <f t="shared" si="29"/>
        <v>105</v>
      </c>
      <c r="W61" s="18">
        <f t="shared" si="30"/>
        <v>337</v>
      </c>
      <c r="X61" s="14" t="str">
        <f t="shared" si="31"/>
        <v>105</v>
      </c>
      <c r="Y61" s="18">
        <f t="shared" si="32"/>
        <v>308</v>
      </c>
      <c r="Z61" s="14" t="str">
        <f t="shared" si="33"/>
        <v>66</v>
      </c>
      <c r="AA61" s="18">
        <f t="shared" si="34"/>
        <v>308</v>
      </c>
    </row>
    <row r="62" spans="1:27">
      <c r="A62" s="9" t="s">
        <v>48</v>
      </c>
      <c r="B62" s="24"/>
      <c r="C62" s="26"/>
      <c r="D62" s="25">
        <f t="shared" si="50"/>
        <v>105</v>
      </c>
      <c r="E62" s="29">
        <f t="shared" ref="E62:E70" si="54">E61</f>
        <v>413</v>
      </c>
      <c r="F62" s="25">
        <f t="shared" si="51"/>
        <v>144</v>
      </c>
      <c r="G62" s="29">
        <f t="shared" ref="G62:G70" si="55">G61</f>
        <v>442</v>
      </c>
      <c r="H62" s="4" t="s">
        <v>0</v>
      </c>
      <c r="I62" s="16" t="str">
        <f t="shared" si="17"/>
        <v>05-11</v>
      </c>
      <c r="J62" s="14">
        <f t="shared" si="18"/>
        <v>105</v>
      </c>
      <c r="K62" s="15">
        <f t="shared" si="19"/>
        <v>413</v>
      </c>
      <c r="L62" s="17">
        <f t="shared" si="20"/>
        <v>144</v>
      </c>
      <c r="M62" s="18">
        <f t="shared" si="21"/>
        <v>413</v>
      </c>
      <c r="N62" s="14">
        <f t="shared" si="22"/>
        <v>144</v>
      </c>
      <c r="O62" s="15">
        <f t="shared" si="23"/>
        <v>442</v>
      </c>
      <c r="P62" s="17">
        <f t="shared" si="24"/>
        <v>105</v>
      </c>
      <c r="Q62" s="18">
        <f t="shared" si="25"/>
        <v>442</v>
      </c>
      <c r="R62" s="4" t="s">
        <v>0</v>
      </c>
      <c r="S62" s="16" t="str">
        <f t="shared" si="26"/>
        <v>05-11</v>
      </c>
      <c r="T62" s="14">
        <f t="shared" si="27"/>
        <v>105</v>
      </c>
      <c r="U62" s="18">
        <f t="shared" si="28"/>
        <v>337</v>
      </c>
      <c r="V62" s="14">
        <f t="shared" si="29"/>
        <v>144</v>
      </c>
      <c r="W62" s="18">
        <f t="shared" si="30"/>
        <v>337</v>
      </c>
      <c r="X62" s="14">
        <f t="shared" si="31"/>
        <v>144</v>
      </c>
      <c r="Y62" s="18">
        <f t="shared" si="32"/>
        <v>308</v>
      </c>
      <c r="Z62" s="14">
        <f t="shared" si="33"/>
        <v>105</v>
      </c>
      <c r="AA62" s="18">
        <f t="shared" si="34"/>
        <v>308</v>
      </c>
    </row>
    <row r="63" spans="1:27">
      <c r="A63" s="9" t="s">
        <v>47</v>
      </c>
      <c r="B63" s="24"/>
      <c r="C63" s="26"/>
      <c r="D63" s="25">
        <f t="shared" si="50"/>
        <v>143</v>
      </c>
      <c r="E63" s="29">
        <f t="shared" si="54"/>
        <v>413</v>
      </c>
      <c r="F63" s="25">
        <f t="shared" si="51"/>
        <v>182</v>
      </c>
      <c r="G63" s="29">
        <f t="shared" si="55"/>
        <v>442</v>
      </c>
      <c r="H63" s="4" t="s">
        <v>0</v>
      </c>
      <c r="I63" s="16" t="str">
        <f t="shared" si="17"/>
        <v>05-10</v>
      </c>
      <c r="J63" s="14">
        <f t="shared" si="18"/>
        <v>143</v>
      </c>
      <c r="K63" s="15">
        <f t="shared" si="19"/>
        <v>413</v>
      </c>
      <c r="L63" s="17">
        <f t="shared" si="20"/>
        <v>182</v>
      </c>
      <c r="M63" s="18">
        <f t="shared" si="21"/>
        <v>413</v>
      </c>
      <c r="N63" s="14">
        <f t="shared" si="22"/>
        <v>182</v>
      </c>
      <c r="O63" s="15">
        <f t="shared" si="23"/>
        <v>442</v>
      </c>
      <c r="P63" s="17">
        <f t="shared" si="24"/>
        <v>143</v>
      </c>
      <c r="Q63" s="18">
        <f t="shared" si="25"/>
        <v>442</v>
      </c>
      <c r="R63" s="4" t="s">
        <v>0</v>
      </c>
      <c r="S63" s="16" t="str">
        <f t="shared" si="26"/>
        <v>05-10</v>
      </c>
      <c r="T63" s="14">
        <f t="shared" si="27"/>
        <v>143</v>
      </c>
      <c r="U63" s="18">
        <f t="shared" si="28"/>
        <v>337</v>
      </c>
      <c r="V63" s="14">
        <f t="shared" si="29"/>
        <v>182</v>
      </c>
      <c r="W63" s="18">
        <f t="shared" si="30"/>
        <v>337</v>
      </c>
      <c r="X63" s="14">
        <f t="shared" si="31"/>
        <v>182</v>
      </c>
      <c r="Y63" s="18">
        <f t="shared" si="32"/>
        <v>308</v>
      </c>
      <c r="Z63" s="14">
        <f t="shared" si="33"/>
        <v>143</v>
      </c>
      <c r="AA63" s="18">
        <f t="shared" si="34"/>
        <v>308</v>
      </c>
    </row>
    <row r="64" spans="1:27">
      <c r="A64" s="9" t="s">
        <v>46</v>
      </c>
      <c r="B64" s="24"/>
      <c r="C64" s="26"/>
      <c r="D64" s="25">
        <f t="shared" si="50"/>
        <v>182</v>
      </c>
      <c r="E64" s="29">
        <f t="shared" si="54"/>
        <v>413</v>
      </c>
      <c r="F64" s="25">
        <f t="shared" si="51"/>
        <v>221</v>
      </c>
      <c r="G64" s="29">
        <f t="shared" si="55"/>
        <v>442</v>
      </c>
      <c r="H64" s="4" t="s">
        <v>0</v>
      </c>
      <c r="I64" s="16" t="str">
        <f t="shared" si="17"/>
        <v>05-08</v>
      </c>
      <c r="J64" s="14">
        <f t="shared" si="18"/>
        <v>182</v>
      </c>
      <c r="K64" s="15">
        <f t="shared" si="19"/>
        <v>413</v>
      </c>
      <c r="L64" s="17">
        <f t="shared" si="20"/>
        <v>221</v>
      </c>
      <c r="M64" s="18">
        <f t="shared" si="21"/>
        <v>413</v>
      </c>
      <c r="N64" s="14">
        <f t="shared" si="22"/>
        <v>221</v>
      </c>
      <c r="O64" s="15">
        <f t="shared" si="23"/>
        <v>442</v>
      </c>
      <c r="P64" s="17">
        <f t="shared" si="24"/>
        <v>182</v>
      </c>
      <c r="Q64" s="18">
        <f t="shared" si="25"/>
        <v>442</v>
      </c>
      <c r="R64" s="4" t="s">
        <v>0</v>
      </c>
      <c r="S64" s="16" t="str">
        <f t="shared" si="26"/>
        <v>05-08</v>
      </c>
      <c r="T64" s="14">
        <f t="shared" si="27"/>
        <v>182</v>
      </c>
      <c r="U64" s="18">
        <f t="shared" si="28"/>
        <v>337</v>
      </c>
      <c r="V64" s="14">
        <f t="shared" si="29"/>
        <v>221</v>
      </c>
      <c r="W64" s="18">
        <f t="shared" si="30"/>
        <v>337</v>
      </c>
      <c r="X64" s="14">
        <f t="shared" si="31"/>
        <v>221</v>
      </c>
      <c r="Y64" s="18">
        <f t="shared" si="32"/>
        <v>308</v>
      </c>
      <c r="Z64" s="14">
        <f t="shared" si="33"/>
        <v>182</v>
      </c>
      <c r="AA64" s="18">
        <f t="shared" si="34"/>
        <v>308</v>
      </c>
    </row>
    <row r="65" spans="1:27">
      <c r="A65" s="9" t="s">
        <v>45</v>
      </c>
      <c r="B65" s="24"/>
      <c r="C65" s="26"/>
      <c r="D65" s="25">
        <f t="shared" si="50"/>
        <v>220</v>
      </c>
      <c r="E65" s="29">
        <f t="shared" si="54"/>
        <v>413</v>
      </c>
      <c r="F65" s="25">
        <f t="shared" si="51"/>
        <v>259</v>
      </c>
      <c r="G65" s="29">
        <f t="shared" si="55"/>
        <v>442</v>
      </c>
      <c r="H65" s="4" t="s">
        <v>0</v>
      </c>
      <c r="I65" s="16" t="str">
        <f t="shared" si="17"/>
        <v>05-07</v>
      </c>
      <c r="J65" s="14">
        <f t="shared" si="18"/>
        <v>220</v>
      </c>
      <c r="K65" s="15">
        <f t="shared" si="19"/>
        <v>413</v>
      </c>
      <c r="L65" s="17">
        <f t="shared" si="20"/>
        <v>259</v>
      </c>
      <c r="M65" s="18">
        <f t="shared" si="21"/>
        <v>413</v>
      </c>
      <c r="N65" s="14">
        <f t="shared" si="22"/>
        <v>259</v>
      </c>
      <c r="O65" s="15">
        <f t="shared" si="23"/>
        <v>442</v>
      </c>
      <c r="P65" s="17">
        <f t="shared" si="24"/>
        <v>220</v>
      </c>
      <c r="Q65" s="18">
        <f t="shared" si="25"/>
        <v>442</v>
      </c>
      <c r="R65" s="4" t="s">
        <v>0</v>
      </c>
      <c r="S65" s="16" t="str">
        <f t="shared" si="26"/>
        <v>05-07</v>
      </c>
      <c r="T65" s="14">
        <f t="shared" si="27"/>
        <v>220</v>
      </c>
      <c r="U65" s="18">
        <f t="shared" si="28"/>
        <v>337</v>
      </c>
      <c r="V65" s="14">
        <f t="shared" si="29"/>
        <v>259</v>
      </c>
      <c r="W65" s="18">
        <f t="shared" si="30"/>
        <v>337</v>
      </c>
      <c r="X65" s="14">
        <f t="shared" si="31"/>
        <v>259</v>
      </c>
      <c r="Y65" s="18">
        <f t="shared" si="32"/>
        <v>308</v>
      </c>
      <c r="Z65" s="14">
        <f t="shared" si="33"/>
        <v>220</v>
      </c>
      <c r="AA65" s="18">
        <f t="shared" si="34"/>
        <v>308</v>
      </c>
    </row>
    <row r="66" spans="1:27">
      <c r="A66" s="9" t="s">
        <v>44</v>
      </c>
      <c r="B66" s="24"/>
      <c r="C66" s="26"/>
      <c r="D66" s="25">
        <f t="shared" si="50"/>
        <v>259</v>
      </c>
      <c r="E66" s="29">
        <f t="shared" si="54"/>
        <v>413</v>
      </c>
      <c r="F66" s="25">
        <f t="shared" si="51"/>
        <v>298</v>
      </c>
      <c r="G66" s="29">
        <f t="shared" si="55"/>
        <v>442</v>
      </c>
      <c r="H66" s="4" t="s">
        <v>0</v>
      </c>
      <c r="I66" s="16" t="str">
        <f t="shared" si="17"/>
        <v>05-06</v>
      </c>
      <c r="J66" s="14">
        <f t="shared" si="18"/>
        <v>259</v>
      </c>
      <c r="K66" s="15">
        <f t="shared" si="19"/>
        <v>413</v>
      </c>
      <c r="L66" s="17">
        <f t="shared" si="20"/>
        <v>298</v>
      </c>
      <c r="M66" s="18">
        <f t="shared" si="21"/>
        <v>413</v>
      </c>
      <c r="N66" s="14">
        <f t="shared" si="22"/>
        <v>298</v>
      </c>
      <c r="O66" s="15">
        <f t="shared" si="23"/>
        <v>442</v>
      </c>
      <c r="P66" s="17">
        <f t="shared" si="24"/>
        <v>259</v>
      </c>
      <c r="Q66" s="18">
        <f t="shared" si="25"/>
        <v>442</v>
      </c>
      <c r="R66" s="4" t="s">
        <v>0</v>
      </c>
      <c r="S66" s="16" t="str">
        <f t="shared" si="26"/>
        <v>05-06</v>
      </c>
      <c r="T66" s="14">
        <f t="shared" si="27"/>
        <v>259</v>
      </c>
      <c r="U66" s="18">
        <f t="shared" si="28"/>
        <v>337</v>
      </c>
      <c r="V66" s="14">
        <f t="shared" si="29"/>
        <v>298</v>
      </c>
      <c r="W66" s="18">
        <f t="shared" si="30"/>
        <v>337</v>
      </c>
      <c r="X66" s="14">
        <f t="shared" si="31"/>
        <v>298</v>
      </c>
      <c r="Y66" s="18">
        <f t="shared" si="32"/>
        <v>308</v>
      </c>
      <c r="Z66" s="14">
        <f t="shared" si="33"/>
        <v>259</v>
      </c>
      <c r="AA66" s="18">
        <f t="shared" si="34"/>
        <v>308</v>
      </c>
    </row>
    <row r="67" spans="1:27">
      <c r="A67" s="9" t="s">
        <v>43</v>
      </c>
      <c r="B67" s="24"/>
      <c r="C67" s="26"/>
      <c r="D67" s="25">
        <f t="shared" si="50"/>
        <v>297</v>
      </c>
      <c r="E67" s="29">
        <f t="shared" si="54"/>
        <v>413</v>
      </c>
      <c r="F67" s="25">
        <f t="shared" si="51"/>
        <v>336</v>
      </c>
      <c r="G67" s="29">
        <f t="shared" si="55"/>
        <v>442</v>
      </c>
      <c r="H67" s="4" t="s">
        <v>0</v>
      </c>
      <c r="I67" s="16" t="str">
        <f t="shared" si="17"/>
        <v>05-05</v>
      </c>
      <c r="J67" s="14">
        <f t="shared" si="18"/>
        <v>297</v>
      </c>
      <c r="K67" s="15">
        <f t="shared" si="19"/>
        <v>413</v>
      </c>
      <c r="L67" s="17">
        <f t="shared" si="20"/>
        <v>336</v>
      </c>
      <c r="M67" s="18">
        <f t="shared" si="21"/>
        <v>413</v>
      </c>
      <c r="N67" s="14">
        <f t="shared" si="22"/>
        <v>336</v>
      </c>
      <c r="O67" s="15">
        <f t="shared" si="23"/>
        <v>442</v>
      </c>
      <c r="P67" s="17">
        <f t="shared" si="24"/>
        <v>297</v>
      </c>
      <c r="Q67" s="18">
        <f t="shared" si="25"/>
        <v>442</v>
      </c>
      <c r="R67" s="4" t="s">
        <v>0</v>
      </c>
      <c r="S67" s="16" t="str">
        <f t="shared" si="26"/>
        <v>05-05</v>
      </c>
      <c r="T67" s="14">
        <f t="shared" si="27"/>
        <v>297</v>
      </c>
      <c r="U67" s="18">
        <f t="shared" si="28"/>
        <v>337</v>
      </c>
      <c r="V67" s="14">
        <f t="shared" si="29"/>
        <v>336</v>
      </c>
      <c r="W67" s="18">
        <f t="shared" si="30"/>
        <v>337</v>
      </c>
      <c r="X67" s="14">
        <f t="shared" si="31"/>
        <v>336</v>
      </c>
      <c r="Y67" s="18">
        <f t="shared" si="32"/>
        <v>308</v>
      </c>
      <c r="Z67" s="14">
        <f t="shared" si="33"/>
        <v>297</v>
      </c>
      <c r="AA67" s="18">
        <f t="shared" si="34"/>
        <v>308</v>
      </c>
    </row>
    <row r="68" spans="1:27">
      <c r="A68" s="9" t="s">
        <v>42</v>
      </c>
      <c r="B68" s="24"/>
      <c r="C68" s="26"/>
      <c r="D68" s="25">
        <f t="shared" si="50"/>
        <v>336</v>
      </c>
      <c r="E68" s="29">
        <f t="shared" si="54"/>
        <v>413</v>
      </c>
      <c r="F68" s="25">
        <f t="shared" si="51"/>
        <v>375</v>
      </c>
      <c r="G68" s="29">
        <f t="shared" si="55"/>
        <v>442</v>
      </c>
      <c r="H68" s="4" t="s">
        <v>0</v>
      </c>
      <c r="I68" s="16" t="str">
        <f t="shared" si="17"/>
        <v>05-03</v>
      </c>
      <c r="J68" s="14">
        <f t="shared" si="18"/>
        <v>336</v>
      </c>
      <c r="K68" s="15">
        <f t="shared" si="19"/>
        <v>413</v>
      </c>
      <c r="L68" s="17">
        <f t="shared" si="20"/>
        <v>375</v>
      </c>
      <c r="M68" s="18">
        <f t="shared" si="21"/>
        <v>413</v>
      </c>
      <c r="N68" s="14">
        <f t="shared" si="22"/>
        <v>375</v>
      </c>
      <c r="O68" s="15">
        <f t="shared" si="23"/>
        <v>442</v>
      </c>
      <c r="P68" s="17">
        <f t="shared" si="24"/>
        <v>336</v>
      </c>
      <c r="Q68" s="18">
        <f t="shared" si="25"/>
        <v>442</v>
      </c>
      <c r="R68" s="4" t="s">
        <v>0</v>
      </c>
      <c r="S68" s="16" t="str">
        <f t="shared" si="26"/>
        <v>05-03</v>
      </c>
      <c r="T68" s="14">
        <f t="shared" si="27"/>
        <v>336</v>
      </c>
      <c r="U68" s="18">
        <f t="shared" si="28"/>
        <v>337</v>
      </c>
      <c r="V68" s="14">
        <f t="shared" si="29"/>
        <v>375</v>
      </c>
      <c r="W68" s="18">
        <f t="shared" si="30"/>
        <v>337</v>
      </c>
      <c r="X68" s="14">
        <f t="shared" si="31"/>
        <v>375</v>
      </c>
      <c r="Y68" s="18">
        <f t="shared" si="32"/>
        <v>308</v>
      </c>
      <c r="Z68" s="14">
        <f t="shared" si="33"/>
        <v>336</v>
      </c>
      <c r="AA68" s="18">
        <f t="shared" si="34"/>
        <v>308</v>
      </c>
    </row>
    <row r="69" spans="1:27">
      <c r="A69" s="9" t="s">
        <v>41</v>
      </c>
      <c r="B69" s="24"/>
      <c r="C69" s="26"/>
      <c r="D69" s="25">
        <f t="shared" si="50"/>
        <v>374</v>
      </c>
      <c r="E69" s="29">
        <f t="shared" si="54"/>
        <v>413</v>
      </c>
      <c r="F69" s="25">
        <f t="shared" si="51"/>
        <v>413</v>
      </c>
      <c r="G69" s="29">
        <f t="shared" si="55"/>
        <v>442</v>
      </c>
      <c r="H69" s="4" t="s">
        <v>0</v>
      </c>
      <c r="I69" s="16" t="str">
        <f t="shared" si="17"/>
        <v>05-02</v>
      </c>
      <c r="J69" s="14">
        <f t="shared" si="18"/>
        <v>374</v>
      </c>
      <c r="K69" s="15">
        <f t="shared" si="19"/>
        <v>413</v>
      </c>
      <c r="L69" s="17">
        <f t="shared" si="20"/>
        <v>413</v>
      </c>
      <c r="M69" s="18">
        <f t="shared" si="21"/>
        <v>413</v>
      </c>
      <c r="N69" s="14">
        <f t="shared" si="22"/>
        <v>413</v>
      </c>
      <c r="O69" s="15">
        <f t="shared" si="23"/>
        <v>442</v>
      </c>
      <c r="P69" s="17">
        <f t="shared" si="24"/>
        <v>374</v>
      </c>
      <c r="Q69" s="18">
        <f t="shared" si="25"/>
        <v>442</v>
      </c>
      <c r="R69" s="4" t="s">
        <v>0</v>
      </c>
      <c r="S69" s="16" t="str">
        <f t="shared" si="26"/>
        <v>05-02</v>
      </c>
      <c r="T69" s="14">
        <f t="shared" si="27"/>
        <v>374</v>
      </c>
      <c r="U69" s="18">
        <f t="shared" si="28"/>
        <v>337</v>
      </c>
      <c r="V69" s="14">
        <f t="shared" si="29"/>
        <v>413</v>
      </c>
      <c r="W69" s="18">
        <f t="shared" si="30"/>
        <v>337</v>
      </c>
      <c r="X69" s="14">
        <f t="shared" si="31"/>
        <v>413</v>
      </c>
      <c r="Y69" s="18">
        <f t="shared" si="32"/>
        <v>308</v>
      </c>
      <c r="Z69" s="14">
        <f t="shared" si="33"/>
        <v>374</v>
      </c>
      <c r="AA69" s="18">
        <f t="shared" si="34"/>
        <v>308</v>
      </c>
    </row>
    <row r="70" spans="1:27">
      <c r="A70" s="9" t="s">
        <v>40</v>
      </c>
      <c r="B70" s="24"/>
      <c r="C70" s="26"/>
      <c r="D70" s="25">
        <f t="shared" si="50"/>
        <v>413</v>
      </c>
      <c r="E70" s="29">
        <f t="shared" si="54"/>
        <v>413</v>
      </c>
      <c r="F70" s="25">
        <f t="shared" si="51"/>
        <v>452</v>
      </c>
      <c r="G70" s="29">
        <f t="shared" si="55"/>
        <v>442</v>
      </c>
      <c r="H70" s="4" t="s">
        <v>0</v>
      </c>
      <c r="I70" s="16" t="str">
        <f t="shared" si="17"/>
        <v>05-01</v>
      </c>
      <c r="J70" s="14">
        <f t="shared" si="18"/>
        <v>413</v>
      </c>
      <c r="K70" s="15">
        <f t="shared" si="19"/>
        <v>413</v>
      </c>
      <c r="L70" s="17">
        <f t="shared" si="20"/>
        <v>452</v>
      </c>
      <c r="M70" s="18">
        <f t="shared" si="21"/>
        <v>413</v>
      </c>
      <c r="N70" s="14">
        <f t="shared" si="22"/>
        <v>452</v>
      </c>
      <c r="O70" s="15">
        <f t="shared" si="23"/>
        <v>442</v>
      </c>
      <c r="P70" s="17">
        <f t="shared" si="24"/>
        <v>413</v>
      </c>
      <c r="Q70" s="18">
        <f t="shared" si="25"/>
        <v>442</v>
      </c>
      <c r="R70" s="4" t="s">
        <v>0</v>
      </c>
      <c r="S70" s="16" t="str">
        <f t="shared" si="26"/>
        <v>05-01</v>
      </c>
      <c r="T70" s="14">
        <f t="shared" si="27"/>
        <v>413</v>
      </c>
      <c r="U70" s="18">
        <f t="shared" si="28"/>
        <v>337</v>
      </c>
      <c r="V70" s="14">
        <f t="shared" si="29"/>
        <v>452</v>
      </c>
      <c r="W70" s="18">
        <f t="shared" si="30"/>
        <v>337</v>
      </c>
      <c r="X70" s="14">
        <f t="shared" si="31"/>
        <v>452</v>
      </c>
      <c r="Y70" s="18">
        <f t="shared" si="32"/>
        <v>308</v>
      </c>
      <c r="Z70" s="14">
        <f t="shared" si="33"/>
        <v>413</v>
      </c>
      <c r="AA70" s="18">
        <f t="shared" si="34"/>
        <v>308</v>
      </c>
    </row>
    <row r="71" spans="1:27">
      <c r="A71" s="9" t="s">
        <v>39</v>
      </c>
      <c r="B71" s="24"/>
      <c r="C71" s="26">
        <v>6</v>
      </c>
      <c r="D71" s="25" t="str">
        <f t="shared" si="50"/>
        <v>66</v>
      </c>
      <c r="E71" s="28">
        <f t="shared" ref="E71" si="56">ROUND(E$11+69.2*$C71, 0)</f>
        <v>482</v>
      </c>
      <c r="F71" s="25" t="str">
        <f t="shared" si="51"/>
        <v>105</v>
      </c>
      <c r="G71" s="28">
        <f t="shared" ref="G71" si="57">ROUND(G$11+69.2*$C71, 0)</f>
        <v>511</v>
      </c>
      <c r="H71" s="4" t="s">
        <v>0</v>
      </c>
      <c r="I71" s="16" t="str">
        <f t="shared" si="17"/>
        <v>03-12</v>
      </c>
      <c r="J71" s="14" t="str">
        <f t="shared" si="18"/>
        <v>66</v>
      </c>
      <c r="K71" s="15">
        <f t="shared" si="19"/>
        <v>482</v>
      </c>
      <c r="L71" s="17" t="str">
        <f t="shared" si="20"/>
        <v>105</v>
      </c>
      <c r="M71" s="18">
        <f t="shared" si="21"/>
        <v>482</v>
      </c>
      <c r="N71" s="14" t="str">
        <f t="shared" si="22"/>
        <v>105</v>
      </c>
      <c r="O71" s="15">
        <f t="shared" si="23"/>
        <v>511</v>
      </c>
      <c r="P71" s="17" t="str">
        <f t="shared" si="24"/>
        <v>66</v>
      </c>
      <c r="Q71" s="18">
        <f t="shared" si="25"/>
        <v>511</v>
      </c>
      <c r="R71" s="4" t="s">
        <v>0</v>
      </c>
      <c r="S71" s="16" t="str">
        <f t="shared" si="26"/>
        <v>03-12</v>
      </c>
      <c r="T71" s="14" t="str">
        <f t="shared" si="27"/>
        <v>66</v>
      </c>
      <c r="U71" s="18">
        <f t="shared" si="28"/>
        <v>268</v>
      </c>
      <c r="V71" s="14" t="str">
        <f t="shared" si="29"/>
        <v>105</v>
      </c>
      <c r="W71" s="18">
        <f t="shared" si="30"/>
        <v>268</v>
      </c>
      <c r="X71" s="14" t="str">
        <f t="shared" si="31"/>
        <v>105</v>
      </c>
      <c r="Y71" s="18">
        <f t="shared" si="32"/>
        <v>239</v>
      </c>
      <c r="Z71" s="14" t="str">
        <f t="shared" si="33"/>
        <v>66</v>
      </c>
      <c r="AA71" s="18">
        <f t="shared" si="34"/>
        <v>239</v>
      </c>
    </row>
    <row r="72" spans="1:27">
      <c r="A72" s="9" t="s">
        <v>38</v>
      </c>
      <c r="B72" s="24"/>
      <c r="C72" s="26"/>
      <c r="D72" s="25">
        <f t="shared" si="50"/>
        <v>105</v>
      </c>
      <c r="E72" s="29">
        <f t="shared" ref="E72:E80" si="58">E71</f>
        <v>482</v>
      </c>
      <c r="F72" s="25">
        <f t="shared" si="51"/>
        <v>144</v>
      </c>
      <c r="G72" s="29">
        <f t="shared" ref="G72:G80" si="59">G71</f>
        <v>511</v>
      </c>
      <c r="H72" s="4" t="s">
        <v>0</v>
      </c>
      <c r="I72" s="16" t="str">
        <f t="shared" si="17"/>
        <v>03-11</v>
      </c>
      <c r="J72" s="14">
        <f t="shared" si="18"/>
        <v>105</v>
      </c>
      <c r="K72" s="15">
        <f t="shared" si="19"/>
        <v>482</v>
      </c>
      <c r="L72" s="17">
        <f t="shared" si="20"/>
        <v>144</v>
      </c>
      <c r="M72" s="18">
        <f t="shared" si="21"/>
        <v>482</v>
      </c>
      <c r="N72" s="14">
        <f t="shared" si="22"/>
        <v>144</v>
      </c>
      <c r="O72" s="15">
        <f t="shared" si="23"/>
        <v>511</v>
      </c>
      <c r="P72" s="17">
        <f t="shared" si="24"/>
        <v>105</v>
      </c>
      <c r="Q72" s="18">
        <f t="shared" si="25"/>
        <v>511</v>
      </c>
      <c r="R72" s="4" t="s">
        <v>0</v>
      </c>
      <c r="S72" s="16" t="str">
        <f t="shared" si="26"/>
        <v>03-11</v>
      </c>
      <c r="T72" s="14">
        <f t="shared" si="27"/>
        <v>105</v>
      </c>
      <c r="U72" s="18">
        <f t="shared" si="28"/>
        <v>268</v>
      </c>
      <c r="V72" s="14">
        <f t="shared" si="29"/>
        <v>144</v>
      </c>
      <c r="W72" s="18">
        <f t="shared" si="30"/>
        <v>268</v>
      </c>
      <c r="X72" s="14">
        <f t="shared" si="31"/>
        <v>144</v>
      </c>
      <c r="Y72" s="18">
        <f t="shared" si="32"/>
        <v>239</v>
      </c>
      <c r="Z72" s="14">
        <f t="shared" si="33"/>
        <v>105</v>
      </c>
      <c r="AA72" s="18">
        <f t="shared" si="34"/>
        <v>239</v>
      </c>
    </row>
    <row r="73" spans="1:27">
      <c r="A73" s="9" t="s">
        <v>37</v>
      </c>
      <c r="B73" s="24"/>
      <c r="C73" s="26"/>
      <c r="D73" s="25">
        <f t="shared" si="50"/>
        <v>143</v>
      </c>
      <c r="E73" s="29">
        <f t="shared" si="58"/>
        <v>482</v>
      </c>
      <c r="F73" s="25">
        <f t="shared" si="51"/>
        <v>182</v>
      </c>
      <c r="G73" s="29">
        <f t="shared" si="59"/>
        <v>511</v>
      </c>
      <c r="H73" s="4" t="s">
        <v>0</v>
      </c>
      <c r="I73" s="16" t="str">
        <f t="shared" si="17"/>
        <v>03-10</v>
      </c>
      <c r="J73" s="14">
        <f t="shared" si="18"/>
        <v>143</v>
      </c>
      <c r="K73" s="15">
        <f t="shared" si="19"/>
        <v>482</v>
      </c>
      <c r="L73" s="17">
        <f t="shared" si="20"/>
        <v>182</v>
      </c>
      <c r="M73" s="18">
        <f t="shared" si="21"/>
        <v>482</v>
      </c>
      <c r="N73" s="14">
        <f t="shared" si="22"/>
        <v>182</v>
      </c>
      <c r="O73" s="15">
        <f t="shared" si="23"/>
        <v>511</v>
      </c>
      <c r="P73" s="17">
        <f t="shared" si="24"/>
        <v>143</v>
      </c>
      <c r="Q73" s="18">
        <f t="shared" si="25"/>
        <v>511</v>
      </c>
      <c r="R73" s="4" t="s">
        <v>0</v>
      </c>
      <c r="S73" s="16" t="str">
        <f t="shared" si="26"/>
        <v>03-10</v>
      </c>
      <c r="T73" s="14">
        <f t="shared" si="27"/>
        <v>143</v>
      </c>
      <c r="U73" s="18">
        <f t="shared" si="28"/>
        <v>268</v>
      </c>
      <c r="V73" s="14">
        <f t="shared" si="29"/>
        <v>182</v>
      </c>
      <c r="W73" s="18">
        <f t="shared" si="30"/>
        <v>268</v>
      </c>
      <c r="X73" s="14">
        <f t="shared" si="31"/>
        <v>182</v>
      </c>
      <c r="Y73" s="18">
        <f t="shared" si="32"/>
        <v>239</v>
      </c>
      <c r="Z73" s="14">
        <f t="shared" si="33"/>
        <v>143</v>
      </c>
      <c r="AA73" s="18">
        <f t="shared" si="34"/>
        <v>239</v>
      </c>
    </row>
    <row r="74" spans="1:27">
      <c r="A74" s="9" t="s">
        <v>36</v>
      </c>
      <c r="B74" s="24"/>
      <c r="C74" s="26"/>
      <c r="D74" s="25">
        <f t="shared" si="50"/>
        <v>182</v>
      </c>
      <c r="E74" s="29">
        <f t="shared" si="58"/>
        <v>482</v>
      </c>
      <c r="F74" s="25">
        <f t="shared" si="51"/>
        <v>221</v>
      </c>
      <c r="G74" s="29">
        <f t="shared" si="59"/>
        <v>511</v>
      </c>
      <c r="H74" s="4" t="s">
        <v>0</v>
      </c>
      <c r="I74" s="16" t="str">
        <f t="shared" ref="I74:I100" si="60">A74</f>
        <v>03-08</v>
      </c>
      <c r="J74" s="14">
        <f t="shared" ref="J74:J100" si="61">IF(D74&lt;&gt;"",D74,0)</f>
        <v>182</v>
      </c>
      <c r="K74" s="15">
        <f t="shared" ref="K74:K100" si="62">IF(E74&lt;&gt;"",E74,0)</f>
        <v>482</v>
      </c>
      <c r="L74" s="17">
        <f t="shared" ref="L74:L100" si="63">N74</f>
        <v>221</v>
      </c>
      <c r="M74" s="18">
        <f t="shared" ref="M74:M100" si="64">K74</f>
        <v>482</v>
      </c>
      <c r="N74" s="14">
        <f t="shared" ref="N74:N100" si="65">IF(F74&lt;&gt;"",F74,0)</f>
        <v>221</v>
      </c>
      <c r="O74" s="15">
        <f t="shared" ref="O74:O100" si="66">IF(G74&lt;&gt;"",G74,0)</f>
        <v>511</v>
      </c>
      <c r="P74" s="17">
        <f t="shared" ref="P74:P100" si="67">J74</f>
        <v>182</v>
      </c>
      <c r="Q74" s="18">
        <f t="shared" ref="Q74:Q100" si="68">O74</f>
        <v>511</v>
      </c>
      <c r="R74" s="4" t="s">
        <v>0</v>
      </c>
      <c r="S74" s="16" t="str">
        <f t="shared" ref="S74:S100" si="69">I74</f>
        <v>03-08</v>
      </c>
      <c r="T74" s="14">
        <f t="shared" ref="T74:T100" si="70">IF(J74&lt;&gt;"",J74,"")</f>
        <v>182</v>
      </c>
      <c r="U74" s="18">
        <f t="shared" ref="U74:U100" si="71">IF(K74&lt;&gt;"",U$6-K74,"")</f>
        <v>268</v>
      </c>
      <c r="V74" s="14">
        <f t="shared" ref="V74:V100" si="72">IF(L74&lt;&gt;"",L74,"")</f>
        <v>221</v>
      </c>
      <c r="W74" s="18">
        <f t="shared" ref="W74:W100" si="73">IF(M74&lt;&gt;"",W$6-M74,"")</f>
        <v>268</v>
      </c>
      <c r="X74" s="14">
        <f t="shared" ref="X74:X100" si="74">IF(N74&lt;&gt;"",N74,"")</f>
        <v>221</v>
      </c>
      <c r="Y74" s="18">
        <f t="shared" ref="Y74:Y100" si="75">IF(O74&lt;&gt;"",Y$6-O74,"")</f>
        <v>239</v>
      </c>
      <c r="Z74" s="14">
        <f t="shared" ref="Z74:Z100" si="76">IF(P74&lt;&gt;"",P74,"")</f>
        <v>182</v>
      </c>
      <c r="AA74" s="18">
        <f t="shared" ref="AA74:AA100" si="77">IF(Q74&lt;&gt;"",AA$6-Q74,"")</f>
        <v>239</v>
      </c>
    </row>
    <row r="75" spans="1:27">
      <c r="A75" s="9" t="s">
        <v>35</v>
      </c>
      <c r="B75" s="24"/>
      <c r="C75" s="26"/>
      <c r="D75" s="25">
        <f t="shared" si="50"/>
        <v>220</v>
      </c>
      <c r="E75" s="29">
        <f t="shared" si="58"/>
        <v>482</v>
      </c>
      <c r="F75" s="25">
        <f t="shared" si="51"/>
        <v>259</v>
      </c>
      <c r="G75" s="29">
        <f t="shared" si="59"/>
        <v>511</v>
      </c>
      <c r="H75" s="4" t="s">
        <v>0</v>
      </c>
      <c r="I75" s="16" t="str">
        <f t="shared" si="60"/>
        <v>03-07</v>
      </c>
      <c r="J75" s="14">
        <f t="shared" si="61"/>
        <v>220</v>
      </c>
      <c r="K75" s="15">
        <f t="shared" si="62"/>
        <v>482</v>
      </c>
      <c r="L75" s="17">
        <f t="shared" si="63"/>
        <v>259</v>
      </c>
      <c r="M75" s="18">
        <f t="shared" si="64"/>
        <v>482</v>
      </c>
      <c r="N75" s="14">
        <f t="shared" si="65"/>
        <v>259</v>
      </c>
      <c r="O75" s="15">
        <f t="shared" si="66"/>
        <v>511</v>
      </c>
      <c r="P75" s="17">
        <f t="shared" si="67"/>
        <v>220</v>
      </c>
      <c r="Q75" s="18">
        <f t="shared" si="68"/>
        <v>511</v>
      </c>
      <c r="R75" s="4" t="s">
        <v>0</v>
      </c>
      <c r="S75" s="16" t="str">
        <f t="shared" si="69"/>
        <v>03-07</v>
      </c>
      <c r="T75" s="14">
        <f t="shared" si="70"/>
        <v>220</v>
      </c>
      <c r="U75" s="18">
        <f t="shared" si="71"/>
        <v>268</v>
      </c>
      <c r="V75" s="14">
        <f t="shared" si="72"/>
        <v>259</v>
      </c>
      <c r="W75" s="18">
        <f t="shared" si="73"/>
        <v>268</v>
      </c>
      <c r="X75" s="14">
        <f t="shared" si="74"/>
        <v>259</v>
      </c>
      <c r="Y75" s="18">
        <f t="shared" si="75"/>
        <v>239</v>
      </c>
      <c r="Z75" s="14">
        <f t="shared" si="76"/>
        <v>220</v>
      </c>
      <c r="AA75" s="18">
        <f t="shared" si="77"/>
        <v>239</v>
      </c>
    </row>
    <row r="76" spans="1:27">
      <c r="A76" s="9" t="s">
        <v>34</v>
      </c>
      <c r="B76" s="24"/>
      <c r="C76" s="26"/>
      <c r="D76" s="25">
        <f t="shared" si="50"/>
        <v>259</v>
      </c>
      <c r="E76" s="29">
        <f t="shared" si="58"/>
        <v>482</v>
      </c>
      <c r="F76" s="25">
        <f t="shared" si="51"/>
        <v>298</v>
      </c>
      <c r="G76" s="29">
        <f t="shared" si="59"/>
        <v>511</v>
      </c>
      <c r="H76" s="4" t="s">
        <v>0</v>
      </c>
      <c r="I76" s="16" t="str">
        <f t="shared" si="60"/>
        <v>03-06</v>
      </c>
      <c r="J76" s="14">
        <f t="shared" si="61"/>
        <v>259</v>
      </c>
      <c r="K76" s="15">
        <f t="shared" si="62"/>
        <v>482</v>
      </c>
      <c r="L76" s="17">
        <f t="shared" si="63"/>
        <v>298</v>
      </c>
      <c r="M76" s="18">
        <f t="shared" si="64"/>
        <v>482</v>
      </c>
      <c r="N76" s="14">
        <f t="shared" si="65"/>
        <v>298</v>
      </c>
      <c r="O76" s="15">
        <f t="shared" si="66"/>
        <v>511</v>
      </c>
      <c r="P76" s="17">
        <f t="shared" si="67"/>
        <v>259</v>
      </c>
      <c r="Q76" s="18">
        <f t="shared" si="68"/>
        <v>511</v>
      </c>
      <c r="R76" s="4" t="s">
        <v>0</v>
      </c>
      <c r="S76" s="16" t="str">
        <f t="shared" si="69"/>
        <v>03-06</v>
      </c>
      <c r="T76" s="14">
        <f t="shared" si="70"/>
        <v>259</v>
      </c>
      <c r="U76" s="18">
        <f t="shared" si="71"/>
        <v>268</v>
      </c>
      <c r="V76" s="14">
        <f t="shared" si="72"/>
        <v>298</v>
      </c>
      <c r="W76" s="18">
        <f t="shared" si="73"/>
        <v>268</v>
      </c>
      <c r="X76" s="14">
        <f t="shared" si="74"/>
        <v>298</v>
      </c>
      <c r="Y76" s="18">
        <f t="shared" si="75"/>
        <v>239</v>
      </c>
      <c r="Z76" s="14">
        <f t="shared" si="76"/>
        <v>259</v>
      </c>
      <c r="AA76" s="18">
        <f t="shared" si="77"/>
        <v>239</v>
      </c>
    </row>
    <row r="77" spans="1:27">
      <c r="A77" s="9" t="s">
        <v>33</v>
      </c>
      <c r="B77" s="24"/>
      <c r="C77" s="26"/>
      <c r="D77" s="25">
        <f t="shared" si="50"/>
        <v>297</v>
      </c>
      <c r="E77" s="29">
        <f t="shared" si="58"/>
        <v>482</v>
      </c>
      <c r="F77" s="25">
        <f t="shared" si="51"/>
        <v>336</v>
      </c>
      <c r="G77" s="29">
        <f t="shared" si="59"/>
        <v>511</v>
      </c>
      <c r="H77" s="4" t="s">
        <v>0</v>
      </c>
      <c r="I77" s="16" t="str">
        <f t="shared" si="60"/>
        <v>03-05</v>
      </c>
      <c r="J77" s="14">
        <f t="shared" si="61"/>
        <v>297</v>
      </c>
      <c r="K77" s="15">
        <f t="shared" si="62"/>
        <v>482</v>
      </c>
      <c r="L77" s="17">
        <f t="shared" si="63"/>
        <v>336</v>
      </c>
      <c r="M77" s="18">
        <f t="shared" si="64"/>
        <v>482</v>
      </c>
      <c r="N77" s="14">
        <f t="shared" si="65"/>
        <v>336</v>
      </c>
      <c r="O77" s="15">
        <f t="shared" si="66"/>
        <v>511</v>
      </c>
      <c r="P77" s="17">
        <f t="shared" si="67"/>
        <v>297</v>
      </c>
      <c r="Q77" s="18">
        <f t="shared" si="68"/>
        <v>511</v>
      </c>
      <c r="R77" s="4" t="s">
        <v>0</v>
      </c>
      <c r="S77" s="16" t="str">
        <f t="shared" si="69"/>
        <v>03-05</v>
      </c>
      <c r="T77" s="14">
        <f t="shared" si="70"/>
        <v>297</v>
      </c>
      <c r="U77" s="18">
        <f t="shared" si="71"/>
        <v>268</v>
      </c>
      <c r="V77" s="14">
        <f t="shared" si="72"/>
        <v>336</v>
      </c>
      <c r="W77" s="18">
        <f t="shared" si="73"/>
        <v>268</v>
      </c>
      <c r="X77" s="14">
        <f t="shared" si="74"/>
        <v>336</v>
      </c>
      <c r="Y77" s="18">
        <f t="shared" si="75"/>
        <v>239</v>
      </c>
      <c r="Z77" s="14">
        <f t="shared" si="76"/>
        <v>297</v>
      </c>
      <c r="AA77" s="18">
        <f t="shared" si="77"/>
        <v>239</v>
      </c>
    </row>
    <row r="78" spans="1:27">
      <c r="A78" s="9" t="s">
        <v>32</v>
      </c>
      <c r="B78" s="24"/>
      <c r="C78" s="26"/>
      <c r="D78" s="25">
        <f t="shared" si="50"/>
        <v>336</v>
      </c>
      <c r="E78" s="29">
        <f t="shared" si="58"/>
        <v>482</v>
      </c>
      <c r="F78" s="25">
        <f t="shared" si="51"/>
        <v>375</v>
      </c>
      <c r="G78" s="29">
        <f t="shared" si="59"/>
        <v>511</v>
      </c>
      <c r="H78" s="4" t="s">
        <v>0</v>
      </c>
      <c r="I78" s="16" t="str">
        <f t="shared" si="60"/>
        <v>03-03</v>
      </c>
      <c r="J78" s="14">
        <f t="shared" si="61"/>
        <v>336</v>
      </c>
      <c r="K78" s="15">
        <f t="shared" si="62"/>
        <v>482</v>
      </c>
      <c r="L78" s="17">
        <f t="shared" si="63"/>
        <v>375</v>
      </c>
      <c r="M78" s="18">
        <f t="shared" si="64"/>
        <v>482</v>
      </c>
      <c r="N78" s="14">
        <f t="shared" si="65"/>
        <v>375</v>
      </c>
      <c r="O78" s="15">
        <f t="shared" si="66"/>
        <v>511</v>
      </c>
      <c r="P78" s="17">
        <f t="shared" si="67"/>
        <v>336</v>
      </c>
      <c r="Q78" s="18">
        <f t="shared" si="68"/>
        <v>511</v>
      </c>
      <c r="R78" s="4" t="s">
        <v>0</v>
      </c>
      <c r="S78" s="16" t="str">
        <f t="shared" si="69"/>
        <v>03-03</v>
      </c>
      <c r="T78" s="14">
        <f t="shared" si="70"/>
        <v>336</v>
      </c>
      <c r="U78" s="18">
        <f t="shared" si="71"/>
        <v>268</v>
      </c>
      <c r="V78" s="14">
        <f t="shared" si="72"/>
        <v>375</v>
      </c>
      <c r="W78" s="18">
        <f t="shared" si="73"/>
        <v>268</v>
      </c>
      <c r="X78" s="14">
        <f t="shared" si="74"/>
        <v>375</v>
      </c>
      <c r="Y78" s="18">
        <f t="shared" si="75"/>
        <v>239</v>
      </c>
      <c r="Z78" s="14">
        <f t="shared" si="76"/>
        <v>336</v>
      </c>
      <c r="AA78" s="18">
        <f t="shared" si="77"/>
        <v>239</v>
      </c>
    </row>
    <row r="79" spans="1:27">
      <c r="A79" s="9" t="s">
        <v>31</v>
      </c>
      <c r="B79" s="24"/>
      <c r="C79" s="26"/>
      <c r="D79" s="25">
        <f t="shared" si="50"/>
        <v>374</v>
      </c>
      <c r="E79" s="29">
        <f t="shared" si="58"/>
        <v>482</v>
      </c>
      <c r="F79" s="25">
        <f t="shared" si="51"/>
        <v>413</v>
      </c>
      <c r="G79" s="29">
        <f t="shared" si="59"/>
        <v>511</v>
      </c>
      <c r="H79" s="4" t="s">
        <v>0</v>
      </c>
      <c r="I79" s="16" t="str">
        <f t="shared" si="60"/>
        <v>03-02</v>
      </c>
      <c r="J79" s="14">
        <f t="shared" si="61"/>
        <v>374</v>
      </c>
      <c r="K79" s="15">
        <f t="shared" si="62"/>
        <v>482</v>
      </c>
      <c r="L79" s="17">
        <f t="shared" si="63"/>
        <v>413</v>
      </c>
      <c r="M79" s="18">
        <f t="shared" si="64"/>
        <v>482</v>
      </c>
      <c r="N79" s="14">
        <f t="shared" si="65"/>
        <v>413</v>
      </c>
      <c r="O79" s="15">
        <f t="shared" si="66"/>
        <v>511</v>
      </c>
      <c r="P79" s="17">
        <f t="shared" si="67"/>
        <v>374</v>
      </c>
      <c r="Q79" s="18">
        <f t="shared" si="68"/>
        <v>511</v>
      </c>
      <c r="R79" s="4" t="s">
        <v>0</v>
      </c>
      <c r="S79" s="16" t="str">
        <f t="shared" si="69"/>
        <v>03-02</v>
      </c>
      <c r="T79" s="14">
        <f t="shared" si="70"/>
        <v>374</v>
      </c>
      <c r="U79" s="18">
        <f t="shared" si="71"/>
        <v>268</v>
      </c>
      <c r="V79" s="14">
        <f t="shared" si="72"/>
        <v>413</v>
      </c>
      <c r="W79" s="18">
        <f t="shared" si="73"/>
        <v>268</v>
      </c>
      <c r="X79" s="14">
        <f t="shared" si="74"/>
        <v>413</v>
      </c>
      <c r="Y79" s="18">
        <f t="shared" si="75"/>
        <v>239</v>
      </c>
      <c r="Z79" s="14">
        <f t="shared" si="76"/>
        <v>374</v>
      </c>
      <c r="AA79" s="18">
        <f t="shared" si="77"/>
        <v>239</v>
      </c>
    </row>
    <row r="80" spans="1:27">
      <c r="A80" s="9" t="s">
        <v>30</v>
      </c>
      <c r="B80" s="24"/>
      <c r="C80" s="26"/>
      <c r="D80" s="25">
        <f t="shared" si="50"/>
        <v>413</v>
      </c>
      <c r="E80" s="29">
        <f t="shared" si="58"/>
        <v>482</v>
      </c>
      <c r="F80" s="25">
        <f t="shared" si="51"/>
        <v>452</v>
      </c>
      <c r="G80" s="29">
        <f t="shared" si="59"/>
        <v>511</v>
      </c>
      <c r="H80" s="4" t="s">
        <v>0</v>
      </c>
      <c r="I80" s="16" t="str">
        <f t="shared" si="60"/>
        <v>03-01</v>
      </c>
      <c r="J80" s="14">
        <f t="shared" si="61"/>
        <v>413</v>
      </c>
      <c r="K80" s="15">
        <f t="shared" si="62"/>
        <v>482</v>
      </c>
      <c r="L80" s="17">
        <f t="shared" si="63"/>
        <v>452</v>
      </c>
      <c r="M80" s="18">
        <f t="shared" si="64"/>
        <v>482</v>
      </c>
      <c r="N80" s="14">
        <f t="shared" si="65"/>
        <v>452</v>
      </c>
      <c r="O80" s="15">
        <f t="shared" si="66"/>
        <v>511</v>
      </c>
      <c r="P80" s="17">
        <f t="shared" si="67"/>
        <v>413</v>
      </c>
      <c r="Q80" s="18">
        <f t="shared" si="68"/>
        <v>511</v>
      </c>
      <c r="R80" s="4" t="s">
        <v>0</v>
      </c>
      <c r="S80" s="16" t="str">
        <f t="shared" si="69"/>
        <v>03-01</v>
      </c>
      <c r="T80" s="14">
        <f t="shared" si="70"/>
        <v>413</v>
      </c>
      <c r="U80" s="18">
        <f t="shared" si="71"/>
        <v>268</v>
      </c>
      <c r="V80" s="14">
        <f t="shared" si="72"/>
        <v>452</v>
      </c>
      <c r="W80" s="18">
        <f t="shared" si="73"/>
        <v>268</v>
      </c>
      <c r="X80" s="14">
        <f t="shared" si="74"/>
        <v>452</v>
      </c>
      <c r="Y80" s="18">
        <f t="shared" si="75"/>
        <v>239</v>
      </c>
      <c r="Z80" s="14">
        <f t="shared" si="76"/>
        <v>413</v>
      </c>
      <c r="AA80" s="18">
        <f t="shared" si="77"/>
        <v>239</v>
      </c>
    </row>
    <row r="81" spans="1:27">
      <c r="A81" s="9" t="s">
        <v>29</v>
      </c>
      <c r="B81" s="24"/>
      <c r="C81" s="26">
        <v>7</v>
      </c>
      <c r="D81" s="25" t="str">
        <f t="shared" si="50"/>
        <v>66</v>
      </c>
      <c r="E81" s="28">
        <f t="shared" ref="E81" si="78">ROUND(E$11+69.2*$C81, 0)</f>
        <v>551</v>
      </c>
      <c r="F81" s="25" t="str">
        <f t="shared" si="51"/>
        <v>105</v>
      </c>
      <c r="G81" s="28">
        <f t="shared" ref="G81" si="79">ROUND(G$11+69.2*$C81, 0)</f>
        <v>580</v>
      </c>
      <c r="H81" s="4" t="s">
        <v>0</v>
      </c>
      <c r="I81" s="16" t="str">
        <f t="shared" si="60"/>
        <v>02-12</v>
      </c>
      <c r="J81" s="14" t="str">
        <f t="shared" si="61"/>
        <v>66</v>
      </c>
      <c r="K81" s="15">
        <f t="shared" si="62"/>
        <v>551</v>
      </c>
      <c r="L81" s="17" t="str">
        <f t="shared" si="63"/>
        <v>105</v>
      </c>
      <c r="M81" s="18">
        <f t="shared" si="64"/>
        <v>551</v>
      </c>
      <c r="N81" s="14" t="str">
        <f t="shared" si="65"/>
        <v>105</v>
      </c>
      <c r="O81" s="15">
        <f t="shared" si="66"/>
        <v>580</v>
      </c>
      <c r="P81" s="17" t="str">
        <f t="shared" si="67"/>
        <v>66</v>
      </c>
      <c r="Q81" s="18">
        <f t="shared" si="68"/>
        <v>580</v>
      </c>
      <c r="R81" s="4" t="s">
        <v>0</v>
      </c>
      <c r="S81" s="16" t="str">
        <f t="shared" si="69"/>
        <v>02-12</v>
      </c>
      <c r="T81" s="14" t="str">
        <f t="shared" si="70"/>
        <v>66</v>
      </c>
      <c r="U81" s="18">
        <f t="shared" si="71"/>
        <v>199</v>
      </c>
      <c r="V81" s="14" t="str">
        <f t="shared" si="72"/>
        <v>105</v>
      </c>
      <c r="W81" s="18">
        <f t="shared" si="73"/>
        <v>199</v>
      </c>
      <c r="X81" s="14" t="str">
        <f t="shared" si="74"/>
        <v>105</v>
      </c>
      <c r="Y81" s="18">
        <f t="shared" si="75"/>
        <v>170</v>
      </c>
      <c r="Z81" s="14" t="str">
        <f t="shared" si="76"/>
        <v>66</v>
      </c>
      <c r="AA81" s="18">
        <f t="shared" si="77"/>
        <v>170</v>
      </c>
    </row>
    <row r="82" spans="1:27">
      <c r="A82" s="9" t="s">
        <v>28</v>
      </c>
      <c r="B82" s="24"/>
      <c r="C82" s="26"/>
      <c r="D82" s="25">
        <f t="shared" si="50"/>
        <v>105</v>
      </c>
      <c r="E82" s="29">
        <f t="shared" ref="E82:E90" si="80">E81</f>
        <v>551</v>
      </c>
      <c r="F82" s="25">
        <f t="shared" si="51"/>
        <v>144</v>
      </c>
      <c r="G82" s="29">
        <f t="shared" ref="G82:G90" si="81">G81</f>
        <v>580</v>
      </c>
      <c r="H82" s="4" t="s">
        <v>0</v>
      </c>
      <c r="I82" s="16" t="str">
        <f t="shared" si="60"/>
        <v>02-11</v>
      </c>
      <c r="J82" s="14">
        <f t="shared" si="61"/>
        <v>105</v>
      </c>
      <c r="K82" s="15">
        <f t="shared" si="62"/>
        <v>551</v>
      </c>
      <c r="L82" s="17">
        <f t="shared" si="63"/>
        <v>144</v>
      </c>
      <c r="M82" s="18">
        <f t="shared" si="64"/>
        <v>551</v>
      </c>
      <c r="N82" s="14">
        <f t="shared" si="65"/>
        <v>144</v>
      </c>
      <c r="O82" s="15">
        <f t="shared" si="66"/>
        <v>580</v>
      </c>
      <c r="P82" s="17">
        <f t="shared" si="67"/>
        <v>105</v>
      </c>
      <c r="Q82" s="18">
        <f t="shared" si="68"/>
        <v>580</v>
      </c>
      <c r="R82" s="4" t="s">
        <v>0</v>
      </c>
      <c r="S82" s="16" t="str">
        <f t="shared" si="69"/>
        <v>02-11</v>
      </c>
      <c r="T82" s="14">
        <f t="shared" si="70"/>
        <v>105</v>
      </c>
      <c r="U82" s="18">
        <f t="shared" si="71"/>
        <v>199</v>
      </c>
      <c r="V82" s="14">
        <f t="shared" si="72"/>
        <v>144</v>
      </c>
      <c r="W82" s="18">
        <f t="shared" si="73"/>
        <v>199</v>
      </c>
      <c r="X82" s="14">
        <f t="shared" si="74"/>
        <v>144</v>
      </c>
      <c r="Y82" s="18">
        <f t="shared" si="75"/>
        <v>170</v>
      </c>
      <c r="Z82" s="14">
        <f t="shared" si="76"/>
        <v>105</v>
      </c>
      <c r="AA82" s="18">
        <f t="shared" si="77"/>
        <v>170</v>
      </c>
    </row>
    <row r="83" spans="1:27">
      <c r="A83" s="9" t="s">
        <v>27</v>
      </c>
      <c r="B83" s="24"/>
      <c r="C83" s="26"/>
      <c r="D83" s="25">
        <f t="shared" si="50"/>
        <v>143</v>
      </c>
      <c r="E83" s="29">
        <f t="shared" si="80"/>
        <v>551</v>
      </c>
      <c r="F83" s="25">
        <f t="shared" si="51"/>
        <v>182</v>
      </c>
      <c r="G83" s="29">
        <f t="shared" si="81"/>
        <v>580</v>
      </c>
      <c r="H83" s="4" t="s">
        <v>0</v>
      </c>
      <c r="I83" s="16" t="str">
        <f t="shared" si="60"/>
        <v>02-10</v>
      </c>
      <c r="J83" s="14">
        <f t="shared" si="61"/>
        <v>143</v>
      </c>
      <c r="K83" s="15">
        <f t="shared" si="62"/>
        <v>551</v>
      </c>
      <c r="L83" s="17">
        <f t="shared" si="63"/>
        <v>182</v>
      </c>
      <c r="M83" s="18">
        <f t="shared" si="64"/>
        <v>551</v>
      </c>
      <c r="N83" s="14">
        <f t="shared" si="65"/>
        <v>182</v>
      </c>
      <c r="O83" s="15">
        <f t="shared" si="66"/>
        <v>580</v>
      </c>
      <c r="P83" s="17">
        <f t="shared" si="67"/>
        <v>143</v>
      </c>
      <c r="Q83" s="18">
        <f t="shared" si="68"/>
        <v>580</v>
      </c>
      <c r="R83" s="4" t="s">
        <v>0</v>
      </c>
      <c r="S83" s="16" t="str">
        <f t="shared" si="69"/>
        <v>02-10</v>
      </c>
      <c r="T83" s="14">
        <f t="shared" si="70"/>
        <v>143</v>
      </c>
      <c r="U83" s="18">
        <f t="shared" si="71"/>
        <v>199</v>
      </c>
      <c r="V83" s="14">
        <f t="shared" si="72"/>
        <v>182</v>
      </c>
      <c r="W83" s="18">
        <f t="shared" si="73"/>
        <v>199</v>
      </c>
      <c r="X83" s="14">
        <f t="shared" si="74"/>
        <v>182</v>
      </c>
      <c r="Y83" s="18">
        <f t="shared" si="75"/>
        <v>170</v>
      </c>
      <c r="Z83" s="14">
        <f t="shared" si="76"/>
        <v>143</v>
      </c>
      <c r="AA83" s="18">
        <f t="shared" si="77"/>
        <v>170</v>
      </c>
    </row>
    <row r="84" spans="1:27">
      <c r="A84" s="9" t="s">
        <v>26</v>
      </c>
      <c r="B84" s="24"/>
      <c r="C84" s="26"/>
      <c r="D84" s="25">
        <f t="shared" si="50"/>
        <v>182</v>
      </c>
      <c r="E84" s="29">
        <f t="shared" si="80"/>
        <v>551</v>
      </c>
      <c r="F84" s="25">
        <f t="shared" si="51"/>
        <v>221</v>
      </c>
      <c r="G84" s="29">
        <f t="shared" si="81"/>
        <v>580</v>
      </c>
      <c r="H84" s="4" t="s">
        <v>0</v>
      </c>
      <c r="I84" s="16" t="str">
        <f t="shared" si="60"/>
        <v>02-08</v>
      </c>
      <c r="J84" s="14">
        <f t="shared" si="61"/>
        <v>182</v>
      </c>
      <c r="K84" s="15">
        <f t="shared" si="62"/>
        <v>551</v>
      </c>
      <c r="L84" s="17">
        <f t="shared" si="63"/>
        <v>221</v>
      </c>
      <c r="M84" s="18">
        <f t="shared" si="64"/>
        <v>551</v>
      </c>
      <c r="N84" s="14">
        <f t="shared" si="65"/>
        <v>221</v>
      </c>
      <c r="O84" s="15">
        <f t="shared" si="66"/>
        <v>580</v>
      </c>
      <c r="P84" s="17">
        <f t="shared" si="67"/>
        <v>182</v>
      </c>
      <c r="Q84" s="18">
        <f t="shared" si="68"/>
        <v>580</v>
      </c>
      <c r="R84" s="4" t="s">
        <v>0</v>
      </c>
      <c r="S84" s="16" t="str">
        <f t="shared" si="69"/>
        <v>02-08</v>
      </c>
      <c r="T84" s="14">
        <f t="shared" si="70"/>
        <v>182</v>
      </c>
      <c r="U84" s="18">
        <f t="shared" si="71"/>
        <v>199</v>
      </c>
      <c r="V84" s="14">
        <f t="shared" si="72"/>
        <v>221</v>
      </c>
      <c r="W84" s="18">
        <f t="shared" si="73"/>
        <v>199</v>
      </c>
      <c r="X84" s="14">
        <f t="shared" si="74"/>
        <v>221</v>
      </c>
      <c r="Y84" s="18">
        <f t="shared" si="75"/>
        <v>170</v>
      </c>
      <c r="Z84" s="14">
        <f t="shared" si="76"/>
        <v>182</v>
      </c>
      <c r="AA84" s="18">
        <f t="shared" si="77"/>
        <v>170</v>
      </c>
    </row>
    <row r="85" spans="1:27">
      <c r="A85" s="9" t="s">
        <v>25</v>
      </c>
      <c r="B85" s="24"/>
      <c r="C85" s="26"/>
      <c r="D85" s="25">
        <f t="shared" si="50"/>
        <v>220</v>
      </c>
      <c r="E85" s="29">
        <f t="shared" si="80"/>
        <v>551</v>
      </c>
      <c r="F85" s="25">
        <f t="shared" si="51"/>
        <v>259</v>
      </c>
      <c r="G85" s="29">
        <f t="shared" si="81"/>
        <v>580</v>
      </c>
      <c r="H85" s="4" t="s">
        <v>0</v>
      </c>
      <c r="I85" s="16" t="str">
        <f t="shared" si="60"/>
        <v>02-07</v>
      </c>
      <c r="J85" s="14">
        <f t="shared" si="61"/>
        <v>220</v>
      </c>
      <c r="K85" s="15">
        <f t="shared" si="62"/>
        <v>551</v>
      </c>
      <c r="L85" s="17">
        <f t="shared" si="63"/>
        <v>259</v>
      </c>
      <c r="M85" s="18">
        <f t="shared" si="64"/>
        <v>551</v>
      </c>
      <c r="N85" s="14">
        <f t="shared" si="65"/>
        <v>259</v>
      </c>
      <c r="O85" s="15">
        <f t="shared" si="66"/>
        <v>580</v>
      </c>
      <c r="P85" s="17">
        <f t="shared" si="67"/>
        <v>220</v>
      </c>
      <c r="Q85" s="18">
        <f t="shared" si="68"/>
        <v>580</v>
      </c>
      <c r="R85" s="4" t="s">
        <v>0</v>
      </c>
      <c r="S85" s="16" t="str">
        <f t="shared" si="69"/>
        <v>02-07</v>
      </c>
      <c r="T85" s="14">
        <f t="shared" si="70"/>
        <v>220</v>
      </c>
      <c r="U85" s="18">
        <f t="shared" si="71"/>
        <v>199</v>
      </c>
      <c r="V85" s="14">
        <f t="shared" si="72"/>
        <v>259</v>
      </c>
      <c r="W85" s="18">
        <f t="shared" si="73"/>
        <v>199</v>
      </c>
      <c r="X85" s="14">
        <f t="shared" si="74"/>
        <v>259</v>
      </c>
      <c r="Y85" s="18">
        <f t="shared" si="75"/>
        <v>170</v>
      </c>
      <c r="Z85" s="14">
        <f t="shared" si="76"/>
        <v>220</v>
      </c>
      <c r="AA85" s="18">
        <f t="shared" si="77"/>
        <v>170</v>
      </c>
    </row>
    <row r="86" spans="1:27">
      <c r="A86" s="9" t="s">
        <v>24</v>
      </c>
      <c r="B86" s="24"/>
      <c r="C86" s="26"/>
      <c r="D86" s="25">
        <f t="shared" si="50"/>
        <v>259</v>
      </c>
      <c r="E86" s="29">
        <f t="shared" si="80"/>
        <v>551</v>
      </c>
      <c r="F86" s="25">
        <f t="shared" si="51"/>
        <v>298</v>
      </c>
      <c r="G86" s="29">
        <f t="shared" si="81"/>
        <v>580</v>
      </c>
      <c r="H86" s="4" t="s">
        <v>0</v>
      </c>
      <c r="I86" s="16" t="str">
        <f t="shared" si="60"/>
        <v>02-06</v>
      </c>
      <c r="J86" s="14">
        <f t="shared" si="61"/>
        <v>259</v>
      </c>
      <c r="K86" s="15">
        <f t="shared" si="62"/>
        <v>551</v>
      </c>
      <c r="L86" s="17">
        <f t="shared" si="63"/>
        <v>298</v>
      </c>
      <c r="M86" s="18">
        <f t="shared" si="64"/>
        <v>551</v>
      </c>
      <c r="N86" s="14">
        <f t="shared" si="65"/>
        <v>298</v>
      </c>
      <c r="O86" s="15">
        <f t="shared" si="66"/>
        <v>580</v>
      </c>
      <c r="P86" s="17">
        <f t="shared" si="67"/>
        <v>259</v>
      </c>
      <c r="Q86" s="18">
        <f t="shared" si="68"/>
        <v>580</v>
      </c>
      <c r="R86" s="4" t="s">
        <v>0</v>
      </c>
      <c r="S86" s="16" t="str">
        <f t="shared" si="69"/>
        <v>02-06</v>
      </c>
      <c r="T86" s="14">
        <f t="shared" si="70"/>
        <v>259</v>
      </c>
      <c r="U86" s="18">
        <f t="shared" si="71"/>
        <v>199</v>
      </c>
      <c r="V86" s="14">
        <f t="shared" si="72"/>
        <v>298</v>
      </c>
      <c r="W86" s="18">
        <f t="shared" si="73"/>
        <v>199</v>
      </c>
      <c r="X86" s="14">
        <f t="shared" si="74"/>
        <v>298</v>
      </c>
      <c r="Y86" s="18">
        <f t="shared" si="75"/>
        <v>170</v>
      </c>
      <c r="Z86" s="14">
        <f t="shared" si="76"/>
        <v>259</v>
      </c>
      <c r="AA86" s="18">
        <f t="shared" si="77"/>
        <v>170</v>
      </c>
    </row>
    <row r="87" spans="1:27">
      <c r="A87" s="9" t="s">
        <v>23</v>
      </c>
      <c r="B87" s="24"/>
      <c r="C87" s="26"/>
      <c r="D87" s="25">
        <f t="shared" si="50"/>
        <v>297</v>
      </c>
      <c r="E87" s="29">
        <f t="shared" si="80"/>
        <v>551</v>
      </c>
      <c r="F87" s="25">
        <f t="shared" si="51"/>
        <v>336</v>
      </c>
      <c r="G87" s="29">
        <f t="shared" si="81"/>
        <v>580</v>
      </c>
      <c r="H87" s="4" t="s">
        <v>0</v>
      </c>
      <c r="I87" s="16" t="str">
        <f t="shared" si="60"/>
        <v>02-05</v>
      </c>
      <c r="J87" s="14">
        <f t="shared" si="61"/>
        <v>297</v>
      </c>
      <c r="K87" s="15">
        <f t="shared" si="62"/>
        <v>551</v>
      </c>
      <c r="L87" s="17">
        <f t="shared" si="63"/>
        <v>336</v>
      </c>
      <c r="M87" s="18">
        <f t="shared" si="64"/>
        <v>551</v>
      </c>
      <c r="N87" s="14">
        <f t="shared" si="65"/>
        <v>336</v>
      </c>
      <c r="O87" s="15">
        <f t="shared" si="66"/>
        <v>580</v>
      </c>
      <c r="P87" s="17">
        <f t="shared" si="67"/>
        <v>297</v>
      </c>
      <c r="Q87" s="18">
        <f t="shared" si="68"/>
        <v>580</v>
      </c>
      <c r="R87" s="4" t="s">
        <v>0</v>
      </c>
      <c r="S87" s="16" t="str">
        <f t="shared" si="69"/>
        <v>02-05</v>
      </c>
      <c r="T87" s="14">
        <f t="shared" si="70"/>
        <v>297</v>
      </c>
      <c r="U87" s="18">
        <f t="shared" si="71"/>
        <v>199</v>
      </c>
      <c r="V87" s="14">
        <f t="shared" si="72"/>
        <v>336</v>
      </c>
      <c r="W87" s="18">
        <f t="shared" si="73"/>
        <v>199</v>
      </c>
      <c r="X87" s="14">
        <f t="shared" si="74"/>
        <v>336</v>
      </c>
      <c r="Y87" s="18">
        <f t="shared" si="75"/>
        <v>170</v>
      </c>
      <c r="Z87" s="14">
        <f t="shared" si="76"/>
        <v>297</v>
      </c>
      <c r="AA87" s="18">
        <f t="shared" si="77"/>
        <v>170</v>
      </c>
    </row>
    <row r="88" spans="1:27">
      <c r="A88" s="9" t="s">
        <v>22</v>
      </c>
      <c r="B88" s="24"/>
      <c r="C88" s="26"/>
      <c r="D88" s="25">
        <f t="shared" si="50"/>
        <v>336</v>
      </c>
      <c r="E88" s="29">
        <f t="shared" si="80"/>
        <v>551</v>
      </c>
      <c r="F88" s="25">
        <f t="shared" si="51"/>
        <v>375</v>
      </c>
      <c r="G88" s="29">
        <f t="shared" si="81"/>
        <v>580</v>
      </c>
      <c r="H88" s="4" t="s">
        <v>0</v>
      </c>
      <c r="I88" s="16" t="str">
        <f t="shared" si="60"/>
        <v>02-03</v>
      </c>
      <c r="J88" s="14">
        <f t="shared" si="61"/>
        <v>336</v>
      </c>
      <c r="K88" s="15">
        <f t="shared" si="62"/>
        <v>551</v>
      </c>
      <c r="L88" s="17">
        <f t="shared" si="63"/>
        <v>375</v>
      </c>
      <c r="M88" s="18">
        <f t="shared" si="64"/>
        <v>551</v>
      </c>
      <c r="N88" s="14">
        <f t="shared" si="65"/>
        <v>375</v>
      </c>
      <c r="O88" s="15">
        <f t="shared" si="66"/>
        <v>580</v>
      </c>
      <c r="P88" s="17">
        <f t="shared" si="67"/>
        <v>336</v>
      </c>
      <c r="Q88" s="18">
        <f t="shared" si="68"/>
        <v>580</v>
      </c>
      <c r="R88" s="4" t="s">
        <v>0</v>
      </c>
      <c r="S88" s="16" t="str">
        <f t="shared" si="69"/>
        <v>02-03</v>
      </c>
      <c r="T88" s="14">
        <f t="shared" si="70"/>
        <v>336</v>
      </c>
      <c r="U88" s="18">
        <f t="shared" si="71"/>
        <v>199</v>
      </c>
      <c r="V88" s="14">
        <f t="shared" si="72"/>
        <v>375</v>
      </c>
      <c r="W88" s="18">
        <f t="shared" si="73"/>
        <v>199</v>
      </c>
      <c r="X88" s="14">
        <f t="shared" si="74"/>
        <v>375</v>
      </c>
      <c r="Y88" s="18">
        <f t="shared" si="75"/>
        <v>170</v>
      </c>
      <c r="Z88" s="14">
        <f t="shared" si="76"/>
        <v>336</v>
      </c>
      <c r="AA88" s="18">
        <f t="shared" si="77"/>
        <v>170</v>
      </c>
    </row>
    <row r="89" spans="1:27">
      <c r="A89" s="9" t="s">
        <v>21</v>
      </c>
      <c r="B89" s="24"/>
      <c r="C89" s="26"/>
      <c r="D89" s="25">
        <f t="shared" si="50"/>
        <v>374</v>
      </c>
      <c r="E89" s="29">
        <f t="shared" si="80"/>
        <v>551</v>
      </c>
      <c r="F89" s="25">
        <f t="shared" si="51"/>
        <v>413</v>
      </c>
      <c r="G89" s="29">
        <f t="shared" si="81"/>
        <v>580</v>
      </c>
      <c r="H89" s="4" t="s">
        <v>0</v>
      </c>
      <c r="I89" s="16" t="str">
        <f t="shared" si="60"/>
        <v>02-02</v>
      </c>
      <c r="J89" s="14">
        <f t="shared" si="61"/>
        <v>374</v>
      </c>
      <c r="K89" s="15">
        <f t="shared" si="62"/>
        <v>551</v>
      </c>
      <c r="L89" s="17">
        <f t="shared" si="63"/>
        <v>413</v>
      </c>
      <c r="M89" s="18">
        <f t="shared" si="64"/>
        <v>551</v>
      </c>
      <c r="N89" s="14">
        <f t="shared" si="65"/>
        <v>413</v>
      </c>
      <c r="O89" s="15">
        <f t="shared" si="66"/>
        <v>580</v>
      </c>
      <c r="P89" s="17">
        <f t="shared" si="67"/>
        <v>374</v>
      </c>
      <c r="Q89" s="18">
        <f t="shared" si="68"/>
        <v>580</v>
      </c>
      <c r="R89" s="4" t="s">
        <v>0</v>
      </c>
      <c r="S89" s="16" t="str">
        <f t="shared" si="69"/>
        <v>02-02</v>
      </c>
      <c r="T89" s="14">
        <f t="shared" si="70"/>
        <v>374</v>
      </c>
      <c r="U89" s="18">
        <f t="shared" si="71"/>
        <v>199</v>
      </c>
      <c r="V89" s="14">
        <f t="shared" si="72"/>
        <v>413</v>
      </c>
      <c r="W89" s="18">
        <f t="shared" si="73"/>
        <v>199</v>
      </c>
      <c r="X89" s="14">
        <f t="shared" si="74"/>
        <v>413</v>
      </c>
      <c r="Y89" s="18">
        <f t="shared" si="75"/>
        <v>170</v>
      </c>
      <c r="Z89" s="14">
        <f t="shared" si="76"/>
        <v>374</v>
      </c>
      <c r="AA89" s="18">
        <f t="shared" si="77"/>
        <v>170</v>
      </c>
    </row>
    <row r="90" spans="1:27">
      <c r="A90" s="9" t="s">
        <v>20</v>
      </c>
      <c r="B90" s="24"/>
      <c r="C90" s="26"/>
      <c r="D90" s="25">
        <f t="shared" si="50"/>
        <v>413</v>
      </c>
      <c r="E90" s="29">
        <f t="shared" si="80"/>
        <v>551</v>
      </c>
      <c r="F90" s="25">
        <f t="shared" si="51"/>
        <v>452</v>
      </c>
      <c r="G90" s="29">
        <f t="shared" si="81"/>
        <v>580</v>
      </c>
      <c r="H90" s="4" t="s">
        <v>0</v>
      </c>
      <c r="I90" s="16" t="str">
        <f t="shared" si="60"/>
        <v>02-01</v>
      </c>
      <c r="J90" s="14">
        <f t="shared" si="61"/>
        <v>413</v>
      </c>
      <c r="K90" s="15">
        <f t="shared" si="62"/>
        <v>551</v>
      </c>
      <c r="L90" s="17">
        <f t="shared" si="63"/>
        <v>452</v>
      </c>
      <c r="M90" s="18">
        <f t="shared" si="64"/>
        <v>551</v>
      </c>
      <c r="N90" s="14">
        <f t="shared" si="65"/>
        <v>452</v>
      </c>
      <c r="O90" s="15">
        <f t="shared" si="66"/>
        <v>580</v>
      </c>
      <c r="P90" s="17">
        <f t="shared" si="67"/>
        <v>413</v>
      </c>
      <c r="Q90" s="18">
        <f t="shared" si="68"/>
        <v>580</v>
      </c>
      <c r="R90" s="4" t="s">
        <v>0</v>
      </c>
      <c r="S90" s="16" t="str">
        <f t="shared" si="69"/>
        <v>02-01</v>
      </c>
      <c r="T90" s="14">
        <f t="shared" si="70"/>
        <v>413</v>
      </c>
      <c r="U90" s="18">
        <f t="shared" si="71"/>
        <v>199</v>
      </c>
      <c r="V90" s="14">
        <f t="shared" si="72"/>
        <v>452</v>
      </c>
      <c r="W90" s="18">
        <f t="shared" si="73"/>
        <v>199</v>
      </c>
      <c r="X90" s="14">
        <f t="shared" si="74"/>
        <v>452</v>
      </c>
      <c r="Y90" s="18">
        <f t="shared" si="75"/>
        <v>170</v>
      </c>
      <c r="Z90" s="14">
        <f t="shared" si="76"/>
        <v>413</v>
      </c>
      <c r="AA90" s="18">
        <f t="shared" si="77"/>
        <v>170</v>
      </c>
    </row>
    <row r="91" spans="1:27">
      <c r="A91" s="9" t="s">
        <v>11</v>
      </c>
      <c r="B91" s="24"/>
      <c r="C91" s="26">
        <v>8</v>
      </c>
      <c r="D91" s="25" t="str">
        <f t="shared" si="50"/>
        <v>66</v>
      </c>
      <c r="E91" s="28">
        <f t="shared" ref="E91" si="82">ROUND(E$11+69.2*$C91, 0)</f>
        <v>621</v>
      </c>
      <c r="F91" s="25" t="str">
        <f t="shared" si="51"/>
        <v>105</v>
      </c>
      <c r="G91" s="28">
        <f t="shared" ref="G91" si="83">ROUND(G$11+69.2*$C91, 0)</f>
        <v>650</v>
      </c>
      <c r="H91" s="4" t="s">
        <v>0</v>
      </c>
      <c r="I91" s="16" t="str">
        <f t="shared" si="60"/>
        <v>01-12</v>
      </c>
      <c r="J91" s="14" t="str">
        <f t="shared" si="61"/>
        <v>66</v>
      </c>
      <c r="K91" s="15">
        <f t="shared" si="62"/>
        <v>621</v>
      </c>
      <c r="L91" s="17" t="str">
        <f t="shared" si="63"/>
        <v>105</v>
      </c>
      <c r="M91" s="18">
        <f t="shared" si="64"/>
        <v>621</v>
      </c>
      <c r="N91" s="14" t="str">
        <f t="shared" si="65"/>
        <v>105</v>
      </c>
      <c r="O91" s="15">
        <f t="shared" si="66"/>
        <v>650</v>
      </c>
      <c r="P91" s="17" t="str">
        <f t="shared" si="67"/>
        <v>66</v>
      </c>
      <c r="Q91" s="18">
        <f t="shared" si="68"/>
        <v>650</v>
      </c>
      <c r="R91" s="4" t="s">
        <v>0</v>
      </c>
      <c r="S91" s="16" t="str">
        <f t="shared" si="69"/>
        <v>01-12</v>
      </c>
      <c r="T91" s="14" t="str">
        <f t="shared" si="70"/>
        <v>66</v>
      </c>
      <c r="U91" s="18">
        <f t="shared" si="71"/>
        <v>129</v>
      </c>
      <c r="V91" s="14" t="str">
        <f t="shared" si="72"/>
        <v>105</v>
      </c>
      <c r="W91" s="18">
        <f t="shared" si="73"/>
        <v>129</v>
      </c>
      <c r="X91" s="14" t="str">
        <f t="shared" si="74"/>
        <v>105</v>
      </c>
      <c r="Y91" s="18">
        <f t="shared" si="75"/>
        <v>100</v>
      </c>
      <c r="Z91" s="14" t="str">
        <f t="shared" si="76"/>
        <v>66</v>
      </c>
      <c r="AA91" s="18">
        <f t="shared" si="77"/>
        <v>100</v>
      </c>
    </row>
    <row r="92" spans="1:27">
      <c r="A92" s="9" t="s">
        <v>10</v>
      </c>
      <c r="B92" s="24"/>
      <c r="C92" s="26"/>
      <c r="D92" s="25">
        <f t="shared" si="50"/>
        <v>105</v>
      </c>
      <c r="E92" s="29">
        <f t="shared" ref="E92:E100" si="84">E91</f>
        <v>621</v>
      </c>
      <c r="F92" s="25">
        <f t="shared" si="51"/>
        <v>144</v>
      </c>
      <c r="G92" s="29">
        <f t="shared" ref="G92:G100" si="85">G91</f>
        <v>650</v>
      </c>
      <c r="H92" s="4" t="s">
        <v>0</v>
      </c>
      <c r="I92" s="16" t="str">
        <f t="shared" si="60"/>
        <v>01-11</v>
      </c>
      <c r="J92" s="14">
        <f t="shared" si="61"/>
        <v>105</v>
      </c>
      <c r="K92" s="15">
        <f t="shared" si="62"/>
        <v>621</v>
      </c>
      <c r="L92" s="17">
        <f t="shared" si="63"/>
        <v>144</v>
      </c>
      <c r="M92" s="18">
        <f t="shared" si="64"/>
        <v>621</v>
      </c>
      <c r="N92" s="14">
        <f t="shared" si="65"/>
        <v>144</v>
      </c>
      <c r="O92" s="15">
        <f t="shared" si="66"/>
        <v>650</v>
      </c>
      <c r="P92" s="17">
        <f t="shared" si="67"/>
        <v>105</v>
      </c>
      <c r="Q92" s="18">
        <f t="shared" si="68"/>
        <v>650</v>
      </c>
      <c r="R92" s="4" t="s">
        <v>0</v>
      </c>
      <c r="S92" s="16" t="str">
        <f t="shared" si="69"/>
        <v>01-11</v>
      </c>
      <c r="T92" s="14">
        <f t="shared" si="70"/>
        <v>105</v>
      </c>
      <c r="U92" s="18">
        <f t="shared" si="71"/>
        <v>129</v>
      </c>
      <c r="V92" s="14">
        <f t="shared" si="72"/>
        <v>144</v>
      </c>
      <c r="W92" s="18">
        <f t="shared" si="73"/>
        <v>129</v>
      </c>
      <c r="X92" s="14">
        <f t="shared" si="74"/>
        <v>144</v>
      </c>
      <c r="Y92" s="18">
        <f t="shared" si="75"/>
        <v>100</v>
      </c>
      <c r="Z92" s="14">
        <f t="shared" si="76"/>
        <v>105</v>
      </c>
      <c r="AA92" s="18">
        <f t="shared" si="77"/>
        <v>100</v>
      </c>
    </row>
    <row r="93" spans="1:27">
      <c r="A93" s="9" t="s">
        <v>9</v>
      </c>
      <c r="B93" s="24"/>
      <c r="C93" s="26"/>
      <c r="D93" s="25">
        <f t="shared" si="50"/>
        <v>143</v>
      </c>
      <c r="E93" s="29">
        <f t="shared" si="84"/>
        <v>621</v>
      </c>
      <c r="F93" s="25">
        <f t="shared" si="51"/>
        <v>182</v>
      </c>
      <c r="G93" s="29">
        <f t="shared" si="85"/>
        <v>650</v>
      </c>
      <c r="H93" s="4" t="s">
        <v>0</v>
      </c>
      <c r="I93" s="16" t="str">
        <f t="shared" si="60"/>
        <v>01-10</v>
      </c>
      <c r="J93" s="14">
        <f t="shared" si="61"/>
        <v>143</v>
      </c>
      <c r="K93" s="15">
        <f t="shared" si="62"/>
        <v>621</v>
      </c>
      <c r="L93" s="17">
        <f t="shared" si="63"/>
        <v>182</v>
      </c>
      <c r="M93" s="18">
        <f t="shared" si="64"/>
        <v>621</v>
      </c>
      <c r="N93" s="14">
        <f t="shared" si="65"/>
        <v>182</v>
      </c>
      <c r="O93" s="15">
        <f t="shared" si="66"/>
        <v>650</v>
      </c>
      <c r="P93" s="17">
        <f t="shared" si="67"/>
        <v>143</v>
      </c>
      <c r="Q93" s="18">
        <f t="shared" si="68"/>
        <v>650</v>
      </c>
      <c r="R93" s="4" t="s">
        <v>0</v>
      </c>
      <c r="S93" s="16" t="str">
        <f t="shared" si="69"/>
        <v>01-10</v>
      </c>
      <c r="T93" s="14">
        <f t="shared" si="70"/>
        <v>143</v>
      </c>
      <c r="U93" s="18">
        <f t="shared" si="71"/>
        <v>129</v>
      </c>
      <c r="V93" s="14">
        <f t="shared" si="72"/>
        <v>182</v>
      </c>
      <c r="W93" s="18">
        <f t="shared" si="73"/>
        <v>129</v>
      </c>
      <c r="X93" s="14">
        <f t="shared" si="74"/>
        <v>182</v>
      </c>
      <c r="Y93" s="18">
        <f t="shared" si="75"/>
        <v>100</v>
      </c>
      <c r="Z93" s="14">
        <f t="shared" si="76"/>
        <v>143</v>
      </c>
      <c r="AA93" s="18">
        <f t="shared" si="77"/>
        <v>100</v>
      </c>
    </row>
    <row r="94" spans="1:27">
      <c r="A94" s="9" t="s">
        <v>8</v>
      </c>
      <c r="B94" s="24"/>
      <c r="C94" s="26"/>
      <c r="D94" s="25">
        <f t="shared" si="50"/>
        <v>182</v>
      </c>
      <c r="E94" s="29">
        <f t="shared" si="84"/>
        <v>621</v>
      </c>
      <c r="F94" s="25">
        <f t="shared" si="51"/>
        <v>221</v>
      </c>
      <c r="G94" s="29">
        <f t="shared" si="85"/>
        <v>650</v>
      </c>
      <c r="H94" s="4" t="s">
        <v>0</v>
      </c>
      <c r="I94" s="16" t="str">
        <f t="shared" si="60"/>
        <v>01-08</v>
      </c>
      <c r="J94" s="14">
        <f t="shared" si="61"/>
        <v>182</v>
      </c>
      <c r="K94" s="15">
        <f t="shared" si="62"/>
        <v>621</v>
      </c>
      <c r="L94" s="17">
        <f t="shared" si="63"/>
        <v>221</v>
      </c>
      <c r="M94" s="18">
        <f t="shared" si="64"/>
        <v>621</v>
      </c>
      <c r="N94" s="14">
        <f t="shared" si="65"/>
        <v>221</v>
      </c>
      <c r="O94" s="15">
        <f t="shared" si="66"/>
        <v>650</v>
      </c>
      <c r="P94" s="17">
        <f t="shared" si="67"/>
        <v>182</v>
      </c>
      <c r="Q94" s="18">
        <f t="shared" si="68"/>
        <v>650</v>
      </c>
      <c r="R94" s="4" t="s">
        <v>0</v>
      </c>
      <c r="S94" s="16" t="str">
        <f t="shared" si="69"/>
        <v>01-08</v>
      </c>
      <c r="T94" s="14">
        <f t="shared" si="70"/>
        <v>182</v>
      </c>
      <c r="U94" s="18">
        <f t="shared" si="71"/>
        <v>129</v>
      </c>
      <c r="V94" s="14">
        <f t="shared" si="72"/>
        <v>221</v>
      </c>
      <c r="W94" s="18">
        <f t="shared" si="73"/>
        <v>129</v>
      </c>
      <c r="X94" s="14">
        <f t="shared" si="74"/>
        <v>221</v>
      </c>
      <c r="Y94" s="18">
        <f t="shared" si="75"/>
        <v>100</v>
      </c>
      <c r="Z94" s="14">
        <f t="shared" si="76"/>
        <v>182</v>
      </c>
      <c r="AA94" s="18">
        <f t="shared" si="77"/>
        <v>100</v>
      </c>
    </row>
    <row r="95" spans="1:27">
      <c r="A95" s="9" t="s">
        <v>7</v>
      </c>
      <c r="B95" s="24"/>
      <c r="C95" s="26"/>
      <c r="D95" s="25">
        <f t="shared" si="50"/>
        <v>220</v>
      </c>
      <c r="E95" s="29">
        <f t="shared" si="84"/>
        <v>621</v>
      </c>
      <c r="F95" s="25">
        <f t="shared" si="51"/>
        <v>259</v>
      </c>
      <c r="G95" s="29">
        <f t="shared" si="85"/>
        <v>650</v>
      </c>
      <c r="H95" s="4" t="s">
        <v>0</v>
      </c>
      <c r="I95" s="16" t="str">
        <f t="shared" si="60"/>
        <v>01-07</v>
      </c>
      <c r="J95" s="14">
        <f t="shared" si="61"/>
        <v>220</v>
      </c>
      <c r="K95" s="15">
        <f t="shared" si="62"/>
        <v>621</v>
      </c>
      <c r="L95" s="17">
        <f t="shared" si="63"/>
        <v>259</v>
      </c>
      <c r="M95" s="18">
        <f t="shared" si="64"/>
        <v>621</v>
      </c>
      <c r="N95" s="14">
        <f t="shared" si="65"/>
        <v>259</v>
      </c>
      <c r="O95" s="15">
        <f t="shared" si="66"/>
        <v>650</v>
      </c>
      <c r="P95" s="17">
        <f t="shared" si="67"/>
        <v>220</v>
      </c>
      <c r="Q95" s="18">
        <f t="shared" si="68"/>
        <v>650</v>
      </c>
      <c r="R95" s="4" t="s">
        <v>0</v>
      </c>
      <c r="S95" s="16" t="str">
        <f t="shared" si="69"/>
        <v>01-07</v>
      </c>
      <c r="T95" s="14">
        <f t="shared" si="70"/>
        <v>220</v>
      </c>
      <c r="U95" s="18">
        <f t="shared" si="71"/>
        <v>129</v>
      </c>
      <c r="V95" s="14">
        <f t="shared" si="72"/>
        <v>259</v>
      </c>
      <c r="W95" s="18">
        <f t="shared" si="73"/>
        <v>129</v>
      </c>
      <c r="X95" s="14">
        <f t="shared" si="74"/>
        <v>259</v>
      </c>
      <c r="Y95" s="18">
        <f t="shared" si="75"/>
        <v>100</v>
      </c>
      <c r="Z95" s="14">
        <f t="shared" si="76"/>
        <v>220</v>
      </c>
      <c r="AA95" s="18">
        <f t="shared" si="77"/>
        <v>100</v>
      </c>
    </row>
    <row r="96" spans="1:27">
      <c r="A96" s="9" t="s">
        <v>6</v>
      </c>
      <c r="B96" s="24"/>
      <c r="C96" s="26"/>
      <c r="D96" s="25">
        <f t="shared" si="50"/>
        <v>259</v>
      </c>
      <c r="E96" s="29">
        <f t="shared" si="84"/>
        <v>621</v>
      </c>
      <c r="F96" s="25">
        <f t="shared" si="51"/>
        <v>298</v>
      </c>
      <c r="G96" s="29">
        <f t="shared" si="85"/>
        <v>650</v>
      </c>
      <c r="H96" s="4" t="s">
        <v>0</v>
      </c>
      <c r="I96" s="16" t="str">
        <f t="shared" si="60"/>
        <v>01-06</v>
      </c>
      <c r="J96" s="14">
        <f t="shared" si="61"/>
        <v>259</v>
      </c>
      <c r="K96" s="15">
        <f t="shared" si="62"/>
        <v>621</v>
      </c>
      <c r="L96" s="17">
        <f t="shared" si="63"/>
        <v>298</v>
      </c>
      <c r="M96" s="18">
        <f t="shared" si="64"/>
        <v>621</v>
      </c>
      <c r="N96" s="14">
        <f t="shared" si="65"/>
        <v>298</v>
      </c>
      <c r="O96" s="15">
        <f t="shared" si="66"/>
        <v>650</v>
      </c>
      <c r="P96" s="17">
        <f t="shared" si="67"/>
        <v>259</v>
      </c>
      <c r="Q96" s="18">
        <f t="shared" si="68"/>
        <v>650</v>
      </c>
      <c r="R96" s="4" t="s">
        <v>0</v>
      </c>
      <c r="S96" s="16" t="str">
        <f t="shared" si="69"/>
        <v>01-06</v>
      </c>
      <c r="T96" s="14">
        <f t="shared" si="70"/>
        <v>259</v>
      </c>
      <c r="U96" s="18">
        <f t="shared" si="71"/>
        <v>129</v>
      </c>
      <c r="V96" s="14">
        <f t="shared" si="72"/>
        <v>298</v>
      </c>
      <c r="W96" s="18">
        <f t="shared" si="73"/>
        <v>129</v>
      </c>
      <c r="X96" s="14">
        <f t="shared" si="74"/>
        <v>298</v>
      </c>
      <c r="Y96" s="18">
        <f t="shared" si="75"/>
        <v>100</v>
      </c>
      <c r="Z96" s="14">
        <f t="shared" si="76"/>
        <v>259</v>
      </c>
      <c r="AA96" s="18">
        <f t="shared" si="77"/>
        <v>100</v>
      </c>
    </row>
    <row r="97" spans="1:27">
      <c r="A97" s="9" t="s">
        <v>5</v>
      </c>
      <c r="B97" s="24"/>
      <c r="C97" s="26"/>
      <c r="D97" s="25">
        <f t="shared" si="50"/>
        <v>297</v>
      </c>
      <c r="E97" s="29">
        <f t="shared" si="84"/>
        <v>621</v>
      </c>
      <c r="F97" s="25">
        <f t="shared" si="51"/>
        <v>336</v>
      </c>
      <c r="G97" s="29">
        <f t="shared" si="85"/>
        <v>650</v>
      </c>
      <c r="H97" s="4" t="s">
        <v>0</v>
      </c>
      <c r="I97" s="16" t="str">
        <f t="shared" si="60"/>
        <v>01-05</v>
      </c>
      <c r="J97" s="14">
        <f t="shared" si="61"/>
        <v>297</v>
      </c>
      <c r="K97" s="15">
        <f t="shared" si="62"/>
        <v>621</v>
      </c>
      <c r="L97" s="17">
        <f t="shared" si="63"/>
        <v>336</v>
      </c>
      <c r="M97" s="18">
        <f t="shared" si="64"/>
        <v>621</v>
      </c>
      <c r="N97" s="14">
        <f t="shared" si="65"/>
        <v>336</v>
      </c>
      <c r="O97" s="15">
        <f t="shared" si="66"/>
        <v>650</v>
      </c>
      <c r="P97" s="17">
        <f t="shared" si="67"/>
        <v>297</v>
      </c>
      <c r="Q97" s="18">
        <f t="shared" si="68"/>
        <v>650</v>
      </c>
      <c r="R97" s="4" t="s">
        <v>0</v>
      </c>
      <c r="S97" s="16" t="str">
        <f t="shared" si="69"/>
        <v>01-05</v>
      </c>
      <c r="T97" s="14">
        <f t="shared" si="70"/>
        <v>297</v>
      </c>
      <c r="U97" s="18">
        <f t="shared" si="71"/>
        <v>129</v>
      </c>
      <c r="V97" s="14">
        <f t="shared" si="72"/>
        <v>336</v>
      </c>
      <c r="W97" s="18">
        <f t="shared" si="73"/>
        <v>129</v>
      </c>
      <c r="X97" s="14">
        <f t="shared" si="74"/>
        <v>336</v>
      </c>
      <c r="Y97" s="18">
        <f t="shared" si="75"/>
        <v>100</v>
      </c>
      <c r="Z97" s="14">
        <f t="shared" si="76"/>
        <v>297</v>
      </c>
      <c r="AA97" s="18">
        <f t="shared" si="77"/>
        <v>100</v>
      </c>
    </row>
    <row r="98" spans="1:27">
      <c r="A98" s="9" t="s">
        <v>4</v>
      </c>
      <c r="B98" s="24"/>
      <c r="C98" s="26"/>
      <c r="D98" s="25">
        <f t="shared" si="50"/>
        <v>336</v>
      </c>
      <c r="E98" s="29">
        <f t="shared" si="84"/>
        <v>621</v>
      </c>
      <c r="F98" s="25">
        <f t="shared" si="51"/>
        <v>375</v>
      </c>
      <c r="G98" s="29">
        <f t="shared" si="85"/>
        <v>650</v>
      </c>
      <c r="H98" s="4" t="s">
        <v>0</v>
      </c>
      <c r="I98" s="16" t="str">
        <f t="shared" si="60"/>
        <v>01-03</v>
      </c>
      <c r="J98" s="14">
        <f t="shared" si="61"/>
        <v>336</v>
      </c>
      <c r="K98" s="15">
        <f t="shared" si="62"/>
        <v>621</v>
      </c>
      <c r="L98" s="17">
        <f t="shared" si="63"/>
        <v>375</v>
      </c>
      <c r="M98" s="18">
        <f t="shared" si="64"/>
        <v>621</v>
      </c>
      <c r="N98" s="14">
        <f t="shared" si="65"/>
        <v>375</v>
      </c>
      <c r="O98" s="15">
        <f t="shared" si="66"/>
        <v>650</v>
      </c>
      <c r="P98" s="17">
        <f t="shared" si="67"/>
        <v>336</v>
      </c>
      <c r="Q98" s="18">
        <f t="shared" si="68"/>
        <v>650</v>
      </c>
      <c r="R98" s="4" t="s">
        <v>0</v>
      </c>
      <c r="S98" s="16" t="str">
        <f t="shared" si="69"/>
        <v>01-03</v>
      </c>
      <c r="T98" s="14">
        <f t="shared" si="70"/>
        <v>336</v>
      </c>
      <c r="U98" s="18">
        <f t="shared" si="71"/>
        <v>129</v>
      </c>
      <c r="V98" s="14">
        <f t="shared" si="72"/>
        <v>375</v>
      </c>
      <c r="W98" s="18">
        <f t="shared" si="73"/>
        <v>129</v>
      </c>
      <c r="X98" s="14">
        <f t="shared" si="74"/>
        <v>375</v>
      </c>
      <c r="Y98" s="18">
        <f t="shared" si="75"/>
        <v>100</v>
      </c>
      <c r="Z98" s="14">
        <f t="shared" si="76"/>
        <v>336</v>
      </c>
      <c r="AA98" s="18">
        <f t="shared" si="77"/>
        <v>100</v>
      </c>
    </row>
    <row r="99" spans="1:27">
      <c r="A99" s="9" t="s">
        <v>142</v>
      </c>
      <c r="B99" s="24"/>
      <c r="C99" s="26"/>
      <c r="D99" s="25">
        <f t="shared" si="50"/>
        <v>374</v>
      </c>
      <c r="E99" s="29">
        <f t="shared" si="84"/>
        <v>621</v>
      </c>
      <c r="F99" s="25">
        <f t="shared" si="51"/>
        <v>413</v>
      </c>
      <c r="G99" s="29">
        <f t="shared" si="85"/>
        <v>650</v>
      </c>
      <c r="H99" s="4" t="s">
        <v>0</v>
      </c>
      <c r="I99" s="16" t="str">
        <f t="shared" si="60"/>
        <v>01-02</v>
      </c>
      <c r="J99" s="14">
        <f t="shared" si="61"/>
        <v>374</v>
      </c>
      <c r="K99" s="15">
        <f t="shared" si="62"/>
        <v>621</v>
      </c>
      <c r="L99" s="17">
        <f t="shared" si="63"/>
        <v>413</v>
      </c>
      <c r="M99" s="18">
        <f t="shared" si="64"/>
        <v>621</v>
      </c>
      <c r="N99" s="14">
        <f t="shared" si="65"/>
        <v>413</v>
      </c>
      <c r="O99" s="15">
        <f t="shared" si="66"/>
        <v>650</v>
      </c>
      <c r="P99" s="17">
        <f t="shared" si="67"/>
        <v>374</v>
      </c>
      <c r="Q99" s="18">
        <f t="shared" si="68"/>
        <v>650</v>
      </c>
      <c r="R99" s="4" t="s">
        <v>0</v>
      </c>
      <c r="S99" s="16" t="str">
        <f t="shared" si="69"/>
        <v>01-02</v>
      </c>
      <c r="T99" s="14">
        <f t="shared" si="70"/>
        <v>374</v>
      </c>
      <c r="U99" s="18">
        <f t="shared" si="71"/>
        <v>129</v>
      </c>
      <c r="V99" s="14">
        <f t="shared" si="72"/>
        <v>413</v>
      </c>
      <c r="W99" s="18">
        <f t="shared" si="73"/>
        <v>129</v>
      </c>
      <c r="X99" s="14">
        <f t="shared" si="74"/>
        <v>413</v>
      </c>
      <c r="Y99" s="18">
        <f t="shared" si="75"/>
        <v>100</v>
      </c>
      <c r="Z99" s="14">
        <f t="shared" si="76"/>
        <v>374</v>
      </c>
      <c r="AA99" s="18">
        <f t="shared" si="77"/>
        <v>100</v>
      </c>
    </row>
    <row r="100" spans="1:27">
      <c r="A100" s="9" t="s">
        <v>141</v>
      </c>
      <c r="B100" s="24"/>
      <c r="C100" s="26"/>
      <c r="D100" s="25">
        <f t="shared" si="50"/>
        <v>413</v>
      </c>
      <c r="E100" s="29">
        <f t="shared" si="84"/>
        <v>621</v>
      </c>
      <c r="F100" s="25">
        <f t="shared" si="51"/>
        <v>452</v>
      </c>
      <c r="G100" s="29">
        <f t="shared" si="85"/>
        <v>650</v>
      </c>
      <c r="H100" s="4" t="s">
        <v>0</v>
      </c>
      <c r="I100" s="16" t="str">
        <f t="shared" si="60"/>
        <v>01-01</v>
      </c>
      <c r="J100" s="14">
        <f t="shared" si="61"/>
        <v>413</v>
      </c>
      <c r="K100" s="15">
        <f t="shared" si="62"/>
        <v>621</v>
      </c>
      <c r="L100" s="17">
        <f t="shared" si="63"/>
        <v>452</v>
      </c>
      <c r="M100" s="18">
        <f t="shared" si="64"/>
        <v>621</v>
      </c>
      <c r="N100" s="14">
        <f t="shared" si="65"/>
        <v>452</v>
      </c>
      <c r="O100" s="15">
        <f t="shared" si="66"/>
        <v>650</v>
      </c>
      <c r="P100" s="17">
        <f t="shared" si="67"/>
        <v>413</v>
      </c>
      <c r="Q100" s="18">
        <f t="shared" si="68"/>
        <v>650</v>
      </c>
      <c r="R100" s="4" t="s">
        <v>0</v>
      </c>
      <c r="S100" s="16" t="str">
        <f t="shared" si="69"/>
        <v>01-01</v>
      </c>
      <c r="T100" s="14">
        <f t="shared" si="70"/>
        <v>413</v>
      </c>
      <c r="U100" s="18">
        <f t="shared" si="71"/>
        <v>129</v>
      </c>
      <c r="V100" s="14">
        <f t="shared" si="72"/>
        <v>452</v>
      </c>
      <c r="W100" s="18">
        <f t="shared" si="73"/>
        <v>129</v>
      </c>
      <c r="X100" s="14">
        <f t="shared" si="74"/>
        <v>452</v>
      </c>
      <c r="Y100" s="18">
        <f t="shared" si="75"/>
        <v>100</v>
      </c>
      <c r="Z100" s="14">
        <f t="shared" si="76"/>
        <v>413</v>
      </c>
      <c r="AA100" s="18">
        <f t="shared" si="77"/>
        <v>100</v>
      </c>
    </row>
  </sheetData>
  <autoFilter ref="A10:AA100" xr:uid="{00000000-0001-0000-0000-000000000000}"/>
  <mergeCells count="2">
    <mergeCell ref="D3:G3"/>
    <mergeCell ref="D4:G4"/>
  </mergeCells>
  <phoneticPr fontId="1"/>
  <hyperlinks>
    <hyperlink ref="N4" r:id="rId1" xr:uid="{F0979C36-5314-4E18-A171-5A9BBE5B4D69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58C5-09D7-4EBB-8613-B7326A1052C6}">
  <sheetPr codeName="Sheet11">
    <pageSetUpPr fitToPage="1"/>
  </sheetPr>
  <dimension ref="A1:AB5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SEC_11_3_親F.json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SEC_11_3_親F.png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親F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70</v>
      </c>
      <c r="B11" s="30" t="s">
        <v>698</v>
      </c>
      <c r="C11" s="26"/>
      <c r="D11" s="27">
        <v>30</v>
      </c>
      <c r="E11" s="31">
        <v>200</v>
      </c>
      <c r="F11" s="31">
        <v>64</v>
      </c>
      <c r="G11" s="31">
        <v>226</v>
      </c>
      <c r="H11" s="4" t="s">
        <v>0</v>
      </c>
      <c r="I11" s="16" t="str">
        <f t="shared" ref="I11:I12" si="0">A11</f>
        <v>08-02</v>
      </c>
      <c r="J11" s="14">
        <f>IF(D11&lt;&gt;"",D11,0)</f>
        <v>30</v>
      </c>
      <c r="K11" s="15">
        <f>IF(E11&lt;&gt;"",E11,0)</f>
        <v>200</v>
      </c>
      <c r="L11" s="17">
        <f>N11</f>
        <v>64</v>
      </c>
      <c r="M11" s="18">
        <f>K11</f>
        <v>200</v>
      </c>
      <c r="N11" s="14">
        <f>IF(F11&lt;&gt;"",F11,0)</f>
        <v>64</v>
      </c>
      <c r="O11" s="15">
        <f>IF(G11&lt;&gt;"",G11,0)</f>
        <v>226</v>
      </c>
      <c r="P11" s="17">
        <f>J11</f>
        <v>30</v>
      </c>
      <c r="Q11" s="18">
        <f>O11</f>
        <v>226</v>
      </c>
      <c r="R11" s="4" t="s">
        <v>0</v>
      </c>
      <c r="S11" s="16" t="str">
        <f>I11</f>
        <v>08-02</v>
      </c>
      <c r="T11" s="14">
        <f>IF(J11&lt;&gt;"",J11,"")</f>
        <v>30</v>
      </c>
      <c r="U11" s="18">
        <f>IF(K11&lt;&gt;"",U$6-K11,"")</f>
        <v>550</v>
      </c>
      <c r="V11" s="14">
        <f t="shared" ref="V11:Z12" si="1">IF(L11&lt;&gt;"",L11,"")</f>
        <v>64</v>
      </c>
      <c r="W11" s="18">
        <f>IF(M11&lt;&gt;"",W$6-M11,"")</f>
        <v>550</v>
      </c>
      <c r="X11" s="14">
        <f t="shared" si="1"/>
        <v>64</v>
      </c>
      <c r="Y11" s="18">
        <f>IF(O11&lt;&gt;"",Y$6-O11,"")</f>
        <v>524</v>
      </c>
      <c r="Z11" s="14">
        <f t="shared" si="1"/>
        <v>30</v>
      </c>
      <c r="AA11" s="18">
        <f>IF(Q11&lt;&gt;"",AA$6-Q11,"")</f>
        <v>524</v>
      </c>
      <c r="AB11" s="4" t="s">
        <v>0</v>
      </c>
    </row>
    <row r="12" spans="1:28">
      <c r="A12" s="9" t="s">
        <v>69</v>
      </c>
      <c r="B12" s="24"/>
      <c r="C12" s="26">
        <v>1</v>
      </c>
      <c r="D12" s="28">
        <f>ROUND(D$11+34*$C12, 0)</f>
        <v>64</v>
      </c>
      <c r="E12" s="29">
        <f t="shared" ref="E12:G12" si="2">E11</f>
        <v>200</v>
      </c>
      <c r="F12" s="28">
        <f>ROUND(F$11+34*$C12, 0)</f>
        <v>98</v>
      </c>
      <c r="G12" s="29">
        <f t="shared" si="2"/>
        <v>226</v>
      </c>
      <c r="H12" s="4" t="s">
        <v>0</v>
      </c>
      <c r="I12" s="16" t="str">
        <f t="shared" si="0"/>
        <v>08-01</v>
      </c>
      <c r="J12" s="14">
        <f t="shared" ref="J12:K12" si="3">IF(D12&lt;&gt;"",D12,0)</f>
        <v>64</v>
      </c>
      <c r="K12" s="15">
        <f t="shared" si="3"/>
        <v>200</v>
      </c>
      <c r="L12" s="17">
        <f t="shared" ref="L12" si="4">N12</f>
        <v>98</v>
      </c>
      <c r="M12" s="18">
        <f t="shared" ref="M12" si="5">K12</f>
        <v>200</v>
      </c>
      <c r="N12" s="14">
        <f t="shared" ref="N12:O12" si="6">IF(F12&lt;&gt;"",F12,0)</f>
        <v>98</v>
      </c>
      <c r="O12" s="15">
        <f t="shared" si="6"/>
        <v>226</v>
      </c>
      <c r="P12" s="17">
        <f t="shared" ref="P12" si="7">J12</f>
        <v>64</v>
      </c>
      <c r="Q12" s="18">
        <f t="shared" ref="Q12" si="8">O12</f>
        <v>226</v>
      </c>
      <c r="R12" s="4" t="s">
        <v>0</v>
      </c>
      <c r="S12" s="16" t="str">
        <f t="shared" ref="S12" si="9">I12</f>
        <v>08-01</v>
      </c>
      <c r="T12" s="14">
        <f t="shared" ref="T12" si="10">IF(J12&lt;&gt;"",J12,"")</f>
        <v>64</v>
      </c>
      <c r="U12" s="18">
        <f t="shared" ref="U12" si="11">IF(K12&lt;&gt;"",U$6-K12,"")</f>
        <v>550</v>
      </c>
      <c r="V12" s="14">
        <f t="shared" si="1"/>
        <v>98</v>
      </c>
      <c r="W12" s="18">
        <f t="shared" ref="W12" si="12">IF(M12&lt;&gt;"",W$6-M12,"")</f>
        <v>550</v>
      </c>
      <c r="X12" s="14">
        <f t="shared" si="1"/>
        <v>98</v>
      </c>
      <c r="Y12" s="18">
        <f t="shared" ref="Y12" si="13">IF(O12&lt;&gt;"",Y$6-O12,"")</f>
        <v>524</v>
      </c>
      <c r="Z12" s="14">
        <f t="shared" si="1"/>
        <v>64</v>
      </c>
      <c r="AA12" s="18">
        <f t="shared" ref="AA12" si="14">IF(Q12&lt;&gt;"",AA$6-Q12,"")</f>
        <v>524</v>
      </c>
      <c r="AB12" s="4" t="s">
        <v>0</v>
      </c>
    </row>
    <row r="13" spans="1:28">
      <c r="A13" s="9" t="s">
        <v>62</v>
      </c>
      <c r="B13" s="24"/>
      <c r="C13" s="26"/>
      <c r="D13" s="27">
        <v>30</v>
      </c>
      <c r="E13" s="31">
        <v>260</v>
      </c>
      <c r="F13" s="31">
        <v>64</v>
      </c>
      <c r="G13" s="31">
        <v>286</v>
      </c>
      <c r="H13" s="4" t="s">
        <v>0</v>
      </c>
      <c r="I13" s="16" t="str">
        <f t="shared" ref="I13:I56" si="15">A13</f>
        <v>07-05</v>
      </c>
      <c r="J13" s="14">
        <f t="shared" ref="J13:J56" si="16">IF(D13&lt;&gt;"",D13,0)</f>
        <v>30</v>
      </c>
      <c r="K13" s="15">
        <f t="shared" ref="K13:K56" si="17">IF(E13&lt;&gt;"",E13,0)</f>
        <v>260</v>
      </c>
      <c r="L13" s="17">
        <f t="shared" ref="L13:L56" si="18">N13</f>
        <v>64</v>
      </c>
      <c r="M13" s="18">
        <f t="shared" ref="M13:M56" si="19">K13</f>
        <v>260</v>
      </c>
      <c r="N13" s="14">
        <f t="shared" ref="N13:N56" si="20">IF(F13&lt;&gt;"",F13,0)</f>
        <v>64</v>
      </c>
      <c r="O13" s="15">
        <f t="shared" ref="O13:O56" si="21">IF(G13&lt;&gt;"",G13,0)</f>
        <v>286</v>
      </c>
      <c r="P13" s="17">
        <f t="shared" ref="P13:P56" si="22">J13</f>
        <v>30</v>
      </c>
      <c r="Q13" s="18">
        <f t="shared" ref="Q13:Q56" si="23">O13</f>
        <v>286</v>
      </c>
      <c r="R13" s="4" t="s">
        <v>0</v>
      </c>
      <c r="S13" s="16" t="str">
        <f t="shared" ref="S13:S56" si="24">I13</f>
        <v>07-05</v>
      </c>
      <c r="T13" s="14">
        <f t="shared" ref="T13:T56" si="25">IF(J13&lt;&gt;"",J13,"")</f>
        <v>30</v>
      </c>
      <c r="U13" s="18">
        <f t="shared" ref="U13:U56" si="26">IF(K13&lt;&gt;"",U$6-K13,"")</f>
        <v>490</v>
      </c>
      <c r="V13" s="14">
        <f t="shared" ref="V13:V56" si="27">IF(L13&lt;&gt;"",L13,"")</f>
        <v>64</v>
      </c>
      <c r="W13" s="18">
        <f t="shared" ref="W13:W56" si="28">IF(M13&lt;&gt;"",W$6-M13,"")</f>
        <v>490</v>
      </c>
      <c r="X13" s="14">
        <f t="shared" ref="X13:X56" si="29">IF(N13&lt;&gt;"",N13,"")</f>
        <v>64</v>
      </c>
      <c r="Y13" s="18">
        <f t="shared" ref="Y13:Y56" si="30">IF(O13&lt;&gt;"",Y$6-O13,"")</f>
        <v>464</v>
      </c>
      <c r="Z13" s="14">
        <f t="shared" ref="Z13:Z56" si="31">IF(P13&lt;&gt;"",P13,"")</f>
        <v>30</v>
      </c>
      <c r="AA13" s="18">
        <f t="shared" ref="AA13:AA56" si="32">IF(Q13&lt;&gt;"",AA$6-Q13,"")</f>
        <v>464</v>
      </c>
      <c r="AB13" s="4" t="s">
        <v>0</v>
      </c>
    </row>
    <row r="14" spans="1:28">
      <c r="A14" s="9" t="s">
        <v>3</v>
      </c>
      <c r="B14" s="24"/>
      <c r="C14" s="26">
        <v>1</v>
      </c>
      <c r="D14" s="28">
        <f>ROUND(D$13+33.6*$C14, 0)</f>
        <v>64</v>
      </c>
      <c r="E14" s="29">
        <f t="shared" ref="E14" si="33">E13</f>
        <v>260</v>
      </c>
      <c r="F14" s="28">
        <f>ROUND(F$13+33.6*$C14, 0)</f>
        <v>98</v>
      </c>
      <c r="G14" s="29">
        <f t="shared" ref="G14:G29" si="34">G13</f>
        <v>286</v>
      </c>
      <c r="H14" s="4" t="s">
        <v>0</v>
      </c>
      <c r="I14" s="16" t="str">
        <f t="shared" si="15"/>
        <v>07-03</v>
      </c>
      <c r="J14" s="14">
        <f t="shared" si="16"/>
        <v>64</v>
      </c>
      <c r="K14" s="15">
        <f t="shared" si="17"/>
        <v>260</v>
      </c>
      <c r="L14" s="17">
        <f t="shared" si="18"/>
        <v>98</v>
      </c>
      <c r="M14" s="18">
        <f t="shared" si="19"/>
        <v>260</v>
      </c>
      <c r="N14" s="14">
        <f t="shared" si="20"/>
        <v>98</v>
      </c>
      <c r="O14" s="15">
        <f t="shared" si="21"/>
        <v>286</v>
      </c>
      <c r="P14" s="17">
        <f t="shared" si="22"/>
        <v>64</v>
      </c>
      <c r="Q14" s="18">
        <f t="shared" si="23"/>
        <v>286</v>
      </c>
      <c r="R14" s="4" t="s">
        <v>0</v>
      </c>
      <c r="S14" s="16" t="str">
        <f t="shared" si="24"/>
        <v>07-03</v>
      </c>
      <c r="T14" s="14">
        <f t="shared" si="25"/>
        <v>64</v>
      </c>
      <c r="U14" s="18">
        <f t="shared" si="26"/>
        <v>490</v>
      </c>
      <c r="V14" s="14">
        <f t="shared" si="27"/>
        <v>98</v>
      </c>
      <c r="W14" s="18">
        <f t="shared" si="28"/>
        <v>490</v>
      </c>
      <c r="X14" s="14">
        <f t="shared" si="29"/>
        <v>98</v>
      </c>
      <c r="Y14" s="18">
        <f t="shared" si="30"/>
        <v>464</v>
      </c>
      <c r="Z14" s="14">
        <f t="shared" si="31"/>
        <v>64</v>
      </c>
      <c r="AA14" s="18">
        <f t="shared" si="32"/>
        <v>464</v>
      </c>
      <c r="AB14" s="4" t="s">
        <v>0</v>
      </c>
    </row>
    <row r="15" spans="1:28">
      <c r="A15" s="9" t="s">
        <v>61</v>
      </c>
      <c r="B15" s="24"/>
      <c r="C15" s="26">
        <v>2</v>
      </c>
      <c r="D15" s="28">
        <f t="shared" ref="D15:D16" si="35">ROUND(D$13+33.6*$C15, 0)</f>
        <v>97</v>
      </c>
      <c r="E15" s="29">
        <f t="shared" ref="E15" si="36">E14</f>
        <v>260</v>
      </c>
      <c r="F15" s="28">
        <f t="shared" ref="F15:F16" si="37">ROUND(F$13+33.6*$C15, 0)</f>
        <v>131</v>
      </c>
      <c r="G15" s="29">
        <f t="shared" si="34"/>
        <v>286</v>
      </c>
      <c r="H15" s="4" t="s">
        <v>0</v>
      </c>
      <c r="I15" s="16" t="str">
        <f t="shared" si="15"/>
        <v>07-02</v>
      </c>
      <c r="J15" s="14">
        <f t="shared" si="16"/>
        <v>97</v>
      </c>
      <c r="K15" s="15">
        <f t="shared" si="17"/>
        <v>260</v>
      </c>
      <c r="L15" s="17">
        <f t="shared" si="18"/>
        <v>131</v>
      </c>
      <c r="M15" s="18">
        <f t="shared" si="19"/>
        <v>260</v>
      </c>
      <c r="N15" s="14">
        <f t="shared" si="20"/>
        <v>131</v>
      </c>
      <c r="O15" s="15">
        <f t="shared" si="21"/>
        <v>286</v>
      </c>
      <c r="P15" s="17">
        <f t="shared" si="22"/>
        <v>97</v>
      </c>
      <c r="Q15" s="18">
        <f t="shared" si="23"/>
        <v>286</v>
      </c>
      <c r="R15" s="4" t="s">
        <v>0</v>
      </c>
      <c r="S15" s="16" t="str">
        <f t="shared" si="24"/>
        <v>07-02</v>
      </c>
      <c r="T15" s="14">
        <f t="shared" si="25"/>
        <v>97</v>
      </c>
      <c r="U15" s="18">
        <f t="shared" si="26"/>
        <v>490</v>
      </c>
      <c r="V15" s="14">
        <f t="shared" si="27"/>
        <v>131</v>
      </c>
      <c r="W15" s="18">
        <f t="shared" si="28"/>
        <v>490</v>
      </c>
      <c r="X15" s="14">
        <f t="shared" si="29"/>
        <v>131</v>
      </c>
      <c r="Y15" s="18">
        <f t="shared" si="30"/>
        <v>464</v>
      </c>
      <c r="Z15" s="14">
        <f t="shared" si="31"/>
        <v>97</v>
      </c>
      <c r="AA15" s="18">
        <f t="shared" si="32"/>
        <v>464</v>
      </c>
      <c r="AB15" s="4" t="s">
        <v>0</v>
      </c>
    </row>
    <row r="16" spans="1:28">
      <c r="A16" s="9" t="s">
        <v>60</v>
      </c>
      <c r="B16" s="24"/>
      <c r="C16" s="26">
        <v>3</v>
      </c>
      <c r="D16" s="28">
        <f t="shared" si="35"/>
        <v>131</v>
      </c>
      <c r="E16" s="29">
        <f t="shared" ref="E16" si="38">E15</f>
        <v>260</v>
      </c>
      <c r="F16" s="28">
        <f t="shared" si="37"/>
        <v>165</v>
      </c>
      <c r="G16" s="29">
        <f t="shared" si="34"/>
        <v>286</v>
      </c>
      <c r="H16" s="4" t="s">
        <v>0</v>
      </c>
      <c r="I16" s="16" t="str">
        <f t="shared" si="15"/>
        <v>07-01</v>
      </c>
      <c r="J16" s="14">
        <f t="shared" si="16"/>
        <v>131</v>
      </c>
      <c r="K16" s="15">
        <f t="shared" si="17"/>
        <v>260</v>
      </c>
      <c r="L16" s="17">
        <f t="shared" si="18"/>
        <v>165</v>
      </c>
      <c r="M16" s="18">
        <f t="shared" si="19"/>
        <v>260</v>
      </c>
      <c r="N16" s="14">
        <f t="shared" si="20"/>
        <v>165</v>
      </c>
      <c r="O16" s="15">
        <f t="shared" si="21"/>
        <v>286</v>
      </c>
      <c r="P16" s="17">
        <f t="shared" si="22"/>
        <v>131</v>
      </c>
      <c r="Q16" s="18">
        <f t="shared" si="23"/>
        <v>286</v>
      </c>
      <c r="R16" s="4" t="s">
        <v>0</v>
      </c>
      <c r="S16" s="16" t="str">
        <f t="shared" si="24"/>
        <v>07-01</v>
      </c>
      <c r="T16" s="14">
        <f t="shared" si="25"/>
        <v>131</v>
      </c>
      <c r="U16" s="18">
        <f t="shared" si="26"/>
        <v>490</v>
      </c>
      <c r="V16" s="14">
        <f t="shared" si="27"/>
        <v>165</v>
      </c>
      <c r="W16" s="18">
        <f t="shared" si="28"/>
        <v>490</v>
      </c>
      <c r="X16" s="14">
        <f t="shared" si="29"/>
        <v>165</v>
      </c>
      <c r="Y16" s="18">
        <f t="shared" si="30"/>
        <v>464</v>
      </c>
      <c r="Z16" s="14">
        <f t="shared" si="31"/>
        <v>131</v>
      </c>
      <c r="AA16" s="18">
        <f t="shared" si="32"/>
        <v>464</v>
      </c>
      <c r="AB16" s="4" t="s">
        <v>0</v>
      </c>
    </row>
    <row r="17" spans="1:28">
      <c r="A17" s="9" t="s">
        <v>55</v>
      </c>
      <c r="B17" s="24"/>
      <c r="C17" s="26"/>
      <c r="D17" s="27">
        <v>30</v>
      </c>
      <c r="E17" s="31">
        <v>320</v>
      </c>
      <c r="F17" s="31">
        <v>64</v>
      </c>
      <c r="G17" s="31">
        <v>346</v>
      </c>
      <c r="H17" s="4" t="s">
        <v>0</v>
      </c>
      <c r="I17" s="16" t="str">
        <f t="shared" si="15"/>
        <v>06-07</v>
      </c>
      <c r="J17" s="14">
        <f t="shared" si="16"/>
        <v>30</v>
      </c>
      <c r="K17" s="15">
        <f t="shared" si="17"/>
        <v>320</v>
      </c>
      <c r="L17" s="17">
        <f t="shared" si="18"/>
        <v>64</v>
      </c>
      <c r="M17" s="18">
        <f t="shared" si="19"/>
        <v>320</v>
      </c>
      <c r="N17" s="14">
        <f t="shared" si="20"/>
        <v>64</v>
      </c>
      <c r="O17" s="15">
        <f t="shared" si="21"/>
        <v>346</v>
      </c>
      <c r="P17" s="17">
        <f t="shared" si="22"/>
        <v>30</v>
      </c>
      <c r="Q17" s="18">
        <f t="shared" si="23"/>
        <v>346</v>
      </c>
      <c r="R17" s="4" t="s">
        <v>0</v>
      </c>
      <c r="S17" s="16" t="str">
        <f t="shared" si="24"/>
        <v>06-07</v>
      </c>
      <c r="T17" s="14">
        <f t="shared" si="25"/>
        <v>30</v>
      </c>
      <c r="U17" s="18">
        <f t="shared" si="26"/>
        <v>430</v>
      </c>
      <c r="V17" s="14">
        <f t="shared" si="27"/>
        <v>64</v>
      </c>
      <c r="W17" s="18">
        <f t="shared" si="28"/>
        <v>430</v>
      </c>
      <c r="X17" s="14">
        <f t="shared" si="29"/>
        <v>64</v>
      </c>
      <c r="Y17" s="18">
        <f t="shared" si="30"/>
        <v>404</v>
      </c>
      <c r="Z17" s="14">
        <f t="shared" si="31"/>
        <v>30</v>
      </c>
      <c r="AA17" s="18">
        <f t="shared" si="32"/>
        <v>404</v>
      </c>
      <c r="AB17" s="4" t="s">
        <v>0</v>
      </c>
    </row>
    <row r="18" spans="1:28">
      <c r="A18" s="9" t="s">
        <v>54</v>
      </c>
      <c r="B18" s="24"/>
      <c r="C18" s="26">
        <v>1</v>
      </c>
      <c r="D18" s="28">
        <f>ROUND(D$17+33.6*$C18, 0)</f>
        <v>64</v>
      </c>
      <c r="E18" s="29">
        <f t="shared" ref="E18" si="39">E17</f>
        <v>320</v>
      </c>
      <c r="F18" s="28">
        <f>ROUND(F$17+33.6*$C18, 0)</f>
        <v>98</v>
      </c>
      <c r="G18" s="29">
        <f t="shared" si="34"/>
        <v>346</v>
      </c>
      <c r="H18" s="4" t="s">
        <v>0</v>
      </c>
      <c r="I18" s="16" t="str">
        <f t="shared" si="15"/>
        <v>06-06</v>
      </c>
      <c r="J18" s="14">
        <f t="shared" si="16"/>
        <v>64</v>
      </c>
      <c r="K18" s="15">
        <f t="shared" si="17"/>
        <v>320</v>
      </c>
      <c r="L18" s="17">
        <f t="shared" si="18"/>
        <v>98</v>
      </c>
      <c r="M18" s="18">
        <f t="shared" si="19"/>
        <v>320</v>
      </c>
      <c r="N18" s="14">
        <f t="shared" si="20"/>
        <v>98</v>
      </c>
      <c r="O18" s="15">
        <f t="shared" si="21"/>
        <v>346</v>
      </c>
      <c r="P18" s="17">
        <f t="shared" si="22"/>
        <v>64</v>
      </c>
      <c r="Q18" s="18">
        <f t="shared" si="23"/>
        <v>346</v>
      </c>
      <c r="R18" s="4" t="s">
        <v>0</v>
      </c>
      <c r="S18" s="16" t="str">
        <f t="shared" si="24"/>
        <v>06-06</v>
      </c>
      <c r="T18" s="14">
        <f t="shared" si="25"/>
        <v>64</v>
      </c>
      <c r="U18" s="18">
        <f t="shared" si="26"/>
        <v>430</v>
      </c>
      <c r="V18" s="14">
        <f t="shared" si="27"/>
        <v>98</v>
      </c>
      <c r="W18" s="18">
        <f t="shared" si="28"/>
        <v>430</v>
      </c>
      <c r="X18" s="14">
        <f t="shared" si="29"/>
        <v>98</v>
      </c>
      <c r="Y18" s="18">
        <f t="shared" si="30"/>
        <v>404</v>
      </c>
      <c r="Z18" s="14">
        <f t="shared" si="31"/>
        <v>64</v>
      </c>
      <c r="AA18" s="18">
        <f t="shared" si="32"/>
        <v>404</v>
      </c>
      <c r="AB18" s="4" t="s">
        <v>0</v>
      </c>
    </row>
    <row r="19" spans="1:28">
      <c r="A19" s="9" t="s">
        <v>53</v>
      </c>
      <c r="B19" s="24"/>
      <c r="C19" s="26">
        <v>2</v>
      </c>
      <c r="D19" s="28">
        <f t="shared" ref="D19:D22" si="40">ROUND(D$17+33.6*$C19, 0)</f>
        <v>97</v>
      </c>
      <c r="E19" s="29">
        <f t="shared" ref="E19" si="41">E18</f>
        <v>320</v>
      </c>
      <c r="F19" s="28">
        <f t="shared" ref="F19:F22" si="42">ROUND(F$17+33.6*$C19, 0)</f>
        <v>131</v>
      </c>
      <c r="G19" s="29">
        <f t="shared" si="34"/>
        <v>346</v>
      </c>
      <c r="H19" s="4" t="s">
        <v>0</v>
      </c>
      <c r="I19" s="16" t="str">
        <f t="shared" si="15"/>
        <v>06-05</v>
      </c>
      <c r="J19" s="14">
        <f t="shared" si="16"/>
        <v>97</v>
      </c>
      <c r="K19" s="15">
        <f t="shared" si="17"/>
        <v>320</v>
      </c>
      <c r="L19" s="17">
        <f t="shared" si="18"/>
        <v>131</v>
      </c>
      <c r="M19" s="18">
        <f t="shared" si="19"/>
        <v>320</v>
      </c>
      <c r="N19" s="14">
        <f t="shared" si="20"/>
        <v>131</v>
      </c>
      <c r="O19" s="15">
        <f t="shared" si="21"/>
        <v>346</v>
      </c>
      <c r="P19" s="17">
        <f t="shared" si="22"/>
        <v>97</v>
      </c>
      <c r="Q19" s="18">
        <f t="shared" si="23"/>
        <v>346</v>
      </c>
      <c r="R19" s="4" t="s">
        <v>0</v>
      </c>
      <c r="S19" s="16" t="str">
        <f t="shared" si="24"/>
        <v>06-05</v>
      </c>
      <c r="T19" s="14">
        <f t="shared" si="25"/>
        <v>97</v>
      </c>
      <c r="U19" s="18">
        <f t="shared" si="26"/>
        <v>430</v>
      </c>
      <c r="V19" s="14">
        <f t="shared" si="27"/>
        <v>131</v>
      </c>
      <c r="W19" s="18">
        <f t="shared" si="28"/>
        <v>430</v>
      </c>
      <c r="X19" s="14">
        <f t="shared" si="29"/>
        <v>131</v>
      </c>
      <c r="Y19" s="18">
        <f t="shared" si="30"/>
        <v>404</v>
      </c>
      <c r="Z19" s="14">
        <f t="shared" si="31"/>
        <v>97</v>
      </c>
      <c r="AA19" s="18">
        <f t="shared" si="32"/>
        <v>404</v>
      </c>
      <c r="AB19" s="4" t="s">
        <v>0</v>
      </c>
    </row>
    <row r="20" spans="1:28">
      <c r="A20" s="9" t="s">
        <v>52</v>
      </c>
      <c r="B20" s="24"/>
      <c r="C20" s="26">
        <v>3</v>
      </c>
      <c r="D20" s="28">
        <f t="shared" si="40"/>
        <v>131</v>
      </c>
      <c r="E20" s="29">
        <f t="shared" ref="E20" si="43">E19</f>
        <v>320</v>
      </c>
      <c r="F20" s="28">
        <f t="shared" si="42"/>
        <v>165</v>
      </c>
      <c r="G20" s="29">
        <f t="shared" si="34"/>
        <v>346</v>
      </c>
      <c r="H20" s="4" t="s">
        <v>0</v>
      </c>
      <c r="I20" s="16" t="str">
        <f t="shared" si="15"/>
        <v>06-03</v>
      </c>
      <c r="J20" s="14">
        <f t="shared" si="16"/>
        <v>131</v>
      </c>
      <c r="K20" s="15">
        <f t="shared" si="17"/>
        <v>320</v>
      </c>
      <c r="L20" s="17">
        <f t="shared" si="18"/>
        <v>165</v>
      </c>
      <c r="M20" s="18">
        <f t="shared" si="19"/>
        <v>320</v>
      </c>
      <c r="N20" s="14">
        <f t="shared" si="20"/>
        <v>165</v>
      </c>
      <c r="O20" s="15">
        <f t="shared" si="21"/>
        <v>346</v>
      </c>
      <c r="P20" s="17">
        <f t="shared" si="22"/>
        <v>131</v>
      </c>
      <c r="Q20" s="18">
        <f t="shared" si="23"/>
        <v>346</v>
      </c>
      <c r="R20" s="4" t="s">
        <v>0</v>
      </c>
      <c r="S20" s="16" t="str">
        <f t="shared" si="24"/>
        <v>06-03</v>
      </c>
      <c r="T20" s="14">
        <f t="shared" si="25"/>
        <v>131</v>
      </c>
      <c r="U20" s="18">
        <f t="shared" si="26"/>
        <v>430</v>
      </c>
      <c r="V20" s="14">
        <f t="shared" si="27"/>
        <v>165</v>
      </c>
      <c r="W20" s="18">
        <f t="shared" si="28"/>
        <v>430</v>
      </c>
      <c r="X20" s="14">
        <f t="shared" si="29"/>
        <v>165</v>
      </c>
      <c r="Y20" s="18">
        <f t="shared" si="30"/>
        <v>404</v>
      </c>
      <c r="Z20" s="14">
        <f t="shared" si="31"/>
        <v>131</v>
      </c>
      <c r="AA20" s="18">
        <f t="shared" si="32"/>
        <v>404</v>
      </c>
      <c r="AB20" s="4" t="s">
        <v>0</v>
      </c>
    </row>
    <row r="21" spans="1:28">
      <c r="A21" s="9" t="s">
        <v>51</v>
      </c>
      <c r="B21" s="24"/>
      <c r="C21" s="26">
        <v>4</v>
      </c>
      <c r="D21" s="28">
        <f t="shared" si="40"/>
        <v>164</v>
      </c>
      <c r="E21" s="29">
        <f t="shared" ref="E21" si="44">E20</f>
        <v>320</v>
      </c>
      <c r="F21" s="28">
        <f t="shared" si="42"/>
        <v>198</v>
      </c>
      <c r="G21" s="29">
        <f t="shared" si="34"/>
        <v>346</v>
      </c>
      <c r="H21" s="4" t="s">
        <v>0</v>
      </c>
      <c r="I21" s="16" t="str">
        <f t="shared" si="15"/>
        <v>06-02</v>
      </c>
      <c r="J21" s="14">
        <f t="shared" si="16"/>
        <v>164</v>
      </c>
      <c r="K21" s="15">
        <f t="shared" si="17"/>
        <v>320</v>
      </c>
      <c r="L21" s="17">
        <f t="shared" si="18"/>
        <v>198</v>
      </c>
      <c r="M21" s="18">
        <f t="shared" si="19"/>
        <v>320</v>
      </c>
      <c r="N21" s="14">
        <f t="shared" si="20"/>
        <v>198</v>
      </c>
      <c r="O21" s="15">
        <f t="shared" si="21"/>
        <v>346</v>
      </c>
      <c r="P21" s="17">
        <f t="shared" si="22"/>
        <v>164</v>
      </c>
      <c r="Q21" s="18">
        <f t="shared" si="23"/>
        <v>346</v>
      </c>
      <c r="R21" s="4" t="s">
        <v>0</v>
      </c>
      <c r="S21" s="16" t="str">
        <f t="shared" si="24"/>
        <v>06-02</v>
      </c>
      <c r="T21" s="14">
        <f t="shared" si="25"/>
        <v>164</v>
      </c>
      <c r="U21" s="18">
        <f t="shared" si="26"/>
        <v>430</v>
      </c>
      <c r="V21" s="14">
        <f t="shared" si="27"/>
        <v>198</v>
      </c>
      <c r="W21" s="18">
        <f t="shared" si="28"/>
        <v>430</v>
      </c>
      <c r="X21" s="14">
        <f t="shared" si="29"/>
        <v>198</v>
      </c>
      <c r="Y21" s="18">
        <f t="shared" si="30"/>
        <v>404</v>
      </c>
      <c r="Z21" s="14">
        <f t="shared" si="31"/>
        <v>164</v>
      </c>
      <c r="AA21" s="18">
        <f t="shared" si="32"/>
        <v>404</v>
      </c>
      <c r="AB21" s="4" t="s">
        <v>0</v>
      </c>
    </row>
    <row r="22" spans="1:28">
      <c r="A22" s="9" t="s">
        <v>50</v>
      </c>
      <c r="B22" s="24"/>
      <c r="C22" s="26">
        <v>5</v>
      </c>
      <c r="D22" s="28">
        <f t="shared" si="40"/>
        <v>198</v>
      </c>
      <c r="E22" s="29">
        <f t="shared" ref="E22" si="45">E21</f>
        <v>320</v>
      </c>
      <c r="F22" s="28">
        <f t="shared" si="42"/>
        <v>232</v>
      </c>
      <c r="G22" s="29">
        <f t="shared" si="34"/>
        <v>346</v>
      </c>
      <c r="H22" s="4" t="s">
        <v>0</v>
      </c>
      <c r="I22" s="16" t="str">
        <f t="shared" si="15"/>
        <v>06-01</v>
      </c>
      <c r="J22" s="14">
        <f t="shared" si="16"/>
        <v>198</v>
      </c>
      <c r="K22" s="15">
        <f t="shared" si="17"/>
        <v>320</v>
      </c>
      <c r="L22" s="17">
        <f t="shared" si="18"/>
        <v>232</v>
      </c>
      <c r="M22" s="18">
        <f t="shared" si="19"/>
        <v>320</v>
      </c>
      <c r="N22" s="14">
        <f t="shared" si="20"/>
        <v>232</v>
      </c>
      <c r="O22" s="15">
        <f t="shared" si="21"/>
        <v>346</v>
      </c>
      <c r="P22" s="17">
        <f t="shared" si="22"/>
        <v>198</v>
      </c>
      <c r="Q22" s="18">
        <f t="shared" si="23"/>
        <v>346</v>
      </c>
      <c r="R22" s="4" t="s">
        <v>0</v>
      </c>
      <c r="S22" s="16" t="str">
        <f t="shared" si="24"/>
        <v>06-01</v>
      </c>
      <c r="T22" s="14">
        <f t="shared" si="25"/>
        <v>198</v>
      </c>
      <c r="U22" s="18">
        <f t="shared" si="26"/>
        <v>430</v>
      </c>
      <c r="V22" s="14">
        <f t="shared" si="27"/>
        <v>232</v>
      </c>
      <c r="W22" s="18">
        <f t="shared" si="28"/>
        <v>430</v>
      </c>
      <c r="X22" s="14">
        <f t="shared" si="29"/>
        <v>232</v>
      </c>
      <c r="Y22" s="18">
        <f t="shared" si="30"/>
        <v>404</v>
      </c>
      <c r="Z22" s="14">
        <f t="shared" si="31"/>
        <v>198</v>
      </c>
      <c r="AA22" s="18">
        <f t="shared" si="32"/>
        <v>404</v>
      </c>
      <c r="AB22" s="4" t="s">
        <v>0</v>
      </c>
    </row>
    <row r="23" spans="1:28">
      <c r="A23" s="9" t="s">
        <v>46</v>
      </c>
      <c r="B23" s="24"/>
      <c r="C23" s="26"/>
      <c r="D23" s="27">
        <v>30</v>
      </c>
      <c r="E23" s="31">
        <v>380</v>
      </c>
      <c r="F23" s="31">
        <v>64</v>
      </c>
      <c r="G23" s="31">
        <v>406</v>
      </c>
      <c r="H23" s="4" t="s">
        <v>0</v>
      </c>
      <c r="I23" s="16" t="str">
        <f t="shared" si="15"/>
        <v>05-08</v>
      </c>
      <c r="J23" s="14">
        <f t="shared" si="16"/>
        <v>30</v>
      </c>
      <c r="K23" s="15">
        <f t="shared" si="17"/>
        <v>380</v>
      </c>
      <c r="L23" s="17">
        <f t="shared" si="18"/>
        <v>64</v>
      </c>
      <c r="M23" s="18">
        <f t="shared" si="19"/>
        <v>380</v>
      </c>
      <c r="N23" s="14">
        <f t="shared" si="20"/>
        <v>64</v>
      </c>
      <c r="O23" s="15">
        <f t="shared" si="21"/>
        <v>406</v>
      </c>
      <c r="P23" s="17">
        <f t="shared" si="22"/>
        <v>30</v>
      </c>
      <c r="Q23" s="18">
        <f t="shared" si="23"/>
        <v>406</v>
      </c>
      <c r="R23" s="4" t="s">
        <v>0</v>
      </c>
      <c r="S23" s="16" t="str">
        <f t="shared" si="24"/>
        <v>05-08</v>
      </c>
      <c r="T23" s="14">
        <f t="shared" si="25"/>
        <v>30</v>
      </c>
      <c r="U23" s="18">
        <f t="shared" si="26"/>
        <v>370</v>
      </c>
      <c r="V23" s="14">
        <f t="shared" si="27"/>
        <v>64</v>
      </c>
      <c r="W23" s="18">
        <f t="shared" si="28"/>
        <v>370</v>
      </c>
      <c r="X23" s="14">
        <f t="shared" si="29"/>
        <v>64</v>
      </c>
      <c r="Y23" s="18">
        <f t="shared" si="30"/>
        <v>344</v>
      </c>
      <c r="Z23" s="14">
        <f t="shared" si="31"/>
        <v>30</v>
      </c>
      <c r="AA23" s="18">
        <f t="shared" si="32"/>
        <v>344</v>
      </c>
      <c r="AB23" s="4" t="s">
        <v>0</v>
      </c>
    </row>
    <row r="24" spans="1:28">
      <c r="A24" s="9" t="s">
        <v>45</v>
      </c>
      <c r="B24" s="24"/>
      <c r="C24" s="26">
        <v>1</v>
      </c>
      <c r="D24" s="28">
        <f>ROUND(D$23+33.6*$C24, 0)</f>
        <v>64</v>
      </c>
      <c r="E24" s="29">
        <f t="shared" ref="E24" si="46">E23</f>
        <v>380</v>
      </c>
      <c r="F24" s="28">
        <f>ROUND(F$23+33.6*$C24, 0)</f>
        <v>98</v>
      </c>
      <c r="G24" s="29">
        <f t="shared" si="34"/>
        <v>406</v>
      </c>
      <c r="H24" s="4" t="s">
        <v>0</v>
      </c>
      <c r="I24" s="16" t="str">
        <f t="shared" si="15"/>
        <v>05-07</v>
      </c>
      <c r="J24" s="14">
        <f t="shared" si="16"/>
        <v>64</v>
      </c>
      <c r="K24" s="15">
        <f t="shared" si="17"/>
        <v>380</v>
      </c>
      <c r="L24" s="17">
        <f t="shared" si="18"/>
        <v>98</v>
      </c>
      <c r="M24" s="18">
        <f t="shared" si="19"/>
        <v>380</v>
      </c>
      <c r="N24" s="14">
        <f t="shared" si="20"/>
        <v>98</v>
      </c>
      <c r="O24" s="15">
        <f t="shared" si="21"/>
        <v>406</v>
      </c>
      <c r="P24" s="17">
        <f t="shared" si="22"/>
        <v>64</v>
      </c>
      <c r="Q24" s="18">
        <f t="shared" si="23"/>
        <v>406</v>
      </c>
      <c r="R24" s="4" t="s">
        <v>0</v>
      </c>
      <c r="S24" s="16" t="str">
        <f t="shared" si="24"/>
        <v>05-07</v>
      </c>
      <c r="T24" s="14">
        <f t="shared" si="25"/>
        <v>64</v>
      </c>
      <c r="U24" s="18">
        <f t="shared" si="26"/>
        <v>370</v>
      </c>
      <c r="V24" s="14">
        <f t="shared" si="27"/>
        <v>98</v>
      </c>
      <c r="W24" s="18">
        <f t="shared" si="28"/>
        <v>370</v>
      </c>
      <c r="X24" s="14">
        <f t="shared" si="29"/>
        <v>98</v>
      </c>
      <c r="Y24" s="18">
        <f t="shared" si="30"/>
        <v>344</v>
      </c>
      <c r="Z24" s="14">
        <f t="shared" si="31"/>
        <v>64</v>
      </c>
      <c r="AA24" s="18">
        <f t="shared" si="32"/>
        <v>344</v>
      </c>
      <c r="AB24" s="4" t="s">
        <v>0</v>
      </c>
    </row>
    <row r="25" spans="1:28">
      <c r="A25" s="9" t="s">
        <v>44</v>
      </c>
      <c r="B25" s="24"/>
      <c r="C25" s="26">
        <v>2</v>
      </c>
      <c r="D25" s="28">
        <f t="shared" ref="D25:D28" si="47">ROUND(D$23+33.6*$C25, 0)</f>
        <v>97</v>
      </c>
      <c r="E25" s="29">
        <f t="shared" ref="E25" si="48">E24</f>
        <v>380</v>
      </c>
      <c r="F25" s="28">
        <f t="shared" ref="F25:F28" si="49">ROUND(F$23+33.6*$C25, 0)</f>
        <v>131</v>
      </c>
      <c r="G25" s="29">
        <f t="shared" si="34"/>
        <v>406</v>
      </c>
      <c r="H25" s="4" t="s">
        <v>0</v>
      </c>
      <c r="I25" s="16" t="str">
        <f t="shared" si="15"/>
        <v>05-06</v>
      </c>
      <c r="J25" s="14">
        <f t="shared" si="16"/>
        <v>97</v>
      </c>
      <c r="K25" s="15">
        <f t="shared" si="17"/>
        <v>380</v>
      </c>
      <c r="L25" s="17">
        <f t="shared" si="18"/>
        <v>131</v>
      </c>
      <c r="M25" s="18">
        <f t="shared" si="19"/>
        <v>380</v>
      </c>
      <c r="N25" s="14">
        <f t="shared" si="20"/>
        <v>131</v>
      </c>
      <c r="O25" s="15">
        <f t="shared" si="21"/>
        <v>406</v>
      </c>
      <c r="P25" s="17">
        <f t="shared" si="22"/>
        <v>97</v>
      </c>
      <c r="Q25" s="18">
        <f t="shared" si="23"/>
        <v>406</v>
      </c>
      <c r="R25" s="4" t="s">
        <v>0</v>
      </c>
      <c r="S25" s="16" t="str">
        <f t="shared" si="24"/>
        <v>05-06</v>
      </c>
      <c r="T25" s="14">
        <f t="shared" si="25"/>
        <v>97</v>
      </c>
      <c r="U25" s="18">
        <f t="shared" si="26"/>
        <v>370</v>
      </c>
      <c r="V25" s="14">
        <f t="shared" si="27"/>
        <v>131</v>
      </c>
      <c r="W25" s="18">
        <f t="shared" si="28"/>
        <v>370</v>
      </c>
      <c r="X25" s="14">
        <f t="shared" si="29"/>
        <v>131</v>
      </c>
      <c r="Y25" s="18">
        <f t="shared" si="30"/>
        <v>344</v>
      </c>
      <c r="Z25" s="14">
        <f t="shared" si="31"/>
        <v>97</v>
      </c>
      <c r="AA25" s="18">
        <f t="shared" si="32"/>
        <v>344</v>
      </c>
      <c r="AB25" s="4" t="s">
        <v>0</v>
      </c>
    </row>
    <row r="26" spans="1:28">
      <c r="A26" s="9" t="s">
        <v>43</v>
      </c>
      <c r="B26" s="24"/>
      <c r="C26" s="26">
        <v>3</v>
      </c>
      <c r="D26" s="28">
        <f t="shared" si="47"/>
        <v>131</v>
      </c>
      <c r="E26" s="29">
        <f t="shared" ref="E26" si="50">E25</f>
        <v>380</v>
      </c>
      <c r="F26" s="28">
        <f t="shared" si="49"/>
        <v>165</v>
      </c>
      <c r="G26" s="29">
        <f t="shared" si="34"/>
        <v>406</v>
      </c>
      <c r="H26" s="4" t="s">
        <v>0</v>
      </c>
      <c r="I26" s="16" t="str">
        <f t="shared" si="15"/>
        <v>05-05</v>
      </c>
      <c r="J26" s="14">
        <f t="shared" si="16"/>
        <v>131</v>
      </c>
      <c r="K26" s="15">
        <f t="shared" si="17"/>
        <v>380</v>
      </c>
      <c r="L26" s="17">
        <f t="shared" si="18"/>
        <v>165</v>
      </c>
      <c r="M26" s="18">
        <f t="shared" si="19"/>
        <v>380</v>
      </c>
      <c r="N26" s="14">
        <f t="shared" si="20"/>
        <v>165</v>
      </c>
      <c r="O26" s="15">
        <f t="shared" si="21"/>
        <v>406</v>
      </c>
      <c r="P26" s="17">
        <f t="shared" si="22"/>
        <v>131</v>
      </c>
      <c r="Q26" s="18">
        <f t="shared" si="23"/>
        <v>406</v>
      </c>
      <c r="R26" s="4" t="s">
        <v>0</v>
      </c>
      <c r="S26" s="16" t="str">
        <f t="shared" si="24"/>
        <v>05-05</v>
      </c>
      <c r="T26" s="14">
        <f t="shared" si="25"/>
        <v>131</v>
      </c>
      <c r="U26" s="18">
        <f t="shared" si="26"/>
        <v>370</v>
      </c>
      <c r="V26" s="14">
        <f t="shared" si="27"/>
        <v>165</v>
      </c>
      <c r="W26" s="18">
        <f t="shared" si="28"/>
        <v>370</v>
      </c>
      <c r="X26" s="14">
        <f t="shared" si="29"/>
        <v>165</v>
      </c>
      <c r="Y26" s="18">
        <f t="shared" si="30"/>
        <v>344</v>
      </c>
      <c r="Z26" s="14">
        <f t="shared" si="31"/>
        <v>131</v>
      </c>
      <c r="AA26" s="18">
        <f t="shared" si="32"/>
        <v>344</v>
      </c>
      <c r="AB26" s="4" t="s">
        <v>0</v>
      </c>
    </row>
    <row r="27" spans="1:28">
      <c r="A27" s="9" t="s">
        <v>42</v>
      </c>
      <c r="B27" s="24"/>
      <c r="C27" s="26">
        <v>4</v>
      </c>
      <c r="D27" s="28">
        <f t="shared" si="47"/>
        <v>164</v>
      </c>
      <c r="E27" s="29">
        <f t="shared" ref="E27" si="51">E26</f>
        <v>380</v>
      </c>
      <c r="F27" s="28">
        <f t="shared" si="49"/>
        <v>198</v>
      </c>
      <c r="G27" s="29">
        <f t="shared" si="34"/>
        <v>406</v>
      </c>
      <c r="H27" s="4" t="s">
        <v>0</v>
      </c>
      <c r="I27" s="16" t="str">
        <f t="shared" si="15"/>
        <v>05-03</v>
      </c>
      <c r="J27" s="14">
        <f t="shared" si="16"/>
        <v>164</v>
      </c>
      <c r="K27" s="15">
        <f t="shared" si="17"/>
        <v>380</v>
      </c>
      <c r="L27" s="17">
        <f t="shared" si="18"/>
        <v>198</v>
      </c>
      <c r="M27" s="18">
        <f t="shared" si="19"/>
        <v>380</v>
      </c>
      <c r="N27" s="14">
        <f t="shared" si="20"/>
        <v>198</v>
      </c>
      <c r="O27" s="15">
        <f t="shared" si="21"/>
        <v>406</v>
      </c>
      <c r="P27" s="17">
        <f t="shared" si="22"/>
        <v>164</v>
      </c>
      <c r="Q27" s="18">
        <f t="shared" si="23"/>
        <v>406</v>
      </c>
      <c r="R27" s="4" t="s">
        <v>0</v>
      </c>
      <c r="S27" s="16" t="str">
        <f t="shared" si="24"/>
        <v>05-03</v>
      </c>
      <c r="T27" s="14">
        <f t="shared" si="25"/>
        <v>164</v>
      </c>
      <c r="U27" s="18">
        <f t="shared" si="26"/>
        <v>370</v>
      </c>
      <c r="V27" s="14">
        <f t="shared" si="27"/>
        <v>198</v>
      </c>
      <c r="W27" s="18">
        <f t="shared" si="28"/>
        <v>370</v>
      </c>
      <c r="X27" s="14">
        <f t="shared" si="29"/>
        <v>198</v>
      </c>
      <c r="Y27" s="18">
        <f t="shared" si="30"/>
        <v>344</v>
      </c>
      <c r="Z27" s="14">
        <f t="shared" si="31"/>
        <v>164</v>
      </c>
      <c r="AA27" s="18">
        <f t="shared" si="32"/>
        <v>344</v>
      </c>
      <c r="AB27" s="4" t="s">
        <v>0</v>
      </c>
    </row>
    <row r="28" spans="1:28">
      <c r="A28" s="9" t="s">
        <v>41</v>
      </c>
      <c r="B28" s="24"/>
      <c r="C28" s="26">
        <v>5</v>
      </c>
      <c r="D28" s="28">
        <f t="shared" si="47"/>
        <v>198</v>
      </c>
      <c r="E28" s="29">
        <f t="shared" ref="E28:E29" si="52">E27</f>
        <v>380</v>
      </c>
      <c r="F28" s="28">
        <f t="shared" si="49"/>
        <v>232</v>
      </c>
      <c r="G28" s="29">
        <f t="shared" si="34"/>
        <v>406</v>
      </c>
      <c r="H28" s="4" t="s">
        <v>0</v>
      </c>
      <c r="I28" s="16" t="str">
        <f t="shared" si="15"/>
        <v>05-02</v>
      </c>
      <c r="J28" s="14">
        <f t="shared" si="16"/>
        <v>198</v>
      </c>
      <c r="K28" s="15">
        <f t="shared" si="17"/>
        <v>380</v>
      </c>
      <c r="L28" s="17">
        <f t="shared" si="18"/>
        <v>232</v>
      </c>
      <c r="M28" s="18">
        <f t="shared" si="19"/>
        <v>380</v>
      </c>
      <c r="N28" s="14">
        <f t="shared" si="20"/>
        <v>232</v>
      </c>
      <c r="O28" s="15">
        <f t="shared" si="21"/>
        <v>406</v>
      </c>
      <c r="P28" s="17">
        <f t="shared" si="22"/>
        <v>198</v>
      </c>
      <c r="Q28" s="18">
        <f t="shared" si="23"/>
        <v>406</v>
      </c>
      <c r="R28" s="4" t="s">
        <v>0</v>
      </c>
      <c r="S28" s="16" t="str">
        <f t="shared" si="24"/>
        <v>05-02</v>
      </c>
      <c r="T28" s="14">
        <f t="shared" si="25"/>
        <v>198</v>
      </c>
      <c r="U28" s="18">
        <f t="shared" si="26"/>
        <v>370</v>
      </c>
      <c r="V28" s="14">
        <f t="shared" si="27"/>
        <v>232</v>
      </c>
      <c r="W28" s="18">
        <f t="shared" si="28"/>
        <v>370</v>
      </c>
      <c r="X28" s="14">
        <f t="shared" si="29"/>
        <v>232</v>
      </c>
      <c r="Y28" s="18">
        <f t="shared" si="30"/>
        <v>344</v>
      </c>
      <c r="Z28" s="14">
        <f t="shared" si="31"/>
        <v>198</v>
      </c>
      <c r="AA28" s="18">
        <f t="shared" si="32"/>
        <v>344</v>
      </c>
      <c r="AB28" s="4" t="s">
        <v>0</v>
      </c>
    </row>
    <row r="29" spans="1:28">
      <c r="A29" s="9" t="s">
        <v>40</v>
      </c>
      <c r="B29" s="24"/>
      <c r="C29" s="26"/>
      <c r="D29" s="27">
        <v>232</v>
      </c>
      <c r="E29" s="29">
        <f t="shared" si="52"/>
        <v>380</v>
      </c>
      <c r="F29" s="27">
        <v>282</v>
      </c>
      <c r="G29" s="29">
        <f t="shared" si="34"/>
        <v>406</v>
      </c>
      <c r="H29" s="4" t="s">
        <v>0</v>
      </c>
      <c r="I29" s="16" t="str">
        <f t="shared" si="15"/>
        <v>05-01</v>
      </c>
      <c r="J29" s="14">
        <f t="shared" si="16"/>
        <v>232</v>
      </c>
      <c r="K29" s="15">
        <f t="shared" si="17"/>
        <v>380</v>
      </c>
      <c r="L29" s="17">
        <f t="shared" si="18"/>
        <v>282</v>
      </c>
      <c r="M29" s="18">
        <f t="shared" si="19"/>
        <v>380</v>
      </c>
      <c r="N29" s="14">
        <f t="shared" si="20"/>
        <v>282</v>
      </c>
      <c r="O29" s="15">
        <f t="shared" si="21"/>
        <v>406</v>
      </c>
      <c r="P29" s="17">
        <f t="shared" si="22"/>
        <v>232</v>
      </c>
      <c r="Q29" s="18">
        <f t="shared" si="23"/>
        <v>406</v>
      </c>
      <c r="R29" s="4" t="s">
        <v>0</v>
      </c>
      <c r="S29" s="16" t="str">
        <f t="shared" si="24"/>
        <v>05-01</v>
      </c>
      <c r="T29" s="14">
        <f t="shared" si="25"/>
        <v>232</v>
      </c>
      <c r="U29" s="18">
        <f t="shared" si="26"/>
        <v>370</v>
      </c>
      <c r="V29" s="14">
        <f t="shared" si="27"/>
        <v>282</v>
      </c>
      <c r="W29" s="18">
        <f t="shared" si="28"/>
        <v>370</v>
      </c>
      <c r="X29" s="14">
        <f t="shared" si="29"/>
        <v>282</v>
      </c>
      <c r="Y29" s="18">
        <f t="shared" si="30"/>
        <v>344</v>
      </c>
      <c r="Z29" s="14">
        <f t="shared" si="31"/>
        <v>232</v>
      </c>
      <c r="AA29" s="18">
        <f t="shared" si="32"/>
        <v>344</v>
      </c>
      <c r="AB29" s="4" t="s">
        <v>0</v>
      </c>
    </row>
    <row r="30" spans="1:28">
      <c r="A30" s="9" t="s">
        <v>38</v>
      </c>
      <c r="B30" s="24"/>
      <c r="C30" s="26"/>
      <c r="D30" s="27">
        <v>30</v>
      </c>
      <c r="E30" s="31">
        <v>440</v>
      </c>
      <c r="F30" s="31">
        <v>59</v>
      </c>
      <c r="G30" s="31">
        <v>466</v>
      </c>
      <c r="H30" s="4" t="s">
        <v>0</v>
      </c>
      <c r="I30" s="16" t="str">
        <f t="shared" si="15"/>
        <v>03-11</v>
      </c>
      <c r="J30" s="14">
        <f t="shared" si="16"/>
        <v>30</v>
      </c>
      <c r="K30" s="15">
        <f t="shared" si="17"/>
        <v>440</v>
      </c>
      <c r="L30" s="17">
        <f t="shared" si="18"/>
        <v>59</v>
      </c>
      <c r="M30" s="18">
        <f t="shared" si="19"/>
        <v>440</v>
      </c>
      <c r="N30" s="14">
        <f t="shared" si="20"/>
        <v>59</v>
      </c>
      <c r="O30" s="15">
        <f t="shared" si="21"/>
        <v>466</v>
      </c>
      <c r="P30" s="17">
        <f t="shared" si="22"/>
        <v>30</v>
      </c>
      <c r="Q30" s="18">
        <f t="shared" si="23"/>
        <v>466</v>
      </c>
      <c r="R30" s="4" t="s">
        <v>0</v>
      </c>
      <c r="S30" s="16" t="str">
        <f t="shared" si="24"/>
        <v>03-11</v>
      </c>
      <c r="T30" s="14">
        <f t="shared" si="25"/>
        <v>30</v>
      </c>
      <c r="U30" s="18">
        <f t="shared" si="26"/>
        <v>310</v>
      </c>
      <c r="V30" s="14">
        <f t="shared" si="27"/>
        <v>59</v>
      </c>
      <c r="W30" s="18">
        <f t="shared" si="28"/>
        <v>310</v>
      </c>
      <c r="X30" s="14">
        <f t="shared" si="29"/>
        <v>59</v>
      </c>
      <c r="Y30" s="18">
        <f t="shared" si="30"/>
        <v>284</v>
      </c>
      <c r="Z30" s="14">
        <f t="shared" si="31"/>
        <v>30</v>
      </c>
      <c r="AA30" s="18">
        <f t="shared" si="32"/>
        <v>284</v>
      </c>
      <c r="AB30" s="4" t="s">
        <v>0</v>
      </c>
    </row>
    <row r="31" spans="1:28">
      <c r="A31" s="9" t="s">
        <v>37</v>
      </c>
      <c r="B31" s="24"/>
      <c r="C31" s="26">
        <v>1</v>
      </c>
      <c r="D31" s="28">
        <f>ROUND(D$30+28.8*$C31, 0)</f>
        <v>59</v>
      </c>
      <c r="E31" s="29">
        <f t="shared" ref="E31" si="53">E30</f>
        <v>440</v>
      </c>
      <c r="F31" s="28">
        <f>ROUND(F$30+28.8*$C31, 0)</f>
        <v>88</v>
      </c>
      <c r="G31" s="29">
        <f t="shared" ref="G31:G38" si="54">G30</f>
        <v>466</v>
      </c>
      <c r="H31" s="4" t="s">
        <v>0</v>
      </c>
      <c r="I31" s="16" t="str">
        <f t="shared" si="15"/>
        <v>03-10</v>
      </c>
      <c r="J31" s="14">
        <f t="shared" si="16"/>
        <v>59</v>
      </c>
      <c r="K31" s="15">
        <f t="shared" si="17"/>
        <v>440</v>
      </c>
      <c r="L31" s="17">
        <f t="shared" si="18"/>
        <v>88</v>
      </c>
      <c r="M31" s="18">
        <f t="shared" si="19"/>
        <v>440</v>
      </c>
      <c r="N31" s="14">
        <f t="shared" si="20"/>
        <v>88</v>
      </c>
      <c r="O31" s="15">
        <f t="shared" si="21"/>
        <v>466</v>
      </c>
      <c r="P31" s="17">
        <f t="shared" si="22"/>
        <v>59</v>
      </c>
      <c r="Q31" s="18">
        <f t="shared" si="23"/>
        <v>466</v>
      </c>
      <c r="R31" s="4" t="s">
        <v>0</v>
      </c>
      <c r="S31" s="16" t="str">
        <f t="shared" si="24"/>
        <v>03-10</v>
      </c>
      <c r="T31" s="14">
        <f t="shared" si="25"/>
        <v>59</v>
      </c>
      <c r="U31" s="18">
        <f t="shared" si="26"/>
        <v>310</v>
      </c>
      <c r="V31" s="14">
        <f t="shared" si="27"/>
        <v>88</v>
      </c>
      <c r="W31" s="18">
        <f t="shared" si="28"/>
        <v>310</v>
      </c>
      <c r="X31" s="14">
        <f t="shared" si="29"/>
        <v>88</v>
      </c>
      <c r="Y31" s="18">
        <f t="shared" si="30"/>
        <v>284</v>
      </c>
      <c r="Z31" s="14">
        <f t="shared" si="31"/>
        <v>59</v>
      </c>
      <c r="AA31" s="18">
        <f t="shared" si="32"/>
        <v>284</v>
      </c>
      <c r="AB31" s="4" t="s">
        <v>0</v>
      </c>
    </row>
    <row r="32" spans="1:28">
      <c r="A32" s="9" t="s">
        <v>36</v>
      </c>
      <c r="B32" s="24"/>
      <c r="C32" s="26">
        <v>2</v>
      </c>
      <c r="D32" s="28">
        <f t="shared" ref="D32:D37" si="55">ROUND(D$30+28.8*$C32, 0)</f>
        <v>88</v>
      </c>
      <c r="E32" s="29">
        <f t="shared" ref="E32" si="56">E31</f>
        <v>440</v>
      </c>
      <c r="F32" s="28">
        <f t="shared" ref="F32:F37" si="57">ROUND(F$30+28.8*$C32, 0)</f>
        <v>117</v>
      </c>
      <c r="G32" s="29">
        <f t="shared" si="54"/>
        <v>466</v>
      </c>
      <c r="H32" s="4" t="s">
        <v>0</v>
      </c>
      <c r="I32" s="16" t="str">
        <f t="shared" si="15"/>
        <v>03-08</v>
      </c>
      <c r="J32" s="14">
        <f t="shared" si="16"/>
        <v>88</v>
      </c>
      <c r="K32" s="15">
        <f t="shared" si="17"/>
        <v>440</v>
      </c>
      <c r="L32" s="17">
        <f t="shared" si="18"/>
        <v>117</v>
      </c>
      <c r="M32" s="18">
        <f t="shared" si="19"/>
        <v>440</v>
      </c>
      <c r="N32" s="14">
        <f t="shared" si="20"/>
        <v>117</v>
      </c>
      <c r="O32" s="15">
        <f t="shared" si="21"/>
        <v>466</v>
      </c>
      <c r="P32" s="17">
        <f t="shared" si="22"/>
        <v>88</v>
      </c>
      <c r="Q32" s="18">
        <f t="shared" si="23"/>
        <v>466</v>
      </c>
      <c r="R32" s="4" t="s">
        <v>0</v>
      </c>
      <c r="S32" s="16" t="str">
        <f t="shared" si="24"/>
        <v>03-08</v>
      </c>
      <c r="T32" s="14">
        <f t="shared" si="25"/>
        <v>88</v>
      </c>
      <c r="U32" s="18">
        <f t="shared" si="26"/>
        <v>310</v>
      </c>
      <c r="V32" s="14">
        <f t="shared" si="27"/>
        <v>117</v>
      </c>
      <c r="W32" s="18">
        <f t="shared" si="28"/>
        <v>310</v>
      </c>
      <c r="X32" s="14">
        <f t="shared" si="29"/>
        <v>117</v>
      </c>
      <c r="Y32" s="18">
        <f t="shared" si="30"/>
        <v>284</v>
      </c>
      <c r="Z32" s="14">
        <f t="shared" si="31"/>
        <v>88</v>
      </c>
      <c r="AA32" s="18">
        <f t="shared" si="32"/>
        <v>284</v>
      </c>
      <c r="AB32" s="4" t="s">
        <v>0</v>
      </c>
    </row>
    <row r="33" spans="1:28">
      <c r="A33" s="9" t="s">
        <v>35</v>
      </c>
      <c r="B33" s="24"/>
      <c r="C33" s="26">
        <v>3</v>
      </c>
      <c r="D33" s="28">
        <f t="shared" si="55"/>
        <v>116</v>
      </c>
      <c r="E33" s="29">
        <f t="shared" ref="E33" si="58">E32</f>
        <v>440</v>
      </c>
      <c r="F33" s="28">
        <f t="shared" si="57"/>
        <v>145</v>
      </c>
      <c r="G33" s="29">
        <f t="shared" si="54"/>
        <v>466</v>
      </c>
      <c r="H33" s="4" t="s">
        <v>0</v>
      </c>
      <c r="I33" s="16" t="str">
        <f t="shared" si="15"/>
        <v>03-07</v>
      </c>
      <c r="J33" s="14">
        <f t="shared" si="16"/>
        <v>116</v>
      </c>
      <c r="K33" s="15">
        <f t="shared" si="17"/>
        <v>440</v>
      </c>
      <c r="L33" s="17">
        <f t="shared" si="18"/>
        <v>145</v>
      </c>
      <c r="M33" s="18">
        <f t="shared" si="19"/>
        <v>440</v>
      </c>
      <c r="N33" s="14">
        <f t="shared" si="20"/>
        <v>145</v>
      </c>
      <c r="O33" s="15">
        <f t="shared" si="21"/>
        <v>466</v>
      </c>
      <c r="P33" s="17">
        <f t="shared" si="22"/>
        <v>116</v>
      </c>
      <c r="Q33" s="18">
        <f t="shared" si="23"/>
        <v>466</v>
      </c>
      <c r="R33" s="4" t="s">
        <v>0</v>
      </c>
      <c r="S33" s="16" t="str">
        <f t="shared" si="24"/>
        <v>03-07</v>
      </c>
      <c r="T33" s="14">
        <f t="shared" si="25"/>
        <v>116</v>
      </c>
      <c r="U33" s="18">
        <f t="shared" si="26"/>
        <v>310</v>
      </c>
      <c r="V33" s="14">
        <f t="shared" si="27"/>
        <v>145</v>
      </c>
      <c r="W33" s="18">
        <f t="shared" si="28"/>
        <v>310</v>
      </c>
      <c r="X33" s="14">
        <f t="shared" si="29"/>
        <v>145</v>
      </c>
      <c r="Y33" s="18">
        <f t="shared" si="30"/>
        <v>284</v>
      </c>
      <c r="Z33" s="14">
        <f t="shared" si="31"/>
        <v>116</v>
      </c>
      <c r="AA33" s="18">
        <f t="shared" si="32"/>
        <v>284</v>
      </c>
      <c r="AB33" s="4" t="s">
        <v>0</v>
      </c>
    </row>
    <row r="34" spans="1:28">
      <c r="A34" s="9" t="s">
        <v>34</v>
      </c>
      <c r="B34" s="24"/>
      <c r="C34" s="26">
        <v>4</v>
      </c>
      <c r="D34" s="28">
        <f t="shared" si="55"/>
        <v>145</v>
      </c>
      <c r="E34" s="29">
        <f t="shared" ref="E34" si="59">E33</f>
        <v>440</v>
      </c>
      <c r="F34" s="28">
        <f t="shared" si="57"/>
        <v>174</v>
      </c>
      <c r="G34" s="29">
        <f t="shared" si="54"/>
        <v>466</v>
      </c>
      <c r="H34" s="4" t="s">
        <v>0</v>
      </c>
      <c r="I34" s="16" t="str">
        <f t="shared" si="15"/>
        <v>03-06</v>
      </c>
      <c r="J34" s="14">
        <f t="shared" si="16"/>
        <v>145</v>
      </c>
      <c r="K34" s="15">
        <f t="shared" si="17"/>
        <v>440</v>
      </c>
      <c r="L34" s="17">
        <f t="shared" si="18"/>
        <v>174</v>
      </c>
      <c r="M34" s="18">
        <f t="shared" si="19"/>
        <v>440</v>
      </c>
      <c r="N34" s="14">
        <f t="shared" si="20"/>
        <v>174</v>
      </c>
      <c r="O34" s="15">
        <f t="shared" si="21"/>
        <v>466</v>
      </c>
      <c r="P34" s="17">
        <f t="shared" si="22"/>
        <v>145</v>
      </c>
      <c r="Q34" s="18">
        <f t="shared" si="23"/>
        <v>466</v>
      </c>
      <c r="R34" s="4" t="s">
        <v>0</v>
      </c>
      <c r="S34" s="16" t="str">
        <f t="shared" si="24"/>
        <v>03-06</v>
      </c>
      <c r="T34" s="14">
        <f t="shared" si="25"/>
        <v>145</v>
      </c>
      <c r="U34" s="18">
        <f t="shared" si="26"/>
        <v>310</v>
      </c>
      <c r="V34" s="14">
        <f t="shared" si="27"/>
        <v>174</v>
      </c>
      <c r="W34" s="18">
        <f t="shared" si="28"/>
        <v>310</v>
      </c>
      <c r="X34" s="14">
        <f t="shared" si="29"/>
        <v>174</v>
      </c>
      <c r="Y34" s="18">
        <f t="shared" si="30"/>
        <v>284</v>
      </c>
      <c r="Z34" s="14">
        <f t="shared" si="31"/>
        <v>145</v>
      </c>
      <c r="AA34" s="18">
        <f t="shared" si="32"/>
        <v>284</v>
      </c>
      <c r="AB34" s="4" t="s">
        <v>0</v>
      </c>
    </row>
    <row r="35" spans="1:28">
      <c r="A35" s="9" t="s">
        <v>33</v>
      </c>
      <c r="B35" s="24"/>
      <c r="C35" s="26">
        <v>5</v>
      </c>
      <c r="D35" s="28">
        <f t="shared" si="55"/>
        <v>174</v>
      </c>
      <c r="E35" s="29">
        <f t="shared" ref="E35:E38" si="60">E34</f>
        <v>440</v>
      </c>
      <c r="F35" s="28">
        <f t="shared" si="57"/>
        <v>203</v>
      </c>
      <c r="G35" s="29">
        <f t="shared" si="54"/>
        <v>466</v>
      </c>
      <c r="H35" s="4" t="s">
        <v>0</v>
      </c>
      <c r="I35" s="16" t="str">
        <f t="shared" si="15"/>
        <v>03-05</v>
      </c>
      <c r="J35" s="14">
        <f t="shared" si="16"/>
        <v>174</v>
      </c>
      <c r="K35" s="15">
        <f t="shared" si="17"/>
        <v>440</v>
      </c>
      <c r="L35" s="17">
        <f t="shared" si="18"/>
        <v>203</v>
      </c>
      <c r="M35" s="18">
        <f t="shared" si="19"/>
        <v>440</v>
      </c>
      <c r="N35" s="14">
        <f t="shared" si="20"/>
        <v>203</v>
      </c>
      <c r="O35" s="15">
        <f t="shared" si="21"/>
        <v>466</v>
      </c>
      <c r="P35" s="17">
        <f t="shared" si="22"/>
        <v>174</v>
      </c>
      <c r="Q35" s="18">
        <f t="shared" si="23"/>
        <v>466</v>
      </c>
      <c r="R35" s="4" t="s">
        <v>0</v>
      </c>
      <c r="S35" s="16" t="str">
        <f t="shared" si="24"/>
        <v>03-05</v>
      </c>
      <c r="T35" s="14">
        <f t="shared" si="25"/>
        <v>174</v>
      </c>
      <c r="U35" s="18">
        <f t="shared" si="26"/>
        <v>310</v>
      </c>
      <c r="V35" s="14">
        <f t="shared" si="27"/>
        <v>203</v>
      </c>
      <c r="W35" s="18">
        <f t="shared" si="28"/>
        <v>310</v>
      </c>
      <c r="X35" s="14">
        <f t="shared" si="29"/>
        <v>203</v>
      </c>
      <c r="Y35" s="18">
        <f t="shared" si="30"/>
        <v>284</v>
      </c>
      <c r="Z35" s="14">
        <f t="shared" si="31"/>
        <v>174</v>
      </c>
      <c r="AA35" s="18">
        <f t="shared" si="32"/>
        <v>284</v>
      </c>
      <c r="AB35" s="4" t="s">
        <v>0</v>
      </c>
    </row>
    <row r="36" spans="1:28">
      <c r="A36" s="9" t="s">
        <v>32</v>
      </c>
      <c r="B36" s="24"/>
      <c r="C36" s="26">
        <v>6</v>
      </c>
      <c r="D36" s="28">
        <f t="shared" si="55"/>
        <v>203</v>
      </c>
      <c r="E36" s="29">
        <f t="shared" ref="E36" si="61">E35</f>
        <v>440</v>
      </c>
      <c r="F36" s="28">
        <f t="shared" si="57"/>
        <v>232</v>
      </c>
      <c r="G36" s="29">
        <f t="shared" si="54"/>
        <v>466</v>
      </c>
      <c r="H36" s="4" t="s">
        <v>0</v>
      </c>
      <c r="I36" s="16" t="str">
        <f t="shared" si="15"/>
        <v>03-03</v>
      </c>
      <c r="J36" s="14">
        <f t="shared" si="16"/>
        <v>203</v>
      </c>
      <c r="K36" s="15">
        <f t="shared" si="17"/>
        <v>440</v>
      </c>
      <c r="L36" s="17">
        <f t="shared" si="18"/>
        <v>232</v>
      </c>
      <c r="M36" s="18">
        <f t="shared" si="19"/>
        <v>440</v>
      </c>
      <c r="N36" s="14">
        <f t="shared" si="20"/>
        <v>232</v>
      </c>
      <c r="O36" s="15">
        <f t="shared" si="21"/>
        <v>466</v>
      </c>
      <c r="P36" s="17">
        <f t="shared" si="22"/>
        <v>203</v>
      </c>
      <c r="Q36" s="18">
        <f t="shared" si="23"/>
        <v>466</v>
      </c>
      <c r="R36" s="4" t="s">
        <v>0</v>
      </c>
      <c r="S36" s="16" t="str">
        <f t="shared" si="24"/>
        <v>03-03</v>
      </c>
      <c r="T36" s="14">
        <f t="shared" si="25"/>
        <v>203</v>
      </c>
      <c r="U36" s="18">
        <f t="shared" si="26"/>
        <v>310</v>
      </c>
      <c r="V36" s="14">
        <f t="shared" si="27"/>
        <v>232</v>
      </c>
      <c r="W36" s="18">
        <f t="shared" si="28"/>
        <v>310</v>
      </c>
      <c r="X36" s="14">
        <f t="shared" si="29"/>
        <v>232</v>
      </c>
      <c r="Y36" s="18">
        <f t="shared" si="30"/>
        <v>284</v>
      </c>
      <c r="Z36" s="14">
        <f t="shared" si="31"/>
        <v>203</v>
      </c>
      <c r="AA36" s="18">
        <f t="shared" si="32"/>
        <v>284</v>
      </c>
      <c r="AB36" s="4" t="s">
        <v>0</v>
      </c>
    </row>
    <row r="37" spans="1:28">
      <c r="A37" s="9" t="s">
        <v>31</v>
      </c>
      <c r="B37" s="24"/>
      <c r="C37" s="26">
        <v>7</v>
      </c>
      <c r="D37" s="28">
        <f t="shared" si="55"/>
        <v>232</v>
      </c>
      <c r="E37" s="29">
        <f t="shared" si="60"/>
        <v>440</v>
      </c>
      <c r="F37" s="28">
        <f t="shared" si="57"/>
        <v>261</v>
      </c>
      <c r="G37" s="29">
        <f t="shared" si="54"/>
        <v>466</v>
      </c>
      <c r="H37" s="4" t="s">
        <v>0</v>
      </c>
      <c r="I37" s="16" t="str">
        <f t="shared" si="15"/>
        <v>03-02</v>
      </c>
      <c r="J37" s="14">
        <f t="shared" si="16"/>
        <v>232</v>
      </c>
      <c r="K37" s="15">
        <f t="shared" si="17"/>
        <v>440</v>
      </c>
      <c r="L37" s="17">
        <f t="shared" si="18"/>
        <v>261</v>
      </c>
      <c r="M37" s="18">
        <f t="shared" si="19"/>
        <v>440</v>
      </c>
      <c r="N37" s="14">
        <f t="shared" si="20"/>
        <v>261</v>
      </c>
      <c r="O37" s="15">
        <f t="shared" si="21"/>
        <v>466</v>
      </c>
      <c r="P37" s="17">
        <f t="shared" si="22"/>
        <v>232</v>
      </c>
      <c r="Q37" s="18">
        <f t="shared" si="23"/>
        <v>466</v>
      </c>
      <c r="R37" s="4" t="s">
        <v>0</v>
      </c>
      <c r="S37" s="16" t="str">
        <f t="shared" si="24"/>
        <v>03-02</v>
      </c>
      <c r="T37" s="14">
        <f t="shared" si="25"/>
        <v>232</v>
      </c>
      <c r="U37" s="18">
        <f t="shared" si="26"/>
        <v>310</v>
      </c>
      <c r="V37" s="14">
        <f t="shared" si="27"/>
        <v>261</v>
      </c>
      <c r="W37" s="18">
        <f t="shared" si="28"/>
        <v>310</v>
      </c>
      <c r="X37" s="14">
        <f t="shared" si="29"/>
        <v>261</v>
      </c>
      <c r="Y37" s="18">
        <f t="shared" si="30"/>
        <v>284</v>
      </c>
      <c r="Z37" s="14">
        <f t="shared" si="31"/>
        <v>232</v>
      </c>
      <c r="AA37" s="18">
        <f t="shared" si="32"/>
        <v>284</v>
      </c>
      <c r="AB37" s="4" t="s">
        <v>0</v>
      </c>
    </row>
    <row r="38" spans="1:28">
      <c r="A38" s="9" t="s">
        <v>30</v>
      </c>
      <c r="B38" s="24"/>
      <c r="C38" s="26"/>
      <c r="D38" s="27">
        <v>261</v>
      </c>
      <c r="E38" s="29">
        <f t="shared" si="60"/>
        <v>440</v>
      </c>
      <c r="F38" s="27">
        <v>311</v>
      </c>
      <c r="G38" s="29">
        <f t="shared" si="54"/>
        <v>466</v>
      </c>
      <c r="H38" s="4" t="s">
        <v>0</v>
      </c>
      <c r="I38" s="16" t="str">
        <f t="shared" si="15"/>
        <v>03-01</v>
      </c>
      <c r="J38" s="14">
        <f t="shared" si="16"/>
        <v>261</v>
      </c>
      <c r="K38" s="15">
        <f t="shared" si="17"/>
        <v>440</v>
      </c>
      <c r="L38" s="17">
        <f t="shared" si="18"/>
        <v>311</v>
      </c>
      <c r="M38" s="18">
        <f t="shared" si="19"/>
        <v>440</v>
      </c>
      <c r="N38" s="14">
        <f t="shared" si="20"/>
        <v>311</v>
      </c>
      <c r="O38" s="15">
        <f t="shared" si="21"/>
        <v>466</v>
      </c>
      <c r="P38" s="17">
        <f t="shared" si="22"/>
        <v>261</v>
      </c>
      <c r="Q38" s="18">
        <f t="shared" si="23"/>
        <v>466</v>
      </c>
      <c r="R38" s="4" t="s">
        <v>0</v>
      </c>
      <c r="S38" s="16" t="str">
        <f t="shared" si="24"/>
        <v>03-01</v>
      </c>
      <c r="T38" s="14">
        <f t="shared" si="25"/>
        <v>261</v>
      </c>
      <c r="U38" s="18">
        <f t="shared" si="26"/>
        <v>310</v>
      </c>
      <c r="V38" s="14">
        <f t="shared" si="27"/>
        <v>311</v>
      </c>
      <c r="W38" s="18">
        <f t="shared" si="28"/>
        <v>310</v>
      </c>
      <c r="X38" s="14">
        <f t="shared" si="29"/>
        <v>311</v>
      </c>
      <c r="Y38" s="18">
        <f t="shared" si="30"/>
        <v>284</v>
      </c>
      <c r="Z38" s="14">
        <f t="shared" si="31"/>
        <v>261</v>
      </c>
      <c r="AA38" s="18">
        <f t="shared" si="32"/>
        <v>284</v>
      </c>
      <c r="AB38" s="4" t="s">
        <v>0</v>
      </c>
    </row>
    <row r="39" spans="1:28">
      <c r="A39" s="9" t="s">
        <v>28</v>
      </c>
      <c r="B39" s="24"/>
      <c r="C39" s="26"/>
      <c r="D39" s="27">
        <v>30</v>
      </c>
      <c r="E39" s="31">
        <v>500</v>
      </c>
      <c r="F39" s="31">
        <v>59</v>
      </c>
      <c r="G39" s="31">
        <v>526</v>
      </c>
      <c r="H39" s="4" t="s">
        <v>0</v>
      </c>
      <c r="I39" s="16" t="str">
        <f t="shared" si="15"/>
        <v>02-11</v>
      </c>
      <c r="J39" s="14">
        <f t="shared" si="16"/>
        <v>30</v>
      </c>
      <c r="K39" s="15">
        <f t="shared" si="17"/>
        <v>500</v>
      </c>
      <c r="L39" s="17">
        <f t="shared" si="18"/>
        <v>59</v>
      </c>
      <c r="M39" s="18">
        <f t="shared" si="19"/>
        <v>500</v>
      </c>
      <c r="N39" s="14">
        <f t="shared" si="20"/>
        <v>59</v>
      </c>
      <c r="O39" s="15">
        <f t="shared" si="21"/>
        <v>526</v>
      </c>
      <c r="P39" s="17">
        <f t="shared" si="22"/>
        <v>30</v>
      </c>
      <c r="Q39" s="18">
        <f t="shared" si="23"/>
        <v>526</v>
      </c>
      <c r="R39" s="4" t="s">
        <v>0</v>
      </c>
      <c r="S39" s="16" t="str">
        <f t="shared" si="24"/>
        <v>02-11</v>
      </c>
      <c r="T39" s="14">
        <f t="shared" si="25"/>
        <v>30</v>
      </c>
      <c r="U39" s="18">
        <f t="shared" si="26"/>
        <v>250</v>
      </c>
      <c r="V39" s="14">
        <f t="shared" si="27"/>
        <v>59</v>
      </c>
      <c r="W39" s="18">
        <f t="shared" si="28"/>
        <v>250</v>
      </c>
      <c r="X39" s="14">
        <f t="shared" si="29"/>
        <v>59</v>
      </c>
      <c r="Y39" s="18">
        <f t="shared" si="30"/>
        <v>224</v>
      </c>
      <c r="Z39" s="14">
        <f t="shared" si="31"/>
        <v>30</v>
      </c>
      <c r="AA39" s="18">
        <f t="shared" si="32"/>
        <v>224</v>
      </c>
      <c r="AB39" s="4" t="s">
        <v>0</v>
      </c>
    </row>
    <row r="40" spans="1:28">
      <c r="A40" s="9" t="s">
        <v>27</v>
      </c>
      <c r="B40" s="24"/>
      <c r="C40" s="26">
        <v>1</v>
      </c>
      <c r="D40" s="28">
        <f>ROUND(D$39+28.8*$C40, 0)</f>
        <v>59</v>
      </c>
      <c r="E40" s="29">
        <f t="shared" ref="E40" si="62">E39</f>
        <v>500</v>
      </c>
      <c r="F40" s="28">
        <f>ROUND(F$39+28.8*$C40, 0)</f>
        <v>88</v>
      </c>
      <c r="G40" s="29">
        <f t="shared" ref="G40:G47" si="63">G39</f>
        <v>526</v>
      </c>
      <c r="H40" s="4" t="s">
        <v>0</v>
      </c>
      <c r="I40" s="16" t="str">
        <f t="shared" si="15"/>
        <v>02-10</v>
      </c>
      <c r="J40" s="14">
        <f t="shared" si="16"/>
        <v>59</v>
      </c>
      <c r="K40" s="15">
        <f t="shared" si="17"/>
        <v>500</v>
      </c>
      <c r="L40" s="17">
        <f t="shared" si="18"/>
        <v>88</v>
      </c>
      <c r="M40" s="18">
        <f t="shared" si="19"/>
        <v>500</v>
      </c>
      <c r="N40" s="14">
        <f t="shared" si="20"/>
        <v>88</v>
      </c>
      <c r="O40" s="15">
        <f t="shared" si="21"/>
        <v>526</v>
      </c>
      <c r="P40" s="17">
        <f t="shared" si="22"/>
        <v>59</v>
      </c>
      <c r="Q40" s="18">
        <f t="shared" si="23"/>
        <v>526</v>
      </c>
      <c r="R40" s="4" t="s">
        <v>0</v>
      </c>
      <c r="S40" s="16" t="str">
        <f t="shared" si="24"/>
        <v>02-10</v>
      </c>
      <c r="T40" s="14">
        <f t="shared" si="25"/>
        <v>59</v>
      </c>
      <c r="U40" s="18">
        <f t="shared" si="26"/>
        <v>250</v>
      </c>
      <c r="V40" s="14">
        <f t="shared" si="27"/>
        <v>88</v>
      </c>
      <c r="W40" s="18">
        <f t="shared" si="28"/>
        <v>250</v>
      </c>
      <c r="X40" s="14">
        <f t="shared" si="29"/>
        <v>88</v>
      </c>
      <c r="Y40" s="18">
        <f t="shared" si="30"/>
        <v>224</v>
      </c>
      <c r="Z40" s="14">
        <f t="shared" si="31"/>
        <v>59</v>
      </c>
      <c r="AA40" s="18">
        <f t="shared" si="32"/>
        <v>224</v>
      </c>
      <c r="AB40" s="4" t="s">
        <v>0</v>
      </c>
    </row>
    <row r="41" spans="1:28">
      <c r="A41" s="9" t="s">
        <v>26</v>
      </c>
      <c r="B41" s="24"/>
      <c r="C41" s="26">
        <v>2</v>
      </c>
      <c r="D41" s="28">
        <f t="shared" ref="D41:D46" si="64">ROUND(D$39+28.8*$C41, 0)</f>
        <v>88</v>
      </c>
      <c r="E41" s="29">
        <f t="shared" ref="E41" si="65">E40</f>
        <v>500</v>
      </c>
      <c r="F41" s="28">
        <f t="shared" ref="F41:F46" si="66">ROUND(F$39+28.8*$C41, 0)</f>
        <v>117</v>
      </c>
      <c r="G41" s="29">
        <f t="shared" si="63"/>
        <v>526</v>
      </c>
      <c r="H41" s="4" t="s">
        <v>0</v>
      </c>
      <c r="I41" s="16" t="str">
        <f t="shared" si="15"/>
        <v>02-08</v>
      </c>
      <c r="J41" s="14">
        <f t="shared" si="16"/>
        <v>88</v>
      </c>
      <c r="K41" s="15">
        <f t="shared" si="17"/>
        <v>500</v>
      </c>
      <c r="L41" s="17">
        <f t="shared" si="18"/>
        <v>117</v>
      </c>
      <c r="M41" s="18">
        <f t="shared" si="19"/>
        <v>500</v>
      </c>
      <c r="N41" s="14">
        <f t="shared" si="20"/>
        <v>117</v>
      </c>
      <c r="O41" s="15">
        <f t="shared" si="21"/>
        <v>526</v>
      </c>
      <c r="P41" s="17">
        <f t="shared" si="22"/>
        <v>88</v>
      </c>
      <c r="Q41" s="18">
        <f t="shared" si="23"/>
        <v>526</v>
      </c>
      <c r="R41" s="4" t="s">
        <v>0</v>
      </c>
      <c r="S41" s="16" t="str">
        <f t="shared" si="24"/>
        <v>02-08</v>
      </c>
      <c r="T41" s="14">
        <f t="shared" si="25"/>
        <v>88</v>
      </c>
      <c r="U41" s="18">
        <f t="shared" si="26"/>
        <v>250</v>
      </c>
      <c r="V41" s="14">
        <f t="shared" si="27"/>
        <v>117</v>
      </c>
      <c r="W41" s="18">
        <f t="shared" si="28"/>
        <v>250</v>
      </c>
      <c r="X41" s="14">
        <f t="shared" si="29"/>
        <v>117</v>
      </c>
      <c r="Y41" s="18">
        <f t="shared" si="30"/>
        <v>224</v>
      </c>
      <c r="Z41" s="14">
        <f t="shared" si="31"/>
        <v>88</v>
      </c>
      <c r="AA41" s="18">
        <f t="shared" si="32"/>
        <v>224</v>
      </c>
      <c r="AB41" s="4" t="s">
        <v>0</v>
      </c>
    </row>
    <row r="42" spans="1:28">
      <c r="A42" s="9" t="s">
        <v>25</v>
      </c>
      <c r="B42" s="24"/>
      <c r="C42" s="26">
        <v>3</v>
      </c>
      <c r="D42" s="28">
        <f t="shared" si="64"/>
        <v>116</v>
      </c>
      <c r="E42" s="29">
        <f t="shared" ref="E42" si="67">E41</f>
        <v>500</v>
      </c>
      <c r="F42" s="28">
        <f t="shared" si="66"/>
        <v>145</v>
      </c>
      <c r="G42" s="29">
        <f t="shared" si="63"/>
        <v>526</v>
      </c>
      <c r="H42" s="4" t="s">
        <v>0</v>
      </c>
      <c r="I42" s="16" t="str">
        <f t="shared" si="15"/>
        <v>02-07</v>
      </c>
      <c r="J42" s="14">
        <f t="shared" si="16"/>
        <v>116</v>
      </c>
      <c r="K42" s="15">
        <f t="shared" si="17"/>
        <v>500</v>
      </c>
      <c r="L42" s="17">
        <f t="shared" si="18"/>
        <v>145</v>
      </c>
      <c r="M42" s="18">
        <f t="shared" si="19"/>
        <v>500</v>
      </c>
      <c r="N42" s="14">
        <f t="shared" si="20"/>
        <v>145</v>
      </c>
      <c r="O42" s="15">
        <f t="shared" si="21"/>
        <v>526</v>
      </c>
      <c r="P42" s="17">
        <f t="shared" si="22"/>
        <v>116</v>
      </c>
      <c r="Q42" s="18">
        <f t="shared" si="23"/>
        <v>526</v>
      </c>
      <c r="R42" s="4" t="s">
        <v>0</v>
      </c>
      <c r="S42" s="16" t="str">
        <f t="shared" si="24"/>
        <v>02-07</v>
      </c>
      <c r="T42" s="14">
        <f t="shared" si="25"/>
        <v>116</v>
      </c>
      <c r="U42" s="18">
        <f t="shared" si="26"/>
        <v>250</v>
      </c>
      <c r="V42" s="14">
        <f t="shared" si="27"/>
        <v>145</v>
      </c>
      <c r="W42" s="18">
        <f t="shared" si="28"/>
        <v>250</v>
      </c>
      <c r="X42" s="14">
        <f t="shared" si="29"/>
        <v>145</v>
      </c>
      <c r="Y42" s="18">
        <f t="shared" si="30"/>
        <v>224</v>
      </c>
      <c r="Z42" s="14">
        <f t="shared" si="31"/>
        <v>116</v>
      </c>
      <c r="AA42" s="18">
        <f t="shared" si="32"/>
        <v>224</v>
      </c>
      <c r="AB42" s="4" t="s">
        <v>0</v>
      </c>
    </row>
    <row r="43" spans="1:28">
      <c r="A43" s="9" t="s">
        <v>24</v>
      </c>
      <c r="B43" s="24"/>
      <c r="C43" s="26">
        <v>4</v>
      </c>
      <c r="D43" s="28">
        <f t="shared" si="64"/>
        <v>145</v>
      </c>
      <c r="E43" s="29">
        <f t="shared" ref="E43" si="68">E42</f>
        <v>500</v>
      </c>
      <c r="F43" s="28">
        <f t="shared" si="66"/>
        <v>174</v>
      </c>
      <c r="G43" s="29">
        <f t="shared" si="63"/>
        <v>526</v>
      </c>
      <c r="H43" s="4" t="s">
        <v>0</v>
      </c>
      <c r="I43" s="16" t="str">
        <f t="shared" si="15"/>
        <v>02-06</v>
      </c>
      <c r="J43" s="14">
        <f t="shared" si="16"/>
        <v>145</v>
      </c>
      <c r="K43" s="15">
        <f t="shared" si="17"/>
        <v>500</v>
      </c>
      <c r="L43" s="17">
        <f t="shared" si="18"/>
        <v>174</v>
      </c>
      <c r="M43" s="18">
        <f t="shared" si="19"/>
        <v>500</v>
      </c>
      <c r="N43" s="14">
        <f t="shared" si="20"/>
        <v>174</v>
      </c>
      <c r="O43" s="15">
        <f t="shared" si="21"/>
        <v>526</v>
      </c>
      <c r="P43" s="17">
        <f t="shared" si="22"/>
        <v>145</v>
      </c>
      <c r="Q43" s="18">
        <f t="shared" si="23"/>
        <v>526</v>
      </c>
      <c r="R43" s="4" t="s">
        <v>0</v>
      </c>
      <c r="S43" s="16" t="str">
        <f t="shared" si="24"/>
        <v>02-06</v>
      </c>
      <c r="T43" s="14">
        <f t="shared" si="25"/>
        <v>145</v>
      </c>
      <c r="U43" s="18">
        <f t="shared" si="26"/>
        <v>250</v>
      </c>
      <c r="V43" s="14">
        <f t="shared" si="27"/>
        <v>174</v>
      </c>
      <c r="W43" s="18">
        <f t="shared" si="28"/>
        <v>250</v>
      </c>
      <c r="X43" s="14">
        <f t="shared" si="29"/>
        <v>174</v>
      </c>
      <c r="Y43" s="18">
        <f t="shared" si="30"/>
        <v>224</v>
      </c>
      <c r="Z43" s="14">
        <f t="shared" si="31"/>
        <v>145</v>
      </c>
      <c r="AA43" s="18">
        <f t="shared" si="32"/>
        <v>224</v>
      </c>
      <c r="AB43" s="4" t="s">
        <v>0</v>
      </c>
    </row>
    <row r="44" spans="1:28">
      <c r="A44" s="9" t="s">
        <v>23</v>
      </c>
      <c r="B44" s="24"/>
      <c r="C44" s="26">
        <v>5</v>
      </c>
      <c r="D44" s="28">
        <f t="shared" si="64"/>
        <v>174</v>
      </c>
      <c r="E44" s="29">
        <f t="shared" ref="E44" si="69">E43</f>
        <v>500</v>
      </c>
      <c r="F44" s="28">
        <f t="shared" si="66"/>
        <v>203</v>
      </c>
      <c r="G44" s="29">
        <f t="shared" si="63"/>
        <v>526</v>
      </c>
      <c r="H44" s="4" t="s">
        <v>0</v>
      </c>
      <c r="I44" s="16" t="str">
        <f t="shared" si="15"/>
        <v>02-05</v>
      </c>
      <c r="J44" s="14">
        <f t="shared" si="16"/>
        <v>174</v>
      </c>
      <c r="K44" s="15">
        <f t="shared" si="17"/>
        <v>500</v>
      </c>
      <c r="L44" s="17">
        <f t="shared" si="18"/>
        <v>203</v>
      </c>
      <c r="M44" s="18">
        <f t="shared" si="19"/>
        <v>500</v>
      </c>
      <c r="N44" s="14">
        <f t="shared" si="20"/>
        <v>203</v>
      </c>
      <c r="O44" s="15">
        <f t="shared" si="21"/>
        <v>526</v>
      </c>
      <c r="P44" s="17">
        <f t="shared" si="22"/>
        <v>174</v>
      </c>
      <c r="Q44" s="18">
        <f t="shared" si="23"/>
        <v>526</v>
      </c>
      <c r="R44" s="4" t="s">
        <v>0</v>
      </c>
      <c r="S44" s="16" t="str">
        <f t="shared" si="24"/>
        <v>02-05</v>
      </c>
      <c r="T44" s="14">
        <f t="shared" si="25"/>
        <v>174</v>
      </c>
      <c r="U44" s="18">
        <f t="shared" si="26"/>
        <v>250</v>
      </c>
      <c r="V44" s="14">
        <f t="shared" si="27"/>
        <v>203</v>
      </c>
      <c r="W44" s="18">
        <f t="shared" si="28"/>
        <v>250</v>
      </c>
      <c r="X44" s="14">
        <f t="shared" si="29"/>
        <v>203</v>
      </c>
      <c r="Y44" s="18">
        <f t="shared" si="30"/>
        <v>224</v>
      </c>
      <c r="Z44" s="14">
        <f t="shared" si="31"/>
        <v>174</v>
      </c>
      <c r="AA44" s="18">
        <f t="shared" si="32"/>
        <v>224</v>
      </c>
      <c r="AB44" s="4" t="s">
        <v>0</v>
      </c>
    </row>
    <row r="45" spans="1:28">
      <c r="A45" s="9" t="s">
        <v>22</v>
      </c>
      <c r="B45" s="24"/>
      <c r="C45" s="26">
        <v>6</v>
      </c>
      <c r="D45" s="28">
        <f t="shared" si="64"/>
        <v>203</v>
      </c>
      <c r="E45" s="29">
        <f t="shared" ref="E45:E47" si="70">E44</f>
        <v>500</v>
      </c>
      <c r="F45" s="28">
        <f t="shared" si="66"/>
        <v>232</v>
      </c>
      <c r="G45" s="29">
        <f t="shared" si="63"/>
        <v>526</v>
      </c>
      <c r="H45" s="4" t="s">
        <v>0</v>
      </c>
      <c r="I45" s="16" t="str">
        <f t="shared" si="15"/>
        <v>02-03</v>
      </c>
      <c r="J45" s="14">
        <f t="shared" si="16"/>
        <v>203</v>
      </c>
      <c r="K45" s="15">
        <f t="shared" si="17"/>
        <v>500</v>
      </c>
      <c r="L45" s="17">
        <f t="shared" si="18"/>
        <v>232</v>
      </c>
      <c r="M45" s="18">
        <f t="shared" si="19"/>
        <v>500</v>
      </c>
      <c r="N45" s="14">
        <f t="shared" si="20"/>
        <v>232</v>
      </c>
      <c r="O45" s="15">
        <f t="shared" si="21"/>
        <v>526</v>
      </c>
      <c r="P45" s="17">
        <f t="shared" si="22"/>
        <v>203</v>
      </c>
      <c r="Q45" s="18">
        <f t="shared" si="23"/>
        <v>526</v>
      </c>
      <c r="R45" s="4" t="s">
        <v>0</v>
      </c>
      <c r="S45" s="16" t="str">
        <f t="shared" si="24"/>
        <v>02-03</v>
      </c>
      <c r="T45" s="14">
        <f t="shared" si="25"/>
        <v>203</v>
      </c>
      <c r="U45" s="18">
        <f t="shared" si="26"/>
        <v>250</v>
      </c>
      <c r="V45" s="14">
        <f t="shared" si="27"/>
        <v>232</v>
      </c>
      <c r="W45" s="18">
        <f t="shared" si="28"/>
        <v>250</v>
      </c>
      <c r="X45" s="14">
        <f t="shared" si="29"/>
        <v>232</v>
      </c>
      <c r="Y45" s="18">
        <f t="shared" si="30"/>
        <v>224</v>
      </c>
      <c r="Z45" s="14">
        <f t="shared" si="31"/>
        <v>203</v>
      </c>
      <c r="AA45" s="18">
        <f t="shared" si="32"/>
        <v>224</v>
      </c>
      <c r="AB45" s="4" t="s">
        <v>0</v>
      </c>
    </row>
    <row r="46" spans="1:28">
      <c r="A46" s="9" t="s">
        <v>21</v>
      </c>
      <c r="B46" s="24"/>
      <c r="C46" s="26">
        <v>7</v>
      </c>
      <c r="D46" s="28">
        <f t="shared" si="64"/>
        <v>232</v>
      </c>
      <c r="E46" s="29">
        <f t="shared" ref="E46" si="71">E45</f>
        <v>500</v>
      </c>
      <c r="F46" s="28">
        <f t="shared" si="66"/>
        <v>261</v>
      </c>
      <c r="G46" s="29">
        <f t="shared" si="63"/>
        <v>526</v>
      </c>
      <c r="H46" s="4" t="s">
        <v>0</v>
      </c>
      <c r="I46" s="16" t="str">
        <f t="shared" si="15"/>
        <v>02-02</v>
      </c>
      <c r="J46" s="14">
        <f t="shared" si="16"/>
        <v>232</v>
      </c>
      <c r="K46" s="15">
        <f t="shared" si="17"/>
        <v>500</v>
      </c>
      <c r="L46" s="17">
        <f t="shared" si="18"/>
        <v>261</v>
      </c>
      <c r="M46" s="18">
        <f t="shared" si="19"/>
        <v>500</v>
      </c>
      <c r="N46" s="14">
        <f t="shared" si="20"/>
        <v>261</v>
      </c>
      <c r="O46" s="15">
        <f t="shared" si="21"/>
        <v>526</v>
      </c>
      <c r="P46" s="17">
        <f t="shared" si="22"/>
        <v>232</v>
      </c>
      <c r="Q46" s="18">
        <f t="shared" si="23"/>
        <v>526</v>
      </c>
      <c r="R46" s="4" t="s">
        <v>0</v>
      </c>
      <c r="S46" s="16" t="str">
        <f t="shared" si="24"/>
        <v>02-02</v>
      </c>
      <c r="T46" s="14">
        <f t="shared" si="25"/>
        <v>232</v>
      </c>
      <c r="U46" s="18">
        <f t="shared" si="26"/>
        <v>250</v>
      </c>
      <c r="V46" s="14">
        <f t="shared" si="27"/>
        <v>261</v>
      </c>
      <c r="W46" s="18">
        <f t="shared" si="28"/>
        <v>250</v>
      </c>
      <c r="X46" s="14">
        <f t="shared" si="29"/>
        <v>261</v>
      </c>
      <c r="Y46" s="18">
        <f t="shared" si="30"/>
        <v>224</v>
      </c>
      <c r="Z46" s="14">
        <f t="shared" si="31"/>
        <v>232</v>
      </c>
      <c r="AA46" s="18">
        <f t="shared" si="32"/>
        <v>224</v>
      </c>
      <c r="AB46" s="4" t="s">
        <v>0</v>
      </c>
    </row>
    <row r="47" spans="1:28">
      <c r="A47" s="9" t="s">
        <v>20</v>
      </c>
      <c r="B47" s="24"/>
      <c r="C47" s="26">
        <v>8</v>
      </c>
      <c r="D47" s="27">
        <v>261</v>
      </c>
      <c r="E47" s="29">
        <f t="shared" si="70"/>
        <v>500</v>
      </c>
      <c r="F47" s="27">
        <v>291</v>
      </c>
      <c r="G47" s="29">
        <f t="shared" si="63"/>
        <v>526</v>
      </c>
      <c r="H47" s="4" t="s">
        <v>0</v>
      </c>
      <c r="I47" s="16" t="str">
        <f t="shared" si="15"/>
        <v>02-01</v>
      </c>
      <c r="J47" s="14">
        <f t="shared" si="16"/>
        <v>261</v>
      </c>
      <c r="K47" s="15">
        <f t="shared" si="17"/>
        <v>500</v>
      </c>
      <c r="L47" s="17">
        <f t="shared" si="18"/>
        <v>291</v>
      </c>
      <c r="M47" s="18">
        <f t="shared" si="19"/>
        <v>500</v>
      </c>
      <c r="N47" s="14">
        <f t="shared" si="20"/>
        <v>291</v>
      </c>
      <c r="O47" s="15">
        <f t="shared" si="21"/>
        <v>526</v>
      </c>
      <c r="P47" s="17">
        <f t="shared" si="22"/>
        <v>261</v>
      </c>
      <c r="Q47" s="18">
        <f t="shared" si="23"/>
        <v>526</v>
      </c>
      <c r="R47" s="4" t="s">
        <v>0</v>
      </c>
      <c r="S47" s="16" t="str">
        <f t="shared" si="24"/>
        <v>02-01</v>
      </c>
      <c r="T47" s="14">
        <f t="shared" si="25"/>
        <v>261</v>
      </c>
      <c r="U47" s="18">
        <f t="shared" si="26"/>
        <v>250</v>
      </c>
      <c r="V47" s="14">
        <f t="shared" si="27"/>
        <v>291</v>
      </c>
      <c r="W47" s="18">
        <f t="shared" si="28"/>
        <v>250</v>
      </c>
      <c r="X47" s="14">
        <f t="shared" si="29"/>
        <v>291</v>
      </c>
      <c r="Y47" s="18">
        <f t="shared" si="30"/>
        <v>224</v>
      </c>
      <c r="Z47" s="14">
        <f t="shared" si="31"/>
        <v>261</v>
      </c>
      <c r="AA47" s="18">
        <f t="shared" si="32"/>
        <v>224</v>
      </c>
      <c r="AB47" s="4" t="s">
        <v>0</v>
      </c>
    </row>
    <row r="48" spans="1:28">
      <c r="A48" s="9" t="s">
        <v>10</v>
      </c>
      <c r="B48" s="24"/>
      <c r="C48" s="26"/>
      <c r="D48" s="27">
        <v>30</v>
      </c>
      <c r="E48" s="31">
        <v>560</v>
      </c>
      <c r="F48" s="31">
        <v>59</v>
      </c>
      <c r="G48" s="31">
        <v>586</v>
      </c>
      <c r="H48" s="4" t="s">
        <v>0</v>
      </c>
      <c r="I48" s="16" t="str">
        <f t="shared" si="15"/>
        <v>01-11</v>
      </c>
      <c r="J48" s="14">
        <f t="shared" si="16"/>
        <v>30</v>
      </c>
      <c r="K48" s="15">
        <f t="shared" si="17"/>
        <v>560</v>
      </c>
      <c r="L48" s="17">
        <f t="shared" si="18"/>
        <v>59</v>
      </c>
      <c r="M48" s="18">
        <f t="shared" si="19"/>
        <v>560</v>
      </c>
      <c r="N48" s="14">
        <f t="shared" si="20"/>
        <v>59</v>
      </c>
      <c r="O48" s="15">
        <f t="shared" si="21"/>
        <v>586</v>
      </c>
      <c r="P48" s="17">
        <f t="shared" si="22"/>
        <v>30</v>
      </c>
      <c r="Q48" s="18">
        <f t="shared" si="23"/>
        <v>586</v>
      </c>
      <c r="R48" s="4" t="s">
        <v>0</v>
      </c>
      <c r="S48" s="16" t="str">
        <f t="shared" si="24"/>
        <v>01-11</v>
      </c>
      <c r="T48" s="14">
        <f t="shared" si="25"/>
        <v>30</v>
      </c>
      <c r="U48" s="18">
        <f t="shared" si="26"/>
        <v>190</v>
      </c>
      <c r="V48" s="14">
        <f t="shared" si="27"/>
        <v>59</v>
      </c>
      <c r="W48" s="18">
        <f t="shared" si="28"/>
        <v>190</v>
      </c>
      <c r="X48" s="14">
        <f t="shared" si="29"/>
        <v>59</v>
      </c>
      <c r="Y48" s="18">
        <f t="shared" si="30"/>
        <v>164</v>
      </c>
      <c r="Z48" s="14">
        <f t="shared" si="31"/>
        <v>30</v>
      </c>
      <c r="AA48" s="18">
        <f t="shared" si="32"/>
        <v>164</v>
      </c>
      <c r="AB48" s="4" t="s">
        <v>0</v>
      </c>
    </row>
    <row r="49" spans="1:28">
      <c r="A49" s="9" t="s">
        <v>9</v>
      </c>
      <c r="B49" s="24"/>
      <c r="C49" s="26">
        <v>1</v>
      </c>
      <c r="D49" s="28">
        <f>ROUND(D$48+28.8*$C49, 0)</f>
        <v>59</v>
      </c>
      <c r="E49" s="29">
        <f t="shared" ref="E49" si="72">E48</f>
        <v>560</v>
      </c>
      <c r="F49" s="28">
        <f>ROUND(F$48+28.8*$C49, 0)</f>
        <v>88</v>
      </c>
      <c r="G49" s="29">
        <f t="shared" ref="G49:G56" si="73">G48</f>
        <v>586</v>
      </c>
      <c r="H49" s="4" t="s">
        <v>0</v>
      </c>
      <c r="I49" s="16" t="str">
        <f t="shared" si="15"/>
        <v>01-10</v>
      </c>
      <c r="J49" s="14">
        <f t="shared" si="16"/>
        <v>59</v>
      </c>
      <c r="K49" s="15">
        <f t="shared" si="17"/>
        <v>560</v>
      </c>
      <c r="L49" s="17">
        <f t="shared" si="18"/>
        <v>88</v>
      </c>
      <c r="M49" s="18">
        <f t="shared" si="19"/>
        <v>560</v>
      </c>
      <c r="N49" s="14">
        <f t="shared" si="20"/>
        <v>88</v>
      </c>
      <c r="O49" s="15">
        <f t="shared" si="21"/>
        <v>586</v>
      </c>
      <c r="P49" s="17">
        <f t="shared" si="22"/>
        <v>59</v>
      </c>
      <c r="Q49" s="18">
        <f t="shared" si="23"/>
        <v>586</v>
      </c>
      <c r="R49" s="4" t="s">
        <v>0</v>
      </c>
      <c r="S49" s="16" t="str">
        <f t="shared" si="24"/>
        <v>01-10</v>
      </c>
      <c r="T49" s="14">
        <f t="shared" si="25"/>
        <v>59</v>
      </c>
      <c r="U49" s="18">
        <f t="shared" si="26"/>
        <v>190</v>
      </c>
      <c r="V49" s="14">
        <f t="shared" si="27"/>
        <v>88</v>
      </c>
      <c r="W49" s="18">
        <f t="shared" si="28"/>
        <v>190</v>
      </c>
      <c r="X49" s="14">
        <f t="shared" si="29"/>
        <v>88</v>
      </c>
      <c r="Y49" s="18">
        <f t="shared" si="30"/>
        <v>164</v>
      </c>
      <c r="Z49" s="14">
        <f t="shared" si="31"/>
        <v>59</v>
      </c>
      <c r="AA49" s="18">
        <f t="shared" si="32"/>
        <v>164</v>
      </c>
      <c r="AB49" s="4" t="s">
        <v>0</v>
      </c>
    </row>
    <row r="50" spans="1:28">
      <c r="A50" s="9" t="s">
        <v>8</v>
      </c>
      <c r="B50" s="24"/>
      <c r="C50" s="26">
        <v>2</v>
      </c>
      <c r="D50" s="28">
        <f t="shared" ref="D50:D55" si="74">ROUND(D$48+28.8*$C50, 0)</f>
        <v>88</v>
      </c>
      <c r="E50" s="29">
        <f t="shared" ref="E50" si="75">E49</f>
        <v>560</v>
      </c>
      <c r="F50" s="28">
        <f t="shared" ref="F50:F55" si="76">ROUND(F$48+28.8*$C50, 0)</f>
        <v>117</v>
      </c>
      <c r="G50" s="29">
        <f t="shared" si="73"/>
        <v>586</v>
      </c>
      <c r="H50" s="4" t="s">
        <v>0</v>
      </c>
      <c r="I50" s="16" t="str">
        <f t="shared" si="15"/>
        <v>01-08</v>
      </c>
      <c r="J50" s="14">
        <f t="shared" si="16"/>
        <v>88</v>
      </c>
      <c r="K50" s="15">
        <f t="shared" si="17"/>
        <v>560</v>
      </c>
      <c r="L50" s="17">
        <f t="shared" si="18"/>
        <v>117</v>
      </c>
      <c r="M50" s="18">
        <f t="shared" si="19"/>
        <v>560</v>
      </c>
      <c r="N50" s="14">
        <f t="shared" si="20"/>
        <v>117</v>
      </c>
      <c r="O50" s="15">
        <f t="shared" si="21"/>
        <v>586</v>
      </c>
      <c r="P50" s="17">
        <f t="shared" si="22"/>
        <v>88</v>
      </c>
      <c r="Q50" s="18">
        <f t="shared" si="23"/>
        <v>586</v>
      </c>
      <c r="R50" s="4" t="s">
        <v>0</v>
      </c>
      <c r="S50" s="16" t="str">
        <f t="shared" si="24"/>
        <v>01-08</v>
      </c>
      <c r="T50" s="14">
        <f t="shared" si="25"/>
        <v>88</v>
      </c>
      <c r="U50" s="18">
        <f t="shared" si="26"/>
        <v>190</v>
      </c>
      <c r="V50" s="14">
        <f t="shared" si="27"/>
        <v>117</v>
      </c>
      <c r="W50" s="18">
        <f t="shared" si="28"/>
        <v>190</v>
      </c>
      <c r="X50" s="14">
        <f t="shared" si="29"/>
        <v>117</v>
      </c>
      <c r="Y50" s="18">
        <f t="shared" si="30"/>
        <v>164</v>
      </c>
      <c r="Z50" s="14">
        <f t="shared" si="31"/>
        <v>88</v>
      </c>
      <c r="AA50" s="18">
        <f t="shared" si="32"/>
        <v>164</v>
      </c>
      <c r="AB50" s="4" t="s">
        <v>0</v>
      </c>
    </row>
    <row r="51" spans="1:28">
      <c r="A51" s="9" t="s">
        <v>7</v>
      </c>
      <c r="B51" s="24"/>
      <c r="C51" s="26">
        <v>3</v>
      </c>
      <c r="D51" s="28">
        <f t="shared" si="74"/>
        <v>116</v>
      </c>
      <c r="E51" s="29">
        <f t="shared" ref="E51" si="77">E50</f>
        <v>560</v>
      </c>
      <c r="F51" s="28">
        <f t="shared" si="76"/>
        <v>145</v>
      </c>
      <c r="G51" s="29">
        <f t="shared" si="73"/>
        <v>586</v>
      </c>
      <c r="H51" s="4" t="s">
        <v>0</v>
      </c>
      <c r="I51" s="16" t="str">
        <f t="shared" si="15"/>
        <v>01-07</v>
      </c>
      <c r="J51" s="14">
        <f t="shared" si="16"/>
        <v>116</v>
      </c>
      <c r="K51" s="15">
        <f t="shared" si="17"/>
        <v>560</v>
      </c>
      <c r="L51" s="17">
        <f t="shared" si="18"/>
        <v>145</v>
      </c>
      <c r="M51" s="18">
        <f t="shared" si="19"/>
        <v>560</v>
      </c>
      <c r="N51" s="14">
        <f t="shared" si="20"/>
        <v>145</v>
      </c>
      <c r="O51" s="15">
        <f t="shared" si="21"/>
        <v>586</v>
      </c>
      <c r="P51" s="17">
        <f t="shared" si="22"/>
        <v>116</v>
      </c>
      <c r="Q51" s="18">
        <f t="shared" si="23"/>
        <v>586</v>
      </c>
      <c r="R51" s="4" t="s">
        <v>0</v>
      </c>
      <c r="S51" s="16" t="str">
        <f t="shared" si="24"/>
        <v>01-07</v>
      </c>
      <c r="T51" s="14">
        <f t="shared" si="25"/>
        <v>116</v>
      </c>
      <c r="U51" s="18">
        <f t="shared" si="26"/>
        <v>190</v>
      </c>
      <c r="V51" s="14">
        <f t="shared" si="27"/>
        <v>145</v>
      </c>
      <c r="W51" s="18">
        <f t="shared" si="28"/>
        <v>190</v>
      </c>
      <c r="X51" s="14">
        <f t="shared" si="29"/>
        <v>145</v>
      </c>
      <c r="Y51" s="18">
        <f t="shared" si="30"/>
        <v>164</v>
      </c>
      <c r="Z51" s="14">
        <f t="shared" si="31"/>
        <v>116</v>
      </c>
      <c r="AA51" s="18">
        <f t="shared" si="32"/>
        <v>164</v>
      </c>
      <c r="AB51" s="4" t="s">
        <v>0</v>
      </c>
    </row>
    <row r="52" spans="1:28">
      <c r="A52" s="9" t="s">
        <v>6</v>
      </c>
      <c r="B52" s="24"/>
      <c r="C52" s="26">
        <v>4</v>
      </c>
      <c r="D52" s="28">
        <f t="shared" si="74"/>
        <v>145</v>
      </c>
      <c r="E52" s="29">
        <f t="shared" ref="E52" si="78">E51</f>
        <v>560</v>
      </c>
      <c r="F52" s="28">
        <f t="shared" si="76"/>
        <v>174</v>
      </c>
      <c r="G52" s="29">
        <f t="shared" si="73"/>
        <v>586</v>
      </c>
      <c r="H52" s="4" t="s">
        <v>0</v>
      </c>
      <c r="I52" s="16" t="str">
        <f t="shared" si="15"/>
        <v>01-06</v>
      </c>
      <c r="J52" s="14">
        <f t="shared" si="16"/>
        <v>145</v>
      </c>
      <c r="K52" s="15">
        <f t="shared" si="17"/>
        <v>560</v>
      </c>
      <c r="L52" s="17">
        <f t="shared" si="18"/>
        <v>174</v>
      </c>
      <c r="M52" s="18">
        <f t="shared" si="19"/>
        <v>560</v>
      </c>
      <c r="N52" s="14">
        <f t="shared" si="20"/>
        <v>174</v>
      </c>
      <c r="O52" s="15">
        <f t="shared" si="21"/>
        <v>586</v>
      </c>
      <c r="P52" s="17">
        <f t="shared" si="22"/>
        <v>145</v>
      </c>
      <c r="Q52" s="18">
        <f t="shared" si="23"/>
        <v>586</v>
      </c>
      <c r="R52" s="4" t="s">
        <v>0</v>
      </c>
      <c r="S52" s="16" t="str">
        <f t="shared" si="24"/>
        <v>01-06</v>
      </c>
      <c r="T52" s="14">
        <f t="shared" si="25"/>
        <v>145</v>
      </c>
      <c r="U52" s="18">
        <f t="shared" si="26"/>
        <v>190</v>
      </c>
      <c r="V52" s="14">
        <f t="shared" si="27"/>
        <v>174</v>
      </c>
      <c r="W52" s="18">
        <f t="shared" si="28"/>
        <v>190</v>
      </c>
      <c r="X52" s="14">
        <f t="shared" si="29"/>
        <v>174</v>
      </c>
      <c r="Y52" s="18">
        <f t="shared" si="30"/>
        <v>164</v>
      </c>
      <c r="Z52" s="14">
        <f t="shared" si="31"/>
        <v>145</v>
      </c>
      <c r="AA52" s="18">
        <f t="shared" si="32"/>
        <v>164</v>
      </c>
      <c r="AB52" s="4" t="s">
        <v>0</v>
      </c>
    </row>
    <row r="53" spans="1:28">
      <c r="A53" s="9" t="s">
        <v>5</v>
      </c>
      <c r="B53" s="24"/>
      <c r="C53" s="26">
        <v>5</v>
      </c>
      <c r="D53" s="28">
        <f t="shared" si="74"/>
        <v>174</v>
      </c>
      <c r="E53" s="29">
        <f t="shared" ref="E53" si="79">E52</f>
        <v>560</v>
      </c>
      <c r="F53" s="28">
        <f t="shared" si="76"/>
        <v>203</v>
      </c>
      <c r="G53" s="29">
        <f t="shared" si="73"/>
        <v>586</v>
      </c>
      <c r="H53" s="4" t="s">
        <v>0</v>
      </c>
      <c r="I53" s="16" t="str">
        <f t="shared" si="15"/>
        <v>01-05</v>
      </c>
      <c r="J53" s="14">
        <f t="shared" si="16"/>
        <v>174</v>
      </c>
      <c r="K53" s="15">
        <f t="shared" si="17"/>
        <v>560</v>
      </c>
      <c r="L53" s="17">
        <f t="shared" si="18"/>
        <v>203</v>
      </c>
      <c r="M53" s="18">
        <f t="shared" si="19"/>
        <v>560</v>
      </c>
      <c r="N53" s="14">
        <f t="shared" si="20"/>
        <v>203</v>
      </c>
      <c r="O53" s="15">
        <f t="shared" si="21"/>
        <v>586</v>
      </c>
      <c r="P53" s="17">
        <f t="shared" si="22"/>
        <v>174</v>
      </c>
      <c r="Q53" s="18">
        <f t="shared" si="23"/>
        <v>586</v>
      </c>
      <c r="R53" s="4" t="s">
        <v>0</v>
      </c>
      <c r="S53" s="16" t="str">
        <f t="shared" si="24"/>
        <v>01-05</v>
      </c>
      <c r="T53" s="14">
        <f t="shared" si="25"/>
        <v>174</v>
      </c>
      <c r="U53" s="18">
        <f t="shared" si="26"/>
        <v>190</v>
      </c>
      <c r="V53" s="14">
        <f t="shared" si="27"/>
        <v>203</v>
      </c>
      <c r="W53" s="18">
        <f t="shared" si="28"/>
        <v>190</v>
      </c>
      <c r="X53" s="14">
        <f t="shared" si="29"/>
        <v>203</v>
      </c>
      <c r="Y53" s="18">
        <f t="shared" si="30"/>
        <v>164</v>
      </c>
      <c r="Z53" s="14">
        <f t="shared" si="31"/>
        <v>174</v>
      </c>
      <c r="AA53" s="18">
        <f t="shared" si="32"/>
        <v>164</v>
      </c>
      <c r="AB53" s="4" t="s">
        <v>0</v>
      </c>
    </row>
    <row r="54" spans="1:28">
      <c r="A54" s="9" t="s">
        <v>4</v>
      </c>
      <c r="B54" s="24"/>
      <c r="C54" s="26">
        <v>6</v>
      </c>
      <c r="D54" s="28">
        <f t="shared" si="74"/>
        <v>203</v>
      </c>
      <c r="E54" s="29">
        <f t="shared" ref="E54:E56" si="80">E53</f>
        <v>560</v>
      </c>
      <c r="F54" s="28">
        <f t="shared" si="76"/>
        <v>232</v>
      </c>
      <c r="G54" s="29">
        <f t="shared" si="73"/>
        <v>586</v>
      </c>
      <c r="H54" s="4" t="s">
        <v>0</v>
      </c>
      <c r="I54" s="16" t="str">
        <f t="shared" si="15"/>
        <v>01-03</v>
      </c>
      <c r="J54" s="14">
        <f t="shared" si="16"/>
        <v>203</v>
      </c>
      <c r="K54" s="15">
        <f t="shared" si="17"/>
        <v>560</v>
      </c>
      <c r="L54" s="17">
        <f t="shared" si="18"/>
        <v>232</v>
      </c>
      <c r="M54" s="18">
        <f t="shared" si="19"/>
        <v>560</v>
      </c>
      <c r="N54" s="14">
        <f t="shared" si="20"/>
        <v>232</v>
      </c>
      <c r="O54" s="15">
        <f t="shared" si="21"/>
        <v>586</v>
      </c>
      <c r="P54" s="17">
        <f t="shared" si="22"/>
        <v>203</v>
      </c>
      <c r="Q54" s="18">
        <f t="shared" si="23"/>
        <v>586</v>
      </c>
      <c r="R54" s="4" t="s">
        <v>0</v>
      </c>
      <c r="S54" s="16" t="str">
        <f t="shared" si="24"/>
        <v>01-03</v>
      </c>
      <c r="T54" s="14">
        <f t="shared" si="25"/>
        <v>203</v>
      </c>
      <c r="U54" s="18">
        <f t="shared" si="26"/>
        <v>190</v>
      </c>
      <c r="V54" s="14">
        <f t="shared" si="27"/>
        <v>232</v>
      </c>
      <c r="W54" s="18">
        <f t="shared" si="28"/>
        <v>190</v>
      </c>
      <c r="X54" s="14">
        <f t="shared" si="29"/>
        <v>232</v>
      </c>
      <c r="Y54" s="18">
        <f t="shared" si="30"/>
        <v>164</v>
      </c>
      <c r="Z54" s="14">
        <f t="shared" si="31"/>
        <v>203</v>
      </c>
      <c r="AA54" s="18">
        <f t="shared" si="32"/>
        <v>164</v>
      </c>
      <c r="AB54" s="4" t="s">
        <v>0</v>
      </c>
    </row>
    <row r="55" spans="1:28">
      <c r="A55" s="9" t="s">
        <v>142</v>
      </c>
      <c r="B55" s="24"/>
      <c r="C55" s="26">
        <v>7</v>
      </c>
      <c r="D55" s="28">
        <f t="shared" si="74"/>
        <v>232</v>
      </c>
      <c r="E55" s="29">
        <f t="shared" ref="E55" si="81">E54</f>
        <v>560</v>
      </c>
      <c r="F55" s="28">
        <f t="shared" si="76"/>
        <v>261</v>
      </c>
      <c r="G55" s="29">
        <f t="shared" si="73"/>
        <v>586</v>
      </c>
      <c r="H55" s="4" t="s">
        <v>0</v>
      </c>
      <c r="I55" s="16" t="str">
        <f t="shared" si="15"/>
        <v>01-02</v>
      </c>
      <c r="J55" s="14">
        <f t="shared" si="16"/>
        <v>232</v>
      </c>
      <c r="K55" s="15">
        <f t="shared" si="17"/>
        <v>560</v>
      </c>
      <c r="L55" s="17">
        <f t="shared" si="18"/>
        <v>261</v>
      </c>
      <c r="M55" s="18">
        <f t="shared" si="19"/>
        <v>560</v>
      </c>
      <c r="N55" s="14">
        <f t="shared" si="20"/>
        <v>261</v>
      </c>
      <c r="O55" s="15">
        <f t="shared" si="21"/>
        <v>586</v>
      </c>
      <c r="P55" s="17">
        <f t="shared" si="22"/>
        <v>232</v>
      </c>
      <c r="Q55" s="18">
        <f t="shared" si="23"/>
        <v>586</v>
      </c>
      <c r="R55" s="4" t="s">
        <v>0</v>
      </c>
      <c r="S55" s="16" t="str">
        <f t="shared" si="24"/>
        <v>01-02</v>
      </c>
      <c r="T55" s="14">
        <f t="shared" si="25"/>
        <v>232</v>
      </c>
      <c r="U55" s="18">
        <f t="shared" si="26"/>
        <v>190</v>
      </c>
      <c r="V55" s="14">
        <f t="shared" si="27"/>
        <v>261</v>
      </c>
      <c r="W55" s="18">
        <f t="shared" si="28"/>
        <v>190</v>
      </c>
      <c r="X55" s="14">
        <f t="shared" si="29"/>
        <v>261</v>
      </c>
      <c r="Y55" s="18">
        <f t="shared" si="30"/>
        <v>164</v>
      </c>
      <c r="Z55" s="14">
        <f t="shared" si="31"/>
        <v>232</v>
      </c>
      <c r="AA55" s="18">
        <f t="shared" si="32"/>
        <v>164</v>
      </c>
      <c r="AB55" s="4" t="s">
        <v>0</v>
      </c>
    </row>
    <row r="56" spans="1:28">
      <c r="A56" s="9" t="s">
        <v>141</v>
      </c>
      <c r="B56" s="24"/>
      <c r="C56" s="26">
        <v>8</v>
      </c>
      <c r="D56" s="27">
        <v>261</v>
      </c>
      <c r="E56" s="29">
        <f t="shared" si="80"/>
        <v>560</v>
      </c>
      <c r="F56" s="27">
        <v>291</v>
      </c>
      <c r="G56" s="29">
        <f t="shared" si="73"/>
        <v>586</v>
      </c>
      <c r="H56" s="4" t="s">
        <v>0</v>
      </c>
      <c r="I56" s="16" t="str">
        <f t="shared" si="15"/>
        <v>01-01</v>
      </c>
      <c r="J56" s="14">
        <f t="shared" si="16"/>
        <v>261</v>
      </c>
      <c r="K56" s="15">
        <f t="shared" si="17"/>
        <v>560</v>
      </c>
      <c r="L56" s="17">
        <f t="shared" si="18"/>
        <v>291</v>
      </c>
      <c r="M56" s="18">
        <f t="shared" si="19"/>
        <v>560</v>
      </c>
      <c r="N56" s="14">
        <f t="shared" si="20"/>
        <v>291</v>
      </c>
      <c r="O56" s="15">
        <f t="shared" si="21"/>
        <v>586</v>
      </c>
      <c r="P56" s="17">
        <f t="shared" si="22"/>
        <v>261</v>
      </c>
      <c r="Q56" s="18">
        <f t="shared" si="23"/>
        <v>586</v>
      </c>
      <c r="R56" s="4" t="s">
        <v>0</v>
      </c>
      <c r="S56" s="16" t="str">
        <f t="shared" si="24"/>
        <v>01-01</v>
      </c>
      <c r="T56" s="14">
        <f t="shared" si="25"/>
        <v>261</v>
      </c>
      <c r="U56" s="18">
        <f t="shared" si="26"/>
        <v>190</v>
      </c>
      <c r="V56" s="14">
        <f t="shared" si="27"/>
        <v>291</v>
      </c>
      <c r="W56" s="18">
        <f t="shared" si="28"/>
        <v>190</v>
      </c>
      <c r="X56" s="14">
        <f t="shared" si="29"/>
        <v>291</v>
      </c>
      <c r="Y56" s="18">
        <f t="shared" si="30"/>
        <v>164</v>
      </c>
      <c r="Z56" s="14">
        <f t="shared" si="31"/>
        <v>261</v>
      </c>
      <c r="AA56" s="18">
        <f t="shared" si="32"/>
        <v>164</v>
      </c>
      <c r="AB56" s="4" t="s">
        <v>0</v>
      </c>
    </row>
  </sheetData>
  <autoFilter ref="A10:AB56" xr:uid="{00000000-0001-0000-0000-000000000000}"/>
  <mergeCells count="2">
    <mergeCell ref="D3:G3"/>
    <mergeCell ref="D4:G4"/>
  </mergeCells>
  <phoneticPr fontId="1"/>
  <hyperlinks>
    <hyperlink ref="N4" r:id="rId1" xr:uid="{92F17CBB-FDA1-41B7-8791-62AA93DA2CE7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CBCAB-CA56-42BE-833F-675FB2B1FD07}">
  <sheetPr codeName="Sheet12">
    <pageSetUpPr fitToPage="1"/>
  </sheetPr>
  <dimension ref="A1:AB25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SEC_11_3_釈A.json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SEC_11_3_釈A.png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545</v>
      </c>
      <c r="B11" s="30" t="s">
        <v>698</v>
      </c>
      <c r="C11" s="26"/>
      <c r="D11" s="27">
        <v>50</v>
      </c>
      <c r="E11" s="31">
        <v>110</v>
      </c>
      <c r="F11" s="31">
        <v>70</v>
      </c>
      <c r="G11" s="31">
        <v>130</v>
      </c>
      <c r="H11" s="4" t="s">
        <v>0</v>
      </c>
      <c r="I11" s="16" t="str">
        <f t="shared" ref="I11:I231" si="0">A11</f>
        <v>20-32</v>
      </c>
      <c r="J11" s="14">
        <f>IF(D11&lt;&gt;"",D11,0)</f>
        <v>50</v>
      </c>
      <c r="K11" s="15">
        <f>IF(E11&lt;&gt;"",E11,0)</f>
        <v>110</v>
      </c>
      <c r="L11" s="17">
        <f>N11</f>
        <v>70</v>
      </c>
      <c r="M11" s="18">
        <f>K11</f>
        <v>110</v>
      </c>
      <c r="N11" s="14">
        <f>IF(F11&lt;&gt;"",F11,0)</f>
        <v>70</v>
      </c>
      <c r="O11" s="15">
        <f>IF(G11&lt;&gt;"",G11,0)</f>
        <v>130</v>
      </c>
      <c r="P11" s="17">
        <f>J11</f>
        <v>50</v>
      </c>
      <c r="Q11" s="18">
        <f>O11</f>
        <v>130</v>
      </c>
      <c r="R11" s="4" t="s">
        <v>0</v>
      </c>
      <c r="S11" s="16" t="str">
        <f>I11</f>
        <v>20-32</v>
      </c>
      <c r="T11" s="14">
        <f>IF(J11&lt;&gt;"",J11,"")</f>
        <v>50</v>
      </c>
      <c r="U11" s="18">
        <f>IF(K11&lt;&gt;"",U$6-K11,"")</f>
        <v>640</v>
      </c>
      <c r="V11" s="14">
        <f t="shared" ref="V11:Z186" si="1">IF(L11&lt;&gt;"",L11,"")</f>
        <v>70</v>
      </c>
      <c r="W11" s="18">
        <f>IF(M11&lt;&gt;"",W$6-M11,"")</f>
        <v>640</v>
      </c>
      <c r="X11" s="14">
        <f t="shared" si="1"/>
        <v>70</v>
      </c>
      <c r="Y11" s="18">
        <f>IF(O11&lt;&gt;"",Y$6-O11,"")</f>
        <v>620</v>
      </c>
      <c r="Z11" s="14">
        <f t="shared" si="1"/>
        <v>50</v>
      </c>
      <c r="AA11" s="18">
        <f>IF(Q11&lt;&gt;"",AA$6-Q11,"")</f>
        <v>620</v>
      </c>
      <c r="AB11" s="4" t="s">
        <v>0</v>
      </c>
    </row>
    <row r="12" spans="1:28">
      <c r="A12" s="9" t="s">
        <v>321</v>
      </c>
      <c r="B12" s="24"/>
      <c r="C12" s="26">
        <v>1</v>
      </c>
      <c r="D12" s="28">
        <f>ROUND(D11+20*$C12, 0)</f>
        <v>70</v>
      </c>
      <c r="E12" s="29">
        <f t="shared" ref="E12:G14" si="2">E11</f>
        <v>110</v>
      </c>
      <c r="F12" s="28">
        <f>ROUND(F11+20*$C12, 0)</f>
        <v>90</v>
      </c>
      <c r="G12" s="29">
        <f t="shared" si="2"/>
        <v>130</v>
      </c>
      <c r="H12" s="4" t="s">
        <v>0</v>
      </c>
      <c r="I12" s="16" t="str">
        <f t="shared" si="0"/>
        <v>20-16</v>
      </c>
      <c r="J12" s="14">
        <f t="shared" ref="J12:K232" si="3">IF(D12&lt;&gt;"",D12,0)</f>
        <v>70</v>
      </c>
      <c r="K12" s="15">
        <f t="shared" si="3"/>
        <v>110</v>
      </c>
      <c r="L12" s="17">
        <f t="shared" ref="L12:L232" si="4">N12</f>
        <v>90</v>
      </c>
      <c r="M12" s="18">
        <f t="shared" ref="M12:M232" si="5">K12</f>
        <v>110</v>
      </c>
      <c r="N12" s="14">
        <f t="shared" ref="N12:O232" si="6">IF(F12&lt;&gt;"",F12,0)</f>
        <v>90</v>
      </c>
      <c r="O12" s="15">
        <f t="shared" si="6"/>
        <v>130</v>
      </c>
      <c r="P12" s="17">
        <f t="shared" ref="P12:P232" si="7">J12</f>
        <v>70</v>
      </c>
      <c r="Q12" s="18">
        <f t="shared" ref="Q12:Q232" si="8">O12</f>
        <v>130</v>
      </c>
      <c r="R12" s="4" t="s">
        <v>0</v>
      </c>
      <c r="S12" s="16" t="str">
        <f t="shared" ref="S12:S232" si="9">I12</f>
        <v>20-16</v>
      </c>
      <c r="T12" s="14">
        <f t="shared" ref="T12:T232" si="10">IF(J12&lt;&gt;"",J12,"")</f>
        <v>70</v>
      </c>
      <c r="U12" s="18">
        <f t="shared" ref="U12:U232" si="11">IF(K12&lt;&gt;"",U$6-K12,"")</f>
        <v>640</v>
      </c>
      <c r="V12" s="14">
        <f t="shared" si="1"/>
        <v>90</v>
      </c>
      <c r="W12" s="18">
        <f t="shared" ref="W12:W232" si="12">IF(M12&lt;&gt;"",W$6-M12,"")</f>
        <v>640</v>
      </c>
      <c r="X12" s="14">
        <f t="shared" si="1"/>
        <v>90</v>
      </c>
      <c r="Y12" s="18">
        <f t="shared" ref="Y12:Y232" si="13">IF(O12&lt;&gt;"",Y$6-O12,"")</f>
        <v>620</v>
      </c>
      <c r="Z12" s="14">
        <f t="shared" si="1"/>
        <v>70</v>
      </c>
      <c r="AA12" s="18">
        <f t="shared" ref="AA12:AA232" si="14">IF(Q12&lt;&gt;"",AA$6-Q12,"")</f>
        <v>620</v>
      </c>
      <c r="AB12" s="4" t="s">
        <v>0</v>
      </c>
    </row>
    <row r="13" spans="1:28">
      <c r="A13" s="9" t="s">
        <v>543</v>
      </c>
      <c r="B13" s="24"/>
      <c r="C13" s="26"/>
      <c r="D13" s="27">
        <f>D11+54</f>
        <v>104</v>
      </c>
      <c r="E13" s="31">
        <f>E11</f>
        <v>110</v>
      </c>
      <c r="F13" s="27">
        <f>F11+54</f>
        <v>124</v>
      </c>
      <c r="G13" s="31">
        <f>G11</f>
        <v>130</v>
      </c>
      <c r="H13" s="4" t="s">
        <v>0</v>
      </c>
      <c r="I13" s="16" t="str">
        <f t="shared" ref="I13:I75" si="15">A13</f>
        <v>18-50</v>
      </c>
      <c r="J13" s="14">
        <f t="shared" ref="J13:J75" si="16">IF(D13&lt;&gt;"",D13,0)</f>
        <v>104</v>
      </c>
      <c r="K13" s="15">
        <f t="shared" ref="K13:K75" si="17">IF(E13&lt;&gt;"",E13,0)</f>
        <v>110</v>
      </c>
      <c r="L13" s="17">
        <f t="shared" ref="L13:L75" si="18">N13</f>
        <v>124</v>
      </c>
      <c r="M13" s="18">
        <f t="shared" ref="M13:M75" si="19">K13</f>
        <v>110</v>
      </c>
      <c r="N13" s="14">
        <f t="shared" ref="N13:N75" si="20">IF(F13&lt;&gt;"",F13,0)</f>
        <v>124</v>
      </c>
      <c r="O13" s="15">
        <f t="shared" ref="O13:O75" si="21">IF(G13&lt;&gt;"",G13,0)</f>
        <v>130</v>
      </c>
      <c r="P13" s="17">
        <f t="shared" ref="P13:P75" si="22">J13</f>
        <v>104</v>
      </c>
      <c r="Q13" s="18">
        <f t="shared" ref="Q13:Q75" si="23">O13</f>
        <v>130</v>
      </c>
      <c r="R13" s="4" t="s">
        <v>0</v>
      </c>
      <c r="S13" s="16" t="str">
        <f t="shared" ref="S13:S75" si="24">I13</f>
        <v>18-50</v>
      </c>
      <c r="T13" s="14">
        <f t="shared" ref="T13:T75" si="25">IF(J13&lt;&gt;"",J13,"")</f>
        <v>104</v>
      </c>
      <c r="U13" s="18">
        <f t="shared" ref="U13:U75" si="26">IF(K13&lt;&gt;"",U$6-K13,"")</f>
        <v>640</v>
      </c>
      <c r="V13" s="14">
        <f t="shared" ref="V13:V75" si="27">IF(L13&lt;&gt;"",L13,"")</f>
        <v>124</v>
      </c>
      <c r="W13" s="18">
        <f t="shared" ref="W13:W75" si="28">IF(M13&lt;&gt;"",W$6-M13,"")</f>
        <v>640</v>
      </c>
      <c r="X13" s="14">
        <f t="shared" ref="X13:X75" si="29">IF(N13&lt;&gt;"",N13,"")</f>
        <v>124</v>
      </c>
      <c r="Y13" s="18">
        <f t="shared" ref="Y13:Y75" si="30">IF(O13&lt;&gt;"",Y$6-O13,"")</f>
        <v>620</v>
      </c>
      <c r="Z13" s="14">
        <f t="shared" ref="Z13:Z75" si="31">IF(P13&lt;&gt;"",P13,"")</f>
        <v>104</v>
      </c>
      <c r="AA13" s="18">
        <f t="shared" ref="AA13:AA75" si="32">IF(Q13&lt;&gt;"",AA$6-Q13,"")</f>
        <v>620</v>
      </c>
      <c r="AB13" s="4" t="s">
        <v>0</v>
      </c>
    </row>
    <row r="14" spans="1:28">
      <c r="A14" s="9" t="s">
        <v>300</v>
      </c>
      <c r="B14" s="24"/>
      <c r="C14" s="26">
        <v>1</v>
      </c>
      <c r="D14" s="28">
        <f>ROUND(D13+20*$C14, 0)</f>
        <v>124</v>
      </c>
      <c r="E14" s="29">
        <f t="shared" si="2"/>
        <v>110</v>
      </c>
      <c r="F14" s="28">
        <f>ROUND(F13+20*$C14, 0)</f>
        <v>144</v>
      </c>
      <c r="G14" s="29">
        <f t="shared" si="2"/>
        <v>130</v>
      </c>
      <c r="H14" s="4" t="s">
        <v>0</v>
      </c>
      <c r="I14" s="16" t="str">
        <f t="shared" si="15"/>
        <v>18-20</v>
      </c>
      <c r="J14" s="14">
        <f t="shared" si="16"/>
        <v>124</v>
      </c>
      <c r="K14" s="15">
        <f t="shared" si="17"/>
        <v>110</v>
      </c>
      <c r="L14" s="17">
        <f t="shared" si="18"/>
        <v>144</v>
      </c>
      <c r="M14" s="18">
        <f t="shared" si="19"/>
        <v>110</v>
      </c>
      <c r="N14" s="14">
        <f t="shared" si="20"/>
        <v>144</v>
      </c>
      <c r="O14" s="15">
        <f t="shared" si="21"/>
        <v>130</v>
      </c>
      <c r="P14" s="17">
        <f t="shared" si="22"/>
        <v>124</v>
      </c>
      <c r="Q14" s="18">
        <f t="shared" si="23"/>
        <v>130</v>
      </c>
      <c r="R14" s="4" t="s">
        <v>0</v>
      </c>
      <c r="S14" s="16" t="str">
        <f t="shared" si="24"/>
        <v>18-20</v>
      </c>
      <c r="T14" s="14">
        <f t="shared" si="25"/>
        <v>124</v>
      </c>
      <c r="U14" s="18">
        <f t="shared" si="26"/>
        <v>640</v>
      </c>
      <c r="V14" s="14">
        <f t="shared" si="27"/>
        <v>144</v>
      </c>
      <c r="W14" s="18">
        <f t="shared" si="28"/>
        <v>640</v>
      </c>
      <c r="X14" s="14">
        <f t="shared" si="29"/>
        <v>144</v>
      </c>
      <c r="Y14" s="18">
        <f t="shared" si="30"/>
        <v>620</v>
      </c>
      <c r="Z14" s="14">
        <f t="shared" si="31"/>
        <v>124</v>
      </c>
      <c r="AA14" s="18">
        <f t="shared" si="32"/>
        <v>620</v>
      </c>
      <c r="AB14" s="4" t="s">
        <v>0</v>
      </c>
    </row>
    <row r="15" spans="1:28">
      <c r="A15" s="9" t="s">
        <v>535</v>
      </c>
      <c r="B15" s="24"/>
      <c r="C15" s="26"/>
      <c r="D15" s="27">
        <f>D13+54</f>
        <v>158</v>
      </c>
      <c r="E15" s="31">
        <f>E13</f>
        <v>110</v>
      </c>
      <c r="F15" s="27">
        <f>F13+54</f>
        <v>178</v>
      </c>
      <c r="G15" s="31">
        <f>G13</f>
        <v>130</v>
      </c>
      <c r="H15" s="4" t="s">
        <v>0</v>
      </c>
      <c r="I15" s="16" t="str">
        <f t="shared" si="15"/>
        <v>17-50</v>
      </c>
      <c r="J15" s="14">
        <f t="shared" si="16"/>
        <v>158</v>
      </c>
      <c r="K15" s="15">
        <f t="shared" si="17"/>
        <v>110</v>
      </c>
      <c r="L15" s="17">
        <f t="shared" si="18"/>
        <v>178</v>
      </c>
      <c r="M15" s="18">
        <f t="shared" si="19"/>
        <v>110</v>
      </c>
      <c r="N15" s="14">
        <f t="shared" si="20"/>
        <v>178</v>
      </c>
      <c r="O15" s="15">
        <f t="shared" si="21"/>
        <v>130</v>
      </c>
      <c r="P15" s="17">
        <f t="shared" si="22"/>
        <v>158</v>
      </c>
      <c r="Q15" s="18">
        <f t="shared" si="23"/>
        <v>130</v>
      </c>
      <c r="R15" s="4" t="s">
        <v>0</v>
      </c>
      <c r="S15" s="16" t="str">
        <f t="shared" si="24"/>
        <v>17-50</v>
      </c>
      <c r="T15" s="14">
        <f t="shared" si="25"/>
        <v>158</v>
      </c>
      <c r="U15" s="18">
        <f t="shared" si="26"/>
        <v>640</v>
      </c>
      <c r="V15" s="14">
        <f t="shared" si="27"/>
        <v>178</v>
      </c>
      <c r="W15" s="18">
        <f t="shared" si="28"/>
        <v>640</v>
      </c>
      <c r="X15" s="14">
        <f t="shared" si="29"/>
        <v>178</v>
      </c>
      <c r="Y15" s="18">
        <f t="shared" si="30"/>
        <v>620</v>
      </c>
      <c r="Z15" s="14">
        <f t="shared" si="31"/>
        <v>158</v>
      </c>
      <c r="AA15" s="18">
        <f t="shared" si="32"/>
        <v>620</v>
      </c>
      <c r="AB15" s="4" t="s">
        <v>0</v>
      </c>
    </row>
    <row r="16" spans="1:28">
      <c r="A16" s="9" t="s">
        <v>279</v>
      </c>
      <c r="B16" s="24"/>
      <c r="C16" s="26">
        <v>1</v>
      </c>
      <c r="D16" s="28">
        <f>ROUND(D15+20*$C16, 0)</f>
        <v>178</v>
      </c>
      <c r="E16" s="29">
        <f t="shared" ref="E16" si="33">E15</f>
        <v>110</v>
      </c>
      <c r="F16" s="28">
        <f>ROUND(F15+20*$C16, 0)</f>
        <v>198</v>
      </c>
      <c r="G16" s="29">
        <f t="shared" ref="G16" si="34">G15</f>
        <v>130</v>
      </c>
      <c r="H16" s="4" t="s">
        <v>0</v>
      </c>
      <c r="I16" s="16" t="str">
        <f t="shared" si="15"/>
        <v>17-20</v>
      </c>
      <c r="J16" s="14">
        <f t="shared" si="16"/>
        <v>178</v>
      </c>
      <c r="K16" s="15">
        <f t="shared" si="17"/>
        <v>110</v>
      </c>
      <c r="L16" s="17">
        <f t="shared" si="18"/>
        <v>198</v>
      </c>
      <c r="M16" s="18">
        <f t="shared" si="19"/>
        <v>110</v>
      </c>
      <c r="N16" s="14">
        <f t="shared" si="20"/>
        <v>198</v>
      </c>
      <c r="O16" s="15">
        <f t="shared" si="21"/>
        <v>130</v>
      </c>
      <c r="P16" s="17">
        <f t="shared" si="22"/>
        <v>178</v>
      </c>
      <c r="Q16" s="18">
        <f t="shared" si="23"/>
        <v>130</v>
      </c>
      <c r="R16" s="4" t="s">
        <v>0</v>
      </c>
      <c r="S16" s="16" t="str">
        <f t="shared" si="24"/>
        <v>17-20</v>
      </c>
      <c r="T16" s="14">
        <f t="shared" si="25"/>
        <v>178</v>
      </c>
      <c r="U16" s="18">
        <f t="shared" si="26"/>
        <v>640</v>
      </c>
      <c r="V16" s="14">
        <f t="shared" si="27"/>
        <v>198</v>
      </c>
      <c r="W16" s="18">
        <f t="shared" si="28"/>
        <v>640</v>
      </c>
      <c r="X16" s="14">
        <f t="shared" si="29"/>
        <v>198</v>
      </c>
      <c r="Y16" s="18">
        <f t="shared" si="30"/>
        <v>620</v>
      </c>
      <c r="Z16" s="14">
        <f t="shared" si="31"/>
        <v>178</v>
      </c>
      <c r="AA16" s="18">
        <f t="shared" si="32"/>
        <v>620</v>
      </c>
      <c r="AB16" s="4" t="s">
        <v>0</v>
      </c>
    </row>
    <row r="17" spans="1:28">
      <c r="A17" s="9" t="s">
        <v>524</v>
      </c>
      <c r="B17" s="24"/>
      <c r="C17" s="26"/>
      <c r="D17" s="27">
        <f>D15+54</f>
        <v>212</v>
      </c>
      <c r="E17" s="31">
        <f>E15</f>
        <v>110</v>
      </c>
      <c r="F17" s="27">
        <f>F15+54</f>
        <v>232</v>
      </c>
      <c r="G17" s="31">
        <f>G15</f>
        <v>130</v>
      </c>
      <c r="H17" s="4" t="s">
        <v>0</v>
      </c>
      <c r="I17" s="16" t="str">
        <f t="shared" si="15"/>
        <v>16-50</v>
      </c>
      <c r="J17" s="14">
        <f t="shared" si="16"/>
        <v>212</v>
      </c>
      <c r="K17" s="15">
        <f t="shared" si="17"/>
        <v>110</v>
      </c>
      <c r="L17" s="17">
        <f t="shared" si="18"/>
        <v>232</v>
      </c>
      <c r="M17" s="18">
        <f t="shared" si="19"/>
        <v>110</v>
      </c>
      <c r="N17" s="14">
        <f t="shared" si="20"/>
        <v>232</v>
      </c>
      <c r="O17" s="15">
        <f t="shared" si="21"/>
        <v>130</v>
      </c>
      <c r="P17" s="17">
        <f t="shared" si="22"/>
        <v>212</v>
      </c>
      <c r="Q17" s="18">
        <f t="shared" si="23"/>
        <v>130</v>
      </c>
      <c r="R17" s="4" t="s">
        <v>0</v>
      </c>
      <c r="S17" s="16" t="str">
        <f t="shared" si="24"/>
        <v>16-50</v>
      </c>
      <c r="T17" s="14">
        <f t="shared" si="25"/>
        <v>212</v>
      </c>
      <c r="U17" s="18">
        <f t="shared" si="26"/>
        <v>640</v>
      </c>
      <c r="V17" s="14">
        <f t="shared" si="27"/>
        <v>232</v>
      </c>
      <c r="W17" s="18">
        <f t="shared" si="28"/>
        <v>640</v>
      </c>
      <c r="X17" s="14">
        <f t="shared" si="29"/>
        <v>232</v>
      </c>
      <c r="Y17" s="18">
        <f t="shared" si="30"/>
        <v>620</v>
      </c>
      <c r="Z17" s="14">
        <f t="shared" si="31"/>
        <v>212</v>
      </c>
      <c r="AA17" s="18">
        <f t="shared" si="32"/>
        <v>620</v>
      </c>
      <c r="AB17" s="4" t="s">
        <v>0</v>
      </c>
    </row>
    <row r="18" spans="1:28">
      <c r="A18" s="9" t="s">
        <v>258</v>
      </c>
      <c r="B18" s="24"/>
      <c r="C18" s="26">
        <v>1</v>
      </c>
      <c r="D18" s="28">
        <f>ROUND(D17+20*$C18, 0)</f>
        <v>232</v>
      </c>
      <c r="E18" s="29">
        <f t="shared" ref="E18" si="35">E17</f>
        <v>110</v>
      </c>
      <c r="F18" s="28">
        <f>ROUND(F17+20*$C18, 0)</f>
        <v>252</v>
      </c>
      <c r="G18" s="29">
        <f t="shared" ref="G18" si="36">G17</f>
        <v>130</v>
      </c>
      <c r="H18" s="4" t="s">
        <v>0</v>
      </c>
      <c r="I18" s="16" t="str">
        <f t="shared" si="15"/>
        <v>16-20</v>
      </c>
      <c r="J18" s="14">
        <f t="shared" si="16"/>
        <v>232</v>
      </c>
      <c r="K18" s="15">
        <f t="shared" si="17"/>
        <v>110</v>
      </c>
      <c r="L18" s="17">
        <f t="shared" si="18"/>
        <v>252</v>
      </c>
      <c r="M18" s="18">
        <f t="shared" si="19"/>
        <v>110</v>
      </c>
      <c r="N18" s="14">
        <f t="shared" si="20"/>
        <v>252</v>
      </c>
      <c r="O18" s="15">
        <f t="shared" si="21"/>
        <v>130</v>
      </c>
      <c r="P18" s="17">
        <f t="shared" si="22"/>
        <v>232</v>
      </c>
      <c r="Q18" s="18">
        <f t="shared" si="23"/>
        <v>130</v>
      </c>
      <c r="R18" s="4" t="s">
        <v>0</v>
      </c>
      <c r="S18" s="16" t="str">
        <f t="shared" si="24"/>
        <v>16-20</v>
      </c>
      <c r="T18" s="14">
        <f t="shared" si="25"/>
        <v>232</v>
      </c>
      <c r="U18" s="18">
        <f t="shared" si="26"/>
        <v>640</v>
      </c>
      <c r="V18" s="14">
        <f t="shared" si="27"/>
        <v>252</v>
      </c>
      <c r="W18" s="18">
        <f t="shared" si="28"/>
        <v>640</v>
      </c>
      <c r="X18" s="14">
        <f t="shared" si="29"/>
        <v>252</v>
      </c>
      <c r="Y18" s="18">
        <f t="shared" si="30"/>
        <v>620</v>
      </c>
      <c r="Z18" s="14">
        <f t="shared" si="31"/>
        <v>232</v>
      </c>
      <c r="AA18" s="18">
        <f t="shared" si="32"/>
        <v>620</v>
      </c>
      <c r="AB18" s="4" t="s">
        <v>0</v>
      </c>
    </row>
    <row r="19" spans="1:28">
      <c r="A19" s="9" t="s">
        <v>513</v>
      </c>
      <c r="B19" s="24"/>
      <c r="C19" s="26"/>
      <c r="D19" s="27">
        <f>D17+54</f>
        <v>266</v>
      </c>
      <c r="E19" s="31">
        <f>E17</f>
        <v>110</v>
      </c>
      <c r="F19" s="27">
        <f>F17+54</f>
        <v>286</v>
      </c>
      <c r="G19" s="31">
        <f>G17</f>
        <v>130</v>
      </c>
      <c r="H19" s="4" t="s">
        <v>0</v>
      </c>
      <c r="I19" s="16" t="str">
        <f t="shared" si="15"/>
        <v>15-50</v>
      </c>
      <c r="J19" s="14">
        <f t="shared" si="16"/>
        <v>266</v>
      </c>
      <c r="K19" s="15">
        <f t="shared" si="17"/>
        <v>110</v>
      </c>
      <c r="L19" s="17">
        <f t="shared" si="18"/>
        <v>286</v>
      </c>
      <c r="M19" s="18">
        <f t="shared" si="19"/>
        <v>110</v>
      </c>
      <c r="N19" s="14">
        <f t="shared" si="20"/>
        <v>286</v>
      </c>
      <c r="O19" s="15">
        <f t="shared" si="21"/>
        <v>130</v>
      </c>
      <c r="P19" s="17">
        <f t="shared" si="22"/>
        <v>266</v>
      </c>
      <c r="Q19" s="18">
        <f t="shared" si="23"/>
        <v>130</v>
      </c>
      <c r="R19" s="4" t="s">
        <v>0</v>
      </c>
      <c r="S19" s="16" t="str">
        <f t="shared" si="24"/>
        <v>15-50</v>
      </c>
      <c r="T19" s="14">
        <f t="shared" si="25"/>
        <v>266</v>
      </c>
      <c r="U19" s="18">
        <f t="shared" si="26"/>
        <v>640</v>
      </c>
      <c r="V19" s="14">
        <f t="shared" si="27"/>
        <v>286</v>
      </c>
      <c r="W19" s="18">
        <f t="shared" si="28"/>
        <v>640</v>
      </c>
      <c r="X19" s="14">
        <f t="shared" si="29"/>
        <v>286</v>
      </c>
      <c r="Y19" s="18">
        <f t="shared" si="30"/>
        <v>620</v>
      </c>
      <c r="Z19" s="14">
        <f t="shared" si="31"/>
        <v>266</v>
      </c>
      <c r="AA19" s="18">
        <f t="shared" si="32"/>
        <v>620</v>
      </c>
      <c r="AB19" s="4" t="s">
        <v>0</v>
      </c>
    </row>
    <row r="20" spans="1:28">
      <c r="A20" s="9" t="s">
        <v>239</v>
      </c>
      <c r="B20" s="24"/>
      <c r="C20" s="26">
        <v>1</v>
      </c>
      <c r="D20" s="28">
        <f>ROUND(D19+20*$C20, 0)</f>
        <v>286</v>
      </c>
      <c r="E20" s="29">
        <f t="shared" ref="E20" si="37">E19</f>
        <v>110</v>
      </c>
      <c r="F20" s="28">
        <f>ROUND(F19+20*$C20, 0)</f>
        <v>306</v>
      </c>
      <c r="G20" s="29">
        <f t="shared" ref="G20:G26" si="38">G19</f>
        <v>130</v>
      </c>
      <c r="H20" s="4" t="s">
        <v>0</v>
      </c>
      <c r="I20" s="16" t="str">
        <f t="shared" si="15"/>
        <v>15-20</v>
      </c>
      <c r="J20" s="14">
        <f t="shared" si="16"/>
        <v>286</v>
      </c>
      <c r="K20" s="15">
        <f t="shared" si="17"/>
        <v>110</v>
      </c>
      <c r="L20" s="17">
        <f t="shared" si="18"/>
        <v>306</v>
      </c>
      <c r="M20" s="18">
        <f t="shared" si="19"/>
        <v>110</v>
      </c>
      <c r="N20" s="14">
        <f t="shared" si="20"/>
        <v>306</v>
      </c>
      <c r="O20" s="15">
        <f t="shared" si="21"/>
        <v>130</v>
      </c>
      <c r="P20" s="17">
        <f t="shared" si="22"/>
        <v>286</v>
      </c>
      <c r="Q20" s="18">
        <f t="shared" si="23"/>
        <v>130</v>
      </c>
      <c r="R20" s="4" t="s">
        <v>0</v>
      </c>
      <c r="S20" s="16" t="str">
        <f t="shared" si="24"/>
        <v>15-20</v>
      </c>
      <c r="T20" s="14">
        <f t="shared" si="25"/>
        <v>286</v>
      </c>
      <c r="U20" s="18">
        <f t="shared" si="26"/>
        <v>640</v>
      </c>
      <c r="V20" s="14">
        <f t="shared" si="27"/>
        <v>306</v>
      </c>
      <c r="W20" s="18">
        <f t="shared" si="28"/>
        <v>640</v>
      </c>
      <c r="X20" s="14">
        <f t="shared" si="29"/>
        <v>306</v>
      </c>
      <c r="Y20" s="18">
        <f t="shared" si="30"/>
        <v>620</v>
      </c>
      <c r="Z20" s="14">
        <f t="shared" si="31"/>
        <v>286</v>
      </c>
      <c r="AA20" s="18">
        <f t="shared" si="32"/>
        <v>620</v>
      </c>
      <c r="AB20" s="4" t="s">
        <v>0</v>
      </c>
    </row>
    <row r="21" spans="1:28">
      <c r="A21" s="9" t="s">
        <v>498</v>
      </c>
      <c r="B21" s="24"/>
      <c r="C21" s="26"/>
      <c r="D21" s="27">
        <f>D19+54</f>
        <v>320</v>
      </c>
      <c r="E21" s="31">
        <f>E19</f>
        <v>110</v>
      </c>
      <c r="F21" s="27">
        <f>F19+54</f>
        <v>340</v>
      </c>
      <c r="G21" s="31">
        <f>G19</f>
        <v>130</v>
      </c>
      <c r="H21" s="4" t="s">
        <v>0</v>
      </c>
      <c r="I21" s="16" t="str">
        <f t="shared" si="15"/>
        <v>13-50</v>
      </c>
      <c r="J21" s="14">
        <f t="shared" si="16"/>
        <v>320</v>
      </c>
      <c r="K21" s="15">
        <f t="shared" si="17"/>
        <v>110</v>
      </c>
      <c r="L21" s="17">
        <f t="shared" si="18"/>
        <v>340</v>
      </c>
      <c r="M21" s="18">
        <f t="shared" si="19"/>
        <v>110</v>
      </c>
      <c r="N21" s="14">
        <f t="shared" si="20"/>
        <v>340</v>
      </c>
      <c r="O21" s="15">
        <f t="shared" si="21"/>
        <v>130</v>
      </c>
      <c r="P21" s="17">
        <f t="shared" si="22"/>
        <v>320</v>
      </c>
      <c r="Q21" s="18">
        <f t="shared" si="23"/>
        <v>130</v>
      </c>
      <c r="R21" s="4" t="s">
        <v>0</v>
      </c>
      <c r="S21" s="16" t="str">
        <f t="shared" si="24"/>
        <v>13-50</v>
      </c>
      <c r="T21" s="14">
        <f t="shared" si="25"/>
        <v>320</v>
      </c>
      <c r="U21" s="18">
        <f t="shared" si="26"/>
        <v>640</v>
      </c>
      <c r="V21" s="14">
        <f t="shared" si="27"/>
        <v>340</v>
      </c>
      <c r="W21" s="18">
        <f t="shared" si="28"/>
        <v>640</v>
      </c>
      <c r="X21" s="14">
        <f t="shared" si="29"/>
        <v>340</v>
      </c>
      <c r="Y21" s="18">
        <f t="shared" si="30"/>
        <v>620</v>
      </c>
      <c r="Z21" s="14">
        <f t="shared" si="31"/>
        <v>320</v>
      </c>
      <c r="AA21" s="18">
        <f t="shared" si="32"/>
        <v>620</v>
      </c>
      <c r="AB21" s="4" t="s">
        <v>0</v>
      </c>
    </row>
    <row r="22" spans="1:28">
      <c r="A22" s="9" t="s">
        <v>222</v>
      </c>
      <c r="B22" s="24"/>
      <c r="C22" s="26">
        <v>1</v>
      </c>
      <c r="D22" s="28">
        <f>ROUND(D21+20*$C22, 0)</f>
        <v>340</v>
      </c>
      <c r="E22" s="29">
        <f t="shared" ref="E22" si="39">E21</f>
        <v>110</v>
      </c>
      <c r="F22" s="28">
        <f>ROUND(F21+20*$C22, 0)</f>
        <v>360</v>
      </c>
      <c r="G22" s="29">
        <f t="shared" si="38"/>
        <v>130</v>
      </c>
      <c r="H22" s="4" t="s">
        <v>0</v>
      </c>
      <c r="I22" s="16" t="str">
        <f t="shared" si="15"/>
        <v>13-20</v>
      </c>
      <c r="J22" s="14">
        <f t="shared" si="16"/>
        <v>340</v>
      </c>
      <c r="K22" s="15">
        <f t="shared" si="17"/>
        <v>110</v>
      </c>
      <c r="L22" s="17">
        <f t="shared" si="18"/>
        <v>360</v>
      </c>
      <c r="M22" s="18">
        <f t="shared" si="19"/>
        <v>110</v>
      </c>
      <c r="N22" s="14">
        <f t="shared" si="20"/>
        <v>360</v>
      </c>
      <c r="O22" s="15">
        <f t="shared" si="21"/>
        <v>130</v>
      </c>
      <c r="P22" s="17">
        <f t="shared" si="22"/>
        <v>340</v>
      </c>
      <c r="Q22" s="18">
        <f t="shared" si="23"/>
        <v>130</v>
      </c>
      <c r="R22" s="4" t="s">
        <v>0</v>
      </c>
      <c r="S22" s="16" t="str">
        <f t="shared" si="24"/>
        <v>13-20</v>
      </c>
      <c r="T22" s="14">
        <f t="shared" si="25"/>
        <v>340</v>
      </c>
      <c r="U22" s="18">
        <f t="shared" si="26"/>
        <v>640</v>
      </c>
      <c r="V22" s="14">
        <f t="shared" si="27"/>
        <v>360</v>
      </c>
      <c r="W22" s="18">
        <f t="shared" si="28"/>
        <v>640</v>
      </c>
      <c r="X22" s="14">
        <f t="shared" si="29"/>
        <v>360</v>
      </c>
      <c r="Y22" s="18">
        <f t="shared" si="30"/>
        <v>620</v>
      </c>
      <c r="Z22" s="14">
        <f t="shared" si="31"/>
        <v>340</v>
      </c>
      <c r="AA22" s="18">
        <f t="shared" si="32"/>
        <v>620</v>
      </c>
      <c r="AB22" s="4" t="s">
        <v>0</v>
      </c>
    </row>
    <row r="23" spans="1:28">
      <c r="A23" s="9" t="s">
        <v>483</v>
      </c>
      <c r="B23" s="24"/>
      <c r="C23" s="26"/>
      <c r="D23" s="27">
        <f>D21+54</f>
        <v>374</v>
      </c>
      <c r="E23" s="31">
        <f>E21</f>
        <v>110</v>
      </c>
      <c r="F23" s="27">
        <f>F21+54</f>
        <v>394</v>
      </c>
      <c r="G23" s="31">
        <f>G21</f>
        <v>130</v>
      </c>
      <c r="H23" s="4" t="s">
        <v>0</v>
      </c>
      <c r="I23" s="16" t="str">
        <f t="shared" si="15"/>
        <v>12-50</v>
      </c>
      <c r="J23" s="14">
        <f t="shared" si="16"/>
        <v>374</v>
      </c>
      <c r="K23" s="15">
        <f t="shared" si="17"/>
        <v>110</v>
      </c>
      <c r="L23" s="17">
        <f t="shared" si="18"/>
        <v>394</v>
      </c>
      <c r="M23" s="18">
        <f t="shared" si="19"/>
        <v>110</v>
      </c>
      <c r="N23" s="14">
        <f t="shared" si="20"/>
        <v>394</v>
      </c>
      <c r="O23" s="15">
        <f t="shared" si="21"/>
        <v>130</v>
      </c>
      <c r="P23" s="17">
        <f t="shared" si="22"/>
        <v>374</v>
      </c>
      <c r="Q23" s="18">
        <f t="shared" si="23"/>
        <v>130</v>
      </c>
      <c r="R23" s="4" t="s">
        <v>0</v>
      </c>
      <c r="S23" s="16" t="str">
        <f t="shared" si="24"/>
        <v>12-50</v>
      </c>
      <c r="T23" s="14">
        <f t="shared" si="25"/>
        <v>374</v>
      </c>
      <c r="U23" s="18">
        <f t="shared" si="26"/>
        <v>640</v>
      </c>
      <c r="V23" s="14">
        <f t="shared" si="27"/>
        <v>394</v>
      </c>
      <c r="W23" s="18">
        <f t="shared" si="28"/>
        <v>640</v>
      </c>
      <c r="X23" s="14">
        <f t="shared" si="29"/>
        <v>394</v>
      </c>
      <c r="Y23" s="18">
        <f t="shared" si="30"/>
        <v>620</v>
      </c>
      <c r="Z23" s="14">
        <f t="shared" si="31"/>
        <v>374</v>
      </c>
      <c r="AA23" s="18">
        <f t="shared" si="32"/>
        <v>620</v>
      </c>
      <c r="AB23" s="4" t="s">
        <v>0</v>
      </c>
    </row>
    <row r="24" spans="1:28">
      <c r="A24" s="9" t="s">
        <v>242</v>
      </c>
      <c r="B24" s="24"/>
      <c r="C24" s="26">
        <v>1</v>
      </c>
      <c r="D24" s="28">
        <f>ROUND(D23+20*$C24, 0)</f>
        <v>394</v>
      </c>
      <c r="E24" s="29">
        <f t="shared" ref="E24" si="40">E23</f>
        <v>110</v>
      </c>
      <c r="F24" s="28">
        <f>ROUND(F23+20*$C24, 0)</f>
        <v>414</v>
      </c>
      <c r="G24" s="29">
        <f t="shared" si="38"/>
        <v>130</v>
      </c>
      <c r="H24" s="4" t="s">
        <v>0</v>
      </c>
      <c r="I24" s="16" t="str">
        <f t="shared" si="15"/>
        <v>12-20</v>
      </c>
      <c r="J24" s="14">
        <f t="shared" si="16"/>
        <v>394</v>
      </c>
      <c r="K24" s="15">
        <f t="shared" si="17"/>
        <v>110</v>
      </c>
      <c r="L24" s="17">
        <f t="shared" si="18"/>
        <v>414</v>
      </c>
      <c r="M24" s="18">
        <f t="shared" si="19"/>
        <v>110</v>
      </c>
      <c r="N24" s="14">
        <f t="shared" si="20"/>
        <v>414</v>
      </c>
      <c r="O24" s="15">
        <f t="shared" si="21"/>
        <v>130</v>
      </c>
      <c r="P24" s="17">
        <f t="shared" si="22"/>
        <v>394</v>
      </c>
      <c r="Q24" s="18">
        <f t="shared" si="23"/>
        <v>130</v>
      </c>
      <c r="R24" s="4" t="s">
        <v>0</v>
      </c>
      <c r="S24" s="16" t="str">
        <f t="shared" si="24"/>
        <v>12-20</v>
      </c>
      <c r="T24" s="14">
        <f t="shared" si="25"/>
        <v>394</v>
      </c>
      <c r="U24" s="18">
        <f t="shared" si="26"/>
        <v>640</v>
      </c>
      <c r="V24" s="14">
        <f t="shared" si="27"/>
        <v>414</v>
      </c>
      <c r="W24" s="18">
        <f t="shared" si="28"/>
        <v>640</v>
      </c>
      <c r="X24" s="14">
        <f t="shared" si="29"/>
        <v>414</v>
      </c>
      <c r="Y24" s="18">
        <f t="shared" si="30"/>
        <v>620</v>
      </c>
      <c r="Z24" s="14">
        <f t="shared" si="31"/>
        <v>394</v>
      </c>
      <c r="AA24" s="18">
        <f t="shared" si="32"/>
        <v>620</v>
      </c>
      <c r="AB24" s="4" t="s">
        <v>0</v>
      </c>
    </row>
    <row r="25" spans="1:28">
      <c r="A25" s="9" t="s">
        <v>468</v>
      </c>
      <c r="B25" s="24"/>
      <c r="C25" s="26"/>
      <c r="D25" s="27">
        <f>D23+54</f>
        <v>428</v>
      </c>
      <c r="E25" s="31">
        <f>E23</f>
        <v>110</v>
      </c>
      <c r="F25" s="27">
        <f>F23+54</f>
        <v>448</v>
      </c>
      <c r="G25" s="31">
        <f>G23</f>
        <v>130</v>
      </c>
      <c r="H25" s="4" t="s">
        <v>0</v>
      </c>
      <c r="I25" s="16" t="str">
        <f t="shared" si="15"/>
        <v>11-35</v>
      </c>
      <c r="J25" s="14">
        <f t="shared" si="16"/>
        <v>428</v>
      </c>
      <c r="K25" s="15">
        <f t="shared" si="17"/>
        <v>110</v>
      </c>
      <c r="L25" s="17">
        <f t="shared" si="18"/>
        <v>448</v>
      </c>
      <c r="M25" s="18">
        <f t="shared" si="19"/>
        <v>110</v>
      </c>
      <c r="N25" s="14">
        <f t="shared" si="20"/>
        <v>448</v>
      </c>
      <c r="O25" s="15">
        <f t="shared" si="21"/>
        <v>130</v>
      </c>
      <c r="P25" s="17">
        <f t="shared" si="22"/>
        <v>428</v>
      </c>
      <c r="Q25" s="18">
        <f t="shared" si="23"/>
        <v>130</v>
      </c>
      <c r="R25" s="4" t="s">
        <v>0</v>
      </c>
      <c r="S25" s="16" t="str">
        <f t="shared" si="24"/>
        <v>11-35</v>
      </c>
      <c r="T25" s="14">
        <f t="shared" si="25"/>
        <v>428</v>
      </c>
      <c r="U25" s="18">
        <f t="shared" si="26"/>
        <v>640</v>
      </c>
      <c r="V25" s="14">
        <f t="shared" si="27"/>
        <v>448</v>
      </c>
      <c r="W25" s="18">
        <f t="shared" si="28"/>
        <v>640</v>
      </c>
      <c r="X25" s="14">
        <f t="shared" si="29"/>
        <v>448</v>
      </c>
      <c r="Y25" s="18">
        <f t="shared" si="30"/>
        <v>620</v>
      </c>
      <c r="Z25" s="14">
        <f t="shared" si="31"/>
        <v>428</v>
      </c>
      <c r="AA25" s="18">
        <f t="shared" si="32"/>
        <v>620</v>
      </c>
      <c r="AB25" s="4" t="s">
        <v>0</v>
      </c>
    </row>
    <row r="26" spans="1:28">
      <c r="A26" s="9" t="s">
        <v>197</v>
      </c>
      <c r="B26" s="24"/>
      <c r="C26" s="26">
        <v>1</v>
      </c>
      <c r="D26" s="28">
        <f>ROUND(D25+20*$C26, 0)</f>
        <v>448</v>
      </c>
      <c r="E26" s="29">
        <f t="shared" ref="E26" si="41">E25</f>
        <v>110</v>
      </c>
      <c r="F26" s="28">
        <f>ROUND(F25+20*$C26, 0)</f>
        <v>468</v>
      </c>
      <c r="G26" s="29">
        <f t="shared" si="38"/>
        <v>130</v>
      </c>
      <c r="H26" s="4" t="s">
        <v>0</v>
      </c>
      <c r="I26" s="16" t="str">
        <f t="shared" si="15"/>
        <v>11-17</v>
      </c>
      <c r="J26" s="14">
        <f t="shared" si="16"/>
        <v>448</v>
      </c>
      <c r="K26" s="15">
        <f t="shared" si="17"/>
        <v>110</v>
      </c>
      <c r="L26" s="17">
        <f t="shared" si="18"/>
        <v>468</v>
      </c>
      <c r="M26" s="18">
        <f t="shared" si="19"/>
        <v>110</v>
      </c>
      <c r="N26" s="14">
        <f t="shared" si="20"/>
        <v>468</v>
      </c>
      <c r="O26" s="15">
        <f t="shared" si="21"/>
        <v>130</v>
      </c>
      <c r="P26" s="17">
        <f t="shared" si="22"/>
        <v>448</v>
      </c>
      <c r="Q26" s="18">
        <f t="shared" si="23"/>
        <v>130</v>
      </c>
      <c r="R26" s="4" t="s">
        <v>0</v>
      </c>
      <c r="S26" s="16" t="str">
        <f t="shared" si="24"/>
        <v>11-17</v>
      </c>
      <c r="T26" s="14">
        <f t="shared" si="25"/>
        <v>448</v>
      </c>
      <c r="U26" s="18">
        <f t="shared" si="26"/>
        <v>640</v>
      </c>
      <c r="V26" s="14">
        <f t="shared" si="27"/>
        <v>468</v>
      </c>
      <c r="W26" s="18">
        <f t="shared" si="28"/>
        <v>640</v>
      </c>
      <c r="X26" s="14">
        <f t="shared" si="29"/>
        <v>468</v>
      </c>
      <c r="Y26" s="18">
        <f t="shared" si="30"/>
        <v>620</v>
      </c>
      <c r="Z26" s="14">
        <f t="shared" si="31"/>
        <v>448</v>
      </c>
      <c r="AA26" s="18">
        <f t="shared" si="32"/>
        <v>620</v>
      </c>
      <c r="AB26" s="4" t="s">
        <v>0</v>
      </c>
    </row>
    <row r="27" spans="1:28">
      <c r="A27" s="9" t="s">
        <v>544</v>
      </c>
      <c r="B27" s="24"/>
      <c r="C27" s="26">
        <v>1</v>
      </c>
      <c r="D27" s="25">
        <f>D11</f>
        <v>50</v>
      </c>
      <c r="E27" s="28">
        <f>ROUND(E$11+19.5*$C27, 0)</f>
        <v>130</v>
      </c>
      <c r="F27" s="25">
        <f>F11</f>
        <v>70</v>
      </c>
      <c r="G27" s="28">
        <f>ROUND(G$11+19.5*$C27, 0)</f>
        <v>150</v>
      </c>
      <c r="H27" s="4" t="s">
        <v>0</v>
      </c>
      <c r="I27" s="16" t="str">
        <f t="shared" si="15"/>
        <v>20-31</v>
      </c>
      <c r="J27" s="14">
        <f t="shared" si="16"/>
        <v>50</v>
      </c>
      <c r="K27" s="15">
        <f t="shared" si="17"/>
        <v>130</v>
      </c>
      <c r="L27" s="17">
        <f t="shared" si="18"/>
        <v>70</v>
      </c>
      <c r="M27" s="18">
        <f t="shared" si="19"/>
        <v>130</v>
      </c>
      <c r="N27" s="14">
        <f t="shared" si="20"/>
        <v>70</v>
      </c>
      <c r="O27" s="15">
        <f t="shared" si="21"/>
        <v>150</v>
      </c>
      <c r="P27" s="17">
        <f t="shared" si="22"/>
        <v>50</v>
      </c>
      <c r="Q27" s="18">
        <f t="shared" si="23"/>
        <v>150</v>
      </c>
      <c r="R27" s="4" t="s">
        <v>0</v>
      </c>
      <c r="S27" s="16" t="str">
        <f t="shared" si="24"/>
        <v>20-31</v>
      </c>
      <c r="T27" s="14">
        <f t="shared" si="25"/>
        <v>50</v>
      </c>
      <c r="U27" s="18">
        <f t="shared" si="26"/>
        <v>620</v>
      </c>
      <c r="V27" s="14">
        <f t="shared" si="27"/>
        <v>70</v>
      </c>
      <c r="W27" s="18">
        <f t="shared" si="28"/>
        <v>620</v>
      </c>
      <c r="X27" s="14">
        <f t="shared" si="29"/>
        <v>70</v>
      </c>
      <c r="Y27" s="18">
        <f t="shared" si="30"/>
        <v>600</v>
      </c>
      <c r="Z27" s="14">
        <f t="shared" si="31"/>
        <v>50</v>
      </c>
      <c r="AA27" s="18">
        <f t="shared" si="32"/>
        <v>600</v>
      </c>
      <c r="AB27" s="4" t="s">
        <v>0</v>
      </c>
    </row>
    <row r="28" spans="1:28">
      <c r="A28" s="9" t="s">
        <v>320</v>
      </c>
      <c r="B28" s="24"/>
      <c r="C28" s="26"/>
      <c r="D28" s="25">
        <f>D12</f>
        <v>70</v>
      </c>
      <c r="E28" s="29">
        <f t="shared" ref="E28:G28" si="42">E27</f>
        <v>130</v>
      </c>
      <c r="F28" s="25">
        <f>F12</f>
        <v>90</v>
      </c>
      <c r="G28" s="29">
        <f t="shared" si="42"/>
        <v>150</v>
      </c>
      <c r="H28" s="4" t="s">
        <v>0</v>
      </c>
      <c r="I28" s="16" t="str">
        <f t="shared" si="15"/>
        <v>20-15</v>
      </c>
      <c r="J28" s="14">
        <f t="shared" si="16"/>
        <v>70</v>
      </c>
      <c r="K28" s="15">
        <f t="shared" si="17"/>
        <v>130</v>
      </c>
      <c r="L28" s="17">
        <f t="shared" si="18"/>
        <v>90</v>
      </c>
      <c r="M28" s="18">
        <f t="shared" si="19"/>
        <v>130</v>
      </c>
      <c r="N28" s="14">
        <f t="shared" si="20"/>
        <v>90</v>
      </c>
      <c r="O28" s="15">
        <f t="shared" si="21"/>
        <v>150</v>
      </c>
      <c r="P28" s="17">
        <f t="shared" si="22"/>
        <v>70</v>
      </c>
      <c r="Q28" s="18">
        <f t="shared" si="23"/>
        <v>150</v>
      </c>
      <c r="R28" s="4" t="s">
        <v>0</v>
      </c>
      <c r="S28" s="16" t="str">
        <f t="shared" si="24"/>
        <v>20-15</v>
      </c>
      <c r="T28" s="14">
        <f t="shared" si="25"/>
        <v>70</v>
      </c>
      <c r="U28" s="18">
        <f t="shared" si="26"/>
        <v>620</v>
      </c>
      <c r="V28" s="14">
        <f t="shared" si="27"/>
        <v>90</v>
      </c>
      <c r="W28" s="18">
        <f t="shared" si="28"/>
        <v>620</v>
      </c>
      <c r="X28" s="14">
        <f t="shared" si="29"/>
        <v>90</v>
      </c>
      <c r="Y28" s="18">
        <f t="shared" si="30"/>
        <v>600</v>
      </c>
      <c r="Z28" s="14">
        <f t="shared" si="31"/>
        <v>70</v>
      </c>
      <c r="AA28" s="18">
        <f t="shared" si="32"/>
        <v>600</v>
      </c>
      <c r="AB28" s="4" t="s">
        <v>0</v>
      </c>
    </row>
    <row r="29" spans="1:28">
      <c r="A29" s="9" t="s">
        <v>542</v>
      </c>
      <c r="B29" s="24"/>
      <c r="C29" s="26"/>
      <c r="D29" s="25">
        <f t="shared" ref="D29:D42" si="43">D13</f>
        <v>104</v>
      </c>
      <c r="E29" s="29">
        <f t="shared" ref="E29" si="44">E28</f>
        <v>130</v>
      </c>
      <c r="F29" s="25">
        <f t="shared" ref="F29:F42" si="45">F13</f>
        <v>124</v>
      </c>
      <c r="G29" s="29">
        <f t="shared" ref="G29" si="46">G28</f>
        <v>150</v>
      </c>
      <c r="H29" s="4" t="s">
        <v>0</v>
      </c>
      <c r="I29" s="16" t="str">
        <f t="shared" si="15"/>
        <v>18-38</v>
      </c>
      <c r="J29" s="14">
        <f t="shared" si="16"/>
        <v>104</v>
      </c>
      <c r="K29" s="15">
        <f t="shared" si="17"/>
        <v>130</v>
      </c>
      <c r="L29" s="17">
        <f t="shared" si="18"/>
        <v>124</v>
      </c>
      <c r="M29" s="18">
        <f t="shared" si="19"/>
        <v>130</v>
      </c>
      <c r="N29" s="14">
        <f t="shared" si="20"/>
        <v>124</v>
      </c>
      <c r="O29" s="15">
        <f t="shared" si="21"/>
        <v>150</v>
      </c>
      <c r="P29" s="17">
        <f t="shared" si="22"/>
        <v>104</v>
      </c>
      <c r="Q29" s="18">
        <f t="shared" si="23"/>
        <v>150</v>
      </c>
      <c r="R29" s="4" t="s">
        <v>0</v>
      </c>
      <c r="S29" s="16" t="str">
        <f t="shared" si="24"/>
        <v>18-38</v>
      </c>
      <c r="T29" s="14">
        <f t="shared" si="25"/>
        <v>104</v>
      </c>
      <c r="U29" s="18">
        <f t="shared" si="26"/>
        <v>620</v>
      </c>
      <c r="V29" s="14">
        <f t="shared" si="27"/>
        <v>124</v>
      </c>
      <c r="W29" s="18">
        <f t="shared" si="28"/>
        <v>620</v>
      </c>
      <c r="X29" s="14">
        <f t="shared" si="29"/>
        <v>124</v>
      </c>
      <c r="Y29" s="18">
        <f t="shared" si="30"/>
        <v>600</v>
      </c>
      <c r="Z29" s="14">
        <f t="shared" si="31"/>
        <v>104</v>
      </c>
      <c r="AA29" s="18">
        <f t="shared" si="32"/>
        <v>600</v>
      </c>
      <c r="AB29" s="4" t="s">
        <v>0</v>
      </c>
    </row>
    <row r="30" spans="1:28">
      <c r="A30" s="9" t="s">
        <v>299</v>
      </c>
      <c r="B30" s="24"/>
      <c r="C30" s="26"/>
      <c r="D30" s="25">
        <f t="shared" si="43"/>
        <v>124</v>
      </c>
      <c r="E30" s="29">
        <f t="shared" ref="E30" si="47">E29</f>
        <v>130</v>
      </c>
      <c r="F30" s="25">
        <f t="shared" si="45"/>
        <v>144</v>
      </c>
      <c r="G30" s="29">
        <f t="shared" ref="G30" si="48">G29</f>
        <v>150</v>
      </c>
      <c r="H30" s="4" t="s">
        <v>0</v>
      </c>
      <c r="I30" s="16" t="str">
        <f t="shared" si="15"/>
        <v>18-18</v>
      </c>
      <c r="J30" s="14">
        <f t="shared" si="16"/>
        <v>124</v>
      </c>
      <c r="K30" s="15">
        <f t="shared" si="17"/>
        <v>130</v>
      </c>
      <c r="L30" s="17">
        <f t="shared" si="18"/>
        <v>144</v>
      </c>
      <c r="M30" s="18">
        <f t="shared" si="19"/>
        <v>130</v>
      </c>
      <c r="N30" s="14">
        <f t="shared" si="20"/>
        <v>144</v>
      </c>
      <c r="O30" s="15">
        <f t="shared" si="21"/>
        <v>150</v>
      </c>
      <c r="P30" s="17">
        <f t="shared" si="22"/>
        <v>124</v>
      </c>
      <c r="Q30" s="18">
        <f t="shared" si="23"/>
        <v>150</v>
      </c>
      <c r="R30" s="4" t="s">
        <v>0</v>
      </c>
      <c r="S30" s="16" t="str">
        <f t="shared" si="24"/>
        <v>18-18</v>
      </c>
      <c r="T30" s="14">
        <f t="shared" si="25"/>
        <v>124</v>
      </c>
      <c r="U30" s="18">
        <f t="shared" si="26"/>
        <v>620</v>
      </c>
      <c r="V30" s="14">
        <f t="shared" si="27"/>
        <v>144</v>
      </c>
      <c r="W30" s="18">
        <f t="shared" si="28"/>
        <v>620</v>
      </c>
      <c r="X30" s="14">
        <f t="shared" si="29"/>
        <v>144</v>
      </c>
      <c r="Y30" s="18">
        <f t="shared" si="30"/>
        <v>600</v>
      </c>
      <c r="Z30" s="14">
        <f t="shared" si="31"/>
        <v>124</v>
      </c>
      <c r="AA30" s="18">
        <f t="shared" si="32"/>
        <v>600</v>
      </c>
      <c r="AB30" s="4" t="s">
        <v>0</v>
      </c>
    </row>
    <row r="31" spans="1:28">
      <c r="A31" s="9" t="s">
        <v>534</v>
      </c>
      <c r="B31" s="24"/>
      <c r="C31" s="26"/>
      <c r="D31" s="25">
        <f t="shared" si="43"/>
        <v>158</v>
      </c>
      <c r="E31" s="29">
        <f t="shared" ref="E31" si="49">E30</f>
        <v>130</v>
      </c>
      <c r="F31" s="25">
        <f t="shared" si="45"/>
        <v>178</v>
      </c>
      <c r="G31" s="29">
        <f t="shared" ref="G31" si="50">G30</f>
        <v>150</v>
      </c>
      <c r="H31" s="4" t="s">
        <v>0</v>
      </c>
      <c r="I31" s="16" t="str">
        <f t="shared" si="15"/>
        <v>17-38</v>
      </c>
      <c r="J31" s="14">
        <f t="shared" si="16"/>
        <v>158</v>
      </c>
      <c r="K31" s="15">
        <f t="shared" si="17"/>
        <v>130</v>
      </c>
      <c r="L31" s="17">
        <f t="shared" si="18"/>
        <v>178</v>
      </c>
      <c r="M31" s="18">
        <f t="shared" si="19"/>
        <v>130</v>
      </c>
      <c r="N31" s="14">
        <f t="shared" si="20"/>
        <v>178</v>
      </c>
      <c r="O31" s="15">
        <f t="shared" si="21"/>
        <v>150</v>
      </c>
      <c r="P31" s="17">
        <f t="shared" si="22"/>
        <v>158</v>
      </c>
      <c r="Q31" s="18">
        <f t="shared" si="23"/>
        <v>150</v>
      </c>
      <c r="R31" s="4" t="s">
        <v>0</v>
      </c>
      <c r="S31" s="16" t="str">
        <f t="shared" si="24"/>
        <v>17-38</v>
      </c>
      <c r="T31" s="14">
        <f t="shared" si="25"/>
        <v>158</v>
      </c>
      <c r="U31" s="18">
        <f t="shared" si="26"/>
        <v>620</v>
      </c>
      <c r="V31" s="14">
        <f t="shared" si="27"/>
        <v>178</v>
      </c>
      <c r="W31" s="18">
        <f t="shared" si="28"/>
        <v>620</v>
      </c>
      <c r="X31" s="14">
        <f t="shared" si="29"/>
        <v>178</v>
      </c>
      <c r="Y31" s="18">
        <f t="shared" si="30"/>
        <v>600</v>
      </c>
      <c r="Z31" s="14">
        <f t="shared" si="31"/>
        <v>158</v>
      </c>
      <c r="AA31" s="18">
        <f t="shared" si="32"/>
        <v>600</v>
      </c>
      <c r="AB31" s="4" t="s">
        <v>0</v>
      </c>
    </row>
    <row r="32" spans="1:28">
      <c r="A32" s="9" t="s">
        <v>278</v>
      </c>
      <c r="B32" s="24"/>
      <c r="C32" s="26"/>
      <c r="D32" s="25">
        <f t="shared" si="43"/>
        <v>178</v>
      </c>
      <c r="E32" s="29">
        <f t="shared" ref="E32" si="51">E31</f>
        <v>130</v>
      </c>
      <c r="F32" s="25">
        <f t="shared" si="45"/>
        <v>198</v>
      </c>
      <c r="G32" s="29">
        <f t="shared" ref="G32" si="52">G31</f>
        <v>150</v>
      </c>
      <c r="H32" s="4" t="s">
        <v>0</v>
      </c>
      <c r="I32" s="16" t="str">
        <f t="shared" si="15"/>
        <v>17-18</v>
      </c>
      <c r="J32" s="14">
        <f t="shared" si="16"/>
        <v>178</v>
      </c>
      <c r="K32" s="15">
        <f t="shared" si="17"/>
        <v>130</v>
      </c>
      <c r="L32" s="17">
        <f t="shared" si="18"/>
        <v>198</v>
      </c>
      <c r="M32" s="18">
        <f t="shared" si="19"/>
        <v>130</v>
      </c>
      <c r="N32" s="14">
        <f t="shared" si="20"/>
        <v>198</v>
      </c>
      <c r="O32" s="15">
        <f t="shared" si="21"/>
        <v>150</v>
      </c>
      <c r="P32" s="17">
        <f t="shared" si="22"/>
        <v>178</v>
      </c>
      <c r="Q32" s="18">
        <f t="shared" si="23"/>
        <v>150</v>
      </c>
      <c r="R32" s="4" t="s">
        <v>0</v>
      </c>
      <c r="S32" s="16" t="str">
        <f t="shared" si="24"/>
        <v>17-18</v>
      </c>
      <c r="T32" s="14">
        <f t="shared" si="25"/>
        <v>178</v>
      </c>
      <c r="U32" s="18">
        <f t="shared" si="26"/>
        <v>620</v>
      </c>
      <c r="V32" s="14">
        <f t="shared" si="27"/>
        <v>198</v>
      </c>
      <c r="W32" s="18">
        <f t="shared" si="28"/>
        <v>620</v>
      </c>
      <c r="X32" s="14">
        <f t="shared" si="29"/>
        <v>198</v>
      </c>
      <c r="Y32" s="18">
        <f t="shared" si="30"/>
        <v>600</v>
      </c>
      <c r="Z32" s="14">
        <f t="shared" si="31"/>
        <v>178</v>
      </c>
      <c r="AA32" s="18">
        <f t="shared" si="32"/>
        <v>600</v>
      </c>
      <c r="AB32" s="4" t="s">
        <v>0</v>
      </c>
    </row>
    <row r="33" spans="1:28">
      <c r="A33" s="9" t="s">
        <v>523</v>
      </c>
      <c r="B33" s="24"/>
      <c r="C33" s="26"/>
      <c r="D33" s="25">
        <f t="shared" si="43"/>
        <v>212</v>
      </c>
      <c r="E33" s="29">
        <f t="shared" ref="E33" si="53">E32</f>
        <v>130</v>
      </c>
      <c r="F33" s="25">
        <f t="shared" si="45"/>
        <v>232</v>
      </c>
      <c r="G33" s="29">
        <f t="shared" ref="G33" si="54">G32</f>
        <v>150</v>
      </c>
      <c r="H33" s="4" t="s">
        <v>0</v>
      </c>
      <c r="I33" s="16" t="str">
        <f t="shared" si="15"/>
        <v>16-38</v>
      </c>
      <c r="J33" s="14">
        <f t="shared" si="16"/>
        <v>212</v>
      </c>
      <c r="K33" s="15">
        <f t="shared" si="17"/>
        <v>130</v>
      </c>
      <c r="L33" s="17">
        <f t="shared" si="18"/>
        <v>232</v>
      </c>
      <c r="M33" s="18">
        <f t="shared" si="19"/>
        <v>130</v>
      </c>
      <c r="N33" s="14">
        <f t="shared" si="20"/>
        <v>232</v>
      </c>
      <c r="O33" s="15">
        <f t="shared" si="21"/>
        <v>150</v>
      </c>
      <c r="P33" s="17">
        <f t="shared" si="22"/>
        <v>212</v>
      </c>
      <c r="Q33" s="18">
        <f t="shared" si="23"/>
        <v>150</v>
      </c>
      <c r="R33" s="4" t="s">
        <v>0</v>
      </c>
      <c r="S33" s="16" t="str">
        <f t="shared" si="24"/>
        <v>16-38</v>
      </c>
      <c r="T33" s="14">
        <f t="shared" si="25"/>
        <v>212</v>
      </c>
      <c r="U33" s="18">
        <f t="shared" si="26"/>
        <v>620</v>
      </c>
      <c r="V33" s="14">
        <f t="shared" si="27"/>
        <v>232</v>
      </c>
      <c r="W33" s="18">
        <f t="shared" si="28"/>
        <v>620</v>
      </c>
      <c r="X33" s="14">
        <f t="shared" si="29"/>
        <v>232</v>
      </c>
      <c r="Y33" s="18">
        <f t="shared" si="30"/>
        <v>600</v>
      </c>
      <c r="Z33" s="14">
        <f t="shared" si="31"/>
        <v>212</v>
      </c>
      <c r="AA33" s="18">
        <f t="shared" si="32"/>
        <v>600</v>
      </c>
      <c r="AB33" s="4" t="s">
        <v>0</v>
      </c>
    </row>
    <row r="34" spans="1:28">
      <c r="A34" s="9" t="s">
        <v>257</v>
      </c>
      <c r="B34" s="24"/>
      <c r="C34" s="26"/>
      <c r="D34" s="25">
        <f t="shared" si="43"/>
        <v>232</v>
      </c>
      <c r="E34" s="29">
        <f t="shared" ref="E34" si="55">E33</f>
        <v>130</v>
      </c>
      <c r="F34" s="25">
        <f t="shared" si="45"/>
        <v>252</v>
      </c>
      <c r="G34" s="29">
        <f t="shared" ref="G34" si="56">G33</f>
        <v>150</v>
      </c>
      <c r="H34" s="4" t="s">
        <v>0</v>
      </c>
      <c r="I34" s="16" t="str">
        <f t="shared" si="15"/>
        <v>16-18</v>
      </c>
      <c r="J34" s="14">
        <f t="shared" si="16"/>
        <v>232</v>
      </c>
      <c r="K34" s="15">
        <f t="shared" si="17"/>
        <v>130</v>
      </c>
      <c r="L34" s="17">
        <f t="shared" si="18"/>
        <v>252</v>
      </c>
      <c r="M34" s="18">
        <f t="shared" si="19"/>
        <v>130</v>
      </c>
      <c r="N34" s="14">
        <f t="shared" si="20"/>
        <v>252</v>
      </c>
      <c r="O34" s="15">
        <f t="shared" si="21"/>
        <v>150</v>
      </c>
      <c r="P34" s="17">
        <f t="shared" si="22"/>
        <v>232</v>
      </c>
      <c r="Q34" s="18">
        <f t="shared" si="23"/>
        <v>150</v>
      </c>
      <c r="R34" s="4" t="s">
        <v>0</v>
      </c>
      <c r="S34" s="16" t="str">
        <f t="shared" si="24"/>
        <v>16-18</v>
      </c>
      <c r="T34" s="14">
        <f t="shared" si="25"/>
        <v>232</v>
      </c>
      <c r="U34" s="18">
        <f t="shared" si="26"/>
        <v>620</v>
      </c>
      <c r="V34" s="14">
        <f t="shared" si="27"/>
        <v>252</v>
      </c>
      <c r="W34" s="18">
        <f t="shared" si="28"/>
        <v>620</v>
      </c>
      <c r="X34" s="14">
        <f t="shared" si="29"/>
        <v>252</v>
      </c>
      <c r="Y34" s="18">
        <f t="shared" si="30"/>
        <v>600</v>
      </c>
      <c r="Z34" s="14">
        <f t="shared" si="31"/>
        <v>232</v>
      </c>
      <c r="AA34" s="18">
        <f t="shared" si="32"/>
        <v>600</v>
      </c>
      <c r="AB34" s="4" t="s">
        <v>0</v>
      </c>
    </row>
    <row r="35" spans="1:28">
      <c r="A35" s="9" t="s">
        <v>512</v>
      </c>
      <c r="B35" s="24"/>
      <c r="C35" s="26"/>
      <c r="D35" s="25">
        <f t="shared" si="43"/>
        <v>266</v>
      </c>
      <c r="E35" s="29">
        <f t="shared" ref="E35" si="57">E34</f>
        <v>130</v>
      </c>
      <c r="F35" s="25">
        <f t="shared" si="45"/>
        <v>286</v>
      </c>
      <c r="G35" s="29">
        <f t="shared" ref="G35" si="58">G34</f>
        <v>150</v>
      </c>
      <c r="H35" s="4" t="s">
        <v>0</v>
      </c>
      <c r="I35" s="16" t="str">
        <f t="shared" si="15"/>
        <v>15-38</v>
      </c>
      <c r="J35" s="14">
        <f t="shared" si="16"/>
        <v>266</v>
      </c>
      <c r="K35" s="15">
        <f t="shared" si="17"/>
        <v>130</v>
      </c>
      <c r="L35" s="17">
        <f t="shared" si="18"/>
        <v>286</v>
      </c>
      <c r="M35" s="18">
        <f t="shared" si="19"/>
        <v>130</v>
      </c>
      <c r="N35" s="14">
        <f t="shared" si="20"/>
        <v>286</v>
      </c>
      <c r="O35" s="15">
        <f t="shared" si="21"/>
        <v>150</v>
      </c>
      <c r="P35" s="17">
        <f t="shared" si="22"/>
        <v>266</v>
      </c>
      <c r="Q35" s="18">
        <f t="shared" si="23"/>
        <v>150</v>
      </c>
      <c r="R35" s="4" t="s">
        <v>0</v>
      </c>
      <c r="S35" s="16" t="str">
        <f t="shared" si="24"/>
        <v>15-38</v>
      </c>
      <c r="T35" s="14">
        <f t="shared" si="25"/>
        <v>266</v>
      </c>
      <c r="U35" s="18">
        <f t="shared" si="26"/>
        <v>620</v>
      </c>
      <c r="V35" s="14">
        <f t="shared" si="27"/>
        <v>286</v>
      </c>
      <c r="W35" s="18">
        <f t="shared" si="28"/>
        <v>620</v>
      </c>
      <c r="X35" s="14">
        <f t="shared" si="29"/>
        <v>286</v>
      </c>
      <c r="Y35" s="18">
        <f t="shared" si="30"/>
        <v>600</v>
      </c>
      <c r="Z35" s="14">
        <f t="shared" si="31"/>
        <v>266</v>
      </c>
      <c r="AA35" s="18">
        <f t="shared" si="32"/>
        <v>600</v>
      </c>
      <c r="AB35" s="4" t="s">
        <v>0</v>
      </c>
    </row>
    <row r="36" spans="1:28">
      <c r="A36" s="9" t="s">
        <v>238</v>
      </c>
      <c r="B36" s="24"/>
      <c r="C36" s="26"/>
      <c r="D36" s="25">
        <f t="shared" si="43"/>
        <v>286</v>
      </c>
      <c r="E36" s="29">
        <f t="shared" ref="E36" si="59">E35</f>
        <v>130</v>
      </c>
      <c r="F36" s="25">
        <f t="shared" si="45"/>
        <v>306</v>
      </c>
      <c r="G36" s="29">
        <f t="shared" ref="G36" si="60">G35</f>
        <v>150</v>
      </c>
      <c r="H36" s="4" t="s">
        <v>0</v>
      </c>
      <c r="I36" s="16" t="str">
        <f t="shared" si="15"/>
        <v>15-18</v>
      </c>
      <c r="J36" s="14">
        <f t="shared" si="16"/>
        <v>286</v>
      </c>
      <c r="K36" s="15">
        <f t="shared" si="17"/>
        <v>130</v>
      </c>
      <c r="L36" s="17">
        <f t="shared" si="18"/>
        <v>306</v>
      </c>
      <c r="M36" s="18">
        <f t="shared" si="19"/>
        <v>130</v>
      </c>
      <c r="N36" s="14">
        <f t="shared" si="20"/>
        <v>306</v>
      </c>
      <c r="O36" s="15">
        <f t="shared" si="21"/>
        <v>150</v>
      </c>
      <c r="P36" s="17">
        <f t="shared" si="22"/>
        <v>286</v>
      </c>
      <c r="Q36" s="18">
        <f t="shared" si="23"/>
        <v>150</v>
      </c>
      <c r="R36" s="4" t="s">
        <v>0</v>
      </c>
      <c r="S36" s="16" t="str">
        <f t="shared" si="24"/>
        <v>15-18</v>
      </c>
      <c r="T36" s="14">
        <f t="shared" si="25"/>
        <v>286</v>
      </c>
      <c r="U36" s="18">
        <f t="shared" si="26"/>
        <v>620</v>
      </c>
      <c r="V36" s="14">
        <f t="shared" si="27"/>
        <v>306</v>
      </c>
      <c r="W36" s="18">
        <f t="shared" si="28"/>
        <v>620</v>
      </c>
      <c r="X36" s="14">
        <f t="shared" si="29"/>
        <v>306</v>
      </c>
      <c r="Y36" s="18">
        <f t="shared" si="30"/>
        <v>600</v>
      </c>
      <c r="Z36" s="14">
        <f t="shared" si="31"/>
        <v>286</v>
      </c>
      <c r="AA36" s="18">
        <f t="shared" si="32"/>
        <v>600</v>
      </c>
      <c r="AB36" s="4" t="s">
        <v>0</v>
      </c>
    </row>
    <row r="37" spans="1:28">
      <c r="A37" s="9" t="s">
        <v>497</v>
      </c>
      <c r="B37" s="24"/>
      <c r="C37" s="26"/>
      <c r="D37" s="25">
        <f t="shared" si="43"/>
        <v>320</v>
      </c>
      <c r="E37" s="29">
        <f t="shared" ref="E37" si="61">E36</f>
        <v>130</v>
      </c>
      <c r="F37" s="25">
        <f t="shared" si="45"/>
        <v>340</v>
      </c>
      <c r="G37" s="29">
        <f t="shared" ref="G37" si="62">G36</f>
        <v>150</v>
      </c>
      <c r="H37" s="4" t="s">
        <v>0</v>
      </c>
      <c r="I37" s="16" t="str">
        <f t="shared" si="15"/>
        <v>13-38</v>
      </c>
      <c r="J37" s="14">
        <f t="shared" si="16"/>
        <v>320</v>
      </c>
      <c r="K37" s="15">
        <f t="shared" si="17"/>
        <v>130</v>
      </c>
      <c r="L37" s="17">
        <f t="shared" si="18"/>
        <v>340</v>
      </c>
      <c r="M37" s="18">
        <f t="shared" si="19"/>
        <v>130</v>
      </c>
      <c r="N37" s="14">
        <f t="shared" si="20"/>
        <v>340</v>
      </c>
      <c r="O37" s="15">
        <f t="shared" si="21"/>
        <v>150</v>
      </c>
      <c r="P37" s="17">
        <f t="shared" si="22"/>
        <v>320</v>
      </c>
      <c r="Q37" s="18">
        <f t="shared" si="23"/>
        <v>150</v>
      </c>
      <c r="R37" s="4" t="s">
        <v>0</v>
      </c>
      <c r="S37" s="16" t="str">
        <f t="shared" si="24"/>
        <v>13-38</v>
      </c>
      <c r="T37" s="14">
        <f t="shared" si="25"/>
        <v>320</v>
      </c>
      <c r="U37" s="18">
        <f t="shared" si="26"/>
        <v>620</v>
      </c>
      <c r="V37" s="14">
        <f t="shared" si="27"/>
        <v>340</v>
      </c>
      <c r="W37" s="18">
        <f t="shared" si="28"/>
        <v>620</v>
      </c>
      <c r="X37" s="14">
        <f t="shared" si="29"/>
        <v>340</v>
      </c>
      <c r="Y37" s="18">
        <f t="shared" si="30"/>
        <v>600</v>
      </c>
      <c r="Z37" s="14">
        <f t="shared" si="31"/>
        <v>320</v>
      </c>
      <c r="AA37" s="18">
        <f t="shared" si="32"/>
        <v>600</v>
      </c>
      <c r="AB37" s="4" t="s">
        <v>0</v>
      </c>
    </row>
    <row r="38" spans="1:28">
      <c r="A38" s="9" t="s">
        <v>221</v>
      </c>
      <c r="B38" s="24"/>
      <c r="C38" s="26"/>
      <c r="D38" s="25">
        <f t="shared" si="43"/>
        <v>340</v>
      </c>
      <c r="E38" s="29">
        <f t="shared" ref="E38" si="63">E37</f>
        <v>130</v>
      </c>
      <c r="F38" s="25">
        <f t="shared" si="45"/>
        <v>360</v>
      </c>
      <c r="G38" s="29">
        <f t="shared" ref="G38" si="64">G37</f>
        <v>150</v>
      </c>
      <c r="H38" s="4" t="s">
        <v>0</v>
      </c>
      <c r="I38" s="16" t="str">
        <f t="shared" si="15"/>
        <v>13-18</v>
      </c>
      <c r="J38" s="14">
        <f t="shared" si="16"/>
        <v>340</v>
      </c>
      <c r="K38" s="15">
        <f t="shared" si="17"/>
        <v>130</v>
      </c>
      <c r="L38" s="17">
        <f t="shared" si="18"/>
        <v>360</v>
      </c>
      <c r="M38" s="18">
        <f t="shared" si="19"/>
        <v>130</v>
      </c>
      <c r="N38" s="14">
        <f t="shared" si="20"/>
        <v>360</v>
      </c>
      <c r="O38" s="15">
        <f t="shared" si="21"/>
        <v>150</v>
      </c>
      <c r="P38" s="17">
        <f t="shared" si="22"/>
        <v>340</v>
      </c>
      <c r="Q38" s="18">
        <f t="shared" si="23"/>
        <v>150</v>
      </c>
      <c r="R38" s="4" t="s">
        <v>0</v>
      </c>
      <c r="S38" s="16" t="str">
        <f t="shared" si="24"/>
        <v>13-18</v>
      </c>
      <c r="T38" s="14">
        <f t="shared" si="25"/>
        <v>340</v>
      </c>
      <c r="U38" s="18">
        <f t="shared" si="26"/>
        <v>620</v>
      </c>
      <c r="V38" s="14">
        <f t="shared" si="27"/>
        <v>360</v>
      </c>
      <c r="W38" s="18">
        <f t="shared" si="28"/>
        <v>620</v>
      </c>
      <c r="X38" s="14">
        <f t="shared" si="29"/>
        <v>360</v>
      </c>
      <c r="Y38" s="18">
        <f t="shared" si="30"/>
        <v>600</v>
      </c>
      <c r="Z38" s="14">
        <f t="shared" si="31"/>
        <v>340</v>
      </c>
      <c r="AA38" s="18">
        <f t="shared" si="32"/>
        <v>600</v>
      </c>
      <c r="AB38" s="4" t="s">
        <v>0</v>
      </c>
    </row>
    <row r="39" spans="1:28">
      <c r="A39" s="9" t="s">
        <v>482</v>
      </c>
      <c r="B39" s="24"/>
      <c r="C39" s="26"/>
      <c r="D39" s="25">
        <f t="shared" si="43"/>
        <v>374</v>
      </c>
      <c r="E39" s="29">
        <f t="shared" ref="E39" si="65">E38</f>
        <v>130</v>
      </c>
      <c r="F39" s="25">
        <f t="shared" si="45"/>
        <v>394</v>
      </c>
      <c r="G39" s="29">
        <f t="shared" ref="G39" si="66">G38</f>
        <v>150</v>
      </c>
      <c r="H39" s="4" t="s">
        <v>0</v>
      </c>
      <c r="I39" s="16" t="str">
        <f t="shared" si="15"/>
        <v>12-38</v>
      </c>
      <c r="J39" s="14">
        <f t="shared" si="16"/>
        <v>374</v>
      </c>
      <c r="K39" s="15">
        <f t="shared" si="17"/>
        <v>130</v>
      </c>
      <c r="L39" s="17">
        <f t="shared" si="18"/>
        <v>394</v>
      </c>
      <c r="M39" s="18">
        <f t="shared" si="19"/>
        <v>130</v>
      </c>
      <c r="N39" s="14">
        <f t="shared" si="20"/>
        <v>394</v>
      </c>
      <c r="O39" s="15">
        <f t="shared" si="21"/>
        <v>150</v>
      </c>
      <c r="P39" s="17">
        <f t="shared" si="22"/>
        <v>374</v>
      </c>
      <c r="Q39" s="18">
        <f t="shared" si="23"/>
        <v>150</v>
      </c>
      <c r="R39" s="4" t="s">
        <v>0</v>
      </c>
      <c r="S39" s="16" t="str">
        <f t="shared" si="24"/>
        <v>12-38</v>
      </c>
      <c r="T39" s="14">
        <f t="shared" si="25"/>
        <v>374</v>
      </c>
      <c r="U39" s="18">
        <f t="shared" si="26"/>
        <v>620</v>
      </c>
      <c r="V39" s="14">
        <f t="shared" si="27"/>
        <v>394</v>
      </c>
      <c r="W39" s="18">
        <f t="shared" si="28"/>
        <v>620</v>
      </c>
      <c r="X39" s="14">
        <f t="shared" si="29"/>
        <v>394</v>
      </c>
      <c r="Y39" s="18">
        <f t="shared" si="30"/>
        <v>600</v>
      </c>
      <c r="Z39" s="14">
        <f t="shared" si="31"/>
        <v>374</v>
      </c>
      <c r="AA39" s="18">
        <f t="shared" si="32"/>
        <v>600</v>
      </c>
      <c r="AB39" s="4" t="s">
        <v>0</v>
      </c>
    </row>
    <row r="40" spans="1:28">
      <c r="A40" s="9" t="s">
        <v>205</v>
      </c>
      <c r="B40" s="24"/>
      <c r="C40" s="26"/>
      <c r="D40" s="25">
        <f t="shared" si="43"/>
        <v>394</v>
      </c>
      <c r="E40" s="29">
        <f t="shared" ref="E40" si="67">E39</f>
        <v>130</v>
      </c>
      <c r="F40" s="25">
        <f t="shared" si="45"/>
        <v>414</v>
      </c>
      <c r="G40" s="29">
        <f t="shared" ref="G40" si="68">G39</f>
        <v>150</v>
      </c>
      <c r="H40" s="4" t="s">
        <v>0</v>
      </c>
      <c r="I40" s="16" t="str">
        <f t="shared" si="15"/>
        <v>12-18</v>
      </c>
      <c r="J40" s="14">
        <f t="shared" si="16"/>
        <v>394</v>
      </c>
      <c r="K40" s="15">
        <f t="shared" si="17"/>
        <v>130</v>
      </c>
      <c r="L40" s="17">
        <f t="shared" si="18"/>
        <v>414</v>
      </c>
      <c r="M40" s="18">
        <f t="shared" si="19"/>
        <v>130</v>
      </c>
      <c r="N40" s="14">
        <f t="shared" si="20"/>
        <v>414</v>
      </c>
      <c r="O40" s="15">
        <f t="shared" si="21"/>
        <v>150</v>
      </c>
      <c r="P40" s="17">
        <f t="shared" si="22"/>
        <v>394</v>
      </c>
      <c r="Q40" s="18">
        <f t="shared" si="23"/>
        <v>150</v>
      </c>
      <c r="R40" s="4" t="s">
        <v>0</v>
      </c>
      <c r="S40" s="16" t="str">
        <f t="shared" si="24"/>
        <v>12-18</v>
      </c>
      <c r="T40" s="14">
        <f t="shared" si="25"/>
        <v>394</v>
      </c>
      <c r="U40" s="18">
        <f t="shared" si="26"/>
        <v>620</v>
      </c>
      <c r="V40" s="14">
        <f t="shared" si="27"/>
        <v>414</v>
      </c>
      <c r="W40" s="18">
        <f t="shared" si="28"/>
        <v>620</v>
      </c>
      <c r="X40" s="14">
        <f t="shared" si="29"/>
        <v>414</v>
      </c>
      <c r="Y40" s="18">
        <f t="shared" si="30"/>
        <v>600</v>
      </c>
      <c r="Z40" s="14">
        <f t="shared" si="31"/>
        <v>394</v>
      </c>
      <c r="AA40" s="18">
        <f t="shared" si="32"/>
        <v>600</v>
      </c>
      <c r="AB40" s="4" t="s">
        <v>0</v>
      </c>
    </row>
    <row r="41" spans="1:28">
      <c r="A41" s="9" t="s">
        <v>467</v>
      </c>
      <c r="B41" s="24"/>
      <c r="C41" s="26"/>
      <c r="D41" s="25">
        <f t="shared" si="43"/>
        <v>428</v>
      </c>
      <c r="E41" s="29">
        <f t="shared" ref="E41" si="69">E40</f>
        <v>130</v>
      </c>
      <c r="F41" s="25">
        <f t="shared" si="45"/>
        <v>448</v>
      </c>
      <c r="G41" s="29">
        <f t="shared" ref="G41" si="70">G40</f>
        <v>150</v>
      </c>
      <c r="H41" s="4" t="s">
        <v>0</v>
      </c>
      <c r="I41" s="16" t="str">
        <f t="shared" si="15"/>
        <v>11-33</v>
      </c>
      <c r="J41" s="14">
        <f t="shared" si="16"/>
        <v>428</v>
      </c>
      <c r="K41" s="15">
        <f t="shared" si="17"/>
        <v>130</v>
      </c>
      <c r="L41" s="17">
        <f t="shared" si="18"/>
        <v>448</v>
      </c>
      <c r="M41" s="18">
        <f t="shared" si="19"/>
        <v>130</v>
      </c>
      <c r="N41" s="14">
        <f t="shared" si="20"/>
        <v>448</v>
      </c>
      <c r="O41" s="15">
        <f t="shared" si="21"/>
        <v>150</v>
      </c>
      <c r="P41" s="17">
        <f t="shared" si="22"/>
        <v>428</v>
      </c>
      <c r="Q41" s="18">
        <f t="shared" si="23"/>
        <v>150</v>
      </c>
      <c r="R41" s="4" t="s">
        <v>0</v>
      </c>
      <c r="S41" s="16" t="str">
        <f t="shared" si="24"/>
        <v>11-33</v>
      </c>
      <c r="T41" s="14">
        <f t="shared" si="25"/>
        <v>428</v>
      </c>
      <c r="U41" s="18">
        <f t="shared" si="26"/>
        <v>620</v>
      </c>
      <c r="V41" s="14">
        <f t="shared" si="27"/>
        <v>448</v>
      </c>
      <c r="W41" s="18">
        <f t="shared" si="28"/>
        <v>620</v>
      </c>
      <c r="X41" s="14">
        <f t="shared" si="29"/>
        <v>448</v>
      </c>
      <c r="Y41" s="18">
        <f t="shared" si="30"/>
        <v>600</v>
      </c>
      <c r="Z41" s="14">
        <f t="shared" si="31"/>
        <v>428</v>
      </c>
      <c r="AA41" s="18">
        <f t="shared" si="32"/>
        <v>600</v>
      </c>
      <c r="AB41" s="4" t="s">
        <v>0</v>
      </c>
    </row>
    <row r="42" spans="1:28">
      <c r="A42" s="9" t="s">
        <v>196</v>
      </c>
      <c r="B42" s="24"/>
      <c r="C42" s="26"/>
      <c r="D42" s="25">
        <f t="shared" si="43"/>
        <v>448</v>
      </c>
      <c r="E42" s="29">
        <f t="shared" ref="E42" si="71">E41</f>
        <v>130</v>
      </c>
      <c r="F42" s="25">
        <f t="shared" si="45"/>
        <v>468</v>
      </c>
      <c r="G42" s="29">
        <f t="shared" ref="G42" si="72">G41</f>
        <v>150</v>
      </c>
      <c r="H42" s="4" t="s">
        <v>0</v>
      </c>
      <c r="I42" s="16" t="str">
        <f t="shared" si="15"/>
        <v>11-16</v>
      </c>
      <c r="J42" s="14">
        <f t="shared" si="16"/>
        <v>448</v>
      </c>
      <c r="K42" s="15">
        <f t="shared" si="17"/>
        <v>130</v>
      </c>
      <c r="L42" s="17">
        <f t="shared" si="18"/>
        <v>468</v>
      </c>
      <c r="M42" s="18">
        <f t="shared" si="19"/>
        <v>130</v>
      </c>
      <c r="N42" s="14">
        <f t="shared" si="20"/>
        <v>468</v>
      </c>
      <c r="O42" s="15">
        <f t="shared" si="21"/>
        <v>150</v>
      </c>
      <c r="P42" s="17">
        <f t="shared" si="22"/>
        <v>448</v>
      </c>
      <c r="Q42" s="18">
        <f t="shared" si="23"/>
        <v>150</v>
      </c>
      <c r="R42" s="4" t="s">
        <v>0</v>
      </c>
      <c r="S42" s="16" t="str">
        <f t="shared" si="24"/>
        <v>11-16</v>
      </c>
      <c r="T42" s="14">
        <f t="shared" si="25"/>
        <v>448</v>
      </c>
      <c r="U42" s="18">
        <f t="shared" si="26"/>
        <v>620</v>
      </c>
      <c r="V42" s="14">
        <f t="shared" si="27"/>
        <v>468</v>
      </c>
      <c r="W42" s="18">
        <f t="shared" si="28"/>
        <v>620</v>
      </c>
      <c r="X42" s="14">
        <f t="shared" si="29"/>
        <v>468</v>
      </c>
      <c r="Y42" s="18">
        <f t="shared" si="30"/>
        <v>600</v>
      </c>
      <c r="Z42" s="14">
        <f t="shared" si="31"/>
        <v>448</v>
      </c>
      <c r="AA42" s="18">
        <f t="shared" si="32"/>
        <v>600</v>
      </c>
      <c r="AB42" s="4" t="s">
        <v>0</v>
      </c>
    </row>
    <row r="43" spans="1:28">
      <c r="A43" s="9" t="s">
        <v>332</v>
      </c>
      <c r="B43" s="24"/>
      <c r="C43" s="26">
        <v>2</v>
      </c>
      <c r="D43" s="25">
        <f t="shared" ref="D43:D106" si="73">D27</f>
        <v>50</v>
      </c>
      <c r="E43" s="28">
        <f t="shared" ref="E43" si="74">ROUND(E$11+19.5*$C43, 0)</f>
        <v>149</v>
      </c>
      <c r="F43" s="25">
        <f t="shared" ref="F43:F106" si="75">F27</f>
        <v>70</v>
      </c>
      <c r="G43" s="28">
        <f t="shared" ref="G43" si="76">ROUND(G$11+19.5*$C43, 0)</f>
        <v>169</v>
      </c>
      <c r="H43" s="4" t="s">
        <v>0</v>
      </c>
      <c r="I43" s="16" t="str">
        <f t="shared" si="15"/>
        <v>20-30</v>
      </c>
      <c r="J43" s="14">
        <f t="shared" si="16"/>
        <v>50</v>
      </c>
      <c r="K43" s="15">
        <f t="shared" si="17"/>
        <v>149</v>
      </c>
      <c r="L43" s="17">
        <f t="shared" si="18"/>
        <v>70</v>
      </c>
      <c r="M43" s="18">
        <f t="shared" si="19"/>
        <v>149</v>
      </c>
      <c r="N43" s="14">
        <f t="shared" si="20"/>
        <v>70</v>
      </c>
      <c r="O43" s="15">
        <f t="shared" si="21"/>
        <v>169</v>
      </c>
      <c r="P43" s="17">
        <f t="shared" si="22"/>
        <v>50</v>
      </c>
      <c r="Q43" s="18">
        <f t="shared" si="23"/>
        <v>169</v>
      </c>
      <c r="R43" s="4" t="s">
        <v>0</v>
      </c>
      <c r="S43" s="16" t="str">
        <f t="shared" si="24"/>
        <v>20-30</v>
      </c>
      <c r="T43" s="14">
        <f t="shared" si="25"/>
        <v>50</v>
      </c>
      <c r="U43" s="18">
        <f t="shared" si="26"/>
        <v>601</v>
      </c>
      <c r="V43" s="14">
        <f t="shared" si="27"/>
        <v>70</v>
      </c>
      <c r="W43" s="18">
        <f t="shared" si="28"/>
        <v>601</v>
      </c>
      <c r="X43" s="14">
        <f t="shared" si="29"/>
        <v>70</v>
      </c>
      <c r="Y43" s="18">
        <f t="shared" si="30"/>
        <v>581</v>
      </c>
      <c r="Z43" s="14">
        <f t="shared" si="31"/>
        <v>50</v>
      </c>
      <c r="AA43" s="18">
        <f t="shared" si="32"/>
        <v>581</v>
      </c>
      <c r="AB43" s="4" t="s">
        <v>0</v>
      </c>
    </row>
    <row r="44" spans="1:28">
      <c r="A44" s="9" t="s">
        <v>319</v>
      </c>
      <c r="B44" s="24"/>
      <c r="C44" s="26"/>
      <c r="D44" s="25">
        <f t="shared" si="73"/>
        <v>70</v>
      </c>
      <c r="E44" s="29">
        <f t="shared" ref="E44" si="77">E43</f>
        <v>149</v>
      </c>
      <c r="F44" s="25">
        <f t="shared" si="75"/>
        <v>90</v>
      </c>
      <c r="G44" s="29">
        <f t="shared" ref="G44:G106" si="78">G43</f>
        <v>169</v>
      </c>
      <c r="H44" s="4" t="s">
        <v>0</v>
      </c>
      <c r="I44" s="16" t="str">
        <f t="shared" si="15"/>
        <v>20-13</v>
      </c>
      <c r="J44" s="14">
        <f t="shared" si="16"/>
        <v>70</v>
      </c>
      <c r="K44" s="15">
        <f t="shared" si="17"/>
        <v>149</v>
      </c>
      <c r="L44" s="17">
        <f t="shared" si="18"/>
        <v>90</v>
      </c>
      <c r="M44" s="18">
        <f t="shared" si="19"/>
        <v>149</v>
      </c>
      <c r="N44" s="14">
        <f t="shared" si="20"/>
        <v>90</v>
      </c>
      <c r="O44" s="15">
        <f t="shared" si="21"/>
        <v>169</v>
      </c>
      <c r="P44" s="17">
        <f t="shared" si="22"/>
        <v>70</v>
      </c>
      <c r="Q44" s="18">
        <f t="shared" si="23"/>
        <v>169</v>
      </c>
      <c r="R44" s="4" t="s">
        <v>0</v>
      </c>
      <c r="S44" s="16" t="str">
        <f t="shared" si="24"/>
        <v>20-13</v>
      </c>
      <c r="T44" s="14">
        <f t="shared" si="25"/>
        <v>70</v>
      </c>
      <c r="U44" s="18">
        <f t="shared" si="26"/>
        <v>601</v>
      </c>
      <c r="V44" s="14">
        <f t="shared" si="27"/>
        <v>90</v>
      </c>
      <c r="W44" s="18">
        <f t="shared" si="28"/>
        <v>601</v>
      </c>
      <c r="X44" s="14">
        <f t="shared" si="29"/>
        <v>90</v>
      </c>
      <c r="Y44" s="18">
        <f t="shared" si="30"/>
        <v>581</v>
      </c>
      <c r="Z44" s="14">
        <f t="shared" si="31"/>
        <v>70</v>
      </c>
      <c r="AA44" s="18">
        <f t="shared" si="32"/>
        <v>581</v>
      </c>
      <c r="AB44" s="4" t="s">
        <v>0</v>
      </c>
    </row>
    <row r="45" spans="1:28">
      <c r="A45" s="9" t="s">
        <v>541</v>
      </c>
      <c r="B45" s="24"/>
      <c r="C45" s="26"/>
      <c r="D45" s="25">
        <f t="shared" si="73"/>
        <v>104</v>
      </c>
      <c r="E45" s="29">
        <f t="shared" ref="E45" si="79">E44</f>
        <v>149</v>
      </c>
      <c r="F45" s="25">
        <f t="shared" si="75"/>
        <v>124</v>
      </c>
      <c r="G45" s="29">
        <f t="shared" si="78"/>
        <v>169</v>
      </c>
      <c r="H45" s="4" t="s">
        <v>0</v>
      </c>
      <c r="I45" s="16" t="str">
        <f t="shared" si="15"/>
        <v>18-37</v>
      </c>
      <c r="J45" s="14">
        <f t="shared" si="16"/>
        <v>104</v>
      </c>
      <c r="K45" s="15">
        <f t="shared" si="17"/>
        <v>149</v>
      </c>
      <c r="L45" s="17">
        <f t="shared" si="18"/>
        <v>124</v>
      </c>
      <c r="M45" s="18">
        <f t="shared" si="19"/>
        <v>149</v>
      </c>
      <c r="N45" s="14">
        <f t="shared" si="20"/>
        <v>124</v>
      </c>
      <c r="O45" s="15">
        <f t="shared" si="21"/>
        <v>169</v>
      </c>
      <c r="P45" s="17">
        <f t="shared" si="22"/>
        <v>104</v>
      </c>
      <c r="Q45" s="18">
        <f t="shared" si="23"/>
        <v>169</v>
      </c>
      <c r="R45" s="4" t="s">
        <v>0</v>
      </c>
      <c r="S45" s="16" t="str">
        <f t="shared" si="24"/>
        <v>18-37</v>
      </c>
      <c r="T45" s="14">
        <f t="shared" si="25"/>
        <v>104</v>
      </c>
      <c r="U45" s="18">
        <f t="shared" si="26"/>
        <v>601</v>
      </c>
      <c r="V45" s="14">
        <f t="shared" si="27"/>
        <v>124</v>
      </c>
      <c r="W45" s="18">
        <f t="shared" si="28"/>
        <v>601</v>
      </c>
      <c r="X45" s="14">
        <f t="shared" si="29"/>
        <v>124</v>
      </c>
      <c r="Y45" s="18">
        <f t="shared" si="30"/>
        <v>581</v>
      </c>
      <c r="Z45" s="14">
        <f t="shared" si="31"/>
        <v>104</v>
      </c>
      <c r="AA45" s="18">
        <f t="shared" si="32"/>
        <v>581</v>
      </c>
      <c r="AB45" s="4" t="s">
        <v>0</v>
      </c>
    </row>
    <row r="46" spans="1:28">
      <c r="A46" s="9" t="s">
        <v>298</v>
      </c>
      <c r="B46" s="24"/>
      <c r="C46" s="26"/>
      <c r="D46" s="25">
        <f t="shared" si="73"/>
        <v>124</v>
      </c>
      <c r="E46" s="29">
        <f t="shared" ref="E46" si="80">E45</f>
        <v>149</v>
      </c>
      <c r="F46" s="25">
        <f t="shared" si="75"/>
        <v>144</v>
      </c>
      <c r="G46" s="29">
        <f t="shared" si="78"/>
        <v>169</v>
      </c>
      <c r="H46" s="4" t="s">
        <v>0</v>
      </c>
      <c r="I46" s="16" t="str">
        <f t="shared" si="15"/>
        <v>18-17</v>
      </c>
      <c r="J46" s="14">
        <f t="shared" si="16"/>
        <v>124</v>
      </c>
      <c r="K46" s="15">
        <f t="shared" si="17"/>
        <v>149</v>
      </c>
      <c r="L46" s="17">
        <f t="shared" si="18"/>
        <v>144</v>
      </c>
      <c r="M46" s="18">
        <f t="shared" si="19"/>
        <v>149</v>
      </c>
      <c r="N46" s="14">
        <f t="shared" si="20"/>
        <v>144</v>
      </c>
      <c r="O46" s="15">
        <f t="shared" si="21"/>
        <v>169</v>
      </c>
      <c r="P46" s="17">
        <f t="shared" si="22"/>
        <v>124</v>
      </c>
      <c r="Q46" s="18">
        <f t="shared" si="23"/>
        <v>169</v>
      </c>
      <c r="R46" s="4" t="s">
        <v>0</v>
      </c>
      <c r="S46" s="16" t="str">
        <f t="shared" si="24"/>
        <v>18-17</v>
      </c>
      <c r="T46" s="14">
        <f t="shared" si="25"/>
        <v>124</v>
      </c>
      <c r="U46" s="18">
        <f t="shared" si="26"/>
        <v>601</v>
      </c>
      <c r="V46" s="14">
        <f t="shared" si="27"/>
        <v>144</v>
      </c>
      <c r="W46" s="18">
        <f t="shared" si="28"/>
        <v>601</v>
      </c>
      <c r="X46" s="14">
        <f t="shared" si="29"/>
        <v>144</v>
      </c>
      <c r="Y46" s="18">
        <f t="shared" si="30"/>
        <v>581</v>
      </c>
      <c r="Z46" s="14">
        <f t="shared" si="31"/>
        <v>124</v>
      </c>
      <c r="AA46" s="18">
        <f t="shared" si="32"/>
        <v>581</v>
      </c>
      <c r="AB46" s="4" t="s">
        <v>0</v>
      </c>
    </row>
    <row r="47" spans="1:28">
      <c r="A47" s="9" t="s">
        <v>533</v>
      </c>
      <c r="B47" s="24"/>
      <c r="C47" s="26"/>
      <c r="D47" s="25">
        <f t="shared" si="73"/>
        <v>158</v>
      </c>
      <c r="E47" s="29">
        <f t="shared" ref="E47" si="81">E46</f>
        <v>149</v>
      </c>
      <c r="F47" s="25">
        <f t="shared" si="75"/>
        <v>178</v>
      </c>
      <c r="G47" s="29">
        <f t="shared" si="78"/>
        <v>169</v>
      </c>
      <c r="H47" s="4" t="s">
        <v>0</v>
      </c>
      <c r="I47" s="16" t="str">
        <f t="shared" si="15"/>
        <v>17-37</v>
      </c>
      <c r="J47" s="14">
        <f t="shared" si="16"/>
        <v>158</v>
      </c>
      <c r="K47" s="15">
        <f t="shared" si="17"/>
        <v>149</v>
      </c>
      <c r="L47" s="17">
        <f t="shared" si="18"/>
        <v>178</v>
      </c>
      <c r="M47" s="18">
        <f t="shared" si="19"/>
        <v>149</v>
      </c>
      <c r="N47" s="14">
        <f t="shared" si="20"/>
        <v>178</v>
      </c>
      <c r="O47" s="15">
        <f t="shared" si="21"/>
        <v>169</v>
      </c>
      <c r="P47" s="17">
        <f t="shared" si="22"/>
        <v>158</v>
      </c>
      <c r="Q47" s="18">
        <f t="shared" si="23"/>
        <v>169</v>
      </c>
      <c r="R47" s="4" t="s">
        <v>0</v>
      </c>
      <c r="S47" s="16" t="str">
        <f t="shared" si="24"/>
        <v>17-37</v>
      </c>
      <c r="T47" s="14">
        <f t="shared" si="25"/>
        <v>158</v>
      </c>
      <c r="U47" s="18">
        <f t="shared" si="26"/>
        <v>601</v>
      </c>
      <c r="V47" s="14">
        <f t="shared" si="27"/>
        <v>178</v>
      </c>
      <c r="W47" s="18">
        <f t="shared" si="28"/>
        <v>601</v>
      </c>
      <c r="X47" s="14">
        <f t="shared" si="29"/>
        <v>178</v>
      </c>
      <c r="Y47" s="18">
        <f t="shared" si="30"/>
        <v>581</v>
      </c>
      <c r="Z47" s="14">
        <f t="shared" si="31"/>
        <v>158</v>
      </c>
      <c r="AA47" s="18">
        <f t="shared" si="32"/>
        <v>581</v>
      </c>
      <c r="AB47" s="4" t="s">
        <v>0</v>
      </c>
    </row>
    <row r="48" spans="1:28">
      <c r="A48" s="9" t="s">
        <v>277</v>
      </c>
      <c r="B48" s="24"/>
      <c r="C48" s="26"/>
      <c r="D48" s="25">
        <f t="shared" si="73"/>
        <v>178</v>
      </c>
      <c r="E48" s="29">
        <f t="shared" ref="E48" si="82">E47</f>
        <v>149</v>
      </c>
      <c r="F48" s="25">
        <f t="shared" si="75"/>
        <v>198</v>
      </c>
      <c r="G48" s="29">
        <f t="shared" si="78"/>
        <v>169</v>
      </c>
      <c r="H48" s="4" t="s">
        <v>0</v>
      </c>
      <c r="I48" s="16" t="str">
        <f t="shared" si="15"/>
        <v>17-17</v>
      </c>
      <c r="J48" s="14">
        <f t="shared" si="16"/>
        <v>178</v>
      </c>
      <c r="K48" s="15">
        <f t="shared" si="17"/>
        <v>149</v>
      </c>
      <c r="L48" s="17">
        <f t="shared" si="18"/>
        <v>198</v>
      </c>
      <c r="M48" s="18">
        <f t="shared" si="19"/>
        <v>149</v>
      </c>
      <c r="N48" s="14">
        <f t="shared" si="20"/>
        <v>198</v>
      </c>
      <c r="O48" s="15">
        <f t="shared" si="21"/>
        <v>169</v>
      </c>
      <c r="P48" s="17">
        <f t="shared" si="22"/>
        <v>178</v>
      </c>
      <c r="Q48" s="18">
        <f t="shared" si="23"/>
        <v>169</v>
      </c>
      <c r="R48" s="4" t="s">
        <v>0</v>
      </c>
      <c r="S48" s="16" t="str">
        <f t="shared" si="24"/>
        <v>17-17</v>
      </c>
      <c r="T48" s="14">
        <f t="shared" si="25"/>
        <v>178</v>
      </c>
      <c r="U48" s="18">
        <f t="shared" si="26"/>
        <v>601</v>
      </c>
      <c r="V48" s="14">
        <f t="shared" si="27"/>
        <v>198</v>
      </c>
      <c r="W48" s="18">
        <f t="shared" si="28"/>
        <v>601</v>
      </c>
      <c r="X48" s="14">
        <f t="shared" si="29"/>
        <v>198</v>
      </c>
      <c r="Y48" s="18">
        <f t="shared" si="30"/>
        <v>581</v>
      </c>
      <c r="Z48" s="14">
        <f t="shared" si="31"/>
        <v>178</v>
      </c>
      <c r="AA48" s="18">
        <f t="shared" si="32"/>
        <v>581</v>
      </c>
      <c r="AB48" s="4" t="s">
        <v>0</v>
      </c>
    </row>
    <row r="49" spans="1:28">
      <c r="A49" s="9" t="s">
        <v>522</v>
      </c>
      <c r="B49" s="24"/>
      <c r="C49" s="26"/>
      <c r="D49" s="25">
        <f t="shared" si="73"/>
        <v>212</v>
      </c>
      <c r="E49" s="29">
        <f t="shared" ref="E49" si="83">E48</f>
        <v>149</v>
      </c>
      <c r="F49" s="25">
        <f t="shared" si="75"/>
        <v>232</v>
      </c>
      <c r="G49" s="29">
        <f t="shared" si="78"/>
        <v>169</v>
      </c>
      <c r="H49" s="4" t="s">
        <v>0</v>
      </c>
      <c r="I49" s="16" t="str">
        <f t="shared" si="15"/>
        <v>16-37</v>
      </c>
      <c r="J49" s="14">
        <f t="shared" si="16"/>
        <v>212</v>
      </c>
      <c r="K49" s="15">
        <f t="shared" si="17"/>
        <v>149</v>
      </c>
      <c r="L49" s="17">
        <f t="shared" si="18"/>
        <v>232</v>
      </c>
      <c r="M49" s="18">
        <f t="shared" si="19"/>
        <v>149</v>
      </c>
      <c r="N49" s="14">
        <f t="shared" si="20"/>
        <v>232</v>
      </c>
      <c r="O49" s="15">
        <f t="shared" si="21"/>
        <v>169</v>
      </c>
      <c r="P49" s="17">
        <f t="shared" si="22"/>
        <v>212</v>
      </c>
      <c r="Q49" s="18">
        <f t="shared" si="23"/>
        <v>169</v>
      </c>
      <c r="R49" s="4" t="s">
        <v>0</v>
      </c>
      <c r="S49" s="16" t="str">
        <f t="shared" si="24"/>
        <v>16-37</v>
      </c>
      <c r="T49" s="14">
        <f t="shared" si="25"/>
        <v>212</v>
      </c>
      <c r="U49" s="18">
        <f t="shared" si="26"/>
        <v>601</v>
      </c>
      <c r="V49" s="14">
        <f t="shared" si="27"/>
        <v>232</v>
      </c>
      <c r="W49" s="18">
        <f t="shared" si="28"/>
        <v>601</v>
      </c>
      <c r="X49" s="14">
        <f t="shared" si="29"/>
        <v>232</v>
      </c>
      <c r="Y49" s="18">
        <f t="shared" si="30"/>
        <v>581</v>
      </c>
      <c r="Z49" s="14">
        <f t="shared" si="31"/>
        <v>212</v>
      </c>
      <c r="AA49" s="18">
        <f t="shared" si="32"/>
        <v>581</v>
      </c>
      <c r="AB49" s="4" t="s">
        <v>0</v>
      </c>
    </row>
    <row r="50" spans="1:28">
      <c r="A50" s="9" t="s">
        <v>256</v>
      </c>
      <c r="B50" s="24"/>
      <c r="C50" s="26"/>
      <c r="D50" s="25">
        <f t="shared" si="73"/>
        <v>232</v>
      </c>
      <c r="E50" s="29">
        <f t="shared" ref="E50" si="84">E49</f>
        <v>149</v>
      </c>
      <c r="F50" s="25">
        <f t="shared" si="75"/>
        <v>252</v>
      </c>
      <c r="G50" s="29">
        <f t="shared" si="78"/>
        <v>169</v>
      </c>
      <c r="H50" s="4" t="s">
        <v>0</v>
      </c>
      <c r="I50" s="16" t="str">
        <f t="shared" si="15"/>
        <v>16-17</v>
      </c>
      <c r="J50" s="14">
        <f t="shared" si="16"/>
        <v>232</v>
      </c>
      <c r="K50" s="15">
        <f t="shared" si="17"/>
        <v>149</v>
      </c>
      <c r="L50" s="17">
        <f t="shared" si="18"/>
        <v>252</v>
      </c>
      <c r="M50" s="18">
        <f t="shared" si="19"/>
        <v>149</v>
      </c>
      <c r="N50" s="14">
        <f t="shared" si="20"/>
        <v>252</v>
      </c>
      <c r="O50" s="15">
        <f t="shared" si="21"/>
        <v>169</v>
      </c>
      <c r="P50" s="17">
        <f t="shared" si="22"/>
        <v>232</v>
      </c>
      <c r="Q50" s="18">
        <f t="shared" si="23"/>
        <v>169</v>
      </c>
      <c r="R50" s="4" t="s">
        <v>0</v>
      </c>
      <c r="S50" s="16" t="str">
        <f t="shared" si="24"/>
        <v>16-17</v>
      </c>
      <c r="T50" s="14">
        <f t="shared" si="25"/>
        <v>232</v>
      </c>
      <c r="U50" s="18">
        <f t="shared" si="26"/>
        <v>601</v>
      </c>
      <c r="V50" s="14">
        <f t="shared" si="27"/>
        <v>252</v>
      </c>
      <c r="W50" s="18">
        <f t="shared" si="28"/>
        <v>601</v>
      </c>
      <c r="X50" s="14">
        <f t="shared" si="29"/>
        <v>252</v>
      </c>
      <c r="Y50" s="18">
        <f t="shared" si="30"/>
        <v>581</v>
      </c>
      <c r="Z50" s="14">
        <f t="shared" si="31"/>
        <v>232</v>
      </c>
      <c r="AA50" s="18">
        <f t="shared" si="32"/>
        <v>581</v>
      </c>
      <c r="AB50" s="4" t="s">
        <v>0</v>
      </c>
    </row>
    <row r="51" spans="1:28">
      <c r="A51" s="9" t="s">
        <v>511</v>
      </c>
      <c r="B51" s="24"/>
      <c r="C51" s="26"/>
      <c r="D51" s="25">
        <f t="shared" si="73"/>
        <v>266</v>
      </c>
      <c r="E51" s="29">
        <f t="shared" ref="E51" si="85">E50</f>
        <v>149</v>
      </c>
      <c r="F51" s="25">
        <f t="shared" si="75"/>
        <v>286</v>
      </c>
      <c r="G51" s="29">
        <f t="shared" si="78"/>
        <v>169</v>
      </c>
      <c r="H51" s="4" t="s">
        <v>0</v>
      </c>
      <c r="I51" s="16" t="str">
        <f t="shared" si="15"/>
        <v>15-37</v>
      </c>
      <c r="J51" s="14">
        <f t="shared" si="16"/>
        <v>266</v>
      </c>
      <c r="K51" s="15">
        <f t="shared" si="17"/>
        <v>149</v>
      </c>
      <c r="L51" s="17">
        <f t="shared" si="18"/>
        <v>286</v>
      </c>
      <c r="M51" s="18">
        <f t="shared" si="19"/>
        <v>149</v>
      </c>
      <c r="N51" s="14">
        <f t="shared" si="20"/>
        <v>286</v>
      </c>
      <c r="O51" s="15">
        <f t="shared" si="21"/>
        <v>169</v>
      </c>
      <c r="P51" s="17">
        <f t="shared" si="22"/>
        <v>266</v>
      </c>
      <c r="Q51" s="18">
        <f t="shared" si="23"/>
        <v>169</v>
      </c>
      <c r="R51" s="4" t="s">
        <v>0</v>
      </c>
      <c r="S51" s="16" t="str">
        <f t="shared" si="24"/>
        <v>15-37</v>
      </c>
      <c r="T51" s="14">
        <f t="shared" si="25"/>
        <v>266</v>
      </c>
      <c r="U51" s="18">
        <f t="shared" si="26"/>
        <v>601</v>
      </c>
      <c r="V51" s="14">
        <f t="shared" si="27"/>
        <v>286</v>
      </c>
      <c r="W51" s="18">
        <f t="shared" si="28"/>
        <v>601</v>
      </c>
      <c r="X51" s="14">
        <f t="shared" si="29"/>
        <v>286</v>
      </c>
      <c r="Y51" s="18">
        <f t="shared" si="30"/>
        <v>581</v>
      </c>
      <c r="Z51" s="14">
        <f t="shared" si="31"/>
        <v>266</v>
      </c>
      <c r="AA51" s="18">
        <f t="shared" si="32"/>
        <v>581</v>
      </c>
      <c r="AB51" s="4" t="s">
        <v>0</v>
      </c>
    </row>
    <row r="52" spans="1:28">
      <c r="A52" s="9" t="s">
        <v>237</v>
      </c>
      <c r="B52" s="24"/>
      <c r="C52" s="26"/>
      <c r="D52" s="25">
        <f t="shared" si="73"/>
        <v>286</v>
      </c>
      <c r="E52" s="29">
        <f t="shared" ref="E52" si="86">E51</f>
        <v>149</v>
      </c>
      <c r="F52" s="25">
        <f t="shared" si="75"/>
        <v>306</v>
      </c>
      <c r="G52" s="29">
        <f t="shared" si="78"/>
        <v>169</v>
      </c>
      <c r="H52" s="4" t="s">
        <v>0</v>
      </c>
      <c r="I52" s="16" t="str">
        <f t="shared" si="15"/>
        <v>15-17</v>
      </c>
      <c r="J52" s="14">
        <f t="shared" si="16"/>
        <v>286</v>
      </c>
      <c r="K52" s="15">
        <f t="shared" si="17"/>
        <v>149</v>
      </c>
      <c r="L52" s="17">
        <f t="shared" si="18"/>
        <v>306</v>
      </c>
      <c r="M52" s="18">
        <f t="shared" si="19"/>
        <v>149</v>
      </c>
      <c r="N52" s="14">
        <f t="shared" si="20"/>
        <v>306</v>
      </c>
      <c r="O52" s="15">
        <f t="shared" si="21"/>
        <v>169</v>
      </c>
      <c r="P52" s="17">
        <f t="shared" si="22"/>
        <v>286</v>
      </c>
      <c r="Q52" s="18">
        <f t="shared" si="23"/>
        <v>169</v>
      </c>
      <c r="R52" s="4" t="s">
        <v>0</v>
      </c>
      <c r="S52" s="16" t="str">
        <f t="shared" si="24"/>
        <v>15-17</v>
      </c>
      <c r="T52" s="14">
        <f t="shared" si="25"/>
        <v>286</v>
      </c>
      <c r="U52" s="18">
        <f t="shared" si="26"/>
        <v>601</v>
      </c>
      <c r="V52" s="14">
        <f t="shared" si="27"/>
        <v>306</v>
      </c>
      <c r="W52" s="18">
        <f t="shared" si="28"/>
        <v>601</v>
      </c>
      <c r="X52" s="14">
        <f t="shared" si="29"/>
        <v>306</v>
      </c>
      <c r="Y52" s="18">
        <f t="shared" si="30"/>
        <v>581</v>
      </c>
      <c r="Z52" s="14">
        <f t="shared" si="31"/>
        <v>286</v>
      </c>
      <c r="AA52" s="18">
        <f t="shared" si="32"/>
        <v>581</v>
      </c>
      <c r="AB52" s="4" t="s">
        <v>0</v>
      </c>
    </row>
    <row r="53" spans="1:28">
      <c r="A53" s="9" t="s">
        <v>496</v>
      </c>
      <c r="B53" s="24"/>
      <c r="C53" s="26"/>
      <c r="D53" s="25">
        <f t="shared" si="73"/>
        <v>320</v>
      </c>
      <c r="E53" s="29">
        <f t="shared" ref="E53" si="87">E52</f>
        <v>149</v>
      </c>
      <c r="F53" s="25">
        <f t="shared" si="75"/>
        <v>340</v>
      </c>
      <c r="G53" s="29">
        <f t="shared" si="78"/>
        <v>169</v>
      </c>
      <c r="H53" s="4" t="s">
        <v>0</v>
      </c>
      <c r="I53" s="16" t="str">
        <f t="shared" si="15"/>
        <v>13-37</v>
      </c>
      <c r="J53" s="14">
        <f t="shared" si="16"/>
        <v>320</v>
      </c>
      <c r="K53" s="15">
        <f t="shared" si="17"/>
        <v>149</v>
      </c>
      <c r="L53" s="17">
        <f t="shared" si="18"/>
        <v>340</v>
      </c>
      <c r="M53" s="18">
        <f t="shared" si="19"/>
        <v>149</v>
      </c>
      <c r="N53" s="14">
        <f t="shared" si="20"/>
        <v>340</v>
      </c>
      <c r="O53" s="15">
        <f t="shared" si="21"/>
        <v>169</v>
      </c>
      <c r="P53" s="17">
        <f t="shared" si="22"/>
        <v>320</v>
      </c>
      <c r="Q53" s="18">
        <f t="shared" si="23"/>
        <v>169</v>
      </c>
      <c r="R53" s="4" t="s">
        <v>0</v>
      </c>
      <c r="S53" s="16" t="str">
        <f t="shared" si="24"/>
        <v>13-37</v>
      </c>
      <c r="T53" s="14">
        <f t="shared" si="25"/>
        <v>320</v>
      </c>
      <c r="U53" s="18">
        <f t="shared" si="26"/>
        <v>601</v>
      </c>
      <c r="V53" s="14">
        <f t="shared" si="27"/>
        <v>340</v>
      </c>
      <c r="W53" s="18">
        <f t="shared" si="28"/>
        <v>601</v>
      </c>
      <c r="X53" s="14">
        <f t="shared" si="29"/>
        <v>340</v>
      </c>
      <c r="Y53" s="18">
        <f t="shared" si="30"/>
        <v>581</v>
      </c>
      <c r="Z53" s="14">
        <f t="shared" si="31"/>
        <v>320</v>
      </c>
      <c r="AA53" s="18">
        <f t="shared" si="32"/>
        <v>581</v>
      </c>
      <c r="AB53" s="4" t="s">
        <v>0</v>
      </c>
    </row>
    <row r="54" spans="1:28">
      <c r="A54" s="9" t="s">
        <v>220</v>
      </c>
      <c r="B54" s="24"/>
      <c r="C54" s="26"/>
      <c r="D54" s="25">
        <f t="shared" si="73"/>
        <v>340</v>
      </c>
      <c r="E54" s="29">
        <f t="shared" ref="E54" si="88">E53</f>
        <v>149</v>
      </c>
      <c r="F54" s="25">
        <f t="shared" si="75"/>
        <v>360</v>
      </c>
      <c r="G54" s="29">
        <f t="shared" si="78"/>
        <v>169</v>
      </c>
      <c r="H54" s="4" t="s">
        <v>0</v>
      </c>
      <c r="I54" s="16" t="str">
        <f t="shared" si="15"/>
        <v>13-17</v>
      </c>
      <c r="J54" s="14">
        <f t="shared" si="16"/>
        <v>340</v>
      </c>
      <c r="K54" s="15">
        <f t="shared" si="17"/>
        <v>149</v>
      </c>
      <c r="L54" s="17">
        <f t="shared" si="18"/>
        <v>360</v>
      </c>
      <c r="M54" s="18">
        <f t="shared" si="19"/>
        <v>149</v>
      </c>
      <c r="N54" s="14">
        <f t="shared" si="20"/>
        <v>360</v>
      </c>
      <c r="O54" s="15">
        <f t="shared" si="21"/>
        <v>169</v>
      </c>
      <c r="P54" s="17">
        <f t="shared" si="22"/>
        <v>340</v>
      </c>
      <c r="Q54" s="18">
        <f t="shared" si="23"/>
        <v>169</v>
      </c>
      <c r="R54" s="4" t="s">
        <v>0</v>
      </c>
      <c r="S54" s="16" t="str">
        <f t="shared" si="24"/>
        <v>13-17</v>
      </c>
      <c r="T54" s="14">
        <f t="shared" si="25"/>
        <v>340</v>
      </c>
      <c r="U54" s="18">
        <f t="shared" si="26"/>
        <v>601</v>
      </c>
      <c r="V54" s="14">
        <f t="shared" si="27"/>
        <v>360</v>
      </c>
      <c r="W54" s="18">
        <f t="shared" si="28"/>
        <v>601</v>
      </c>
      <c r="X54" s="14">
        <f t="shared" si="29"/>
        <v>360</v>
      </c>
      <c r="Y54" s="18">
        <f t="shared" si="30"/>
        <v>581</v>
      </c>
      <c r="Z54" s="14">
        <f t="shared" si="31"/>
        <v>340</v>
      </c>
      <c r="AA54" s="18">
        <f t="shared" si="32"/>
        <v>581</v>
      </c>
      <c r="AB54" s="4" t="s">
        <v>0</v>
      </c>
    </row>
    <row r="55" spans="1:28">
      <c r="A55" s="9" t="s">
        <v>481</v>
      </c>
      <c r="B55" s="24"/>
      <c r="C55" s="26"/>
      <c r="D55" s="25">
        <f t="shared" si="73"/>
        <v>374</v>
      </c>
      <c r="E55" s="29">
        <f t="shared" ref="E55" si="89">E54</f>
        <v>149</v>
      </c>
      <c r="F55" s="25">
        <f t="shared" si="75"/>
        <v>394</v>
      </c>
      <c r="G55" s="29">
        <f t="shared" si="78"/>
        <v>169</v>
      </c>
      <c r="H55" s="4" t="s">
        <v>0</v>
      </c>
      <c r="I55" s="16" t="str">
        <f t="shared" si="15"/>
        <v>12-37</v>
      </c>
      <c r="J55" s="14">
        <f t="shared" si="16"/>
        <v>374</v>
      </c>
      <c r="K55" s="15">
        <f t="shared" si="17"/>
        <v>149</v>
      </c>
      <c r="L55" s="17">
        <f t="shared" si="18"/>
        <v>394</v>
      </c>
      <c r="M55" s="18">
        <f t="shared" si="19"/>
        <v>149</v>
      </c>
      <c r="N55" s="14">
        <f t="shared" si="20"/>
        <v>394</v>
      </c>
      <c r="O55" s="15">
        <f t="shared" si="21"/>
        <v>169</v>
      </c>
      <c r="P55" s="17">
        <f t="shared" si="22"/>
        <v>374</v>
      </c>
      <c r="Q55" s="18">
        <f t="shared" si="23"/>
        <v>169</v>
      </c>
      <c r="R55" s="4" t="s">
        <v>0</v>
      </c>
      <c r="S55" s="16" t="str">
        <f t="shared" si="24"/>
        <v>12-37</v>
      </c>
      <c r="T55" s="14">
        <f t="shared" si="25"/>
        <v>374</v>
      </c>
      <c r="U55" s="18">
        <f t="shared" si="26"/>
        <v>601</v>
      </c>
      <c r="V55" s="14">
        <f t="shared" si="27"/>
        <v>394</v>
      </c>
      <c r="W55" s="18">
        <f t="shared" si="28"/>
        <v>601</v>
      </c>
      <c r="X55" s="14">
        <f t="shared" si="29"/>
        <v>394</v>
      </c>
      <c r="Y55" s="18">
        <f t="shared" si="30"/>
        <v>581</v>
      </c>
      <c r="Z55" s="14">
        <f t="shared" si="31"/>
        <v>374</v>
      </c>
      <c r="AA55" s="18">
        <f t="shared" si="32"/>
        <v>581</v>
      </c>
      <c r="AB55" s="4" t="s">
        <v>0</v>
      </c>
    </row>
    <row r="56" spans="1:28">
      <c r="A56" s="9" t="s">
        <v>204</v>
      </c>
      <c r="B56" s="24"/>
      <c r="C56" s="26"/>
      <c r="D56" s="25">
        <f t="shared" si="73"/>
        <v>394</v>
      </c>
      <c r="E56" s="29">
        <f t="shared" ref="E56" si="90">E55</f>
        <v>149</v>
      </c>
      <c r="F56" s="25">
        <f t="shared" si="75"/>
        <v>414</v>
      </c>
      <c r="G56" s="29">
        <f t="shared" si="78"/>
        <v>169</v>
      </c>
      <c r="H56" s="4" t="s">
        <v>0</v>
      </c>
      <c r="I56" s="16" t="str">
        <f t="shared" si="15"/>
        <v>12-17</v>
      </c>
      <c r="J56" s="14">
        <f t="shared" si="16"/>
        <v>394</v>
      </c>
      <c r="K56" s="15">
        <f t="shared" si="17"/>
        <v>149</v>
      </c>
      <c r="L56" s="17">
        <f t="shared" si="18"/>
        <v>414</v>
      </c>
      <c r="M56" s="18">
        <f t="shared" si="19"/>
        <v>149</v>
      </c>
      <c r="N56" s="14">
        <f t="shared" si="20"/>
        <v>414</v>
      </c>
      <c r="O56" s="15">
        <f t="shared" si="21"/>
        <v>169</v>
      </c>
      <c r="P56" s="17">
        <f t="shared" si="22"/>
        <v>394</v>
      </c>
      <c r="Q56" s="18">
        <f t="shared" si="23"/>
        <v>169</v>
      </c>
      <c r="R56" s="4" t="s">
        <v>0</v>
      </c>
      <c r="S56" s="16" t="str">
        <f t="shared" si="24"/>
        <v>12-17</v>
      </c>
      <c r="T56" s="14">
        <f t="shared" si="25"/>
        <v>394</v>
      </c>
      <c r="U56" s="18">
        <f t="shared" si="26"/>
        <v>601</v>
      </c>
      <c r="V56" s="14">
        <f t="shared" si="27"/>
        <v>414</v>
      </c>
      <c r="W56" s="18">
        <f t="shared" si="28"/>
        <v>601</v>
      </c>
      <c r="X56" s="14">
        <f t="shared" si="29"/>
        <v>414</v>
      </c>
      <c r="Y56" s="18">
        <f t="shared" si="30"/>
        <v>581</v>
      </c>
      <c r="Z56" s="14">
        <f t="shared" si="31"/>
        <v>394</v>
      </c>
      <c r="AA56" s="18">
        <f t="shared" si="32"/>
        <v>581</v>
      </c>
      <c r="AB56" s="4" t="s">
        <v>0</v>
      </c>
    </row>
    <row r="57" spans="1:28">
      <c r="A57" s="9" t="s">
        <v>466</v>
      </c>
      <c r="B57" s="24"/>
      <c r="C57" s="26"/>
      <c r="D57" s="25">
        <f t="shared" si="73"/>
        <v>428</v>
      </c>
      <c r="E57" s="29">
        <f t="shared" ref="E57" si="91">E56</f>
        <v>149</v>
      </c>
      <c r="F57" s="25">
        <f t="shared" si="75"/>
        <v>448</v>
      </c>
      <c r="G57" s="29">
        <f t="shared" si="78"/>
        <v>169</v>
      </c>
      <c r="H57" s="4" t="s">
        <v>0</v>
      </c>
      <c r="I57" s="16" t="str">
        <f t="shared" si="15"/>
        <v>11-32</v>
      </c>
      <c r="J57" s="14">
        <f t="shared" si="16"/>
        <v>428</v>
      </c>
      <c r="K57" s="15">
        <f t="shared" si="17"/>
        <v>149</v>
      </c>
      <c r="L57" s="17">
        <f t="shared" si="18"/>
        <v>448</v>
      </c>
      <c r="M57" s="18">
        <f t="shared" si="19"/>
        <v>149</v>
      </c>
      <c r="N57" s="14">
        <f t="shared" si="20"/>
        <v>448</v>
      </c>
      <c r="O57" s="15">
        <f t="shared" si="21"/>
        <v>169</v>
      </c>
      <c r="P57" s="17">
        <f t="shared" si="22"/>
        <v>428</v>
      </c>
      <c r="Q57" s="18">
        <f t="shared" si="23"/>
        <v>169</v>
      </c>
      <c r="R57" s="4" t="s">
        <v>0</v>
      </c>
      <c r="S57" s="16" t="str">
        <f t="shared" si="24"/>
        <v>11-32</v>
      </c>
      <c r="T57" s="14">
        <f t="shared" si="25"/>
        <v>428</v>
      </c>
      <c r="U57" s="18">
        <f t="shared" si="26"/>
        <v>601</v>
      </c>
      <c r="V57" s="14">
        <f t="shared" si="27"/>
        <v>448</v>
      </c>
      <c r="W57" s="18">
        <f t="shared" si="28"/>
        <v>601</v>
      </c>
      <c r="X57" s="14">
        <f t="shared" si="29"/>
        <v>448</v>
      </c>
      <c r="Y57" s="18">
        <f t="shared" si="30"/>
        <v>581</v>
      </c>
      <c r="Z57" s="14">
        <f t="shared" si="31"/>
        <v>428</v>
      </c>
      <c r="AA57" s="18">
        <f t="shared" si="32"/>
        <v>581</v>
      </c>
      <c r="AB57" s="4" t="s">
        <v>0</v>
      </c>
    </row>
    <row r="58" spans="1:28">
      <c r="A58" s="9" t="s">
        <v>195</v>
      </c>
      <c r="B58" s="24"/>
      <c r="C58" s="26"/>
      <c r="D58" s="25">
        <f t="shared" si="73"/>
        <v>448</v>
      </c>
      <c r="E58" s="29">
        <f t="shared" ref="E58" si="92">E57</f>
        <v>149</v>
      </c>
      <c r="F58" s="25">
        <f t="shared" si="75"/>
        <v>468</v>
      </c>
      <c r="G58" s="29">
        <f t="shared" si="78"/>
        <v>169</v>
      </c>
      <c r="H58" s="4" t="s">
        <v>0</v>
      </c>
      <c r="I58" s="16" t="str">
        <f t="shared" si="15"/>
        <v>11-15</v>
      </c>
      <c r="J58" s="14">
        <f t="shared" si="16"/>
        <v>448</v>
      </c>
      <c r="K58" s="15">
        <f t="shared" si="17"/>
        <v>149</v>
      </c>
      <c r="L58" s="17">
        <f t="shared" si="18"/>
        <v>468</v>
      </c>
      <c r="M58" s="18">
        <f t="shared" si="19"/>
        <v>149</v>
      </c>
      <c r="N58" s="14">
        <f t="shared" si="20"/>
        <v>468</v>
      </c>
      <c r="O58" s="15">
        <f t="shared" si="21"/>
        <v>169</v>
      </c>
      <c r="P58" s="17">
        <f t="shared" si="22"/>
        <v>448</v>
      </c>
      <c r="Q58" s="18">
        <f t="shared" si="23"/>
        <v>169</v>
      </c>
      <c r="R58" s="4" t="s">
        <v>0</v>
      </c>
      <c r="S58" s="16" t="str">
        <f t="shared" si="24"/>
        <v>11-15</v>
      </c>
      <c r="T58" s="14">
        <f t="shared" si="25"/>
        <v>448</v>
      </c>
      <c r="U58" s="18">
        <f t="shared" si="26"/>
        <v>601</v>
      </c>
      <c r="V58" s="14">
        <f t="shared" si="27"/>
        <v>468</v>
      </c>
      <c r="W58" s="18">
        <f t="shared" si="28"/>
        <v>601</v>
      </c>
      <c r="X58" s="14">
        <f t="shared" si="29"/>
        <v>468</v>
      </c>
      <c r="Y58" s="18">
        <f t="shared" si="30"/>
        <v>581</v>
      </c>
      <c r="Z58" s="14">
        <f t="shared" si="31"/>
        <v>448</v>
      </c>
      <c r="AA58" s="18">
        <f t="shared" si="32"/>
        <v>581</v>
      </c>
      <c r="AB58" s="4" t="s">
        <v>0</v>
      </c>
    </row>
    <row r="59" spans="1:28">
      <c r="A59" s="9" t="s">
        <v>331</v>
      </c>
      <c r="B59" s="24"/>
      <c r="C59" s="26">
        <v>3</v>
      </c>
      <c r="D59" s="25">
        <f t="shared" si="73"/>
        <v>50</v>
      </c>
      <c r="E59" s="28">
        <f t="shared" ref="E59" si="93">ROUND(E$11+19.5*$C59, 0)</f>
        <v>169</v>
      </c>
      <c r="F59" s="25">
        <f t="shared" si="75"/>
        <v>70</v>
      </c>
      <c r="G59" s="28">
        <f t="shared" ref="G59" si="94">ROUND(G$11+19.5*$C59, 0)</f>
        <v>189</v>
      </c>
      <c r="H59" s="4" t="s">
        <v>0</v>
      </c>
      <c r="I59" s="16" t="str">
        <f t="shared" si="15"/>
        <v>20-28</v>
      </c>
      <c r="J59" s="14">
        <f t="shared" si="16"/>
        <v>50</v>
      </c>
      <c r="K59" s="15">
        <f t="shared" si="17"/>
        <v>169</v>
      </c>
      <c r="L59" s="17">
        <f t="shared" si="18"/>
        <v>70</v>
      </c>
      <c r="M59" s="18">
        <f t="shared" si="19"/>
        <v>169</v>
      </c>
      <c r="N59" s="14">
        <f t="shared" si="20"/>
        <v>70</v>
      </c>
      <c r="O59" s="15">
        <f t="shared" si="21"/>
        <v>189</v>
      </c>
      <c r="P59" s="17">
        <f t="shared" si="22"/>
        <v>50</v>
      </c>
      <c r="Q59" s="18">
        <f t="shared" si="23"/>
        <v>189</v>
      </c>
      <c r="R59" s="4" t="s">
        <v>0</v>
      </c>
      <c r="S59" s="16" t="str">
        <f t="shared" si="24"/>
        <v>20-28</v>
      </c>
      <c r="T59" s="14">
        <f t="shared" si="25"/>
        <v>50</v>
      </c>
      <c r="U59" s="18">
        <f t="shared" si="26"/>
        <v>581</v>
      </c>
      <c r="V59" s="14">
        <f t="shared" si="27"/>
        <v>70</v>
      </c>
      <c r="W59" s="18">
        <f t="shared" si="28"/>
        <v>581</v>
      </c>
      <c r="X59" s="14">
        <f t="shared" si="29"/>
        <v>70</v>
      </c>
      <c r="Y59" s="18">
        <f t="shared" si="30"/>
        <v>561</v>
      </c>
      <c r="Z59" s="14">
        <f t="shared" si="31"/>
        <v>50</v>
      </c>
      <c r="AA59" s="18">
        <f t="shared" si="32"/>
        <v>561</v>
      </c>
      <c r="AB59" s="4" t="s">
        <v>0</v>
      </c>
    </row>
    <row r="60" spans="1:28">
      <c r="A60" s="9" t="s">
        <v>318</v>
      </c>
      <c r="B60" s="24"/>
      <c r="C60" s="26"/>
      <c r="D60" s="25">
        <f t="shared" si="73"/>
        <v>70</v>
      </c>
      <c r="E60" s="29">
        <f t="shared" ref="E60" si="95">E59</f>
        <v>169</v>
      </c>
      <c r="F60" s="25">
        <f t="shared" si="75"/>
        <v>90</v>
      </c>
      <c r="G60" s="29">
        <f t="shared" ref="G60" si="96">G59</f>
        <v>189</v>
      </c>
      <c r="H60" s="4" t="s">
        <v>0</v>
      </c>
      <c r="I60" s="16" t="str">
        <f t="shared" si="15"/>
        <v>20-12</v>
      </c>
      <c r="J60" s="14">
        <f t="shared" si="16"/>
        <v>70</v>
      </c>
      <c r="K60" s="15">
        <f t="shared" si="17"/>
        <v>169</v>
      </c>
      <c r="L60" s="17">
        <f t="shared" si="18"/>
        <v>90</v>
      </c>
      <c r="M60" s="18">
        <f t="shared" si="19"/>
        <v>169</v>
      </c>
      <c r="N60" s="14">
        <f t="shared" si="20"/>
        <v>90</v>
      </c>
      <c r="O60" s="15">
        <f t="shared" si="21"/>
        <v>189</v>
      </c>
      <c r="P60" s="17">
        <f t="shared" si="22"/>
        <v>70</v>
      </c>
      <c r="Q60" s="18">
        <f t="shared" si="23"/>
        <v>189</v>
      </c>
      <c r="R60" s="4" t="s">
        <v>0</v>
      </c>
      <c r="S60" s="16" t="str">
        <f t="shared" si="24"/>
        <v>20-12</v>
      </c>
      <c r="T60" s="14">
        <f t="shared" si="25"/>
        <v>70</v>
      </c>
      <c r="U60" s="18">
        <f t="shared" si="26"/>
        <v>581</v>
      </c>
      <c r="V60" s="14">
        <f t="shared" si="27"/>
        <v>90</v>
      </c>
      <c r="W60" s="18">
        <f t="shared" si="28"/>
        <v>581</v>
      </c>
      <c r="X60" s="14">
        <f t="shared" si="29"/>
        <v>90</v>
      </c>
      <c r="Y60" s="18">
        <f t="shared" si="30"/>
        <v>561</v>
      </c>
      <c r="Z60" s="14">
        <f t="shared" si="31"/>
        <v>70</v>
      </c>
      <c r="AA60" s="18">
        <f t="shared" si="32"/>
        <v>561</v>
      </c>
      <c r="AB60" s="4" t="s">
        <v>0</v>
      </c>
    </row>
    <row r="61" spans="1:28">
      <c r="A61" s="9" t="s">
        <v>540</v>
      </c>
      <c r="B61" s="24"/>
      <c r="C61" s="26"/>
      <c r="D61" s="25">
        <f t="shared" si="73"/>
        <v>104</v>
      </c>
      <c r="E61" s="29">
        <f t="shared" ref="E61" si="97">E60</f>
        <v>169</v>
      </c>
      <c r="F61" s="25">
        <f t="shared" si="75"/>
        <v>124</v>
      </c>
      <c r="G61" s="29">
        <f t="shared" si="78"/>
        <v>189</v>
      </c>
      <c r="H61" s="4" t="s">
        <v>0</v>
      </c>
      <c r="I61" s="16" t="str">
        <f t="shared" si="15"/>
        <v>18-36</v>
      </c>
      <c r="J61" s="14">
        <f t="shared" si="16"/>
        <v>104</v>
      </c>
      <c r="K61" s="15">
        <f t="shared" si="17"/>
        <v>169</v>
      </c>
      <c r="L61" s="17">
        <f t="shared" si="18"/>
        <v>124</v>
      </c>
      <c r="M61" s="18">
        <f t="shared" si="19"/>
        <v>169</v>
      </c>
      <c r="N61" s="14">
        <f t="shared" si="20"/>
        <v>124</v>
      </c>
      <c r="O61" s="15">
        <f t="shared" si="21"/>
        <v>189</v>
      </c>
      <c r="P61" s="17">
        <f t="shared" si="22"/>
        <v>104</v>
      </c>
      <c r="Q61" s="18">
        <f t="shared" si="23"/>
        <v>189</v>
      </c>
      <c r="R61" s="4" t="s">
        <v>0</v>
      </c>
      <c r="S61" s="16" t="str">
        <f t="shared" si="24"/>
        <v>18-36</v>
      </c>
      <c r="T61" s="14">
        <f t="shared" si="25"/>
        <v>104</v>
      </c>
      <c r="U61" s="18">
        <f t="shared" si="26"/>
        <v>581</v>
      </c>
      <c r="V61" s="14">
        <f t="shared" si="27"/>
        <v>124</v>
      </c>
      <c r="W61" s="18">
        <f t="shared" si="28"/>
        <v>581</v>
      </c>
      <c r="X61" s="14">
        <f t="shared" si="29"/>
        <v>124</v>
      </c>
      <c r="Y61" s="18">
        <f t="shared" si="30"/>
        <v>561</v>
      </c>
      <c r="Z61" s="14">
        <f t="shared" si="31"/>
        <v>104</v>
      </c>
      <c r="AA61" s="18">
        <f t="shared" si="32"/>
        <v>561</v>
      </c>
      <c r="AB61" s="4" t="s">
        <v>0</v>
      </c>
    </row>
    <row r="62" spans="1:28">
      <c r="A62" s="9" t="s">
        <v>297</v>
      </c>
      <c r="B62" s="24"/>
      <c r="C62" s="26"/>
      <c r="D62" s="25">
        <f t="shared" si="73"/>
        <v>124</v>
      </c>
      <c r="E62" s="29">
        <f t="shared" ref="E62" si="98">E61</f>
        <v>169</v>
      </c>
      <c r="F62" s="25">
        <f t="shared" si="75"/>
        <v>144</v>
      </c>
      <c r="G62" s="29">
        <f t="shared" si="78"/>
        <v>189</v>
      </c>
      <c r="H62" s="4" t="s">
        <v>0</v>
      </c>
      <c r="I62" s="16" t="str">
        <f t="shared" si="15"/>
        <v>18-16</v>
      </c>
      <c r="J62" s="14">
        <f t="shared" si="16"/>
        <v>124</v>
      </c>
      <c r="K62" s="15">
        <f t="shared" si="17"/>
        <v>169</v>
      </c>
      <c r="L62" s="17">
        <f t="shared" si="18"/>
        <v>144</v>
      </c>
      <c r="M62" s="18">
        <f t="shared" si="19"/>
        <v>169</v>
      </c>
      <c r="N62" s="14">
        <f t="shared" si="20"/>
        <v>144</v>
      </c>
      <c r="O62" s="15">
        <f t="shared" si="21"/>
        <v>189</v>
      </c>
      <c r="P62" s="17">
        <f t="shared" si="22"/>
        <v>124</v>
      </c>
      <c r="Q62" s="18">
        <f t="shared" si="23"/>
        <v>189</v>
      </c>
      <c r="R62" s="4" t="s">
        <v>0</v>
      </c>
      <c r="S62" s="16" t="str">
        <f t="shared" si="24"/>
        <v>18-16</v>
      </c>
      <c r="T62" s="14">
        <f t="shared" si="25"/>
        <v>124</v>
      </c>
      <c r="U62" s="18">
        <f t="shared" si="26"/>
        <v>581</v>
      </c>
      <c r="V62" s="14">
        <f t="shared" si="27"/>
        <v>144</v>
      </c>
      <c r="W62" s="18">
        <f t="shared" si="28"/>
        <v>581</v>
      </c>
      <c r="X62" s="14">
        <f t="shared" si="29"/>
        <v>144</v>
      </c>
      <c r="Y62" s="18">
        <f t="shared" si="30"/>
        <v>561</v>
      </c>
      <c r="Z62" s="14">
        <f t="shared" si="31"/>
        <v>124</v>
      </c>
      <c r="AA62" s="18">
        <f t="shared" si="32"/>
        <v>561</v>
      </c>
      <c r="AB62" s="4" t="s">
        <v>0</v>
      </c>
    </row>
    <row r="63" spans="1:28">
      <c r="A63" s="9" t="s">
        <v>532</v>
      </c>
      <c r="B63" s="24"/>
      <c r="C63" s="26"/>
      <c r="D63" s="25">
        <f t="shared" si="73"/>
        <v>158</v>
      </c>
      <c r="E63" s="29">
        <f t="shared" ref="E63" si="99">E62</f>
        <v>169</v>
      </c>
      <c r="F63" s="25">
        <f t="shared" si="75"/>
        <v>178</v>
      </c>
      <c r="G63" s="29">
        <f t="shared" si="78"/>
        <v>189</v>
      </c>
      <c r="H63" s="4" t="s">
        <v>0</v>
      </c>
      <c r="I63" s="16" t="str">
        <f t="shared" si="15"/>
        <v>17-36</v>
      </c>
      <c r="J63" s="14">
        <f t="shared" si="16"/>
        <v>158</v>
      </c>
      <c r="K63" s="15">
        <f t="shared" si="17"/>
        <v>169</v>
      </c>
      <c r="L63" s="17">
        <f t="shared" si="18"/>
        <v>178</v>
      </c>
      <c r="M63" s="18">
        <f t="shared" si="19"/>
        <v>169</v>
      </c>
      <c r="N63" s="14">
        <f t="shared" si="20"/>
        <v>178</v>
      </c>
      <c r="O63" s="15">
        <f t="shared" si="21"/>
        <v>189</v>
      </c>
      <c r="P63" s="17">
        <f t="shared" si="22"/>
        <v>158</v>
      </c>
      <c r="Q63" s="18">
        <f t="shared" si="23"/>
        <v>189</v>
      </c>
      <c r="R63" s="4" t="s">
        <v>0</v>
      </c>
      <c r="S63" s="16" t="str">
        <f t="shared" si="24"/>
        <v>17-36</v>
      </c>
      <c r="T63" s="14">
        <f t="shared" si="25"/>
        <v>158</v>
      </c>
      <c r="U63" s="18">
        <f t="shared" si="26"/>
        <v>581</v>
      </c>
      <c r="V63" s="14">
        <f t="shared" si="27"/>
        <v>178</v>
      </c>
      <c r="W63" s="18">
        <f t="shared" si="28"/>
        <v>581</v>
      </c>
      <c r="X63" s="14">
        <f t="shared" si="29"/>
        <v>178</v>
      </c>
      <c r="Y63" s="18">
        <f t="shared" si="30"/>
        <v>561</v>
      </c>
      <c r="Z63" s="14">
        <f t="shared" si="31"/>
        <v>158</v>
      </c>
      <c r="AA63" s="18">
        <f t="shared" si="32"/>
        <v>561</v>
      </c>
      <c r="AB63" s="4" t="s">
        <v>0</v>
      </c>
    </row>
    <row r="64" spans="1:28">
      <c r="A64" s="9" t="s">
        <v>276</v>
      </c>
      <c r="B64" s="24"/>
      <c r="C64" s="26"/>
      <c r="D64" s="25">
        <f t="shared" si="73"/>
        <v>178</v>
      </c>
      <c r="E64" s="29">
        <f t="shared" ref="E64" si="100">E63</f>
        <v>169</v>
      </c>
      <c r="F64" s="25">
        <f t="shared" si="75"/>
        <v>198</v>
      </c>
      <c r="G64" s="29">
        <f t="shared" si="78"/>
        <v>189</v>
      </c>
      <c r="H64" s="4" t="s">
        <v>0</v>
      </c>
      <c r="I64" s="16" t="str">
        <f t="shared" si="15"/>
        <v>17-16</v>
      </c>
      <c r="J64" s="14">
        <f t="shared" si="16"/>
        <v>178</v>
      </c>
      <c r="K64" s="15">
        <f t="shared" si="17"/>
        <v>169</v>
      </c>
      <c r="L64" s="17">
        <f t="shared" si="18"/>
        <v>198</v>
      </c>
      <c r="M64" s="18">
        <f t="shared" si="19"/>
        <v>169</v>
      </c>
      <c r="N64" s="14">
        <f t="shared" si="20"/>
        <v>198</v>
      </c>
      <c r="O64" s="15">
        <f t="shared" si="21"/>
        <v>189</v>
      </c>
      <c r="P64" s="17">
        <f t="shared" si="22"/>
        <v>178</v>
      </c>
      <c r="Q64" s="18">
        <f t="shared" si="23"/>
        <v>189</v>
      </c>
      <c r="R64" s="4" t="s">
        <v>0</v>
      </c>
      <c r="S64" s="16" t="str">
        <f t="shared" si="24"/>
        <v>17-16</v>
      </c>
      <c r="T64" s="14">
        <f t="shared" si="25"/>
        <v>178</v>
      </c>
      <c r="U64" s="18">
        <f t="shared" si="26"/>
        <v>581</v>
      </c>
      <c r="V64" s="14">
        <f t="shared" si="27"/>
        <v>198</v>
      </c>
      <c r="W64" s="18">
        <f t="shared" si="28"/>
        <v>581</v>
      </c>
      <c r="X64" s="14">
        <f t="shared" si="29"/>
        <v>198</v>
      </c>
      <c r="Y64" s="18">
        <f t="shared" si="30"/>
        <v>561</v>
      </c>
      <c r="Z64" s="14">
        <f t="shared" si="31"/>
        <v>178</v>
      </c>
      <c r="AA64" s="18">
        <f t="shared" si="32"/>
        <v>561</v>
      </c>
      <c r="AB64" s="4" t="s">
        <v>0</v>
      </c>
    </row>
    <row r="65" spans="1:28">
      <c r="A65" s="9" t="s">
        <v>521</v>
      </c>
      <c r="B65" s="24"/>
      <c r="C65" s="26"/>
      <c r="D65" s="25">
        <f t="shared" si="73"/>
        <v>212</v>
      </c>
      <c r="E65" s="29">
        <f t="shared" ref="E65" si="101">E64</f>
        <v>169</v>
      </c>
      <c r="F65" s="25">
        <f t="shared" si="75"/>
        <v>232</v>
      </c>
      <c r="G65" s="29">
        <f t="shared" si="78"/>
        <v>189</v>
      </c>
      <c r="H65" s="4" t="s">
        <v>0</v>
      </c>
      <c r="I65" s="16" t="str">
        <f t="shared" si="15"/>
        <v>16-36</v>
      </c>
      <c r="J65" s="14">
        <f t="shared" si="16"/>
        <v>212</v>
      </c>
      <c r="K65" s="15">
        <f t="shared" si="17"/>
        <v>169</v>
      </c>
      <c r="L65" s="17">
        <f t="shared" si="18"/>
        <v>232</v>
      </c>
      <c r="M65" s="18">
        <f t="shared" si="19"/>
        <v>169</v>
      </c>
      <c r="N65" s="14">
        <f t="shared" si="20"/>
        <v>232</v>
      </c>
      <c r="O65" s="15">
        <f t="shared" si="21"/>
        <v>189</v>
      </c>
      <c r="P65" s="17">
        <f t="shared" si="22"/>
        <v>212</v>
      </c>
      <c r="Q65" s="18">
        <f t="shared" si="23"/>
        <v>189</v>
      </c>
      <c r="R65" s="4" t="s">
        <v>0</v>
      </c>
      <c r="S65" s="16" t="str">
        <f t="shared" si="24"/>
        <v>16-36</v>
      </c>
      <c r="T65" s="14">
        <f t="shared" si="25"/>
        <v>212</v>
      </c>
      <c r="U65" s="18">
        <f t="shared" si="26"/>
        <v>581</v>
      </c>
      <c r="V65" s="14">
        <f t="shared" si="27"/>
        <v>232</v>
      </c>
      <c r="W65" s="18">
        <f t="shared" si="28"/>
        <v>581</v>
      </c>
      <c r="X65" s="14">
        <f t="shared" si="29"/>
        <v>232</v>
      </c>
      <c r="Y65" s="18">
        <f t="shared" si="30"/>
        <v>561</v>
      </c>
      <c r="Z65" s="14">
        <f t="shared" si="31"/>
        <v>212</v>
      </c>
      <c r="AA65" s="18">
        <f t="shared" si="32"/>
        <v>561</v>
      </c>
      <c r="AB65" s="4" t="s">
        <v>0</v>
      </c>
    </row>
    <row r="66" spans="1:28">
      <c r="A66" s="9" t="s">
        <v>255</v>
      </c>
      <c r="B66" s="24"/>
      <c r="C66" s="26"/>
      <c r="D66" s="25">
        <f t="shared" si="73"/>
        <v>232</v>
      </c>
      <c r="E66" s="29">
        <f t="shared" ref="E66" si="102">E65</f>
        <v>169</v>
      </c>
      <c r="F66" s="25">
        <f t="shared" si="75"/>
        <v>252</v>
      </c>
      <c r="G66" s="29">
        <f t="shared" si="78"/>
        <v>189</v>
      </c>
      <c r="H66" s="4" t="s">
        <v>0</v>
      </c>
      <c r="I66" s="16" t="str">
        <f t="shared" si="15"/>
        <v>16-16</v>
      </c>
      <c r="J66" s="14">
        <f t="shared" si="16"/>
        <v>232</v>
      </c>
      <c r="K66" s="15">
        <f t="shared" si="17"/>
        <v>169</v>
      </c>
      <c r="L66" s="17">
        <f t="shared" si="18"/>
        <v>252</v>
      </c>
      <c r="M66" s="18">
        <f t="shared" si="19"/>
        <v>169</v>
      </c>
      <c r="N66" s="14">
        <f t="shared" si="20"/>
        <v>252</v>
      </c>
      <c r="O66" s="15">
        <f t="shared" si="21"/>
        <v>189</v>
      </c>
      <c r="P66" s="17">
        <f t="shared" si="22"/>
        <v>232</v>
      </c>
      <c r="Q66" s="18">
        <f t="shared" si="23"/>
        <v>189</v>
      </c>
      <c r="R66" s="4" t="s">
        <v>0</v>
      </c>
      <c r="S66" s="16" t="str">
        <f t="shared" si="24"/>
        <v>16-16</v>
      </c>
      <c r="T66" s="14">
        <f t="shared" si="25"/>
        <v>232</v>
      </c>
      <c r="U66" s="18">
        <f t="shared" si="26"/>
        <v>581</v>
      </c>
      <c r="V66" s="14">
        <f t="shared" si="27"/>
        <v>252</v>
      </c>
      <c r="W66" s="18">
        <f t="shared" si="28"/>
        <v>581</v>
      </c>
      <c r="X66" s="14">
        <f t="shared" si="29"/>
        <v>252</v>
      </c>
      <c r="Y66" s="18">
        <f t="shared" si="30"/>
        <v>561</v>
      </c>
      <c r="Z66" s="14">
        <f t="shared" si="31"/>
        <v>232</v>
      </c>
      <c r="AA66" s="18">
        <f t="shared" si="32"/>
        <v>561</v>
      </c>
      <c r="AB66" s="4" t="s">
        <v>0</v>
      </c>
    </row>
    <row r="67" spans="1:28">
      <c r="A67" s="9" t="s">
        <v>510</v>
      </c>
      <c r="B67" s="24"/>
      <c r="C67" s="26"/>
      <c r="D67" s="25">
        <f t="shared" si="73"/>
        <v>266</v>
      </c>
      <c r="E67" s="29">
        <f t="shared" ref="E67" si="103">E66</f>
        <v>169</v>
      </c>
      <c r="F67" s="25">
        <f t="shared" si="75"/>
        <v>286</v>
      </c>
      <c r="G67" s="29">
        <f t="shared" si="78"/>
        <v>189</v>
      </c>
      <c r="H67" s="4" t="s">
        <v>0</v>
      </c>
      <c r="I67" s="16" t="str">
        <f t="shared" si="15"/>
        <v>15-36</v>
      </c>
      <c r="J67" s="14">
        <f t="shared" si="16"/>
        <v>266</v>
      </c>
      <c r="K67" s="15">
        <f t="shared" si="17"/>
        <v>169</v>
      </c>
      <c r="L67" s="17">
        <f t="shared" si="18"/>
        <v>286</v>
      </c>
      <c r="M67" s="18">
        <f t="shared" si="19"/>
        <v>169</v>
      </c>
      <c r="N67" s="14">
        <f t="shared" si="20"/>
        <v>286</v>
      </c>
      <c r="O67" s="15">
        <f t="shared" si="21"/>
        <v>189</v>
      </c>
      <c r="P67" s="17">
        <f t="shared" si="22"/>
        <v>266</v>
      </c>
      <c r="Q67" s="18">
        <f t="shared" si="23"/>
        <v>189</v>
      </c>
      <c r="R67" s="4" t="s">
        <v>0</v>
      </c>
      <c r="S67" s="16" t="str">
        <f t="shared" si="24"/>
        <v>15-36</v>
      </c>
      <c r="T67" s="14">
        <f t="shared" si="25"/>
        <v>266</v>
      </c>
      <c r="U67" s="18">
        <f t="shared" si="26"/>
        <v>581</v>
      </c>
      <c r="V67" s="14">
        <f t="shared" si="27"/>
        <v>286</v>
      </c>
      <c r="W67" s="18">
        <f t="shared" si="28"/>
        <v>581</v>
      </c>
      <c r="X67" s="14">
        <f t="shared" si="29"/>
        <v>286</v>
      </c>
      <c r="Y67" s="18">
        <f t="shared" si="30"/>
        <v>561</v>
      </c>
      <c r="Z67" s="14">
        <f t="shared" si="31"/>
        <v>266</v>
      </c>
      <c r="AA67" s="18">
        <f t="shared" si="32"/>
        <v>561</v>
      </c>
      <c r="AB67" s="4" t="s">
        <v>0</v>
      </c>
    </row>
    <row r="68" spans="1:28">
      <c r="A68" s="9" t="s">
        <v>236</v>
      </c>
      <c r="B68" s="24"/>
      <c r="C68" s="26"/>
      <c r="D68" s="25">
        <f t="shared" si="73"/>
        <v>286</v>
      </c>
      <c r="E68" s="29">
        <f t="shared" ref="E68" si="104">E67</f>
        <v>169</v>
      </c>
      <c r="F68" s="25">
        <f t="shared" si="75"/>
        <v>306</v>
      </c>
      <c r="G68" s="29">
        <f t="shared" si="78"/>
        <v>189</v>
      </c>
      <c r="H68" s="4" t="s">
        <v>0</v>
      </c>
      <c r="I68" s="16" t="str">
        <f t="shared" si="15"/>
        <v>15-16</v>
      </c>
      <c r="J68" s="14">
        <f t="shared" si="16"/>
        <v>286</v>
      </c>
      <c r="K68" s="15">
        <f t="shared" si="17"/>
        <v>169</v>
      </c>
      <c r="L68" s="17">
        <f t="shared" si="18"/>
        <v>306</v>
      </c>
      <c r="M68" s="18">
        <f t="shared" si="19"/>
        <v>169</v>
      </c>
      <c r="N68" s="14">
        <f t="shared" si="20"/>
        <v>306</v>
      </c>
      <c r="O68" s="15">
        <f t="shared" si="21"/>
        <v>189</v>
      </c>
      <c r="P68" s="17">
        <f t="shared" si="22"/>
        <v>286</v>
      </c>
      <c r="Q68" s="18">
        <f t="shared" si="23"/>
        <v>189</v>
      </c>
      <c r="R68" s="4" t="s">
        <v>0</v>
      </c>
      <c r="S68" s="16" t="str">
        <f t="shared" si="24"/>
        <v>15-16</v>
      </c>
      <c r="T68" s="14">
        <f t="shared" si="25"/>
        <v>286</v>
      </c>
      <c r="U68" s="18">
        <f t="shared" si="26"/>
        <v>581</v>
      </c>
      <c r="V68" s="14">
        <f t="shared" si="27"/>
        <v>306</v>
      </c>
      <c r="W68" s="18">
        <f t="shared" si="28"/>
        <v>581</v>
      </c>
      <c r="X68" s="14">
        <f t="shared" si="29"/>
        <v>306</v>
      </c>
      <c r="Y68" s="18">
        <f t="shared" si="30"/>
        <v>561</v>
      </c>
      <c r="Z68" s="14">
        <f t="shared" si="31"/>
        <v>286</v>
      </c>
      <c r="AA68" s="18">
        <f t="shared" si="32"/>
        <v>561</v>
      </c>
      <c r="AB68" s="4" t="s">
        <v>0</v>
      </c>
    </row>
    <row r="69" spans="1:28">
      <c r="A69" s="9" t="s">
        <v>495</v>
      </c>
      <c r="B69" s="24"/>
      <c r="C69" s="26"/>
      <c r="D69" s="25">
        <f t="shared" si="73"/>
        <v>320</v>
      </c>
      <c r="E69" s="29">
        <f t="shared" ref="E69" si="105">E68</f>
        <v>169</v>
      </c>
      <c r="F69" s="25">
        <f t="shared" si="75"/>
        <v>340</v>
      </c>
      <c r="G69" s="29">
        <f t="shared" si="78"/>
        <v>189</v>
      </c>
      <c r="H69" s="4" t="s">
        <v>0</v>
      </c>
      <c r="I69" s="16" t="str">
        <f t="shared" si="15"/>
        <v>13-36</v>
      </c>
      <c r="J69" s="14">
        <f t="shared" si="16"/>
        <v>320</v>
      </c>
      <c r="K69" s="15">
        <f t="shared" si="17"/>
        <v>169</v>
      </c>
      <c r="L69" s="17">
        <f t="shared" si="18"/>
        <v>340</v>
      </c>
      <c r="M69" s="18">
        <f t="shared" si="19"/>
        <v>169</v>
      </c>
      <c r="N69" s="14">
        <f t="shared" si="20"/>
        <v>340</v>
      </c>
      <c r="O69" s="15">
        <f t="shared" si="21"/>
        <v>189</v>
      </c>
      <c r="P69" s="17">
        <f t="shared" si="22"/>
        <v>320</v>
      </c>
      <c r="Q69" s="18">
        <f t="shared" si="23"/>
        <v>189</v>
      </c>
      <c r="R69" s="4" t="s">
        <v>0</v>
      </c>
      <c r="S69" s="16" t="str">
        <f t="shared" si="24"/>
        <v>13-36</v>
      </c>
      <c r="T69" s="14">
        <f t="shared" si="25"/>
        <v>320</v>
      </c>
      <c r="U69" s="18">
        <f t="shared" si="26"/>
        <v>581</v>
      </c>
      <c r="V69" s="14">
        <f t="shared" si="27"/>
        <v>340</v>
      </c>
      <c r="W69" s="18">
        <f t="shared" si="28"/>
        <v>581</v>
      </c>
      <c r="X69" s="14">
        <f t="shared" si="29"/>
        <v>340</v>
      </c>
      <c r="Y69" s="18">
        <f t="shared" si="30"/>
        <v>561</v>
      </c>
      <c r="Z69" s="14">
        <f t="shared" si="31"/>
        <v>320</v>
      </c>
      <c r="AA69" s="18">
        <f t="shared" si="32"/>
        <v>561</v>
      </c>
      <c r="AB69" s="4" t="s">
        <v>0</v>
      </c>
    </row>
    <row r="70" spans="1:28">
      <c r="A70" s="9" t="s">
        <v>219</v>
      </c>
      <c r="B70" s="24"/>
      <c r="C70" s="26"/>
      <c r="D70" s="25">
        <f t="shared" si="73"/>
        <v>340</v>
      </c>
      <c r="E70" s="29">
        <f t="shared" ref="E70" si="106">E69</f>
        <v>169</v>
      </c>
      <c r="F70" s="25">
        <f t="shared" si="75"/>
        <v>360</v>
      </c>
      <c r="G70" s="29">
        <f t="shared" si="78"/>
        <v>189</v>
      </c>
      <c r="H70" s="4" t="s">
        <v>0</v>
      </c>
      <c r="I70" s="16" t="str">
        <f t="shared" si="15"/>
        <v>13-16</v>
      </c>
      <c r="J70" s="14">
        <f t="shared" si="16"/>
        <v>340</v>
      </c>
      <c r="K70" s="15">
        <f t="shared" si="17"/>
        <v>169</v>
      </c>
      <c r="L70" s="17">
        <f t="shared" si="18"/>
        <v>360</v>
      </c>
      <c r="M70" s="18">
        <f t="shared" si="19"/>
        <v>169</v>
      </c>
      <c r="N70" s="14">
        <f t="shared" si="20"/>
        <v>360</v>
      </c>
      <c r="O70" s="15">
        <f t="shared" si="21"/>
        <v>189</v>
      </c>
      <c r="P70" s="17">
        <f t="shared" si="22"/>
        <v>340</v>
      </c>
      <c r="Q70" s="18">
        <f t="shared" si="23"/>
        <v>189</v>
      </c>
      <c r="R70" s="4" t="s">
        <v>0</v>
      </c>
      <c r="S70" s="16" t="str">
        <f t="shared" si="24"/>
        <v>13-16</v>
      </c>
      <c r="T70" s="14">
        <f t="shared" si="25"/>
        <v>340</v>
      </c>
      <c r="U70" s="18">
        <f t="shared" si="26"/>
        <v>581</v>
      </c>
      <c r="V70" s="14">
        <f t="shared" si="27"/>
        <v>360</v>
      </c>
      <c r="W70" s="18">
        <f t="shared" si="28"/>
        <v>581</v>
      </c>
      <c r="X70" s="14">
        <f t="shared" si="29"/>
        <v>360</v>
      </c>
      <c r="Y70" s="18">
        <f t="shared" si="30"/>
        <v>561</v>
      </c>
      <c r="Z70" s="14">
        <f t="shared" si="31"/>
        <v>340</v>
      </c>
      <c r="AA70" s="18">
        <f t="shared" si="32"/>
        <v>561</v>
      </c>
      <c r="AB70" s="4" t="s">
        <v>0</v>
      </c>
    </row>
    <row r="71" spans="1:28">
      <c r="A71" s="9" t="s">
        <v>480</v>
      </c>
      <c r="B71" s="24"/>
      <c r="C71" s="26"/>
      <c r="D71" s="25">
        <f t="shared" si="73"/>
        <v>374</v>
      </c>
      <c r="E71" s="29">
        <f t="shared" ref="E71" si="107">E70</f>
        <v>169</v>
      </c>
      <c r="F71" s="25">
        <f t="shared" si="75"/>
        <v>394</v>
      </c>
      <c r="G71" s="29">
        <f t="shared" si="78"/>
        <v>189</v>
      </c>
      <c r="H71" s="4" t="s">
        <v>0</v>
      </c>
      <c r="I71" s="16" t="str">
        <f t="shared" si="15"/>
        <v>12-36</v>
      </c>
      <c r="J71" s="14">
        <f t="shared" si="16"/>
        <v>374</v>
      </c>
      <c r="K71" s="15">
        <f t="shared" si="17"/>
        <v>169</v>
      </c>
      <c r="L71" s="17">
        <f t="shared" si="18"/>
        <v>394</v>
      </c>
      <c r="M71" s="18">
        <f t="shared" si="19"/>
        <v>169</v>
      </c>
      <c r="N71" s="14">
        <f t="shared" si="20"/>
        <v>394</v>
      </c>
      <c r="O71" s="15">
        <f t="shared" si="21"/>
        <v>189</v>
      </c>
      <c r="P71" s="17">
        <f t="shared" si="22"/>
        <v>374</v>
      </c>
      <c r="Q71" s="18">
        <f t="shared" si="23"/>
        <v>189</v>
      </c>
      <c r="R71" s="4" t="s">
        <v>0</v>
      </c>
      <c r="S71" s="16" t="str">
        <f t="shared" si="24"/>
        <v>12-36</v>
      </c>
      <c r="T71" s="14">
        <f t="shared" si="25"/>
        <v>374</v>
      </c>
      <c r="U71" s="18">
        <f t="shared" si="26"/>
        <v>581</v>
      </c>
      <c r="V71" s="14">
        <f t="shared" si="27"/>
        <v>394</v>
      </c>
      <c r="W71" s="18">
        <f t="shared" si="28"/>
        <v>581</v>
      </c>
      <c r="X71" s="14">
        <f t="shared" si="29"/>
        <v>394</v>
      </c>
      <c r="Y71" s="18">
        <f t="shared" si="30"/>
        <v>561</v>
      </c>
      <c r="Z71" s="14">
        <f t="shared" si="31"/>
        <v>374</v>
      </c>
      <c r="AA71" s="18">
        <f t="shared" si="32"/>
        <v>561</v>
      </c>
      <c r="AB71" s="4" t="s">
        <v>0</v>
      </c>
    </row>
    <row r="72" spans="1:28">
      <c r="A72" s="9" t="s">
        <v>203</v>
      </c>
      <c r="B72" s="24"/>
      <c r="C72" s="26"/>
      <c r="D72" s="25">
        <f t="shared" si="73"/>
        <v>394</v>
      </c>
      <c r="E72" s="29">
        <f t="shared" ref="E72" si="108">E71</f>
        <v>169</v>
      </c>
      <c r="F72" s="25">
        <f t="shared" si="75"/>
        <v>414</v>
      </c>
      <c r="G72" s="29">
        <f t="shared" si="78"/>
        <v>189</v>
      </c>
      <c r="H72" s="4" t="s">
        <v>0</v>
      </c>
      <c r="I72" s="16" t="str">
        <f t="shared" si="15"/>
        <v>12-16</v>
      </c>
      <c r="J72" s="14">
        <f t="shared" si="16"/>
        <v>394</v>
      </c>
      <c r="K72" s="15">
        <f t="shared" si="17"/>
        <v>169</v>
      </c>
      <c r="L72" s="17">
        <f t="shared" si="18"/>
        <v>414</v>
      </c>
      <c r="M72" s="18">
        <f t="shared" si="19"/>
        <v>169</v>
      </c>
      <c r="N72" s="14">
        <f t="shared" si="20"/>
        <v>414</v>
      </c>
      <c r="O72" s="15">
        <f t="shared" si="21"/>
        <v>189</v>
      </c>
      <c r="P72" s="17">
        <f t="shared" si="22"/>
        <v>394</v>
      </c>
      <c r="Q72" s="18">
        <f t="shared" si="23"/>
        <v>189</v>
      </c>
      <c r="R72" s="4" t="s">
        <v>0</v>
      </c>
      <c r="S72" s="16" t="str">
        <f t="shared" si="24"/>
        <v>12-16</v>
      </c>
      <c r="T72" s="14">
        <f t="shared" si="25"/>
        <v>394</v>
      </c>
      <c r="U72" s="18">
        <f t="shared" si="26"/>
        <v>581</v>
      </c>
      <c r="V72" s="14">
        <f t="shared" si="27"/>
        <v>414</v>
      </c>
      <c r="W72" s="18">
        <f t="shared" si="28"/>
        <v>581</v>
      </c>
      <c r="X72" s="14">
        <f t="shared" si="29"/>
        <v>414</v>
      </c>
      <c r="Y72" s="18">
        <f t="shared" si="30"/>
        <v>561</v>
      </c>
      <c r="Z72" s="14">
        <f t="shared" si="31"/>
        <v>394</v>
      </c>
      <c r="AA72" s="18">
        <f t="shared" si="32"/>
        <v>561</v>
      </c>
      <c r="AB72" s="4" t="s">
        <v>0</v>
      </c>
    </row>
    <row r="73" spans="1:28">
      <c r="A73" s="9" t="s">
        <v>465</v>
      </c>
      <c r="B73" s="24"/>
      <c r="C73" s="26"/>
      <c r="D73" s="25">
        <f t="shared" si="73"/>
        <v>428</v>
      </c>
      <c r="E73" s="29">
        <f t="shared" ref="E73" si="109">E72</f>
        <v>169</v>
      </c>
      <c r="F73" s="25">
        <f t="shared" si="75"/>
        <v>448</v>
      </c>
      <c r="G73" s="29">
        <f t="shared" si="78"/>
        <v>189</v>
      </c>
      <c r="H73" s="4" t="s">
        <v>0</v>
      </c>
      <c r="I73" s="16" t="str">
        <f t="shared" si="15"/>
        <v>11-31</v>
      </c>
      <c r="J73" s="14">
        <f t="shared" si="16"/>
        <v>428</v>
      </c>
      <c r="K73" s="15">
        <f t="shared" si="17"/>
        <v>169</v>
      </c>
      <c r="L73" s="17">
        <f t="shared" si="18"/>
        <v>448</v>
      </c>
      <c r="M73" s="18">
        <f t="shared" si="19"/>
        <v>169</v>
      </c>
      <c r="N73" s="14">
        <f t="shared" si="20"/>
        <v>448</v>
      </c>
      <c r="O73" s="15">
        <f t="shared" si="21"/>
        <v>189</v>
      </c>
      <c r="P73" s="17">
        <f t="shared" si="22"/>
        <v>428</v>
      </c>
      <c r="Q73" s="18">
        <f t="shared" si="23"/>
        <v>189</v>
      </c>
      <c r="R73" s="4" t="s">
        <v>0</v>
      </c>
      <c r="S73" s="16" t="str">
        <f t="shared" si="24"/>
        <v>11-31</v>
      </c>
      <c r="T73" s="14">
        <f t="shared" si="25"/>
        <v>428</v>
      </c>
      <c r="U73" s="18">
        <f t="shared" si="26"/>
        <v>581</v>
      </c>
      <c r="V73" s="14">
        <f t="shared" si="27"/>
        <v>448</v>
      </c>
      <c r="W73" s="18">
        <f t="shared" si="28"/>
        <v>581</v>
      </c>
      <c r="X73" s="14">
        <f t="shared" si="29"/>
        <v>448</v>
      </c>
      <c r="Y73" s="18">
        <f t="shared" si="30"/>
        <v>561</v>
      </c>
      <c r="Z73" s="14">
        <f t="shared" si="31"/>
        <v>428</v>
      </c>
      <c r="AA73" s="18">
        <f t="shared" si="32"/>
        <v>561</v>
      </c>
      <c r="AB73" s="4" t="s">
        <v>0</v>
      </c>
    </row>
    <row r="74" spans="1:28">
      <c r="A74" s="9" t="s">
        <v>194</v>
      </c>
      <c r="B74" s="24"/>
      <c r="C74" s="26"/>
      <c r="D74" s="25">
        <f t="shared" si="73"/>
        <v>448</v>
      </c>
      <c r="E74" s="29">
        <f t="shared" ref="E74" si="110">E73</f>
        <v>169</v>
      </c>
      <c r="F74" s="25">
        <f t="shared" si="75"/>
        <v>468</v>
      </c>
      <c r="G74" s="29">
        <f t="shared" si="78"/>
        <v>189</v>
      </c>
      <c r="H74" s="4" t="s">
        <v>0</v>
      </c>
      <c r="I74" s="16" t="str">
        <f t="shared" si="15"/>
        <v>11-13</v>
      </c>
      <c r="J74" s="14">
        <f t="shared" si="16"/>
        <v>448</v>
      </c>
      <c r="K74" s="15">
        <f t="shared" si="17"/>
        <v>169</v>
      </c>
      <c r="L74" s="17">
        <f t="shared" si="18"/>
        <v>468</v>
      </c>
      <c r="M74" s="18">
        <f t="shared" si="19"/>
        <v>169</v>
      </c>
      <c r="N74" s="14">
        <f t="shared" si="20"/>
        <v>468</v>
      </c>
      <c r="O74" s="15">
        <f t="shared" si="21"/>
        <v>189</v>
      </c>
      <c r="P74" s="17">
        <f t="shared" si="22"/>
        <v>448</v>
      </c>
      <c r="Q74" s="18">
        <f t="shared" si="23"/>
        <v>189</v>
      </c>
      <c r="R74" s="4" t="s">
        <v>0</v>
      </c>
      <c r="S74" s="16" t="str">
        <f t="shared" si="24"/>
        <v>11-13</v>
      </c>
      <c r="T74" s="14">
        <f t="shared" si="25"/>
        <v>448</v>
      </c>
      <c r="U74" s="18">
        <f t="shared" si="26"/>
        <v>581</v>
      </c>
      <c r="V74" s="14">
        <f t="shared" si="27"/>
        <v>468</v>
      </c>
      <c r="W74" s="18">
        <f t="shared" si="28"/>
        <v>581</v>
      </c>
      <c r="X74" s="14">
        <f t="shared" si="29"/>
        <v>468</v>
      </c>
      <c r="Y74" s="18">
        <f t="shared" si="30"/>
        <v>561</v>
      </c>
      <c r="Z74" s="14">
        <f t="shared" si="31"/>
        <v>448</v>
      </c>
      <c r="AA74" s="18">
        <f t="shared" si="32"/>
        <v>561</v>
      </c>
      <c r="AB74" s="4" t="s">
        <v>0</v>
      </c>
    </row>
    <row r="75" spans="1:28">
      <c r="A75" s="9" t="s">
        <v>330</v>
      </c>
      <c r="B75" s="24"/>
      <c r="C75" s="26">
        <v>4</v>
      </c>
      <c r="D75" s="25">
        <f t="shared" si="73"/>
        <v>50</v>
      </c>
      <c r="E75" s="28">
        <f t="shared" ref="E75" si="111">ROUND(E$11+19.5*$C75, 0)</f>
        <v>188</v>
      </c>
      <c r="F75" s="25">
        <f t="shared" si="75"/>
        <v>70</v>
      </c>
      <c r="G75" s="28">
        <f t="shared" ref="G75" si="112">ROUND(G$11+19.5*$C75, 0)</f>
        <v>208</v>
      </c>
      <c r="H75" s="4" t="s">
        <v>0</v>
      </c>
      <c r="I75" s="16" t="str">
        <f t="shared" si="15"/>
        <v>20-27</v>
      </c>
      <c r="J75" s="14">
        <f t="shared" si="16"/>
        <v>50</v>
      </c>
      <c r="K75" s="15">
        <f t="shared" si="17"/>
        <v>188</v>
      </c>
      <c r="L75" s="17">
        <f t="shared" si="18"/>
        <v>70</v>
      </c>
      <c r="M75" s="18">
        <f t="shared" si="19"/>
        <v>188</v>
      </c>
      <c r="N75" s="14">
        <f t="shared" si="20"/>
        <v>70</v>
      </c>
      <c r="O75" s="15">
        <f t="shared" si="21"/>
        <v>208</v>
      </c>
      <c r="P75" s="17">
        <f t="shared" si="22"/>
        <v>50</v>
      </c>
      <c r="Q75" s="18">
        <f t="shared" si="23"/>
        <v>208</v>
      </c>
      <c r="R75" s="4" t="s">
        <v>0</v>
      </c>
      <c r="S75" s="16" t="str">
        <f t="shared" si="24"/>
        <v>20-27</v>
      </c>
      <c r="T75" s="14">
        <f t="shared" si="25"/>
        <v>50</v>
      </c>
      <c r="U75" s="18">
        <f t="shared" si="26"/>
        <v>562</v>
      </c>
      <c r="V75" s="14">
        <f t="shared" si="27"/>
        <v>70</v>
      </c>
      <c r="W75" s="18">
        <f t="shared" si="28"/>
        <v>562</v>
      </c>
      <c r="X75" s="14">
        <f t="shared" si="29"/>
        <v>70</v>
      </c>
      <c r="Y75" s="18">
        <f t="shared" si="30"/>
        <v>542</v>
      </c>
      <c r="Z75" s="14">
        <f t="shared" si="31"/>
        <v>50</v>
      </c>
      <c r="AA75" s="18">
        <f t="shared" si="32"/>
        <v>542</v>
      </c>
      <c r="AB75" s="4" t="s">
        <v>0</v>
      </c>
    </row>
    <row r="76" spans="1:28">
      <c r="A76" s="9" t="s">
        <v>317</v>
      </c>
      <c r="B76" s="24"/>
      <c r="C76" s="26"/>
      <c r="D76" s="25">
        <f t="shared" si="73"/>
        <v>70</v>
      </c>
      <c r="E76" s="29">
        <f t="shared" ref="E76" si="113">E75</f>
        <v>188</v>
      </c>
      <c r="F76" s="25">
        <f t="shared" si="75"/>
        <v>90</v>
      </c>
      <c r="G76" s="29">
        <f t="shared" ref="G76" si="114">G75</f>
        <v>208</v>
      </c>
      <c r="H76" s="4" t="s">
        <v>0</v>
      </c>
      <c r="I76" s="16" t="str">
        <f t="shared" ref="I76:I137" si="115">A76</f>
        <v>20-11</v>
      </c>
      <c r="J76" s="14">
        <f t="shared" ref="J76:J137" si="116">IF(D76&lt;&gt;"",D76,0)</f>
        <v>70</v>
      </c>
      <c r="K76" s="15">
        <f t="shared" ref="K76:K137" si="117">IF(E76&lt;&gt;"",E76,0)</f>
        <v>188</v>
      </c>
      <c r="L76" s="17">
        <f t="shared" ref="L76:L137" si="118">N76</f>
        <v>90</v>
      </c>
      <c r="M76" s="18">
        <f t="shared" ref="M76:M137" si="119">K76</f>
        <v>188</v>
      </c>
      <c r="N76" s="14">
        <f t="shared" ref="N76:N137" si="120">IF(F76&lt;&gt;"",F76,0)</f>
        <v>90</v>
      </c>
      <c r="O76" s="15">
        <f t="shared" ref="O76:O137" si="121">IF(G76&lt;&gt;"",G76,0)</f>
        <v>208</v>
      </c>
      <c r="P76" s="17">
        <f t="shared" ref="P76:P137" si="122">J76</f>
        <v>70</v>
      </c>
      <c r="Q76" s="18">
        <f t="shared" ref="Q76:Q137" si="123">O76</f>
        <v>208</v>
      </c>
      <c r="R76" s="4" t="s">
        <v>0</v>
      </c>
      <c r="S76" s="16" t="str">
        <f t="shared" ref="S76:S137" si="124">I76</f>
        <v>20-11</v>
      </c>
      <c r="T76" s="14">
        <f t="shared" ref="T76:T137" si="125">IF(J76&lt;&gt;"",J76,"")</f>
        <v>70</v>
      </c>
      <c r="U76" s="18">
        <f t="shared" ref="U76:U137" si="126">IF(K76&lt;&gt;"",U$6-K76,"")</f>
        <v>562</v>
      </c>
      <c r="V76" s="14">
        <f t="shared" ref="V76:V137" si="127">IF(L76&lt;&gt;"",L76,"")</f>
        <v>90</v>
      </c>
      <c r="W76" s="18">
        <f t="shared" ref="W76:W137" si="128">IF(M76&lt;&gt;"",W$6-M76,"")</f>
        <v>562</v>
      </c>
      <c r="X76" s="14">
        <f t="shared" ref="X76:X137" si="129">IF(N76&lt;&gt;"",N76,"")</f>
        <v>90</v>
      </c>
      <c r="Y76" s="18">
        <f t="shared" ref="Y76:Y137" si="130">IF(O76&lt;&gt;"",Y$6-O76,"")</f>
        <v>542</v>
      </c>
      <c r="Z76" s="14">
        <f t="shared" ref="Z76:Z137" si="131">IF(P76&lt;&gt;"",P76,"")</f>
        <v>70</v>
      </c>
      <c r="AA76" s="18">
        <f t="shared" ref="AA76:AA137" si="132">IF(Q76&lt;&gt;"",AA$6-Q76,"")</f>
        <v>542</v>
      </c>
      <c r="AB76" s="4" t="s">
        <v>0</v>
      </c>
    </row>
    <row r="77" spans="1:28">
      <c r="A77" s="9" t="s">
        <v>539</v>
      </c>
      <c r="B77" s="24"/>
      <c r="C77" s="26"/>
      <c r="D77" s="25">
        <f t="shared" si="73"/>
        <v>104</v>
      </c>
      <c r="E77" s="29">
        <f t="shared" ref="E77" si="133">E76</f>
        <v>188</v>
      </c>
      <c r="F77" s="25">
        <f t="shared" si="75"/>
        <v>124</v>
      </c>
      <c r="G77" s="29">
        <f t="shared" si="78"/>
        <v>208</v>
      </c>
      <c r="H77" s="4" t="s">
        <v>0</v>
      </c>
      <c r="I77" s="16" t="str">
        <f t="shared" si="115"/>
        <v>18-35</v>
      </c>
      <c r="J77" s="14">
        <f t="shared" si="116"/>
        <v>104</v>
      </c>
      <c r="K77" s="15">
        <f t="shared" si="117"/>
        <v>188</v>
      </c>
      <c r="L77" s="17">
        <f t="shared" si="118"/>
        <v>124</v>
      </c>
      <c r="M77" s="18">
        <f t="shared" si="119"/>
        <v>188</v>
      </c>
      <c r="N77" s="14">
        <f t="shared" si="120"/>
        <v>124</v>
      </c>
      <c r="O77" s="15">
        <f t="shared" si="121"/>
        <v>208</v>
      </c>
      <c r="P77" s="17">
        <f t="shared" si="122"/>
        <v>104</v>
      </c>
      <c r="Q77" s="18">
        <f t="shared" si="123"/>
        <v>208</v>
      </c>
      <c r="R77" s="4" t="s">
        <v>0</v>
      </c>
      <c r="S77" s="16" t="str">
        <f t="shared" si="124"/>
        <v>18-35</v>
      </c>
      <c r="T77" s="14">
        <f t="shared" si="125"/>
        <v>104</v>
      </c>
      <c r="U77" s="18">
        <f t="shared" si="126"/>
        <v>562</v>
      </c>
      <c r="V77" s="14">
        <f t="shared" si="127"/>
        <v>124</v>
      </c>
      <c r="W77" s="18">
        <f t="shared" si="128"/>
        <v>562</v>
      </c>
      <c r="X77" s="14">
        <f t="shared" si="129"/>
        <v>124</v>
      </c>
      <c r="Y77" s="18">
        <f t="shared" si="130"/>
        <v>542</v>
      </c>
      <c r="Z77" s="14">
        <f t="shared" si="131"/>
        <v>104</v>
      </c>
      <c r="AA77" s="18">
        <f t="shared" si="132"/>
        <v>542</v>
      </c>
      <c r="AB77" s="4" t="s">
        <v>0</v>
      </c>
    </row>
    <row r="78" spans="1:28">
      <c r="A78" s="9" t="s">
        <v>296</v>
      </c>
      <c r="B78" s="24"/>
      <c r="C78" s="26"/>
      <c r="D78" s="25">
        <f t="shared" si="73"/>
        <v>124</v>
      </c>
      <c r="E78" s="29">
        <f t="shared" ref="E78" si="134">E77</f>
        <v>188</v>
      </c>
      <c r="F78" s="25">
        <f t="shared" si="75"/>
        <v>144</v>
      </c>
      <c r="G78" s="29">
        <f t="shared" si="78"/>
        <v>208</v>
      </c>
      <c r="H78" s="4" t="s">
        <v>0</v>
      </c>
      <c r="I78" s="16" t="str">
        <f t="shared" si="115"/>
        <v>18-15</v>
      </c>
      <c r="J78" s="14">
        <f t="shared" si="116"/>
        <v>124</v>
      </c>
      <c r="K78" s="15">
        <f t="shared" si="117"/>
        <v>188</v>
      </c>
      <c r="L78" s="17">
        <f t="shared" si="118"/>
        <v>144</v>
      </c>
      <c r="M78" s="18">
        <f t="shared" si="119"/>
        <v>188</v>
      </c>
      <c r="N78" s="14">
        <f t="shared" si="120"/>
        <v>144</v>
      </c>
      <c r="O78" s="15">
        <f t="shared" si="121"/>
        <v>208</v>
      </c>
      <c r="P78" s="17">
        <f t="shared" si="122"/>
        <v>124</v>
      </c>
      <c r="Q78" s="18">
        <f t="shared" si="123"/>
        <v>208</v>
      </c>
      <c r="R78" s="4" t="s">
        <v>0</v>
      </c>
      <c r="S78" s="16" t="str">
        <f t="shared" si="124"/>
        <v>18-15</v>
      </c>
      <c r="T78" s="14">
        <f t="shared" si="125"/>
        <v>124</v>
      </c>
      <c r="U78" s="18">
        <f t="shared" si="126"/>
        <v>562</v>
      </c>
      <c r="V78" s="14">
        <f t="shared" si="127"/>
        <v>144</v>
      </c>
      <c r="W78" s="18">
        <f t="shared" si="128"/>
        <v>562</v>
      </c>
      <c r="X78" s="14">
        <f t="shared" si="129"/>
        <v>144</v>
      </c>
      <c r="Y78" s="18">
        <f t="shared" si="130"/>
        <v>542</v>
      </c>
      <c r="Z78" s="14">
        <f t="shared" si="131"/>
        <v>124</v>
      </c>
      <c r="AA78" s="18">
        <f t="shared" si="132"/>
        <v>542</v>
      </c>
      <c r="AB78" s="4" t="s">
        <v>0</v>
      </c>
    </row>
    <row r="79" spans="1:28">
      <c r="A79" s="9" t="s">
        <v>531</v>
      </c>
      <c r="B79" s="24"/>
      <c r="C79" s="26"/>
      <c r="D79" s="25">
        <f t="shared" si="73"/>
        <v>158</v>
      </c>
      <c r="E79" s="29">
        <f t="shared" ref="E79" si="135">E78</f>
        <v>188</v>
      </c>
      <c r="F79" s="25">
        <f t="shared" si="75"/>
        <v>178</v>
      </c>
      <c r="G79" s="29">
        <f t="shared" si="78"/>
        <v>208</v>
      </c>
      <c r="H79" s="4" t="s">
        <v>0</v>
      </c>
      <c r="I79" s="16" t="str">
        <f t="shared" si="115"/>
        <v>17-35</v>
      </c>
      <c r="J79" s="14">
        <f t="shared" si="116"/>
        <v>158</v>
      </c>
      <c r="K79" s="15">
        <f t="shared" si="117"/>
        <v>188</v>
      </c>
      <c r="L79" s="17">
        <f t="shared" si="118"/>
        <v>178</v>
      </c>
      <c r="M79" s="18">
        <f t="shared" si="119"/>
        <v>188</v>
      </c>
      <c r="N79" s="14">
        <f t="shared" si="120"/>
        <v>178</v>
      </c>
      <c r="O79" s="15">
        <f t="shared" si="121"/>
        <v>208</v>
      </c>
      <c r="P79" s="17">
        <f t="shared" si="122"/>
        <v>158</v>
      </c>
      <c r="Q79" s="18">
        <f t="shared" si="123"/>
        <v>208</v>
      </c>
      <c r="R79" s="4" t="s">
        <v>0</v>
      </c>
      <c r="S79" s="16" t="str">
        <f t="shared" si="124"/>
        <v>17-35</v>
      </c>
      <c r="T79" s="14">
        <f t="shared" si="125"/>
        <v>158</v>
      </c>
      <c r="U79" s="18">
        <f t="shared" si="126"/>
        <v>562</v>
      </c>
      <c r="V79" s="14">
        <f t="shared" si="127"/>
        <v>178</v>
      </c>
      <c r="W79" s="18">
        <f t="shared" si="128"/>
        <v>562</v>
      </c>
      <c r="X79" s="14">
        <f t="shared" si="129"/>
        <v>178</v>
      </c>
      <c r="Y79" s="18">
        <f t="shared" si="130"/>
        <v>542</v>
      </c>
      <c r="Z79" s="14">
        <f t="shared" si="131"/>
        <v>158</v>
      </c>
      <c r="AA79" s="18">
        <f t="shared" si="132"/>
        <v>542</v>
      </c>
      <c r="AB79" s="4" t="s">
        <v>0</v>
      </c>
    </row>
    <row r="80" spans="1:28">
      <c r="A80" s="9" t="s">
        <v>275</v>
      </c>
      <c r="B80" s="24"/>
      <c r="C80" s="26"/>
      <c r="D80" s="25">
        <f t="shared" si="73"/>
        <v>178</v>
      </c>
      <c r="E80" s="29">
        <f t="shared" ref="E80" si="136">E79</f>
        <v>188</v>
      </c>
      <c r="F80" s="25">
        <f t="shared" si="75"/>
        <v>198</v>
      </c>
      <c r="G80" s="29">
        <f t="shared" si="78"/>
        <v>208</v>
      </c>
      <c r="H80" s="4" t="s">
        <v>0</v>
      </c>
      <c r="I80" s="16" t="str">
        <f t="shared" si="115"/>
        <v>17-15</v>
      </c>
      <c r="J80" s="14">
        <f t="shared" si="116"/>
        <v>178</v>
      </c>
      <c r="K80" s="15">
        <f t="shared" si="117"/>
        <v>188</v>
      </c>
      <c r="L80" s="17">
        <f t="shared" si="118"/>
        <v>198</v>
      </c>
      <c r="M80" s="18">
        <f t="shared" si="119"/>
        <v>188</v>
      </c>
      <c r="N80" s="14">
        <f t="shared" si="120"/>
        <v>198</v>
      </c>
      <c r="O80" s="15">
        <f t="shared" si="121"/>
        <v>208</v>
      </c>
      <c r="P80" s="17">
        <f t="shared" si="122"/>
        <v>178</v>
      </c>
      <c r="Q80" s="18">
        <f t="shared" si="123"/>
        <v>208</v>
      </c>
      <c r="R80" s="4" t="s">
        <v>0</v>
      </c>
      <c r="S80" s="16" t="str">
        <f t="shared" si="124"/>
        <v>17-15</v>
      </c>
      <c r="T80" s="14">
        <f t="shared" si="125"/>
        <v>178</v>
      </c>
      <c r="U80" s="18">
        <f t="shared" si="126"/>
        <v>562</v>
      </c>
      <c r="V80" s="14">
        <f t="shared" si="127"/>
        <v>198</v>
      </c>
      <c r="W80" s="18">
        <f t="shared" si="128"/>
        <v>562</v>
      </c>
      <c r="X80" s="14">
        <f t="shared" si="129"/>
        <v>198</v>
      </c>
      <c r="Y80" s="18">
        <f t="shared" si="130"/>
        <v>542</v>
      </c>
      <c r="Z80" s="14">
        <f t="shared" si="131"/>
        <v>178</v>
      </c>
      <c r="AA80" s="18">
        <f t="shared" si="132"/>
        <v>542</v>
      </c>
      <c r="AB80" s="4" t="s">
        <v>0</v>
      </c>
    </row>
    <row r="81" spans="1:28">
      <c r="A81" s="9" t="s">
        <v>520</v>
      </c>
      <c r="B81" s="24"/>
      <c r="C81" s="26"/>
      <c r="D81" s="25">
        <f t="shared" si="73"/>
        <v>212</v>
      </c>
      <c r="E81" s="29">
        <f t="shared" ref="E81" si="137">E80</f>
        <v>188</v>
      </c>
      <c r="F81" s="25">
        <f t="shared" si="75"/>
        <v>232</v>
      </c>
      <c r="G81" s="29">
        <f t="shared" si="78"/>
        <v>208</v>
      </c>
      <c r="H81" s="4" t="s">
        <v>0</v>
      </c>
      <c r="I81" s="16" t="str">
        <f t="shared" si="115"/>
        <v>16-35</v>
      </c>
      <c r="J81" s="14">
        <f t="shared" si="116"/>
        <v>212</v>
      </c>
      <c r="K81" s="15">
        <f t="shared" si="117"/>
        <v>188</v>
      </c>
      <c r="L81" s="17">
        <f t="shared" si="118"/>
        <v>232</v>
      </c>
      <c r="M81" s="18">
        <f t="shared" si="119"/>
        <v>188</v>
      </c>
      <c r="N81" s="14">
        <f t="shared" si="120"/>
        <v>232</v>
      </c>
      <c r="O81" s="15">
        <f t="shared" si="121"/>
        <v>208</v>
      </c>
      <c r="P81" s="17">
        <f t="shared" si="122"/>
        <v>212</v>
      </c>
      <c r="Q81" s="18">
        <f t="shared" si="123"/>
        <v>208</v>
      </c>
      <c r="R81" s="4" t="s">
        <v>0</v>
      </c>
      <c r="S81" s="16" t="str">
        <f t="shared" si="124"/>
        <v>16-35</v>
      </c>
      <c r="T81" s="14">
        <f t="shared" si="125"/>
        <v>212</v>
      </c>
      <c r="U81" s="18">
        <f t="shared" si="126"/>
        <v>562</v>
      </c>
      <c r="V81" s="14">
        <f t="shared" si="127"/>
        <v>232</v>
      </c>
      <c r="W81" s="18">
        <f t="shared" si="128"/>
        <v>562</v>
      </c>
      <c r="X81" s="14">
        <f t="shared" si="129"/>
        <v>232</v>
      </c>
      <c r="Y81" s="18">
        <f t="shared" si="130"/>
        <v>542</v>
      </c>
      <c r="Z81" s="14">
        <f t="shared" si="131"/>
        <v>212</v>
      </c>
      <c r="AA81" s="18">
        <f t="shared" si="132"/>
        <v>542</v>
      </c>
      <c r="AB81" s="4" t="s">
        <v>0</v>
      </c>
    </row>
    <row r="82" spans="1:28">
      <c r="A82" s="9" t="s">
        <v>254</v>
      </c>
      <c r="B82" s="24"/>
      <c r="C82" s="26"/>
      <c r="D82" s="25">
        <f t="shared" si="73"/>
        <v>232</v>
      </c>
      <c r="E82" s="29">
        <f t="shared" ref="E82" si="138">E81</f>
        <v>188</v>
      </c>
      <c r="F82" s="25">
        <f t="shared" si="75"/>
        <v>252</v>
      </c>
      <c r="G82" s="29">
        <f t="shared" si="78"/>
        <v>208</v>
      </c>
      <c r="H82" s="4" t="s">
        <v>0</v>
      </c>
      <c r="I82" s="16" t="str">
        <f t="shared" si="115"/>
        <v>16-15</v>
      </c>
      <c r="J82" s="14">
        <f t="shared" si="116"/>
        <v>232</v>
      </c>
      <c r="K82" s="15">
        <f t="shared" si="117"/>
        <v>188</v>
      </c>
      <c r="L82" s="17">
        <f t="shared" si="118"/>
        <v>252</v>
      </c>
      <c r="M82" s="18">
        <f t="shared" si="119"/>
        <v>188</v>
      </c>
      <c r="N82" s="14">
        <f t="shared" si="120"/>
        <v>252</v>
      </c>
      <c r="O82" s="15">
        <f t="shared" si="121"/>
        <v>208</v>
      </c>
      <c r="P82" s="17">
        <f t="shared" si="122"/>
        <v>232</v>
      </c>
      <c r="Q82" s="18">
        <f t="shared" si="123"/>
        <v>208</v>
      </c>
      <c r="R82" s="4" t="s">
        <v>0</v>
      </c>
      <c r="S82" s="16" t="str">
        <f t="shared" si="124"/>
        <v>16-15</v>
      </c>
      <c r="T82" s="14">
        <f t="shared" si="125"/>
        <v>232</v>
      </c>
      <c r="U82" s="18">
        <f t="shared" si="126"/>
        <v>562</v>
      </c>
      <c r="V82" s="14">
        <f t="shared" si="127"/>
        <v>252</v>
      </c>
      <c r="W82" s="18">
        <f t="shared" si="128"/>
        <v>562</v>
      </c>
      <c r="X82" s="14">
        <f t="shared" si="129"/>
        <v>252</v>
      </c>
      <c r="Y82" s="18">
        <f t="shared" si="130"/>
        <v>542</v>
      </c>
      <c r="Z82" s="14">
        <f t="shared" si="131"/>
        <v>232</v>
      </c>
      <c r="AA82" s="18">
        <f t="shared" si="132"/>
        <v>542</v>
      </c>
      <c r="AB82" s="4" t="s">
        <v>0</v>
      </c>
    </row>
    <row r="83" spans="1:28">
      <c r="A83" s="9" t="s">
        <v>509</v>
      </c>
      <c r="B83" s="24"/>
      <c r="C83" s="26"/>
      <c r="D83" s="25">
        <f t="shared" si="73"/>
        <v>266</v>
      </c>
      <c r="E83" s="29">
        <f t="shared" ref="E83" si="139">E82</f>
        <v>188</v>
      </c>
      <c r="F83" s="25">
        <f t="shared" si="75"/>
        <v>286</v>
      </c>
      <c r="G83" s="29">
        <f t="shared" si="78"/>
        <v>208</v>
      </c>
      <c r="H83" s="4" t="s">
        <v>0</v>
      </c>
      <c r="I83" s="16" t="str">
        <f t="shared" si="115"/>
        <v>15-35</v>
      </c>
      <c r="J83" s="14">
        <f t="shared" si="116"/>
        <v>266</v>
      </c>
      <c r="K83" s="15">
        <f t="shared" si="117"/>
        <v>188</v>
      </c>
      <c r="L83" s="17">
        <f t="shared" si="118"/>
        <v>286</v>
      </c>
      <c r="M83" s="18">
        <f t="shared" si="119"/>
        <v>188</v>
      </c>
      <c r="N83" s="14">
        <f t="shared" si="120"/>
        <v>286</v>
      </c>
      <c r="O83" s="15">
        <f t="shared" si="121"/>
        <v>208</v>
      </c>
      <c r="P83" s="17">
        <f t="shared" si="122"/>
        <v>266</v>
      </c>
      <c r="Q83" s="18">
        <f t="shared" si="123"/>
        <v>208</v>
      </c>
      <c r="R83" s="4" t="s">
        <v>0</v>
      </c>
      <c r="S83" s="16" t="str">
        <f t="shared" si="124"/>
        <v>15-35</v>
      </c>
      <c r="T83" s="14">
        <f t="shared" si="125"/>
        <v>266</v>
      </c>
      <c r="U83" s="18">
        <f t="shared" si="126"/>
        <v>562</v>
      </c>
      <c r="V83" s="14">
        <f t="shared" si="127"/>
        <v>286</v>
      </c>
      <c r="W83" s="18">
        <f t="shared" si="128"/>
        <v>562</v>
      </c>
      <c r="X83" s="14">
        <f t="shared" si="129"/>
        <v>286</v>
      </c>
      <c r="Y83" s="18">
        <f t="shared" si="130"/>
        <v>542</v>
      </c>
      <c r="Z83" s="14">
        <f t="shared" si="131"/>
        <v>266</v>
      </c>
      <c r="AA83" s="18">
        <f t="shared" si="132"/>
        <v>542</v>
      </c>
      <c r="AB83" s="4" t="s">
        <v>0</v>
      </c>
    </row>
    <row r="84" spans="1:28">
      <c r="A84" s="9" t="s">
        <v>235</v>
      </c>
      <c r="B84" s="24"/>
      <c r="C84" s="26"/>
      <c r="D84" s="25">
        <f t="shared" si="73"/>
        <v>286</v>
      </c>
      <c r="E84" s="29">
        <f t="shared" ref="E84" si="140">E83</f>
        <v>188</v>
      </c>
      <c r="F84" s="25">
        <f t="shared" si="75"/>
        <v>306</v>
      </c>
      <c r="G84" s="29">
        <f t="shared" si="78"/>
        <v>208</v>
      </c>
      <c r="H84" s="4" t="s">
        <v>0</v>
      </c>
      <c r="I84" s="16" t="str">
        <f t="shared" si="115"/>
        <v>15-15</v>
      </c>
      <c r="J84" s="14">
        <f t="shared" si="116"/>
        <v>286</v>
      </c>
      <c r="K84" s="15">
        <f t="shared" si="117"/>
        <v>188</v>
      </c>
      <c r="L84" s="17">
        <f t="shared" si="118"/>
        <v>306</v>
      </c>
      <c r="M84" s="18">
        <f t="shared" si="119"/>
        <v>188</v>
      </c>
      <c r="N84" s="14">
        <f t="shared" si="120"/>
        <v>306</v>
      </c>
      <c r="O84" s="15">
        <f t="shared" si="121"/>
        <v>208</v>
      </c>
      <c r="P84" s="17">
        <f t="shared" si="122"/>
        <v>286</v>
      </c>
      <c r="Q84" s="18">
        <f t="shared" si="123"/>
        <v>208</v>
      </c>
      <c r="R84" s="4" t="s">
        <v>0</v>
      </c>
      <c r="S84" s="16" t="str">
        <f t="shared" si="124"/>
        <v>15-15</v>
      </c>
      <c r="T84" s="14">
        <f t="shared" si="125"/>
        <v>286</v>
      </c>
      <c r="U84" s="18">
        <f t="shared" si="126"/>
        <v>562</v>
      </c>
      <c r="V84" s="14">
        <f t="shared" si="127"/>
        <v>306</v>
      </c>
      <c r="W84" s="18">
        <f t="shared" si="128"/>
        <v>562</v>
      </c>
      <c r="X84" s="14">
        <f t="shared" si="129"/>
        <v>306</v>
      </c>
      <c r="Y84" s="18">
        <f t="shared" si="130"/>
        <v>542</v>
      </c>
      <c r="Z84" s="14">
        <f t="shared" si="131"/>
        <v>286</v>
      </c>
      <c r="AA84" s="18">
        <f t="shared" si="132"/>
        <v>542</v>
      </c>
      <c r="AB84" s="4" t="s">
        <v>0</v>
      </c>
    </row>
    <row r="85" spans="1:28">
      <c r="A85" s="9" t="s">
        <v>494</v>
      </c>
      <c r="B85" s="24"/>
      <c r="C85" s="26"/>
      <c r="D85" s="25">
        <f t="shared" si="73"/>
        <v>320</v>
      </c>
      <c r="E85" s="29">
        <f t="shared" ref="E85" si="141">E84</f>
        <v>188</v>
      </c>
      <c r="F85" s="25">
        <f t="shared" si="75"/>
        <v>340</v>
      </c>
      <c r="G85" s="29">
        <f t="shared" si="78"/>
        <v>208</v>
      </c>
      <c r="H85" s="4" t="s">
        <v>0</v>
      </c>
      <c r="I85" s="16" t="str">
        <f t="shared" si="115"/>
        <v>13-35</v>
      </c>
      <c r="J85" s="14">
        <f t="shared" si="116"/>
        <v>320</v>
      </c>
      <c r="K85" s="15">
        <f t="shared" si="117"/>
        <v>188</v>
      </c>
      <c r="L85" s="17">
        <f t="shared" si="118"/>
        <v>340</v>
      </c>
      <c r="M85" s="18">
        <f t="shared" si="119"/>
        <v>188</v>
      </c>
      <c r="N85" s="14">
        <f t="shared" si="120"/>
        <v>340</v>
      </c>
      <c r="O85" s="15">
        <f t="shared" si="121"/>
        <v>208</v>
      </c>
      <c r="P85" s="17">
        <f t="shared" si="122"/>
        <v>320</v>
      </c>
      <c r="Q85" s="18">
        <f t="shared" si="123"/>
        <v>208</v>
      </c>
      <c r="R85" s="4" t="s">
        <v>0</v>
      </c>
      <c r="S85" s="16" t="str">
        <f t="shared" si="124"/>
        <v>13-35</v>
      </c>
      <c r="T85" s="14">
        <f t="shared" si="125"/>
        <v>320</v>
      </c>
      <c r="U85" s="18">
        <f t="shared" si="126"/>
        <v>562</v>
      </c>
      <c r="V85" s="14">
        <f t="shared" si="127"/>
        <v>340</v>
      </c>
      <c r="W85" s="18">
        <f t="shared" si="128"/>
        <v>562</v>
      </c>
      <c r="X85" s="14">
        <f t="shared" si="129"/>
        <v>340</v>
      </c>
      <c r="Y85" s="18">
        <f t="shared" si="130"/>
        <v>542</v>
      </c>
      <c r="Z85" s="14">
        <f t="shared" si="131"/>
        <v>320</v>
      </c>
      <c r="AA85" s="18">
        <f t="shared" si="132"/>
        <v>542</v>
      </c>
      <c r="AB85" s="4" t="s">
        <v>0</v>
      </c>
    </row>
    <row r="86" spans="1:28">
      <c r="A86" s="9" t="s">
        <v>218</v>
      </c>
      <c r="B86" s="24"/>
      <c r="C86" s="26"/>
      <c r="D86" s="25">
        <f t="shared" si="73"/>
        <v>340</v>
      </c>
      <c r="E86" s="29">
        <f t="shared" ref="E86" si="142">E85</f>
        <v>188</v>
      </c>
      <c r="F86" s="25">
        <f t="shared" si="75"/>
        <v>360</v>
      </c>
      <c r="G86" s="29">
        <f t="shared" si="78"/>
        <v>208</v>
      </c>
      <c r="H86" s="4" t="s">
        <v>0</v>
      </c>
      <c r="I86" s="16" t="str">
        <f t="shared" si="115"/>
        <v>13-15</v>
      </c>
      <c r="J86" s="14">
        <f t="shared" si="116"/>
        <v>340</v>
      </c>
      <c r="K86" s="15">
        <f t="shared" si="117"/>
        <v>188</v>
      </c>
      <c r="L86" s="17">
        <f t="shared" si="118"/>
        <v>360</v>
      </c>
      <c r="M86" s="18">
        <f t="shared" si="119"/>
        <v>188</v>
      </c>
      <c r="N86" s="14">
        <f t="shared" si="120"/>
        <v>360</v>
      </c>
      <c r="O86" s="15">
        <f t="shared" si="121"/>
        <v>208</v>
      </c>
      <c r="P86" s="17">
        <f t="shared" si="122"/>
        <v>340</v>
      </c>
      <c r="Q86" s="18">
        <f t="shared" si="123"/>
        <v>208</v>
      </c>
      <c r="R86" s="4" t="s">
        <v>0</v>
      </c>
      <c r="S86" s="16" t="str">
        <f t="shared" si="124"/>
        <v>13-15</v>
      </c>
      <c r="T86" s="14">
        <f t="shared" si="125"/>
        <v>340</v>
      </c>
      <c r="U86" s="18">
        <f t="shared" si="126"/>
        <v>562</v>
      </c>
      <c r="V86" s="14">
        <f t="shared" si="127"/>
        <v>360</v>
      </c>
      <c r="W86" s="18">
        <f t="shared" si="128"/>
        <v>562</v>
      </c>
      <c r="X86" s="14">
        <f t="shared" si="129"/>
        <v>360</v>
      </c>
      <c r="Y86" s="18">
        <f t="shared" si="130"/>
        <v>542</v>
      </c>
      <c r="Z86" s="14">
        <f t="shared" si="131"/>
        <v>340</v>
      </c>
      <c r="AA86" s="18">
        <f t="shared" si="132"/>
        <v>542</v>
      </c>
      <c r="AB86" s="4" t="s">
        <v>0</v>
      </c>
    </row>
    <row r="87" spans="1:28">
      <c r="A87" s="9" t="s">
        <v>479</v>
      </c>
      <c r="B87" s="24"/>
      <c r="C87" s="26"/>
      <c r="D87" s="25">
        <f t="shared" si="73"/>
        <v>374</v>
      </c>
      <c r="E87" s="29">
        <f t="shared" ref="E87" si="143">E86</f>
        <v>188</v>
      </c>
      <c r="F87" s="25">
        <f t="shared" si="75"/>
        <v>394</v>
      </c>
      <c r="G87" s="29">
        <f t="shared" si="78"/>
        <v>208</v>
      </c>
      <c r="H87" s="4" t="s">
        <v>0</v>
      </c>
      <c r="I87" s="16" t="str">
        <f t="shared" si="115"/>
        <v>12-35</v>
      </c>
      <c r="J87" s="14">
        <f t="shared" si="116"/>
        <v>374</v>
      </c>
      <c r="K87" s="15">
        <f t="shared" si="117"/>
        <v>188</v>
      </c>
      <c r="L87" s="17">
        <f t="shared" si="118"/>
        <v>394</v>
      </c>
      <c r="M87" s="18">
        <f t="shared" si="119"/>
        <v>188</v>
      </c>
      <c r="N87" s="14">
        <f t="shared" si="120"/>
        <v>394</v>
      </c>
      <c r="O87" s="15">
        <f t="shared" si="121"/>
        <v>208</v>
      </c>
      <c r="P87" s="17">
        <f t="shared" si="122"/>
        <v>374</v>
      </c>
      <c r="Q87" s="18">
        <f t="shared" si="123"/>
        <v>208</v>
      </c>
      <c r="R87" s="4" t="s">
        <v>0</v>
      </c>
      <c r="S87" s="16" t="str">
        <f t="shared" si="124"/>
        <v>12-35</v>
      </c>
      <c r="T87" s="14">
        <f t="shared" si="125"/>
        <v>374</v>
      </c>
      <c r="U87" s="18">
        <f t="shared" si="126"/>
        <v>562</v>
      </c>
      <c r="V87" s="14">
        <f t="shared" si="127"/>
        <v>394</v>
      </c>
      <c r="W87" s="18">
        <f t="shared" si="128"/>
        <v>562</v>
      </c>
      <c r="X87" s="14">
        <f t="shared" si="129"/>
        <v>394</v>
      </c>
      <c r="Y87" s="18">
        <f t="shared" si="130"/>
        <v>542</v>
      </c>
      <c r="Z87" s="14">
        <f t="shared" si="131"/>
        <v>374</v>
      </c>
      <c r="AA87" s="18">
        <f t="shared" si="132"/>
        <v>542</v>
      </c>
      <c r="AB87" s="4" t="s">
        <v>0</v>
      </c>
    </row>
    <row r="88" spans="1:28">
      <c r="A88" s="9" t="s">
        <v>202</v>
      </c>
      <c r="B88" s="24"/>
      <c r="C88" s="26"/>
      <c r="D88" s="25">
        <f t="shared" si="73"/>
        <v>394</v>
      </c>
      <c r="E88" s="29">
        <f t="shared" ref="E88" si="144">E87</f>
        <v>188</v>
      </c>
      <c r="F88" s="25">
        <f t="shared" si="75"/>
        <v>414</v>
      </c>
      <c r="G88" s="29">
        <f t="shared" si="78"/>
        <v>208</v>
      </c>
      <c r="H88" s="4" t="s">
        <v>0</v>
      </c>
      <c r="I88" s="16" t="str">
        <f t="shared" si="115"/>
        <v>12-15</v>
      </c>
      <c r="J88" s="14">
        <f t="shared" si="116"/>
        <v>394</v>
      </c>
      <c r="K88" s="15">
        <f t="shared" si="117"/>
        <v>188</v>
      </c>
      <c r="L88" s="17">
        <f t="shared" si="118"/>
        <v>414</v>
      </c>
      <c r="M88" s="18">
        <f t="shared" si="119"/>
        <v>188</v>
      </c>
      <c r="N88" s="14">
        <f t="shared" si="120"/>
        <v>414</v>
      </c>
      <c r="O88" s="15">
        <f t="shared" si="121"/>
        <v>208</v>
      </c>
      <c r="P88" s="17">
        <f t="shared" si="122"/>
        <v>394</v>
      </c>
      <c r="Q88" s="18">
        <f t="shared" si="123"/>
        <v>208</v>
      </c>
      <c r="R88" s="4" t="s">
        <v>0</v>
      </c>
      <c r="S88" s="16" t="str">
        <f t="shared" si="124"/>
        <v>12-15</v>
      </c>
      <c r="T88" s="14">
        <f t="shared" si="125"/>
        <v>394</v>
      </c>
      <c r="U88" s="18">
        <f t="shared" si="126"/>
        <v>562</v>
      </c>
      <c r="V88" s="14">
        <f t="shared" si="127"/>
        <v>414</v>
      </c>
      <c r="W88" s="18">
        <f t="shared" si="128"/>
        <v>562</v>
      </c>
      <c r="X88" s="14">
        <f t="shared" si="129"/>
        <v>414</v>
      </c>
      <c r="Y88" s="18">
        <f t="shared" si="130"/>
        <v>542</v>
      </c>
      <c r="Z88" s="14">
        <f t="shared" si="131"/>
        <v>394</v>
      </c>
      <c r="AA88" s="18">
        <f t="shared" si="132"/>
        <v>542</v>
      </c>
      <c r="AB88" s="4" t="s">
        <v>0</v>
      </c>
    </row>
    <row r="89" spans="1:28">
      <c r="A89" s="9" t="s">
        <v>464</v>
      </c>
      <c r="B89" s="24"/>
      <c r="C89" s="26"/>
      <c r="D89" s="25">
        <f t="shared" si="73"/>
        <v>428</v>
      </c>
      <c r="E89" s="29">
        <f t="shared" ref="E89" si="145">E88</f>
        <v>188</v>
      </c>
      <c r="F89" s="25">
        <f t="shared" si="75"/>
        <v>448</v>
      </c>
      <c r="G89" s="29">
        <f t="shared" si="78"/>
        <v>208</v>
      </c>
      <c r="H89" s="4" t="s">
        <v>0</v>
      </c>
      <c r="I89" s="16" t="str">
        <f t="shared" si="115"/>
        <v>11-30</v>
      </c>
      <c r="J89" s="14">
        <f t="shared" si="116"/>
        <v>428</v>
      </c>
      <c r="K89" s="15">
        <f t="shared" si="117"/>
        <v>188</v>
      </c>
      <c r="L89" s="17">
        <f t="shared" si="118"/>
        <v>448</v>
      </c>
      <c r="M89" s="18">
        <f t="shared" si="119"/>
        <v>188</v>
      </c>
      <c r="N89" s="14">
        <f t="shared" si="120"/>
        <v>448</v>
      </c>
      <c r="O89" s="15">
        <f t="shared" si="121"/>
        <v>208</v>
      </c>
      <c r="P89" s="17">
        <f t="shared" si="122"/>
        <v>428</v>
      </c>
      <c r="Q89" s="18">
        <f t="shared" si="123"/>
        <v>208</v>
      </c>
      <c r="R89" s="4" t="s">
        <v>0</v>
      </c>
      <c r="S89" s="16" t="str">
        <f t="shared" si="124"/>
        <v>11-30</v>
      </c>
      <c r="T89" s="14">
        <f t="shared" si="125"/>
        <v>428</v>
      </c>
      <c r="U89" s="18">
        <f t="shared" si="126"/>
        <v>562</v>
      </c>
      <c r="V89" s="14">
        <f t="shared" si="127"/>
        <v>448</v>
      </c>
      <c r="W89" s="18">
        <f t="shared" si="128"/>
        <v>562</v>
      </c>
      <c r="X89" s="14">
        <f t="shared" si="129"/>
        <v>448</v>
      </c>
      <c r="Y89" s="18">
        <f t="shared" si="130"/>
        <v>542</v>
      </c>
      <c r="Z89" s="14">
        <f t="shared" si="131"/>
        <v>428</v>
      </c>
      <c r="AA89" s="18">
        <f t="shared" si="132"/>
        <v>542</v>
      </c>
      <c r="AB89" s="4" t="s">
        <v>0</v>
      </c>
    </row>
    <row r="90" spans="1:28">
      <c r="A90" s="9" t="s">
        <v>98</v>
      </c>
      <c r="B90" s="24"/>
      <c r="C90" s="26"/>
      <c r="D90" s="25">
        <f t="shared" si="73"/>
        <v>448</v>
      </c>
      <c r="E90" s="29">
        <f t="shared" ref="E90" si="146">E89</f>
        <v>188</v>
      </c>
      <c r="F90" s="25">
        <f t="shared" si="75"/>
        <v>468</v>
      </c>
      <c r="G90" s="29">
        <f t="shared" si="78"/>
        <v>208</v>
      </c>
      <c r="H90" s="4" t="s">
        <v>0</v>
      </c>
      <c r="I90" s="16" t="str">
        <f t="shared" si="115"/>
        <v>11-12</v>
      </c>
      <c r="J90" s="14">
        <f t="shared" si="116"/>
        <v>448</v>
      </c>
      <c r="K90" s="15">
        <f t="shared" si="117"/>
        <v>188</v>
      </c>
      <c r="L90" s="17">
        <f t="shared" si="118"/>
        <v>468</v>
      </c>
      <c r="M90" s="18">
        <f t="shared" si="119"/>
        <v>188</v>
      </c>
      <c r="N90" s="14">
        <f t="shared" si="120"/>
        <v>468</v>
      </c>
      <c r="O90" s="15">
        <f t="shared" si="121"/>
        <v>208</v>
      </c>
      <c r="P90" s="17">
        <f t="shared" si="122"/>
        <v>448</v>
      </c>
      <c r="Q90" s="18">
        <f t="shared" si="123"/>
        <v>208</v>
      </c>
      <c r="R90" s="4" t="s">
        <v>0</v>
      </c>
      <c r="S90" s="16" t="str">
        <f t="shared" si="124"/>
        <v>11-12</v>
      </c>
      <c r="T90" s="14">
        <f t="shared" si="125"/>
        <v>448</v>
      </c>
      <c r="U90" s="18">
        <f t="shared" si="126"/>
        <v>562</v>
      </c>
      <c r="V90" s="14">
        <f t="shared" si="127"/>
        <v>468</v>
      </c>
      <c r="W90" s="18">
        <f t="shared" si="128"/>
        <v>562</v>
      </c>
      <c r="X90" s="14">
        <f t="shared" si="129"/>
        <v>468</v>
      </c>
      <c r="Y90" s="18">
        <f t="shared" si="130"/>
        <v>542</v>
      </c>
      <c r="Z90" s="14">
        <f t="shared" si="131"/>
        <v>448</v>
      </c>
      <c r="AA90" s="18">
        <f t="shared" si="132"/>
        <v>542</v>
      </c>
      <c r="AB90" s="4" t="s">
        <v>0</v>
      </c>
    </row>
    <row r="91" spans="1:28">
      <c r="A91" s="9" t="s">
        <v>329</v>
      </c>
      <c r="B91" s="24"/>
      <c r="C91" s="26">
        <v>5</v>
      </c>
      <c r="D91" s="25">
        <f t="shared" si="73"/>
        <v>50</v>
      </c>
      <c r="E91" s="28">
        <f t="shared" ref="E91" si="147">ROUND(E$11+19.5*$C91, 0)</f>
        <v>208</v>
      </c>
      <c r="F91" s="25">
        <f t="shared" si="75"/>
        <v>70</v>
      </c>
      <c r="G91" s="28">
        <f t="shared" ref="G91" si="148">ROUND(G$11+19.5*$C91, 0)</f>
        <v>228</v>
      </c>
      <c r="H91" s="4" t="s">
        <v>0</v>
      </c>
      <c r="I91" s="16" t="str">
        <f t="shared" si="115"/>
        <v>20-26</v>
      </c>
      <c r="J91" s="14">
        <f t="shared" si="116"/>
        <v>50</v>
      </c>
      <c r="K91" s="15">
        <f t="shared" si="117"/>
        <v>208</v>
      </c>
      <c r="L91" s="17">
        <f t="shared" si="118"/>
        <v>70</v>
      </c>
      <c r="M91" s="18">
        <f t="shared" si="119"/>
        <v>208</v>
      </c>
      <c r="N91" s="14">
        <f t="shared" si="120"/>
        <v>70</v>
      </c>
      <c r="O91" s="15">
        <f t="shared" si="121"/>
        <v>228</v>
      </c>
      <c r="P91" s="17">
        <f t="shared" si="122"/>
        <v>50</v>
      </c>
      <c r="Q91" s="18">
        <f t="shared" si="123"/>
        <v>228</v>
      </c>
      <c r="R91" s="4" t="s">
        <v>0</v>
      </c>
      <c r="S91" s="16" t="str">
        <f t="shared" si="124"/>
        <v>20-26</v>
      </c>
      <c r="T91" s="14">
        <f t="shared" si="125"/>
        <v>50</v>
      </c>
      <c r="U91" s="18">
        <f t="shared" si="126"/>
        <v>542</v>
      </c>
      <c r="V91" s="14">
        <f t="shared" si="127"/>
        <v>70</v>
      </c>
      <c r="W91" s="18">
        <f t="shared" si="128"/>
        <v>542</v>
      </c>
      <c r="X91" s="14">
        <f t="shared" si="129"/>
        <v>70</v>
      </c>
      <c r="Y91" s="18">
        <f t="shared" si="130"/>
        <v>522</v>
      </c>
      <c r="Z91" s="14">
        <f t="shared" si="131"/>
        <v>50</v>
      </c>
      <c r="AA91" s="18">
        <f t="shared" si="132"/>
        <v>522</v>
      </c>
      <c r="AB91" s="4" t="s">
        <v>0</v>
      </c>
    </row>
    <row r="92" spans="1:28">
      <c r="A92" s="9" t="s">
        <v>316</v>
      </c>
      <c r="B92" s="24"/>
      <c r="C92" s="26"/>
      <c r="D92" s="25">
        <f t="shared" si="73"/>
        <v>70</v>
      </c>
      <c r="E92" s="29">
        <f t="shared" ref="E92" si="149">E91</f>
        <v>208</v>
      </c>
      <c r="F92" s="25">
        <f t="shared" si="75"/>
        <v>90</v>
      </c>
      <c r="G92" s="29">
        <f t="shared" ref="G92" si="150">G91</f>
        <v>228</v>
      </c>
      <c r="H92" s="4" t="s">
        <v>0</v>
      </c>
      <c r="I92" s="16" t="str">
        <f t="shared" si="115"/>
        <v>20-10</v>
      </c>
      <c r="J92" s="14">
        <f t="shared" si="116"/>
        <v>70</v>
      </c>
      <c r="K92" s="15">
        <f t="shared" si="117"/>
        <v>208</v>
      </c>
      <c r="L92" s="17">
        <f t="shared" si="118"/>
        <v>90</v>
      </c>
      <c r="M92" s="18">
        <f t="shared" si="119"/>
        <v>208</v>
      </c>
      <c r="N92" s="14">
        <f t="shared" si="120"/>
        <v>90</v>
      </c>
      <c r="O92" s="15">
        <f t="shared" si="121"/>
        <v>228</v>
      </c>
      <c r="P92" s="17">
        <f t="shared" si="122"/>
        <v>70</v>
      </c>
      <c r="Q92" s="18">
        <f t="shared" si="123"/>
        <v>228</v>
      </c>
      <c r="R92" s="4" t="s">
        <v>0</v>
      </c>
      <c r="S92" s="16" t="str">
        <f t="shared" si="124"/>
        <v>20-10</v>
      </c>
      <c r="T92" s="14">
        <f t="shared" si="125"/>
        <v>70</v>
      </c>
      <c r="U92" s="18">
        <f t="shared" si="126"/>
        <v>542</v>
      </c>
      <c r="V92" s="14">
        <f t="shared" si="127"/>
        <v>90</v>
      </c>
      <c r="W92" s="18">
        <f t="shared" si="128"/>
        <v>542</v>
      </c>
      <c r="X92" s="14">
        <f t="shared" si="129"/>
        <v>90</v>
      </c>
      <c r="Y92" s="18">
        <f t="shared" si="130"/>
        <v>522</v>
      </c>
      <c r="Z92" s="14">
        <f t="shared" si="131"/>
        <v>70</v>
      </c>
      <c r="AA92" s="18">
        <f t="shared" si="132"/>
        <v>522</v>
      </c>
      <c r="AB92" s="4" t="s">
        <v>0</v>
      </c>
    </row>
    <row r="93" spans="1:28">
      <c r="A93" s="9" t="s">
        <v>538</v>
      </c>
      <c r="B93" s="24"/>
      <c r="C93" s="26"/>
      <c r="D93" s="25">
        <f t="shared" si="73"/>
        <v>104</v>
      </c>
      <c r="E93" s="29">
        <f t="shared" ref="E93" si="151">E92</f>
        <v>208</v>
      </c>
      <c r="F93" s="25">
        <f t="shared" si="75"/>
        <v>124</v>
      </c>
      <c r="G93" s="29">
        <f t="shared" si="78"/>
        <v>228</v>
      </c>
      <c r="H93" s="4" t="s">
        <v>0</v>
      </c>
      <c r="I93" s="16" t="str">
        <f t="shared" si="115"/>
        <v>18-33</v>
      </c>
      <c r="J93" s="14">
        <f t="shared" si="116"/>
        <v>104</v>
      </c>
      <c r="K93" s="15">
        <f t="shared" si="117"/>
        <v>208</v>
      </c>
      <c r="L93" s="17">
        <f t="shared" si="118"/>
        <v>124</v>
      </c>
      <c r="M93" s="18">
        <f t="shared" si="119"/>
        <v>208</v>
      </c>
      <c r="N93" s="14">
        <f t="shared" si="120"/>
        <v>124</v>
      </c>
      <c r="O93" s="15">
        <f t="shared" si="121"/>
        <v>228</v>
      </c>
      <c r="P93" s="17">
        <f t="shared" si="122"/>
        <v>104</v>
      </c>
      <c r="Q93" s="18">
        <f t="shared" si="123"/>
        <v>228</v>
      </c>
      <c r="R93" s="4" t="s">
        <v>0</v>
      </c>
      <c r="S93" s="16" t="str">
        <f t="shared" si="124"/>
        <v>18-33</v>
      </c>
      <c r="T93" s="14">
        <f t="shared" si="125"/>
        <v>104</v>
      </c>
      <c r="U93" s="18">
        <f t="shared" si="126"/>
        <v>542</v>
      </c>
      <c r="V93" s="14">
        <f t="shared" si="127"/>
        <v>124</v>
      </c>
      <c r="W93" s="18">
        <f t="shared" si="128"/>
        <v>542</v>
      </c>
      <c r="X93" s="14">
        <f t="shared" si="129"/>
        <v>124</v>
      </c>
      <c r="Y93" s="18">
        <f t="shared" si="130"/>
        <v>522</v>
      </c>
      <c r="Z93" s="14">
        <f t="shared" si="131"/>
        <v>104</v>
      </c>
      <c r="AA93" s="18">
        <f t="shared" si="132"/>
        <v>522</v>
      </c>
      <c r="AB93" s="4" t="s">
        <v>0</v>
      </c>
    </row>
    <row r="94" spans="1:28">
      <c r="A94" s="9" t="s">
        <v>295</v>
      </c>
      <c r="B94" s="24"/>
      <c r="C94" s="26"/>
      <c r="D94" s="25">
        <f t="shared" si="73"/>
        <v>124</v>
      </c>
      <c r="E94" s="29">
        <f t="shared" ref="E94" si="152">E93</f>
        <v>208</v>
      </c>
      <c r="F94" s="25">
        <f t="shared" si="75"/>
        <v>144</v>
      </c>
      <c r="G94" s="29">
        <f t="shared" si="78"/>
        <v>228</v>
      </c>
      <c r="H94" s="4" t="s">
        <v>0</v>
      </c>
      <c r="I94" s="16" t="str">
        <f t="shared" si="115"/>
        <v>18-13</v>
      </c>
      <c r="J94" s="14">
        <f t="shared" si="116"/>
        <v>124</v>
      </c>
      <c r="K94" s="15">
        <f t="shared" si="117"/>
        <v>208</v>
      </c>
      <c r="L94" s="17">
        <f t="shared" si="118"/>
        <v>144</v>
      </c>
      <c r="M94" s="18">
        <f t="shared" si="119"/>
        <v>208</v>
      </c>
      <c r="N94" s="14">
        <f t="shared" si="120"/>
        <v>144</v>
      </c>
      <c r="O94" s="15">
        <f t="shared" si="121"/>
        <v>228</v>
      </c>
      <c r="P94" s="17">
        <f t="shared" si="122"/>
        <v>124</v>
      </c>
      <c r="Q94" s="18">
        <f t="shared" si="123"/>
        <v>228</v>
      </c>
      <c r="R94" s="4" t="s">
        <v>0</v>
      </c>
      <c r="S94" s="16" t="str">
        <f t="shared" si="124"/>
        <v>18-13</v>
      </c>
      <c r="T94" s="14">
        <f t="shared" si="125"/>
        <v>124</v>
      </c>
      <c r="U94" s="18">
        <f t="shared" si="126"/>
        <v>542</v>
      </c>
      <c r="V94" s="14">
        <f t="shared" si="127"/>
        <v>144</v>
      </c>
      <c r="W94" s="18">
        <f t="shared" si="128"/>
        <v>542</v>
      </c>
      <c r="X94" s="14">
        <f t="shared" si="129"/>
        <v>144</v>
      </c>
      <c r="Y94" s="18">
        <f t="shared" si="130"/>
        <v>522</v>
      </c>
      <c r="Z94" s="14">
        <f t="shared" si="131"/>
        <v>124</v>
      </c>
      <c r="AA94" s="18">
        <f t="shared" si="132"/>
        <v>522</v>
      </c>
      <c r="AB94" s="4" t="s">
        <v>0</v>
      </c>
    </row>
    <row r="95" spans="1:28">
      <c r="A95" s="9" t="s">
        <v>530</v>
      </c>
      <c r="B95" s="24"/>
      <c r="C95" s="26"/>
      <c r="D95" s="25">
        <f t="shared" si="73"/>
        <v>158</v>
      </c>
      <c r="E95" s="29">
        <f t="shared" ref="E95" si="153">E94</f>
        <v>208</v>
      </c>
      <c r="F95" s="25">
        <f t="shared" si="75"/>
        <v>178</v>
      </c>
      <c r="G95" s="29">
        <f t="shared" si="78"/>
        <v>228</v>
      </c>
      <c r="H95" s="4" t="s">
        <v>0</v>
      </c>
      <c r="I95" s="16" t="str">
        <f t="shared" si="115"/>
        <v>17-33</v>
      </c>
      <c r="J95" s="14">
        <f t="shared" si="116"/>
        <v>158</v>
      </c>
      <c r="K95" s="15">
        <f t="shared" si="117"/>
        <v>208</v>
      </c>
      <c r="L95" s="17">
        <f t="shared" si="118"/>
        <v>178</v>
      </c>
      <c r="M95" s="18">
        <f t="shared" si="119"/>
        <v>208</v>
      </c>
      <c r="N95" s="14">
        <f t="shared" si="120"/>
        <v>178</v>
      </c>
      <c r="O95" s="15">
        <f t="shared" si="121"/>
        <v>228</v>
      </c>
      <c r="P95" s="17">
        <f t="shared" si="122"/>
        <v>158</v>
      </c>
      <c r="Q95" s="18">
        <f t="shared" si="123"/>
        <v>228</v>
      </c>
      <c r="R95" s="4" t="s">
        <v>0</v>
      </c>
      <c r="S95" s="16" t="str">
        <f t="shared" si="124"/>
        <v>17-33</v>
      </c>
      <c r="T95" s="14">
        <f t="shared" si="125"/>
        <v>158</v>
      </c>
      <c r="U95" s="18">
        <f t="shared" si="126"/>
        <v>542</v>
      </c>
      <c r="V95" s="14">
        <f t="shared" si="127"/>
        <v>178</v>
      </c>
      <c r="W95" s="18">
        <f t="shared" si="128"/>
        <v>542</v>
      </c>
      <c r="X95" s="14">
        <f t="shared" si="129"/>
        <v>178</v>
      </c>
      <c r="Y95" s="18">
        <f t="shared" si="130"/>
        <v>522</v>
      </c>
      <c r="Z95" s="14">
        <f t="shared" si="131"/>
        <v>158</v>
      </c>
      <c r="AA95" s="18">
        <f t="shared" si="132"/>
        <v>522</v>
      </c>
      <c r="AB95" s="4" t="s">
        <v>0</v>
      </c>
    </row>
    <row r="96" spans="1:28">
      <c r="A96" s="9" t="s">
        <v>274</v>
      </c>
      <c r="B96" s="24"/>
      <c r="C96" s="26"/>
      <c r="D96" s="25">
        <f t="shared" si="73"/>
        <v>178</v>
      </c>
      <c r="E96" s="29">
        <f t="shared" ref="E96" si="154">E95</f>
        <v>208</v>
      </c>
      <c r="F96" s="25">
        <f t="shared" si="75"/>
        <v>198</v>
      </c>
      <c r="G96" s="29">
        <f t="shared" si="78"/>
        <v>228</v>
      </c>
      <c r="H96" s="4" t="s">
        <v>0</v>
      </c>
      <c r="I96" s="16" t="str">
        <f t="shared" si="115"/>
        <v>17-13</v>
      </c>
      <c r="J96" s="14">
        <f t="shared" si="116"/>
        <v>178</v>
      </c>
      <c r="K96" s="15">
        <f t="shared" si="117"/>
        <v>208</v>
      </c>
      <c r="L96" s="17">
        <f t="shared" si="118"/>
        <v>198</v>
      </c>
      <c r="M96" s="18">
        <f t="shared" si="119"/>
        <v>208</v>
      </c>
      <c r="N96" s="14">
        <f t="shared" si="120"/>
        <v>198</v>
      </c>
      <c r="O96" s="15">
        <f t="shared" si="121"/>
        <v>228</v>
      </c>
      <c r="P96" s="17">
        <f t="shared" si="122"/>
        <v>178</v>
      </c>
      <c r="Q96" s="18">
        <f t="shared" si="123"/>
        <v>228</v>
      </c>
      <c r="R96" s="4" t="s">
        <v>0</v>
      </c>
      <c r="S96" s="16" t="str">
        <f t="shared" si="124"/>
        <v>17-13</v>
      </c>
      <c r="T96" s="14">
        <f t="shared" si="125"/>
        <v>178</v>
      </c>
      <c r="U96" s="18">
        <f t="shared" si="126"/>
        <v>542</v>
      </c>
      <c r="V96" s="14">
        <f t="shared" si="127"/>
        <v>198</v>
      </c>
      <c r="W96" s="18">
        <f t="shared" si="128"/>
        <v>542</v>
      </c>
      <c r="X96" s="14">
        <f t="shared" si="129"/>
        <v>198</v>
      </c>
      <c r="Y96" s="18">
        <f t="shared" si="130"/>
        <v>522</v>
      </c>
      <c r="Z96" s="14">
        <f t="shared" si="131"/>
        <v>178</v>
      </c>
      <c r="AA96" s="18">
        <f t="shared" si="132"/>
        <v>522</v>
      </c>
      <c r="AB96" s="4" t="s">
        <v>0</v>
      </c>
    </row>
    <row r="97" spans="1:28">
      <c r="A97" s="9" t="s">
        <v>519</v>
      </c>
      <c r="B97" s="24"/>
      <c r="C97" s="26"/>
      <c r="D97" s="25">
        <f t="shared" si="73"/>
        <v>212</v>
      </c>
      <c r="E97" s="29">
        <f t="shared" ref="E97" si="155">E96</f>
        <v>208</v>
      </c>
      <c r="F97" s="25">
        <f t="shared" si="75"/>
        <v>232</v>
      </c>
      <c r="G97" s="29">
        <f t="shared" si="78"/>
        <v>228</v>
      </c>
      <c r="H97" s="4" t="s">
        <v>0</v>
      </c>
      <c r="I97" s="16" t="str">
        <f t="shared" si="115"/>
        <v>16-33</v>
      </c>
      <c r="J97" s="14">
        <f t="shared" si="116"/>
        <v>212</v>
      </c>
      <c r="K97" s="15">
        <f t="shared" si="117"/>
        <v>208</v>
      </c>
      <c r="L97" s="17">
        <f t="shared" si="118"/>
        <v>232</v>
      </c>
      <c r="M97" s="18">
        <f t="shared" si="119"/>
        <v>208</v>
      </c>
      <c r="N97" s="14">
        <f t="shared" si="120"/>
        <v>232</v>
      </c>
      <c r="O97" s="15">
        <f t="shared" si="121"/>
        <v>228</v>
      </c>
      <c r="P97" s="17">
        <f t="shared" si="122"/>
        <v>212</v>
      </c>
      <c r="Q97" s="18">
        <f t="shared" si="123"/>
        <v>228</v>
      </c>
      <c r="R97" s="4" t="s">
        <v>0</v>
      </c>
      <c r="S97" s="16" t="str">
        <f t="shared" si="124"/>
        <v>16-33</v>
      </c>
      <c r="T97" s="14">
        <f t="shared" si="125"/>
        <v>212</v>
      </c>
      <c r="U97" s="18">
        <f t="shared" si="126"/>
        <v>542</v>
      </c>
      <c r="V97" s="14">
        <f t="shared" si="127"/>
        <v>232</v>
      </c>
      <c r="W97" s="18">
        <f t="shared" si="128"/>
        <v>542</v>
      </c>
      <c r="X97" s="14">
        <f t="shared" si="129"/>
        <v>232</v>
      </c>
      <c r="Y97" s="18">
        <f t="shared" si="130"/>
        <v>522</v>
      </c>
      <c r="Z97" s="14">
        <f t="shared" si="131"/>
        <v>212</v>
      </c>
      <c r="AA97" s="18">
        <f t="shared" si="132"/>
        <v>522</v>
      </c>
      <c r="AB97" s="4" t="s">
        <v>0</v>
      </c>
    </row>
    <row r="98" spans="1:28">
      <c r="A98" s="9" t="s">
        <v>253</v>
      </c>
      <c r="B98" s="24"/>
      <c r="C98" s="26"/>
      <c r="D98" s="25">
        <f t="shared" si="73"/>
        <v>232</v>
      </c>
      <c r="E98" s="29">
        <f t="shared" ref="E98" si="156">E97</f>
        <v>208</v>
      </c>
      <c r="F98" s="25">
        <f t="shared" si="75"/>
        <v>252</v>
      </c>
      <c r="G98" s="29">
        <f t="shared" si="78"/>
        <v>228</v>
      </c>
      <c r="H98" s="4" t="s">
        <v>0</v>
      </c>
      <c r="I98" s="16" t="str">
        <f t="shared" si="115"/>
        <v>16-13</v>
      </c>
      <c r="J98" s="14">
        <f t="shared" si="116"/>
        <v>232</v>
      </c>
      <c r="K98" s="15">
        <f t="shared" si="117"/>
        <v>208</v>
      </c>
      <c r="L98" s="17">
        <f t="shared" si="118"/>
        <v>252</v>
      </c>
      <c r="M98" s="18">
        <f t="shared" si="119"/>
        <v>208</v>
      </c>
      <c r="N98" s="14">
        <f t="shared" si="120"/>
        <v>252</v>
      </c>
      <c r="O98" s="15">
        <f t="shared" si="121"/>
        <v>228</v>
      </c>
      <c r="P98" s="17">
        <f t="shared" si="122"/>
        <v>232</v>
      </c>
      <c r="Q98" s="18">
        <f t="shared" si="123"/>
        <v>228</v>
      </c>
      <c r="R98" s="4" t="s">
        <v>0</v>
      </c>
      <c r="S98" s="16" t="str">
        <f t="shared" si="124"/>
        <v>16-13</v>
      </c>
      <c r="T98" s="14">
        <f t="shared" si="125"/>
        <v>232</v>
      </c>
      <c r="U98" s="18">
        <f t="shared" si="126"/>
        <v>542</v>
      </c>
      <c r="V98" s="14">
        <f t="shared" si="127"/>
        <v>252</v>
      </c>
      <c r="W98" s="18">
        <f t="shared" si="128"/>
        <v>542</v>
      </c>
      <c r="X98" s="14">
        <f t="shared" si="129"/>
        <v>252</v>
      </c>
      <c r="Y98" s="18">
        <f t="shared" si="130"/>
        <v>522</v>
      </c>
      <c r="Z98" s="14">
        <f t="shared" si="131"/>
        <v>232</v>
      </c>
      <c r="AA98" s="18">
        <f t="shared" si="132"/>
        <v>522</v>
      </c>
      <c r="AB98" s="4" t="s">
        <v>0</v>
      </c>
    </row>
    <row r="99" spans="1:28">
      <c r="A99" s="9" t="s">
        <v>508</v>
      </c>
      <c r="B99" s="24"/>
      <c r="C99" s="26"/>
      <c r="D99" s="25">
        <f t="shared" si="73"/>
        <v>266</v>
      </c>
      <c r="E99" s="29">
        <f t="shared" ref="E99" si="157">E98</f>
        <v>208</v>
      </c>
      <c r="F99" s="25">
        <f t="shared" si="75"/>
        <v>286</v>
      </c>
      <c r="G99" s="29">
        <f t="shared" si="78"/>
        <v>228</v>
      </c>
      <c r="H99" s="4" t="s">
        <v>0</v>
      </c>
      <c r="I99" s="16" t="str">
        <f t="shared" si="115"/>
        <v>15-33</v>
      </c>
      <c r="J99" s="14">
        <f t="shared" si="116"/>
        <v>266</v>
      </c>
      <c r="K99" s="15">
        <f t="shared" si="117"/>
        <v>208</v>
      </c>
      <c r="L99" s="17">
        <f t="shared" si="118"/>
        <v>286</v>
      </c>
      <c r="M99" s="18">
        <f t="shared" si="119"/>
        <v>208</v>
      </c>
      <c r="N99" s="14">
        <f t="shared" si="120"/>
        <v>286</v>
      </c>
      <c r="O99" s="15">
        <f t="shared" si="121"/>
        <v>228</v>
      </c>
      <c r="P99" s="17">
        <f t="shared" si="122"/>
        <v>266</v>
      </c>
      <c r="Q99" s="18">
        <f t="shared" si="123"/>
        <v>228</v>
      </c>
      <c r="R99" s="4" t="s">
        <v>0</v>
      </c>
      <c r="S99" s="16" t="str">
        <f t="shared" si="124"/>
        <v>15-33</v>
      </c>
      <c r="T99" s="14">
        <f t="shared" si="125"/>
        <v>266</v>
      </c>
      <c r="U99" s="18">
        <f t="shared" si="126"/>
        <v>542</v>
      </c>
      <c r="V99" s="14">
        <f t="shared" si="127"/>
        <v>286</v>
      </c>
      <c r="W99" s="18">
        <f t="shared" si="128"/>
        <v>542</v>
      </c>
      <c r="X99" s="14">
        <f t="shared" si="129"/>
        <v>286</v>
      </c>
      <c r="Y99" s="18">
        <f t="shared" si="130"/>
        <v>522</v>
      </c>
      <c r="Z99" s="14">
        <f t="shared" si="131"/>
        <v>266</v>
      </c>
      <c r="AA99" s="18">
        <f t="shared" si="132"/>
        <v>522</v>
      </c>
      <c r="AB99" s="4" t="s">
        <v>0</v>
      </c>
    </row>
    <row r="100" spans="1:28">
      <c r="A100" s="9" t="s">
        <v>234</v>
      </c>
      <c r="B100" s="24"/>
      <c r="C100" s="26"/>
      <c r="D100" s="25">
        <f t="shared" si="73"/>
        <v>286</v>
      </c>
      <c r="E100" s="29">
        <f t="shared" ref="E100" si="158">E99</f>
        <v>208</v>
      </c>
      <c r="F100" s="25">
        <f t="shared" si="75"/>
        <v>306</v>
      </c>
      <c r="G100" s="29">
        <f t="shared" si="78"/>
        <v>228</v>
      </c>
      <c r="H100" s="4" t="s">
        <v>0</v>
      </c>
      <c r="I100" s="16" t="str">
        <f t="shared" si="115"/>
        <v>15-13</v>
      </c>
      <c r="J100" s="14">
        <f t="shared" si="116"/>
        <v>286</v>
      </c>
      <c r="K100" s="15">
        <f t="shared" si="117"/>
        <v>208</v>
      </c>
      <c r="L100" s="17">
        <f t="shared" si="118"/>
        <v>306</v>
      </c>
      <c r="M100" s="18">
        <f t="shared" si="119"/>
        <v>208</v>
      </c>
      <c r="N100" s="14">
        <f t="shared" si="120"/>
        <v>306</v>
      </c>
      <c r="O100" s="15">
        <f t="shared" si="121"/>
        <v>228</v>
      </c>
      <c r="P100" s="17">
        <f t="shared" si="122"/>
        <v>286</v>
      </c>
      <c r="Q100" s="18">
        <f t="shared" si="123"/>
        <v>228</v>
      </c>
      <c r="R100" s="4" t="s">
        <v>0</v>
      </c>
      <c r="S100" s="16" t="str">
        <f t="shared" si="124"/>
        <v>15-13</v>
      </c>
      <c r="T100" s="14">
        <f t="shared" si="125"/>
        <v>286</v>
      </c>
      <c r="U100" s="18">
        <f t="shared" si="126"/>
        <v>542</v>
      </c>
      <c r="V100" s="14">
        <f t="shared" si="127"/>
        <v>306</v>
      </c>
      <c r="W100" s="18">
        <f t="shared" si="128"/>
        <v>542</v>
      </c>
      <c r="X100" s="14">
        <f t="shared" si="129"/>
        <v>306</v>
      </c>
      <c r="Y100" s="18">
        <f t="shared" si="130"/>
        <v>522</v>
      </c>
      <c r="Z100" s="14">
        <f t="shared" si="131"/>
        <v>286</v>
      </c>
      <c r="AA100" s="18">
        <f t="shared" si="132"/>
        <v>522</v>
      </c>
      <c r="AB100" s="4" t="s">
        <v>0</v>
      </c>
    </row>
    <row r="101" spans="1:28">
      <c r="A101" s="9" t="s">
        <v>493</v>
      </c>
      <c r="B101" s="24"/>
      <c r="C101" s="26"/>
      <c r="D101" s="25">
        <f t="shared" si="73"/>
        <v>320</v>
      </c>
      <c r="E101" s="29">
        <f t="shared" ref="E101" si="159">E100</f>
        <v>208</v>
      </c>
      <c r="F101" s="25">
        <f t="shared" si="75"/>
        <v>340</v>
      </c>
      <c r="G101" s="29">
        <f t="shared" si="78"/>
        <v>228</v>
      </c>
      <c r="H101" s="4" t="s">
        <v>0</v>
      </c>
      <c r="I101" s="16" t="str">
        <f t="shared" si="115"/>
        <v>13-33</v>
      </c>
      <c r="J101" s="14">
        <f t="shared" si="116"/>
        <v>320</v>
      </c>
      <c r="K101" s="15">
        <f t="shared" si="117"/>
        <v>208</v>
      </c>
      <c r="L101" s="17">
        <f t="shared" si="118"/>
        <v>340</v>
      </c>
      <c r="M101" s="18">
        <f t="shared" si="119"/>
        <v>208</v>
      </c>
      <c r="N101" s="14">
        <f t="shared" si="120"/>
        <v>340</v>
      </c>
      <c r="O101" s="15">
        <f t="shared" si="121"/>
        <v>228</v>
      </c>
      <c r="P101" s="17">
        <f t="shared" si="122"/>
        <v>320</v>
      </c>
      <c r="Q101" s="18">
        <f t="shared" si="123"/>
        <v>228</v>
      </c>
      <c r="R101" s="4" t="s">
        <v>0</v>
      </c>
      <c r="S101" s="16" t="str">
        <f t="shared" si="124"/>
        <v>13-33</v>
      </c>
      <c r="T101" s="14">
        <f t="shared" si="125"/>
        <v>320</v>
      </c>
      <c r="U101" s="18">
        <f t="shared" si="126"/>
        <v>542</v>
      </c>
      <c r="V101" s="14">
        <f t="shared" si="127"/>
        <v>340</v>
      </c>
      <c r="W101" s="18">
        <f t="shared" si="128"/>
        <v>542</v>
      </c>
      <c r="X101" s="14">
        <f t="shared" si="129"/>
        <v>340</v>
      </c>
      <c r="Y101" s="18">
        <f t="shared" si="130"/>
        <v>522</v>
      </c>
      <c r="Z101" s="14">
        <f t="shared" si="131"/>
        <v>320</v>
      </c>
      <c r="AA101" s="18">
        <f t="shared" si="132"/>
        <v>522</v>
      </c>
      <c r="AB101" s="4" t="s">
        <v>0</v>
      </c>
    </row>
    <row r="102" spans="1:28">
      <c r="A102" s="9" t="s">
        <v>217</v>
      </c>
      <c r="B102" s="24"/>
      <c r="C102" s="26"/>
      <c r="D102" s="25">
        <f t="shared" si="73"/>
        <v>340</v>
      </c>
      <c r="E102" s="29">
        <f t="shared" ref="E102" si="160">E101</f>
        <v>208</v>
      </c>
      <c r="F102" s="25">
        <f t="shared" si="75"/>
        <v>360</v>
      </c>
      <c r="G102" s="29">
        <f t="shared" si="78"/>
        <v>228</v>
      </c>
      <c r="H102" s="4" t="s">
        <v>0</v>
      </c>
      <c r="I102" s="16" t="str">
        <f t="shared" si="115"/>
        <v>13-13</v>
      </c>
      <c r="J102" s="14">
        <f t="shared" si="116"/>
        <v>340</v>
      </c>
      <c r="K102" s="15">
        <f t="shared" si="117"/>
        <v>208</v>
      </c>
      <c r="L102" s="17">
        <f t="shared" si="118"/>
        <v>360</v>
      </c>
      <c r="M102" s="18">
        <f t="shared" si="119"/>
        <v>208</v>
      </c>
      <c r="N102" s="14">
        <f t="shared" si="120"/>
        <v>360</v>
      </c>
      <c r="O102" s="15">
        <f t="shared" si="121"/>
        <v>228</v>
      </c>
      <c r="P102" s="17">
        <f t="shared" si="122"/>
        <v>340</v>
      </c>
      <c r="Q102" s="18">
        <f t="shared" si="123"/>
        <v>228</v>
      </c>
      <c r="R102" s="4" t="s">
        <v>0</v>
      </c>
      <c r="S102" s="16" t="str">
        <f t="shared" si="124"/>
        <v>13-13</v>
      </c>
      <c r="T102" s="14">
        <f t="shared" si="125"/>
        <v>340</v>
      </c>
      <c r="U102" s="18">
        <f t="shared" si="126"/>
        <v>542</v>
      </c>
      <c r="V102" s="14">
        <f t="shared" si="127"/>
        <v>360</v>
      </c>
      <c r="W102" s="18">
        <f t="shared" si="128"/>
        <v>542</v>
      </c>
      <c r="X102" s="14">
        <f t="shared" si="129"/>
        <v>360</v>
      </c>
      <c r="Y102" s="18">
        <f t="shared" si="130"/>
        <v>522</v>
      </c>
      <c r="Z102" s="14">
        <f t="shared" si="131"/>
        <v>340</v>
      </c>
      <c r="AA102" s="18">
        <f t="shared" si="132"/>
        <v>522</v>
      </c>
      <c r="AB102" s="4" t="s">
        <v>0</v>
      </c>
    </row>
    <row r="103" spans="1:28">
      <c r="A103" s="9" t="s">
        <v>478</v>
      </c>
      <c r="B103" s="24"/>
      <c r="C103" s="26"/>
      <c r="D103" s="25">
        <f t="shared" si="73"/>
        <v>374</v>
      </c>
      <c r="E103" s="29">
        <f t="shared" ref="E103" si="161">E102</f>
        <v>208</v>
      </c>
      <c r="F103" s="25">
        <f t="shared" si="75"/>
        <v>394</v>
      </c>
      <c r="G103" s="29">
        <f t="shared" si="78"/>
        <v>228</v>
      </c>
      <c r="H103" s="4" t="s">
        <v>0</v>
      </c>
      <c r="I103" s="16" t="str">
        <f t="shared" si="115"/>
        <v>12-33</v>
      </c>
      <c r="J103" s="14">
        <f t="shared" si="116"/>
        <v>374</v>
      </c>
      <c r="K103" s="15">
        <f t="shared" si="117"/>
        <v>208</v>
      </c>
      <c r="L103" s="17">
        <f t="shared" si="118"/>
        <v>394</v>
      </c>
      <c r="M103" s="18">
        <f t="shared" si="119"/>
        <v>208</v>
      </c>
      <c r="N103" s="14">
        <f t="shared" si="120"/>
        <v>394</v>
      </c>
      <c r="O103" s="15">
        <f t="shared" si="121"/>
        <v>228</v>
      </c>
      <c r="P103" s="17">
        <f t="shared" si="122"/>
        <v>374</v>
      </c>
      <c r="Q103" s="18">
        <f t="shared" si="123"/>
        <v>228</v>
      </c>
      <c r="R103" s="4" t="s">
        <v>0</v>
      </c>
      <c r="S103" s="16" t="str">
        <f t="shared" si="124"/>
        <v>12-33</v>
      </c>
      <c r="T103" s="14">
        <f t="shared" si="125"/>
        <v>374</v>
      </c>
      <c r="U103" s="18">
        <f t="shared" si="126"/>
        <v>542</v>
      </c>
      <c r="V103" s="14">
        <f t="shared" si="127"/>
        <v>394</v>
      </c>
      <c r="W103" s="18">
        <f t="shared" si="128"/>
        <v>542</v>
      </c>
      <c r="X103" s="14">
        <f t="shared" si="129"/>
        <v>394</v>
      </c>
      <c r="Y103" s="18">
        <f t="shared" si="130"/>
        <v>522</v>
      </c>
      <c r="Z103" s="14">
        <f t="shared" si="131"/>
        <v>374</v>
      </c>
      <c r="AA103" s="18">
        <f t="shared" si="132"/>
        <v>522</v>
      </c>
      <c r="AB103" s="4" t="s">
        <v>0</v>
      </c>
    </row>
    <row r="104" spans="1:28">
      <c r="A104" s="9" t="s">
        <v>201</v>
      </c>
      <c r="B104" s="24"/>
      <c r="C104" s="26"/>
      <c r="D104" s="25">
        <f t="shared" si="73"/>
        <v>394</v>
      </c>
      <c r="E104" s="29">
        <f t="shared" ref="E104" si="162">E103</f>
        <v>208</v>
      </c>
      <c r="F104" s="25">
        <f t="shared" si="75"/>
        <v>414</v>
      </c>
      <c r="G104" s="29">
        <f t="shared" si="78"/>
        <v>228</v>
      </c>
      <c r="H104" s="4" t="s">
        <v>0</v>
      </c>
      <c r="I104" s="16" t="str">
        <f t="shared" si="115"/>
        <v>12-13</v>
      </c>
      <c r="J104" s="14">
        <f t="shared" si="116"/>
        <v>394</v>
      </c>
      <c r="K104" s="15">
        <f t="shared" si="117"/>
        <v>208</v>
      </c>
      <c r="L104" s="17">
        <f t="shared" si="118"/>
        <v>414</v>
      </c>
      <c r="M104" s="18">
        <f t="shared" si="119"/>
        <v>208</v>
      </c>
      <c r="N104" s="14">
        <f t="shared" si="120"/>
        <v>414</v>
      </c>
      <c r="O104" s="15">
        <f t="shared" si="121"/>
        <v>228</v>
      </c>
      <c r="P104" s="17">
        <f t="shared" si="122"/>
        <v>394</v>
      </c>
      <c r="Q104" s="18">
        <f t="shared" si="123"/>
        <v>228</v>
      </c>
      <c r="R104" s="4" t="s">
        <v>0</v>
      </c>
      <c r="S104" s="16" t="str">
        <f t="shared" si="124"/>
        <v>12-13</v>
      </c>
      <c r="T104" s="14">
        <f t="shared" si="125"/>
        <v>394</v>
      </c>
      <c r="U104" s="18">
        <f t="shared" si="126"/>
        <v>542</v>
      </c>
      <c r="V104" s="14">
        <f t="shared" si="127"/>
        <v>414</v>
      </c>
      <c r="W104" s="18">
        <f t="shared" si="128"/>
        <v>542</v>
      </c>
      <c r="X104" s="14">
        <f t="shared" si="129"/>
        <v>414</v>
      </c>
      <c r="Y104" s="18">
        <f t="shared" si="130"/>
        <v>522</v>
      </c>
      <c r="Z104" s="14">
        <f t="shared" si="131"/>
        <v>394</v>
      </c>
      <c r="AA104" s="18">
        <f t="shared" si="132"/>
        <v>522</v>
      </c>
      <c r="AB104" s="4" t="s">
        <v>0</v>
      </c>
    </row>
    <row r="105" spans="1:28">
      <c r="A105" s="9" t="s">
        <v>463</v>
      </c>
      <c r="B105" s="24"/>
      <c r="C105" s="26"/>
      <c r="D105" s="25">
        <f t="shared" si="73"/>
        <v>428</v>
      </c>
      <c r="E105" s="29">
        <f t="shared" ref="E105" si="163">E104</f>
        <v>208</v>
      </c>
      <c r="F105" s="25">
        <f t="shared" si="75"/>
        <v>448</v>
      </c>
      <c r="G105" s="29">
        <f t="shared" si="78"/>
        <v>228</v>
      </c>
      <c r="H105" s="4" t="s">
        <v>0</v>
      </c>
      <c r="I105" s="16" t="str">
        <f t="shared" si="115"/>
        <v>11-28</v>
      </c>
      <c r="J105" s="14">
        <f t="shared" si="116"/>
        <v>428</v>
      </c>
      <c r="K105" s="15">
        <f t="shared" si="117"/>
        <v>208</v>
      </c>
      <c r="L105" s="17">
        <f t="shared" si="118"/>
        <v>448</v>
      </c>
      <c r="M105" s="18">
        <f t="shared" si="119"/>
        <v>208</v>
      </c>
      <c r="N105" s="14">
        <f t="shared" si="120"/>
        <v>448</v>
      </c>
      <c r="O105" s="15">
        <f t="shared" si="121"/>
        <v>228</v>
      </c>
      <c r="P105" s="17">
        <f t="shared" si="122"/>
        <v>428</v>
      </c>
      <c r="Q105" s="18">
        <f t="shared" si="123"/>
        <v>228</v>
      </c>
      <c r="R105" s="4" t="s">
        <v>0</v>
      </c>
      <c r="S105" s="16" t="str">
        <f t="shared" si="124"/>
        <v>11-28</v>
      </c>
      <c r="T105" s="14">
        <f t="shared" si="125"/>
        <v>428</v>
      </c>
      <c r="U105" s="18">
        <f t="shared" si="126"/>
        <v>542</v>
      </c>
      <c r="V105" s="14">
        <f t="shared" si="127"/>
        <v>448</v>
      </c>
      <c r="W105" s="18">
        <f t="shared" si="128"/>
        <v>542</v>
      </c>
      <c r="X105" s="14">
        <f t="shared" si="129"/>
        <v>448</v>
      </c>
      <c r="Y105" s="18">
        <f t="shared" si="130"/>
        <v>522</v>
      </c>
      <c r="Z105" s="14">
        <f t="shared" si="131"/>
        <v>428</v>
      </c>
      <c r="AA105" s="18">
        <f t="shared" si="132"/>
        <v>522</v>
      </c>
      <c r="AB105" s="4" t="s">
        <v>0</v>
      </c>
    </row>
    <row r="106" spans="1:28">
      <c r="A106" s="9" t="s">
        <v>97</v>
      </c>
      <c r="B106" s="24"/>
      <c r="C106" s="26"/>
      <c r="D106" s="25">
        <f t="shared" si="73"/>
        <v>448</v>
      </c>
      <c r="E106" s="29">
        <f t="shared" ref="E106" si="164">E105</f>
        <v>208</v>
      </c>
      <c r="F106" s="25">
        <f t="shared" si="75"/>
        <v>468</v>
      </c>
      <c r="G106" s="29">
        <f t="shared" si="78"/>
        <v>228</v>
      </c>
      <c r="H106" s="4" t="s">
        <v>0</v>
      </c>
      <c r="I106" s="16" t="str">
        <f t="shared" si="115"/>
        <v>11-11</v>
      </c>
      <c r="J106" s="14">
        <f t="shared" si="116"/>
        <v>448</v>
      </c>
      <c r="K106" s="15">
        <f t="shared" si="117"/>
        <v>208</v>
      </c>
      <c r="L106" s="17">
        <f t="shared" si="118"/>
        <v>468</v>
      </c>
      <c r="M106" s="18">
        <f t="shared" si="119"/>
        <v>208</v>
      </c>
      <c r="N106" s="14">
        <f t="shared" si="120"/>
        <v>468</v>
      </c>
      <c r="O106" s="15">
        <f t="shared" si="121"/>
        <v>228</v>
      </c>
      <c r="P106" s="17">
        <f t="shared" si="122"/>
        <v>448</v>
      </c>
      <c r="Q106" s="18">
        <f t="shared" si="123"/>
        <v>228</v>
      </c>
      <c r="R106" s="4" t="s">
        <v>0</v>
      </c>
      <c r="S106" s="16" t="str">
        <f t="shared" si="124"/>
        <v>11-11</v>
      </c>
      <c r="T106" s="14">
        <f t="shared" si="125"/>
        <v>448</v>
      </c>
      <c r="U106" s="18">
        <f t="shared" si="126"/>
        <v>542</v>
      </c>
      <c r="V106" s="14">
        <f t="shared" si="127"/>
        <v>468</v>
      </c>
      <c r="W106" s="18">
        <f t="shared" si="128"/>
        <v>542</v>
      </c>
      <c r="X106" s="14">
        <f t="shared" si="129"/>
        <v>468</v>
      </c>
      <c r="Y106" s="18">
        <f t="shared" si="130"/>
        <v>522</v>
      </c>
      <c r="Z106" s="14">
        <f t="shared" si="131"/>
        <v>448</v>
      </c>
      <c r="AA106" s="18">
        <f t="shared" si="132"/>
        <v>522</v>
      </c>
      <c r="AB106" s="4" t="s">
        <v>0</v>
      </c>
    </row>
    <row r="107" spans="1:28">
      <c r="A107" s="9" t="s">
        <v>328</v>
      </c>
      <c r="B107" s="24"/>
      <c r="C107" s="26">
        <v>6</v>
      </c>
      <c r="D107" s="25">
        <f t="shared" ref="D107:D170" si="165">D91</f>
        <v>50</v>
      </c>
      <c r="E107" s="28">
        <f t="shared" ref="E107" si="166">ROUND(E$11+19.5*$C107, 0)</f>
        <v>227</v>
      </c>
      <c r="F107" s="25">
        <f t="shared" ref="F107:F170" si="167">F91</f>
        <v>70</v>
      </c>
      <c r="G107" s="28">
        <f t="shared" ref="G107" si="168">ROUND(G$11+19.5*$C107, 0)</f>
        <v>247</v>
      </c>
      <c r="H107" s="4" t="s">
        <v>0</v>
      </c>
      <c r="I107" s="16" t="str">
        <f t="shared" si="115"/>
        <v>20-25</v>
      </c>
      <c r="J107" s="14">
        <f t="shared" si="116"/>
        <v>50</v>
      </c>
      <c r="K107" s="15">
        <f t="shared" si="117"/>
        <v>227</v>
      </c>
      <c r="L107" s="17">
        <f t="shared" si="118"/>
        <v>70</v>
      </c>
      <c r="M107" s="18">
        <f t="shared" si="119"/>
        <v>227</v>
      </c>
      <c r="N107" s="14">
        <f t="shared" si="120"/>
        <v>70</v>
      </c>
      <c r="O107" s="15">
        <f t="shared" si="121"/>
        <v>247</v>
      </c>
      <c r="P107" s="17">
        <f t="shared" si="122"/>
        <v>50</v>
      </c>
      <c r="Q107" s="18">
        <f t="shared" si="123"/>
        <v>247</v>
      </c>
      <c r="R107" s="4" t="s">
        <v>0</v>
      </c>
      <c r="S107" s="16" t="str">
        <f t="shared" si="124"/>
        <v>20-25</v>
      </c>
      <c r="T107" s="14">
        <f t="shared" si="125"/>
        <v>50</v>
      </c>
      <c r="U107" s="18">
        <f t="shared" si="126"/>
        <v>523</v>
      </c>
      <c r="V107" s="14">
        <f t="shared" si="127"/>
        <v>70</v>
      </c>
      <c r="W107" s="18">
        <f t="shared" si="128"/>
        <v>523</v>
      </c>
      <c r="X107" s="14">
        <f t="shared" si="129"/>
        <v>70</v>
      </c>
      <c r="Y107" s="18">
        <f t="shared" si="130"/>
        <v>503</v>
      </c>
      <c r="Z107" s="14">
        <f t="shared" si="131"/>
        <v>50</v>
      </c>
      <c r="AA107" s="18">
        <f t="shared" si="132"/>
        <v>503</v>
      </c>
      <c r="AB107" s="4" t="s">
        <v>0</v>
      </c>
    </row>
    <row r="108" spans="1:28">
      <c r="A108" s="9" t="s">
        <v>315</v>
      </c>
      <c r="B108" s="24"/>
      <c r="C108" s="26"/>
      <c r="D108" s="25">
        <f t="shared" si="165"/>
        <v>70</v>
      </c>
      <c r="E108" s="29">
        <f t="shared" ref="E108" si="169">E107</f>
        <v>227</v>
      </c>
      <c r="F108" s="25">
        <f t="shared" si="167"/>
        <v>90</v>
      </c>
      <c r="G108" s="29">
        <f t="shared" ref="G108:G170" si="170">G107</f>
        <v>247</v>
      </c>
      <c r="H108" s="4" t="s">
        <v>0</v>
      </c>
      <c r="I108" s="16" t="str">
        <f t="shared" si="115"/>
        <v>20-08</v>
      </c>
      <c r="J108" s="14">
        <f t="shared" si="116"/>
        <v>70</v>
      </c>
      <c r="K108" s="15">
        <f t="shared" si="117"/>
        <v>227</v>
      </c>
      <c r="L108" s="17">
        <f t="shared" si="118"/>
        <v>90</v>
      </c>
      <c r="M108" s="18">
        <f t="shared" si="119"/>
        <v>227</v>
      </c>
      <c r="N108" s="14">
        <f t="shared" si="120"/>
        <v>90</v>
      </c>
      <c r="O108" s="15">
        <f t="shared" si="121"/>
        <v>247</v>
      </c>
      <c r="P108" s="17">
        <f t="shared" si="122"/>
        <v>70</v>
      </c>
      <c r="Q108" s="18">
        <f t="shared" si="123"/>
        <v>247</v>
      </c>
      <c r="R108" s="4" t="s">
        <v>0</v>
      </c>
      <c r="S108" s="16" t="str">
        <f t="shared" si="124"/>
        <v>20-08</v>
      </c>
      <c r="T108" s="14">
        <f t="shared" si="125"/>
        <v>70</v>
      </c>
      <c r="U108" s="18">
        <f t="shared" si="126"/>
        <v>523</v>
      </c>
      <c r="V108" s="14">
        <f t="shared" si="127"/>
        <v>90</v>
      </c>
      <c r="W108" s="18">
        <f t="shared" si="128"/>
        <v>523</v>
      </c>
      <c r="X108" s="14">
        <f t="shared" si="129"/>
        <v>90</v>
      </c>
      <c r="Y108" s="18">
        <f t="shared" si="130"/>
        <v>503</v>
      </c>
      <c r="Z108" s="14">
        <f t="shared" si="131"/>
        <v>70</v>
      </c>
      <c r="AA108" s="18">
        <f t="shared" si="132"/>
        <v>503</v>
      </c>
      <c r="AB108" s="4" t="s">
        <v>0</v>
      </c>
    </row>
    <row r="109" spans="1:28">
      <c r="A109" s="9" t="s">
        <v>537</v>
      </c>
      <c r="B109" s="24"/>
      <c r="C109" s="26"/>
      <c r="D109" s="25">
        <f t="shared" si="165"/>
        <v>104</v>
      </c>
      <c r="E109" s="29">
        <f t="shared" ref="E109" si="171">E108</f>
        <v>227</v>
      </c>
      <c r="F109" s="25">
        <f t="shared" si="167"/>
        <v>124</v>
      </c>
      <c r="G109" s="29">
        <f t="shared" si="170"/>
        <v>247</v>
      </c>
      <c r="H109" s="4" t="s">
        <v>0</v>
      </c>
      <c r="I109" s="16" t="str">
        <f t="shared" si="115"/>
        <v>18-32</v>
      </c>
      <c r="J109" s="14">
        <f t="shared" si="116"/>
        <v>104</v>
      </c>
      <c r="K109" s="15">
        <f t="shared" si="117"/>
        <v>227</v>
      </c>
      <c r="L109" s="17">
        <f t="shared" si="118"/>
        <v>124</v>
      </c>
      <c r="M109" s="18">
        <f t="shared" si="119"/>
        <v>227</v>
      </c>
      <c r="N109" s="14">
        <f t="shared" si="120"/>
        <v>124</v>
      </c>
      <c r="O109" s="15">
        <f t="shared" si="121"/>
        <v>247</v>
      </c>
      <c r="P109" s="17">
        <f t="shared" si="122"/>
        <v>104</v>
      </c>
      <c r="Q109" s="18">
        <f t="shared" si="123"/>
        <v>247</v>
      </c>
      <c r="R109" s="4" t="s">
        <v>0</v>
      </c>
      <c r="S109" s="16" t="str">
        <f t="shared" si="124"/>
        <v>18-32</v>
      </c>
      <c r="T109" s="14">
        <f t="shared" si="125"/>
        <v>104</v>
      </c>
      <c r="U109" s="18">
        <f t="shared" si="126"/>
        <v>523</v>
      </c>
      <c r="V109" s="14">
        <f t="shared" si="127"/>
        <v>124</v>
      </c>
      <c r="W109" s="18">
        <f t="shared" si="128"/>
        <v>523</v>
      </c>
      <c r="X109" s="14">
        <f t="shared" si="129"/>
        <v>124</v>
      </c>
      <c r="Y109" s="18">
        <f t="shared" si="130"/>
        <v>503</v>
      </c>
      <c r="Z109" s="14">
        <f t="shared" si="131"/>
        <v>104</v>
      </c>
      <c r="AA109" s="18">
        <f t="shared" si="132"/>
        <v>503</v>
      </c>
      <c r="AB109" s="4" t="s">
        <v>0</v>
      </c>
    </row>
    <row r="110" spans="1:28">
      <c r="A110" s="9" t="s">
        <v>294</v>
      </c>
      <c r="B110" s="24"/>
      <c r="C110" s="26"/>
      <c r="D110" s="25">
        <f t="shared" si="165"/>
        <v>124</v>
      </c>
      <c r="E110" s="29">
        <f t="shared" ref="E110" si="172">E109</f>
        <v>227</v>
      </c>
      <c r="F110" s="25">
        <f t="shared" si="167"/>
        <v>144</v>
      </c>
      <c r="G110" s="29">
        <f t="shared" si="170"/>
        <v>247</v>
      </c>
      <c r="H110" s="4" t="s">
        <v>0</v>
      </c>
      <c r="I110" s="16" t="str">
        <f t="shared" si="115"/>
        <v>18-12</v>
      </c>
      <c r="J110" s="14">
        <f t="shared" si="116"/>
        <v>124</v>
      </c>
      <c r="K110" s="15">
        <f t="shared" si="117"/>
        <v>227</v>
      </c>
      <c r="L110" s="17">
        <f t="shared" si="118"/>
        <v>144</v>
      </c>
      <c r="M110" s="18">
        <f t="shared" si="119"/>
        <v>227</v>
      </c>
      <c r="N110" s="14">
        <f t="shared" si="120"/>
        <v>144</v>
      </c>
      <c r="O110" s="15">
        <f t="shared" si="121"/>
        <v>247</v>
      </c>
      <c r="P110" s="17">
        <f t="shared" si="122"/>
        <v>124</v>
      </c>
      <c r="Q110" s="18">
        <f t="shared" si="123"/>
        <v>247</v>
      </c>
      <c r="R110" s="4" t="s">
        <v>0</v>
      </c>
      <c r="S110" s="16" t="str">
        <f t="shared" si="124"/>
        <v>18-12</v>
      </c>
      <c r="T110" s="14">
        <f t="shared" si="125"/>
        <v>124</v>
      </c>
      <c r="U110" s="18">
        <f t="shared" si="126"/>
        <v>523</v>
      </c>
      <c r="V110" s="14">
        <f t="shared" si="127"/>
        <v>144</v>
      </c>
      <c r="W110" s="18">
        <f t="shared" si="128"/>
        <v>523</v>
      </c>
      <c r="X110" s="14">
        <f t="shared" si="129"/>
        <v>144</v>
      </c>
      <c r="Y110" s="18">
        <f t="shared" si="130"/>
        <v>503</v>
      </c>
      <c r="Z110" s="14">
        <f t="shared" si="131"/>
        <v>124</v>
      </c>
      <c r="AA110" s="18">
        <f t="shared" si="132"/>
        <v>503</v>
      </c>
      <c r="AB110" s="4" t="s">
        <v>0</v>
      </c>
    </row>
    <row r="111" spans="1:28">
      <c r="A111" s="9" t="s">
        <v>529</v>
      </c>
      <c r="B111" s="24"/>
      <c r="C111" s="26"/>
      <c r="D111" s="25">
        <f t="shared" si="165"/>
        <v>158</v>
      </c>
      <c r="E111" s="29">
        <f t="shared" ref="E111" si="173">E110</f>
        <v>227</v>
      </c>
      <c r="F111" s="25">
        <f t="shared" si="167"/>
        <v>178</v>
      </c>
      <c r="G111" s="29">
        <f t="shared" si="170"/>
        <v>247</v>
      </c>
      <c r="H111" s="4" t="s">
        <v>0</v>
      </c>
      <c r="I111" s="16" t="str">
        <f t="shared" si="115"/>
        <v>17-32</v>
      </c>
      <c r="J111" s="14">
        <f t="shared" si="116"/>
        <v>158</v>
      </c>
      <c r="K111" s="15">
        <f t="shared" si="117"/>
        <v>227</v>
      </c>
      <c r="L111" s="17">
        <f t="shared" si="118"/>
        <v>178</v>
      </c>
      <c r="M111" s="18">
        <f t="shared" si="119"/>
        <v>227</v>
      </c>
      <c r="N111" s="14">
        <f t="shared" si="120"/>
        <v>178</v>
      </c>
      <c r="O111" s="15">
        <f t="shared" si="121"/>
        <v>247</v>
      </c>
      <c r="P111" s="17">
        <f t="shared" si="122"/>
        <v>158</v>
      </c>
      <c r="Q111" s="18">
        <f t="shared" si="123"/>
        <v>247</v>
      </c>
      <c r="R111" s="4" t="s">
        <v>0</v>
      </c>
      <c r="S111" s="16" t="str">
        <f t="shared" si="124"/>
        <v>17-32</v>
      </c>
      <c r="T111" s="14">
        <f t="shared" si="125"/>
        <v>158</v>
      </c>
      <c r="U111" s="18">
        <f t="shared" si="126"/>
        <v>523</v>
      </c>
      <c r="V111" s="14">
        <f t="shared" si="127"/>
        <v>178</v>
      </c>
      <c r="W111" s="18">
        <f t="shared" si="128"/>
        <v>523</v>
      </c>
      <c r="X111" s="14">
        <f t="shared" si="129"/>
        <v>178</v>
      </c>
      <c r="Y111" s="18">
        <f t="shared" si="130"/>
        <v>503</v>
      </c>
      <c r="Z111" s="14">
        <f t="shared" si="131"/>
        <v>158</v>
      </c>
      <c r="AA111" s="18">
        <f t="shared" si="132"/>
        <v>503</v>
      </c>
      <c r="AB111" s="4" t="s">
        <v>0</v>
      </c>
    </row>
    <row r="112" spans="1:28">
      <c r="A112" s="9" t="s">
        <v>273</v>
      </c>
      <c r="B112" s="24"/>
      <c r="C112" s="26"/>
      <c r="D112" s="25">
        <f t="shared" si="165"/>
        <v>178</v>
      </c>
      <c r="E112" s="29">
        <f t="shared" ref="E112" si="174">E111</f>
        <v>227</v>
      </c>
      <c r="F112" s="25">
        <f t="shared" si="167"/>
        <v>198</v>
      </c>
      <c r="G112" s="29">
        <f t="shared" si="170"/>
        <v>247</v>
      </c>
      <c r="H112" s="4" t="s">
        <v>0</v>
      </c>
      <c r="I112" s="16" t="str">
        <f t="shared" si="115"/>
        <v>17-12</v>
      </c>
      <c r="J112" s="14">
        <f t="shared" si="116"/>
        <v>178</v>
      </c>
      <c r="K112" s="15">
        <f t="shared" si="117"/>
        <v>227</v>
      </c>
      <c r="L112" s="17">
        <f t="shared" si="118"/>
        <v>198</v>
      </c>
      <c r="M112" s="18">
        <f t="shared" si="119"/>
        <v>227</v>
      </c>
      <c r="N112" s="14">
        <f t="shared" si="120"/>
        <v>198</v>
      </c>
      <c r="O112" s="15">
        <f t="shared" si="121"/>
        <v>247</v>
      </c>
      <c r="P112" s="17">
        <f t="shared" si="122"/>
        <v>178</v>
      </c>
      <c r="Q112" s="18">
        <f t="shared" si="123"/>
        <v>247</v>
      </c>
      <c r="R112" s="4" t="s">
        <v>0</v>
      </c>
      <c r="S112" s="16" t="str">
        <f t="shared" si="124"/>
        <v>17-12</v>
      </c>
      <c r="T112" s="14">
        <f t="shared" si="125"/>
        <v>178</v>
      </c>
      <c r="U112" s="18">
        <f t="shared" si="126"/>
        <v>523</v>
      </c>
      <c r="V112" s="14">
        <f t="shared" si="127"/>
        <v>198</v>
      </c>
      <c r="W112" s="18">
        <f t="shared" si="128"/>
        <v>523</v>
      </c>
      <c r="X112" s="14">
        <f t="shared" si="129"/>
        <v>198</v>
      </c>
      <c r="Y112" s="18">
        <f t="shared" si="130"/>
        <v>503</v>
      </c>
      <c r="Z112" s="14">
        <f t="shared" si="131"/>
        <v>178</v>
      </c>
      <c r="AA112" s="18">
        <f t="shared" si="132"/>
        <v>503</v>
      </c>
      <c r="AB112" s="4" t="s">
        <v>0</v>
      </c>
    </row>
    <row r="113" spans="1:28">
      <c r="A113" s="9" t="s">
        <v>518</v>
      </c>
      <c r="B113" s="24"/>
      <c r="C113" s="26"/>
      <c r="D113" s="25">
        <f t="shared" si="165"/>
        <v>212</v>
      </c>
      <c r="E113" s="29">
        <f t="shared" ref="E113" si="175">E112</f>
        <v>227</v>
      </c>
      <c r="F113" s="25">
        <f t="shared" si="167"/>
        <v>232</v>
      </c>
      <c r="G113" s="29">
        <f t="shared" si="170"/>
        <v>247</v>
      </c>
      <c r="H113" s="4" t="s">
        <v>0</v>
      </c>
      <c r="I113" s="16" t="str">
        <f t="shared" si="115"/>
        <v>16-32</v>
      </c>
      <c r="J113" s="14">
        <f t="shared" si="116"/>
        <v>212</v>
      </c>
      <c r="K113" s="15">
        <f t="shared" si="117"/>
        <v>227</v>
      </c>
      <c r="L113" s="17">
        <f t="shared" si="118"/>
        <v>232</v>
      </c>
      <c r="M113" s="18">
        <f t="shared" si="119"/>
        <v>227</v>
      </c>
      <c r="N113" s="14">
        <f t="shared" si="120"/>
        <v>232</v>
      </c>
      <c r="O113" s="15">
        <f t="shared" si="121"/>
        <v>247</v>
      </c>
      <c r="P113" s="17">
        <f t="shared" si="122"/>
        <v>212</v>
      </c>
      <c r="Q113" s="18">
        <f t="shared" si="123"/>
        <v>247</v>
      </c>
      <c r="R113" s="4" t="s">
        <v>0</v>
      </c>
      <c r="S113" s="16" t="str">
        <f t="shared" si="124"/>
        <v>16-32</v>
      </c>
      <c r="T113" s="14">
        <f t="shared" si="125"/>
        <v>212</v>
      </c>
      <c r="U113" s="18">
        <f t="shared" si="126"/>
        <v>523</v>
      </c>
      <c r="V113" s="14">
        <f t="shared" si="127"/>
        <v>232</v>
      </c>
      <c r="W113" s="18">
        <f t="shared" si="128"/>
        <v>523</v>
      </c>
      <c r="X113" s="14">
        <f t="shared" si="129"/>
        <v>232</v>
      </c>
      <c r="Y113" s="18">
        <f t="shared" si="130"/>
        <v>503</v>
      </c>
      <c r="Z113" s="14">
        <f t="shared" si="131"/>
        <v>212</v>
      </c>
      <c r="AA113" s="18">
        <f t="shared" si="132"/>
        <v>503</v>
      </c>
      <c r="AB113" s="4" t="s">
        <v>0</v>
      </c>
    </row>
    <row r="114" spans="1:28">
      <c r="A114" s="9" t="s">
        <v>252</v>
      </c>
      <c r="B114" s="24"/>
      <c r="C114" s="26"/>
      <c r="D114" s="25">
        <f t="shared" si="165"/>
        <v>232</v>
      </c>
      <c r="E114" s="29">
        <f t="shared" ref="E114" si="176">E113</f>
        <v>227</v>
      </c>
      <c r="F114" s="25">
        <f t="shared" si="167"/>
        <v>252</v>
      </c>
      <c r="G114" s="29">
        <f t="shared" si="170"/>
        <v>247</v>
      </c>
      <c r="H114" s="4" t="s">
        <v>0</v>
      </c>
      <c r="I114" s="16" t="str">
        <f t="shared" si="115"/>
        <v>16-12</v>
      </c>
      <c r="J114" s="14">
        <f t="shared" si="116"/>
        <v>232</v>
      </c>
      <c r="K114" s="15">
        <f t="shared" si="117"/>
        <v>227</v>
      </c>
      <c r="L114" s="17">
        <f t="shared" si="118"/>
        <v>252</v>
      </c>
      <c r="M114" s="18">
        <f t="shared" si="119"/>
        <v>227</v>
      </c>
      <c r="N114" s="14">
        <f t="shared" si="120"/>
        <v>252</v>
      </c>
      <c r="O114" s="15">
        <f t="shared" si="121"/>
        <v>247</v>
      </c>
      <c r="P114" s="17">
        <f t="shared" si="122"/>
        <v>232</v>
      </c>
      <c r="Q114" s="18">
        <f t="shared" si="123"/>
        <v>247</v>
      </c>
      <c r="R114" s="4" t="s">
        <v>0</v>
      </c>
      <c r="S114" s="16" t="str">
        <f t="shared" si="124"/>
        <v>16-12</v>
      </c>
      <c r="T114" s="14">
        <f t="shared" si="125"/>
        <v>232</v>
      </c>
      <c r="U114" s="18">
        <f t="shared" si="126"/>
        <v>523</v>
      </c>
      <c r="V114" s="14">
        <f t="shared" si="127"/>
        <v>252</v>
      </c>
      <c r="W114" s="18">
        <f t="shared" si="128"/>
        <v>523</v>
      </c>
      <c r="X114" s="14">
        <f t="shared" si="129"/>
        <v>252</v>
      </c>
      <c r="Y114" s="18">
        <f t="shared" si="130"/>
        <v>503</v>
      </c>
      <c r="Z114" s="14">
        <f t="shared" si="131"/>
        <v>232</v>
      </c>
      <c r="AA114" s="18">
        <f t="shared" si="132"/>
        <v>503</v>
      </c>
      <c r="AB114" s="4" t="s">
        <v>0</v>
      </c>
    </row>
    <row r="115" spans="1:28">
      <c r="A115" s="9" t="s">
        <v>507</v>
      </c>
      <c r="B115" s="24"/>
      <c r="C115" s="26"/>
      <c r="D115" s="25">
        <f t="shared" si="165"/>
        <v>266</v>
      </c>
      <c r="E115" s="29">
        <f t="shared" ref="E115" si="177">E114</f>
        <v>227</v>
      </c>
      <c r="F115" s="25">
        <f t="shared" si="167"/>
        <v>286</v>
      </c>
      <c r="G115" s="29">
        <f t="shared" si="170"/>
        <v>247</v>
      </c>
      <c r="H115" s="4" t="s">
        <v>0</v>
      </c>
      <c r="I115" s="16" t="str">
        <f t="shared" si="115"/>
        <v>15-32</v>
      </c>
      <c r="J115" s="14">
        <f t="shared" si="116"/>
        <v>266</v>
      </c>
      <c r="K115" s="15">
        <f t="shared" si="117"/>
        <v>227</v>
      </c>
      <c r="L115" s="17">
        <f t="shared" si="118"/>
        <v>286</v>
      </c>
      <c r="M115" s="18">
        <f t="shared" si="119"/>
        <v>227</v>
      </c>
      <c r="N115" s="14">
        <f t="shared" si="120"/>
        <v>286</v>
      </c>
      <c r="O115" s="15">
        <f t="shared" si="121"/>
        <v>247</v>
      </c>
      <c r="P115" s="17">
        <f t="shared" si="122"/>
        <v>266</v>
      </c>
      <c r="Q115" s="18">
        <f t="shared" si="123"/>
        <v>247</v>
      </c>
      <c r="R115" s="4" t="s">
        <v>0</v>
      </c>
      <c r="S115" s="16" t="str">
        <f t="shared" si="124"/>
        <v>15-32</v>
      </c>
      <c r="T115" s="14">
        <f t="shared" si="125"/>
        <v>266</v>
      </c>
      <c r="U115" s="18">
        <f t="shared" si="126"/>
        <v>523</v>
      </c>
      <c r="V115" s="14">
        <f t="shared" si="127"/>
        <v>286</v>
      </c>
      <c r="W115" s="18">
        <f t="shared" si="128"/>
        <v>523</v>
      </c>
      <c r="X115" s="14">
        <f t="shared" si="129"/>
        <v>286</v>
      </c>
      <c r="Y115" s="18">
        <f t="shared" si="130"/>
        <v>503</v>
      </c>
      <c r="Z115" s="14">
        <f t="shared" si="131"/>
        <v>266</v>
      </c>
      <c r="AA115" s="18">
        <f t="shared" si="132"/>
        <v>503</v>
      </c>
      <c r="AB115" s="4" t="s">
        <v>0</v>
      </c>
    </row>
    <row r="116" spans="1:28">
      <c r="A116" s="9" t="s">
        <v>233</v>
      </c>
      <c r="B116" s="24"/>
      <c r="C116" s="26"/>
      <c r="D116" s="25">
        <f t="shared" si="165"/>
        <v>286</v>
      </c>
      <c r="E116" s="29">
        <f t="shared" ref="E116" si="178">E115</f>
        <v>227</v>
      </c>
      <c r="F116" s="25">
        <f t="shared" si="167"/>
        <v>306</v>
      </c>
      <c r="G116" s="29">
        <f t="shared" si="170"/>
        <v>247</v>
      </c>
      <c r="H116" s="4" t="s">
        <v>0</v>
      </c>
      <c r="I116" s="16" t="str">
        <f t="shared" si="115"/>
        <v>15-12</v>
      </c>
      <c r="J116" s="14">
        <f t="shared" si="116"/>
        <v>286</v>
      </c>
      <c r="K116" s="15">
        <f t="shared" si="117"/>
        <v>227</v>
      </c>
      <c r="L116" s="17">
        <f t="shared" si="118"/>
        <v>306</v>
      </c>
      <c r="M116" s="18">
        <f t="shared" si="119"/>
        <v>227</v>
      </c>
      <c r="N116" s="14">
        <f t="shared" si="120"/>
        <v>306</v>
      </c>
      <c r="O116" s="15">
        <f t="shared" si="121"/>
        <v>247</v>
      </c>
      <c r="P116" s="17">
        <f t="shared" si="122"/>
        <v>286</v>
      </c>
      <c r="Q116" s="18">
        <f t="shared" si="123"/>
        <v>247</v>
      </c>
      <c r="R116" s="4" t="s">
        <v>0</v>
      </c>
      <c r="S116" s="16" t="str">
        <f t="shared" si="124"/>
        <v>15-12</v>
      </c>
      <c r="T116" s="14">
        <f t="shared" si="125"/>
        <v>286</v>
      </c>
      <c r="U116" s="18">
        <f t="shared" si="126"/>
        <v>523</v>
      </c>
      <c r="V116" s="14">
        <f t="shared" si="127"/>
        <v>306</v>
      </c>
      <c r="W116" s="18">
        <f t="shared" si="128"/>
        <v>523</v>
      </c>
      <c r="X116" s="14">
        <f t="shared" si="129"/>
        <v>306</v>
      </c>
      <c r="Y116" s="18">
        <f t="shared" si="130"/>
        <v>503</v>
      </c>
      <c r="Z116" s="14">
        <f t="shared" si="131"/>
        <v>286</v>
      </c>
      <c r="AA116" s="18">
        <f t="shared" si="132"/>
        <v>503</v>
      </c>
      <c r="AB116" s="4" t="s">
        <v>0</v>
      </c>
    </row>
    <row r="117" spans="1:28">
      <c r="A117" s="9" t="s">
        <v>492</v>
      </c>
      <c r="B117" s="24"/>
      <c r="C117" s="26"/>
      <c r="D117" s="25">
        <f t="shared" si="165"/>
        <v>320</v>
      </c>
      <c r="E117" s="29">
        <f t="shared" ref="E117" si="179">E116</f>
        <v>227</v>
      </c>
      <c r="F117" s="25">
        <f t="shared" si="167"/>
        <v>340</v>
      </c>
      <c r="G117" s="29">
        <f t="shared" si="170"/>
        <v>247</v>
      </c>
      <c r="H117" s="4" t="s">
        <v>0</v>
      </c>
      <c r="I117" s="16" t="str">
        <f t="shared" si="115"/>
        <v>13-32</v>
      </c>
      <c r="J117" s="14">
        <f t="shared" si="116"/>
        <v>320</v>
      </c>
      <c r="K117" s="15">
        <f t="shared" si="117"/>
        <v>227</v>
      </c>
      <c r="L117" s="17">
        <f t="shared" si="118"/>
        <v>340</v>
      </c>
      <c r="M117" s="18">
        <f t="shared" si="119"/>
        <v>227</v>
      </c>
      <c r="N117" s="14">
        <f t="shared" si="120"/>
        <v>340</v>
      </c>
      <c r="O117" s="15">
        <f t="shared" si="121"/>
        <v>247</v>
      </c>
      <c r="P117" s="17">
        <f t="shared" si="122"/>
        <v>320</v>
      </c>
      <c r="Q117" s="18">
        <f t="shared" si="123"/>
        <v>247</v>
      </c>
      <c r="R117" s="4" t="s">
        <v>0</v>
      </c>
      <c r="S117" s="16" t="str">
        <f t="shared" si="124"/>
        <v>13-32</v>
      </c>
      <c r="T117" s="14">
        <f t="shared" si="125"/>
        <v>320</v>
      </c>
      <c r="U117" s="18">
        <f t="shared" si="126"/>
        <v>523</v>
      </c>
      <c r="V117" s="14">
        <f t="shared" si="127"/>
        <v>340</v>
      </c>
      <c r="W117" s="18">
        <f t="shared" si="128"/>
        <v>523</v>
      </c>
      <c r="X117" s="14">
        <f t="shared" si="129"/>
        <v>340</v>
      </c>
      <c r="Y117" s="18">
        <f t="shared" si="130"/>
        <v>503</v>
      </c>
      <c r="Z117" s="14">
        <f t="shared" si="131"/>
        <v>320</v>
      </c>
      <c r="AA117" s="18">
        <f t="shared" si="132"/>
        <v>503</v>
      </c>
      <c r="AB117" s="4" t="s">
        <v>0</v>
      </c>
    </row>
    <row r="118" spans="1:28">
      <c r="A118" s="9" t="s">
        <v>216</v>
      </c>
      <c r="B118" s="24"/>
      <c r="C118" s="26"/>
      <c r="D118" s="25">
        <f t="shared" si="165"/>
        <v>340</v>
      </c>
      <c r="E118" s="29">
        <f t="shared" ref="E118" si="180">E117</f>
        <v>227</v>
      </c>
      <c r="F118" s="25">
        <f t="shared" si="167"/>
        <v>360</v>
      </c>
      <c r="G118" s="29">
        <f t="shared" si="170"/>
        <v>247</v>
      </c>
      <c r="H118" s="4" t="s">
        <v>0</v>
      </c>
      <c r="I118" s="16" t="str">
        <f t="shared" si="115"/>
        <v>13-12</v>
      </c>
      <c r="J118" s="14">
        <f t="shared" si="116"/>
        <v>340</v>
      </c>
      <c r="K118" s="15">
        <f t="shared" si="117"/>
        <v>227</v>
      </c>
      <c r="L118" s="17">
        <f t="shared" si="118"/>
        <v>360</v>
      </c>
      <c r="M118" s="18">
        <f t="shared" si="119"/>
        <v>227</v>
      </c>
      <c r="N118" s="14">
        <f t="shared" si="120"/>
        <v>360</v>
      </c>
      <c r="O118" s="15">
        <f t="shared" si="121"/>
        <v>247</v>
      </c>
      <c r="P118" s="17">
        <f t="shared" si="122"/>
        <v>340</v>
      </c>
      <c r="Q118" s="18">
        <f t="shared" si="123"/>
        <v>247</v>
      </c>
      <c r="R118" s="4" t="s">
        <v>0</v>
      </c>
      <c r="S118" s="16" t="str">
        <f t="shared" si="124"/>
        <v>13-12</v>
      </c>
      <c r="T118" s="14">
        <f t="shared" si="125"/>
        <v>340</v>
      </c>
      <c r="U118" s="18">
        <f t="shared" si="126"/>
        <v>523</v>
      </c>
      <c r="V118" s="14">
        <f t="shared" si="127"/>
        <v>360</v>
      </c>
      <c r="W118" s="18">
        <f t="shared" si="128"/>
        <v>523</v>
      </c>
      <c r="X118" s="14">
        <f t="shared" si="129"/>
        <v>360</v>
      </c>
      <c r="Y118" s="18">
        <f t="shared" si="130"/>
        <v>503</v>
      </c>
      <c r="Z118" s="14">
        <f t="shared" si="131"/>
        <v>340</v>
      </c>
      <c r="AA118" s="18">
        <f t="shared" si="132"/>
        <v>503</v>
      </c>
      <c r="AB118" s="4" t="s">
        <v>0</v>
      </c>
    </row>
    <row r="119" spans="1:28">
      <c r="A119" s="9" t="s">
        <v>477</v>
      </c>
      <c r="B119" s="24"/>
      <c r="C119" s="26"/>
      <c r="D119" s="25">
        <f t="shared" si="165"/>
        <v>374</v>
      </c>
      <c r="E119" s="29">
        <f t="shared" ref="E119" si="181">E118</f>
        <v>227</v>
      </c>
      <c r="F119" s="25">
        <f t="shared" si="167"/>
        <v>394</v>
      </c>
      <c r="G119" s="29">
        <f t="shared" si="170"/>
        <v>247</v>
      </c>
      <c r="H119" s="4" t="s">
        <v>0</v>
      </c>
      <c r="I119" s="16" t="str">
        <f t="shared" si="115"/>
        <v>12-32</v>
      </c>
      <c r="J119" s="14">
        <f t="shared" si="116"/>
        <v>374</v>
      </c>
      <c r="K119" s="15">
        <f t="shared" si="117"/>
        <v>227</v>
      </c>
      <c r="L119" s="17">
        <f t="shared" si="118"/>
        <v>394</v>
      </c>
      <c r="M119" s="18">
        <f t="shared" si="119"/>
        <v>227</v>
      </c>
      <c r="N119" s="14">
        <f t="shared" si="120"/>
        <v>394</v>
      </c>
      <c r="O119" s="15">
        <f t="shared" si="121"/>
        <v>247</v>
      </c>
      <c r="P119" s="17">
        <f t="shared" si="122"/>
        <v>374</v>
      </c>
      <c r="Q119" s="18">
        <f t="shared" si="123"/>
        <v>247</v>
      </c>
      <c r="R119" s="4" t="s">
        <v>0</v>
      </c>
      <c r="S119" s="16" t="str">
        <f t="shared" si="124"/>
        <v>12-32</v>
      </c>
      <c r="T119" s="14">
        <f t="shared" si="125"/>
        <v>374</v>
      </c>
      <c r="U119" s="18">
        <f t="shared" si="126"/>
        <v>523</v>
      </c>
      <c r="V119" s="14">
        <f t="shared" si="127"/>
        <v>394</v>
      </c>
      <c r="W119" s="18">
        <f t="shared" si="128"/>
        <v>523</v>
      </c>
      <c r="X119" s="14">
        <f t="shared" si="129"/>
        <v>394</v>
      </c>
      <c r="Y119" s="18">
        <f t="shared" si="130"/>
        <v>503</v>
      </c>
      <c r="Z119" s="14">
        <f t="shared" si="131"/>
        <v>374</v>
      </c>
      <c r="AA119" s="18">
        <f t="shared" si="132"/>
        <v>503</v>
      </c>
      <c r="AB119" s="4" t="s">
        <v>0</v>
      </c>
    </row>
    <row r="120" spans="1:28">
      <c r="A120" s="9" t="s">
        <v>108</v>
      </c>
      <c r="B120" s="24"/>
      <c r="C120" s="26"/>
      <c r="D120" s="25">
        <f t="shared" si="165"/>
        <v>394</v>
      </c>
      <c r="E120" s="29">
        <f t="shared" ref="E120" si="182">E119</f>
        <v>227</v>
      </c>
      <c r="F120" s="25">
        <f t="shared" si="167"/>
        <v>414</v>
      </c>
      <c r="G120" s="29">
        <f t="shared" si="170"/>
        <v>247</v>
      </c>
      <c r="H120" s="4" t="s">
        <v>0</v>
      </c>
      <c r="I120" s="16" t="str">
        <f t="shared" si="115"/>
        <v>12-12</v>
      </c>
      <c r="J120" s="14">
        <f t="shared" si="116"/>
        <v>394</v>
      </c>
      <c r="K120" s="15">
        <f t="shared" si="117"/>
        <v>227</v>
      </c>
      <c r="L120" s="17">
        <f t="shared" si="118"/>
        <v>414</v>
      </c>
      <c r="M120" s="18">
        <f t="shared" si="119"/>
        <v>227</v>
      </c>
      <c r="N120" s="14">
        <f t="shared" si="120"/>
        <v>414</v>
      </c>
      <c r="O120" s="15">
        <f t="shared" si="121"/>
        <v>247</v>
      </c>
      <c r="P120" s="17">
        <f t="shared" si="122"/>
        <v>394</v>
      </c>
      <c r="Q120" s="18">
        <f t="shared" si="123"/>
        <v>247</v>
      </c>
      <c r="R120" s="4" t="s">
        <v>0</v>
      </c>
      <c r="S120" s="16" t="str">
        <f t="shared" si="124"/>
        <v>12-12</v>
      </c>
      <c r="T120" s="14">
        <f t="shared" si="125"/>
        <v>394</v>
      </c>
      <c r="U120" s="18">
        <f t="shared" si="126"/>
        <v>523</v>
      </c>
      <c r="V120" s="14">
        <f t="shared" si="127"/>
        <v>414</v>
      </c>
      <c r="W120" s="18">
        <f t="shared" si="128"/>
        <v>523</v>
      </c>
      <c r="X120" s="14">
        <f t="shared" si="129"/>
        <v>414</v>
      </c>
      <c r="Y120" s="18">
        <f t="shared" si="130"/>
        <v>503</v>
      </c>
      <c r="Z120" s="14">
        <f t="shared" si="131"/>
        <v>394</v>
      </c>
      <c r="AA120" s="18">
        <f t="shared" si="132"/>
        <v>503</v>
      </c>
      <c r="AB120" s="4" t="s">
        <v>0</v>
      </c>
    </row>
    <row r="121" spans="1:28">
      <c r="A121" s="9" t="s">
        <v>462</v>
      </c>
      <c r="B121" s="24"/>
      <c r="C121" s="26"/>
      <c r="D121" s="25">
        <f t="shared" si="165"/>
        <v>428</v>
      </c>
      <c r="E121" s="29">
        <f t="shared" ref="E121" si="183">E120</f>
        <v>227</v>
      </c>
      <c r="F121" s="25">
        <f t="shared" si="167"/>
        <v>448</v>
      </c>
      <c r="G121" s="29">
        <f t="shared" si="170"/>
        <v>247</v>
      </c>
      <c r="H121" s="4" t="s">
        <v>0</v>
      </c>
      <c r="I121" s="16" t="str">
        <f t="shared" si="115"/>
        <v>11-27</v>
      </c>
      <c r="J121" s="14">
        <f t="shared" si="116"/>
        <v>428</v>
      </c>
      <c r="K121" s="15">
        <f t="shared" si="117"/>
        <v>227</v>
      </c>
      <c r="L121" s="17">
        <f t="shared" si="118"/>
        <v>448</v>
      </c>
      <c r="M121" s="18">
        <f t="shared" si="119"/>
        <v>227</v>
      </c>
      <c r="N121" s="14">
        <f t="shared" si="120"/>
        <v>448</v>
      </c>
      <c r="O121" s="15">
        <f t="shared" si="121"/>
        <v>247</v>
      </c>
      <c r="P121" s="17">
        <f t="shared" si="122"/>
        <v>428</v>
      </c>
      <c r="Q121" s="18">
        <f t="shared" si="123"/>
        <v>247</v>
      </c>
      <c r="R121" s="4" t="s">
        <v>0</v>
      </c>
      <c r="S121" s="16" t="str">
        <f t="shared" si="124"/>
        <v>11-27</v>
      </c>
      <c r="T121" s="14">
        <f t="shared" si="125"/>
        <v>428</v>
      </c>
      <c r="U121" s="18">
        <f t="shared" si="126"/>
        <v>523</v>
      </c>
      <c r="V121" s="14">
        <f t="shared" si="127"/>
        <v>448</v>
      </c>
      <c r="W121" s="18">
        <f t="shared" si="128"/>
        <v>523</v>
      </c>
      <c r="X121" s="14">
        <f t="shared" si="129"/>
        <v>448</v>
      </c>
      <c r="Y121" s="18">
        <f t="shared" si="130"/>
        <v>503</v>
      </c>
      <c r="Z121" s="14">
        <f t="shared" si="131"/>
        <v>428</v>
      </c>
      <c r="AA121" s="18">
        <f t="shared" si="132"/>
        <v>503</v>
      </c>
      <c r="AB121" s="4" t="s">
        <v>0</v>
      </c>
    </row>
    <row r="122" spans="1:28">
      <c r="A122" s="9" t="s">
        <v>96</v>
      </c>
      <c r="B122" s="24"/>
      <c r="C122" s="26"/>
      <c r="D122" s="25">
        <f t="shared" si="165"/>
        <v>448</v>
      </c>
      <c r="E122" s="29">
        <f t="shared" ref="E122" si="184">E121</f>
        <v>227</v>
      </c>
      <c r="F122" s="25">
        <f t="shared" si="167"/>
        <v>468</v>
      </c>
      <c r="G122" s="29">
        <f t="shared" si="170"/>
        <v>247</v>
      </c>
      <c r="H122" s="4" t="s">
        <v>0</v>
      </c>
      <c r="I122" s="16" t="str">
        <f t="shared" si="115"/>
        <v>11-10</v>
      </c>
      <c r="J122" s="14">
        <f t="shared" si="116"/>
        <v>448</v>
      </c>
      <c r="K122" s="15">
        <f t="shared" si="117"/>
        <v>227</v>
      </c>
      <c r="L122" s="17">
        <f t="shared" si="118"/>
        <v>468</v>
      </c>
      <c r="M122" s="18">
        <f t="shared" si="119"/>
        <v>227</v>
      </c>
      <c r="N122" s="14">
        <f t="shared" si="120"/>
        <v>468</v>
      </c>
      <c r="O122" s="15">
        <f t="shared" si="121"/>
        <v>247</v>
      </c>
      <c r="P122" s="17">
        <f t="shared" si="122"/>
        <v>448</v>
      </c>
      <c r="Q122" s="18">
        <f t="shared" si="123"/>
        <v>247</v>
      </c>
      <c r="R122" s="4" t="s">
        <v>0</v>
      </c>
      <c r="S122" s="16" t="str">
        <f t="shared" si="124"/>
        <v>11-10</v>
      </c>
      <c r="T122" s="14">
        <f t="shared" si="125"/>
        <v>448</v>
      </c>
      <c r="U122" s="18">
        <f t="shared" si="126"/>
        <v>523</v>
      </c>
      <c r="V122" s="14">
        <f t="shared" si="127"/>
        <v>468</v>
      </c>
      <c r="W122" s="18">
        <f t="shared" si="128"/>
        <v>523</v>
      </c>
      <c r="X122" s="14">
        <f t="shared" si="129"/>
        <v>468</v>
      </c>
      <c r="Y122" s="18">
        <f t="shared" si="130"/>
        <v>503</v>
      </c>
      <c r="Z122" s="14">
        <f t="shared" si="131"/>
        <v>448</v>
      </c>
      <c r="AA122" s="18">
        <f t="shared" si="132"/>
        <v>503</v>
      </c>
      <c r="AB122" s="4" t="s">
        <v>0</v>
      </c>
    </row>
    <row r="123" spans="1:28">
      <c r="A123" s="9" t="s">
        <v>327</v>
      </c>
      <c r="B123" s="24"/>
      <c r="C123" s="26">
        <v>7</v>
      </c>
      <c r="D123" s="25">
        <f t="shared" si="165"/>
        <v>50</v>
      </c>
      <c r="E123" s="28">
        <f t="shared" ref="E123" si="185">ROUND(E$11+19.5*$C123, 0)</f>
        <v>247</v>
      </c>
      <c r="F123" s="25">
        <f t="shared" si="167"/>
        <v>70</v>
      </c>
      <c r="G123" s="28">
        <f t="shared" ref="G123" si="186">ROUND(G$11+19.5*$C123, 0)</f>
        <v>267</v>
      </c>
      <c r="H123" s="4" t="s">
        <v>0</v>
      </c>
      <c r="I123" s="16" t="str">
        <f t="shared" si="115"/>
        <v>20-23</v>
      </c>
      <c r="J123" s="14">
        <f t="shared" si="116"/>
        <v>50</v>
      </c>
      <c r="K123" s="15">
        <f t="shared" si="117"/>
        <v>247</v>
      </c>
      <c r="L123" s="17">
        <f t="shared" si="118"/>
        <v>70</v>
      </c>
      <c r="M123" s="18">
        <f t="shared" si="119"/>
        <v>247</v>
      </c>
      <c r="N123" s="14">
        <f t="shared" si="120"/>
        <v>70</v>
      </c>
      <c r="O123" s="15">
        <f t="shared" si="121"/>
        <v>267</v>
      </c>
      <c r="P123" s="17">
        <f t="shared" si="122"/>
        <v>50</v>
      </c>
      <c r="Q123" s="18">
        <f t="shared" si="123"/>
        <v>267</v>
      </c>
      <c r="R123" s="4" t="s">
        <v>0</v>
      </c>
      <c r="S123" s="16" t="str">
        <f t="shared" si="124"/>
        <v>20-23</v>
      </c>
      <c r="T123" s="14">
        <f t="shared" si="125"/>
        <v>50</v>
      </c>
      <c r="U123" s="18">
        <f t="shared" si="126"/>
        <v>503</v>
      </c>
      <c r="V123" s="14">
        <f t="shared" si="127"/>
        <v>70</v>
      </c>
      <c r="W123" s="18">
        <f t="shared" si="128"/>
        <v>503</v>
      </c>
      <c r="X123" s="14">
        <f t="shared" si="129"/>
        <v>70</v>
      </c>
      <c r="Y123" s="18">
        <f t="shared" si="130"/>
        <v>483</v>
      </c>
      <c r="Z123" s="14">
        <f t="shared" si="131"/>
        <v>50</v>
      </c>
      <c r="AA123" s="18">
        <f t="shared" si="132"/>
        <v>483</v>
      </c>
      <c r="AB123" s="4" t="s">
        <v>0</v>
      </c>
    </row>
    <row r="124" spans="1:28">
      <c r="A124" s="9" t="s">
        <v>314</v>
      </c>
      <c r="B124" s="24"/>
      <c r="C124" s="26"/>
      <c r="D124" s="25">
        <f t="shared" si="165"/>
        <v>70</v>
      </c>
      <c r="E124" s="29">
        <f t="shared" ref="E124" si="187">E123</f>
        <v>247</v>
      </c>
      <c r="F124" s="25">
        <f t="shared" si="167"/>
        <v>90</v>
      </c>
      <c r="G124" s="29">
        <f t="shared" ref="G124" si="188">G123</f>
        <v>267</v>
      </c>
      <c r="H124" s="4" t="s">
        <v>0</v>
      </c>
      <c r="I124" s="16" t="str">
        <f t="shared" si="115"/>
        <v>20-07</v>
      </c>
      <c r="J124" s="14">
        <f t="shared" si="116"/>
        <v>70</v>
      </c>
      <c r="K124" s="15">
        <f t="shared" si="117"/>
        <v>247</v>
      </c>
      <c r="L124" s="17">
        <f t="shared" si="118"/>
        <v>90</v>
      </c>
      <c r="M124" s="18">
        <f t="shared" si="119"/>
        <v>247</v>
      </c>
      <c r="N124" s="14">
        <f t="shared" si="120"/>
        <v>90</v>
      </c>
      <c r="O124" s="15">
        <f t="shared" si="121"/>
        <v>267</v>
      </c>
      <c r="P124" s="17">
        <f t="shared" si="122"/>
        <v>70</v>
      </c>
      <c r="Q124" s="18">
        <f t="shared" si="123"/>
        <v>267</v>
      </c>
      <c r="R124" s="4" t="s">
        <v>0</v>
      </c>
      <c r="S124" s="16" t="str">
        <f t="shared" si="124"/>
        <v>20-07</v>
      </c>
      <c r="T124" s="14">
        <f t="shared" si="125"/>
        <v>70</v>
      </c>
      <c r="U124" s="18">
        <f t="shared" si="126"/>
        <v>503</v>
      </c>
      <c r="V124" s="14">
        <f t="shared" si="127"/>
        <v>90</v>
      </c>
      <c r="W124" s="18">
        <f t="shared" si="128"/>
        <v>503</v>
      </c>
      <c r="X124" s="14">
        <f t="shared" si="129"/>
        <v>90</v>
      </c>
      <c r="Y124" s="18">
        <f t="shared" si="130"/>
        <v>483</v>
      </c>
      <c r="Z124" s="14">
        <f t="shared" si="131"/>
        <v>70</v>
      </c>
      <c r="AA124" s="18">
        <f t="shared" si="132"/>
        <v>483</v>
      </c>
      <c r="AB124" s="4" t="s">
        <v>0</v>
      </c>
    </row>
    <row r="125" spans="1:28">
      <c r="A125" s="9" t="s">
        <v>536</v>
      </c>
      <c r="B125" s="24"/>
      <c r="C125" s="26"/>
      <c r="D125" s="25">
        <f t="shared" si="165"/>
        <v>104</v>
      </c>
      <c r="E125" s="29">
        <f t="shared" ref="E125" si="189">E124</f>
        <v>247</v>
      </c>
      <c r="F125" s="25">
        <f t="shared" si="167"/>
        <v>124</v>
      </c>
      <c r="G125" s="29">
        <f t="shared" si="170"/>
        <v>267</v>
      </c>
      <c r="H125" s="4" t="s">
        <v>0</v>
      </c>
      <c r="I125" s="16" t="str">
        <f t="shared" si="115"/>
        <v>18-31</v>
      </c>
      <c r="J125" s="14">
        <f t="shared" si="116"/>
        <v>104</v>
      </c>
      <c r="K125" s="15">
        <f t="shared" si="117"/>
        <v>247</v>
      </c>
      <c r="L125" s="17">
        <f t="shared" si="118"/>
        <v>124</v>
      </c>
      <c r="M125" s="18">
        <f t="shared" si="119"/>
        <v>247</v>
      </c>
      <c r="N125" s="14">
        <f t="shared" si="120"/>
        <v>124</v>
      </c>
      <c r="O125" s="15">
        <f t="shared" si="121"/>
        <v>267</v>
      </c>
      <c r="P125" s="17">
        <f t="shared" si="122"/>
        <v>104</v>
      </c>
      <c r="Q125" s="18">
        <f t="shared" si="123"/>
        <v>267</v>
      </c>
      <c r="R125" s="4" t="s">
        <v>0</v>
      </c>
      <c r="S125" s="16" t="str">
        <f t="shared" si="124"/>
        <v>18-31</v>
      </c>
      <c r="T125" s="14">
        <f t="shared" si="125"/>
        <v>104</v>
      </c>
      <c r="U125" s="18">
        <f t="shared" si="126"/>
        <v>503</v>
      </c>
      <c r="V125" s="14">
        <f t="shared" si="127"/>
        <v>124</v>
      </c>
      <c r="W125" s="18">
        <f t="shared" si="128"/>
        <v>503</v>
      </c>
      <c r="X125" s="14">
        <f t="shared" si="129"/>
        <v>124</v>
      </c>
      <c r="Y125" s="18">
        <f t="shared" si="130"/>
        <v>483</v>
      </c>
      <c r="Z125" s="14">
        <f t="shared" si="131"/>
        <v>104</v>
      </c>
      <c r="AA125" s="18">
        <f t="shared" si="132"/>
        <v>483</v>
      </c>
      <c r="AB125" s="4" t="s">
        <v>0</v>
      </c>
    </row>
    <row r="126" spans="1:28">
      <c r="A126" s="9" t="s">
        <v>293</v>
      </c>
      <c r="B126" s="24"/>
      <c r="C126" s="26"/>
      <c r="D126" s="25">
        <f t="shared" si="165"/>
        <v>124</v>
      </c>
      <c r="E126" s="29">
        <f t="shared" ref="E126" si="190">E125</f>
        <v>247</v>
      </c>
      <c r="F126" s="25">
        <f t="shared" si="167"/>
        <v>144</v>
      </c>
      <c r="G126" s="29">
        <f t="shared" si="170"/>
        <v>267</v>
      </c>
      <c r="H126" s="4" t="s">
        <v>0</v>
      </c>
      <c r="I126" s="16" t="str">
        <f t="shared" si="115"/>
        <v>18-11</v>
      </c>
      <c r="J126" s="14">
        <f t="shared" si="116"/>
        <v>124</v>
      </c>
      <c r="K126" s="15">
        <f t="shared" si="117"/>
        <v>247</v>
      </c>
      <c r="L126" s="17">
        <f t="shared" si="118"/>
        <v>144</v>
      </c>
      <c r="M126" s="18">
        <f t="shared" si="119"/>
        <v>247</v>
      </c>
      <c r="N126" s="14">
        <f t="shared" si="120"/>
        <v>144</v>
      </c>
      <c r="O126" s="15">
        <f t="shared" si="121"/>
        <v>267</v>
      </c>
      <c r="P126" s="17">
        <f t="shared" si="122"/>
        <v>124</v>
      </c>
      <c r="Q126" s="18">
        <f t="shared" si="123"/>
        <v>267</v>
      </c>
      <c r="R126" s="4" t="s">
        <v>0</v>
      </c>
      <c r="S126" s="16" t="str">
        <f t="shared" si="124"/>
        <v>18-11</v>
      </c>
      <c r="T126" s="14">
        <f t="shared" si="125"/>
        <v>124</v>
      </c>
      <c r="U126" s="18">
        <f t="shared" si="126"/>
        <v>503</v>
      </c>
      <c r="V126" s="14">
        <f t="shared" si="127"/>
        <v>144</v>
      </c>
      <c r="W126" s="18">
        <f t="shared" si="128"/>
        <v>503</v>
      </c>
      <c r="X126" s="14">
        <f t="shared" si="129"/>
        <v>144</v>
      </c>
      <c r="Y126" s="18">
        <f t="shared" si="130"/>
        <v>483</v>
      </c>
      <c r="Z126" s="14">
        <f t="shared" si="131"/>
        <v>124</v>
      </c>
      <c r="AA126" s="18">
        <f t="shared" si="132"/>
        <v>483</v>
      </c>
      <c r="AB126" s="4" t="s">
        <v>0</v>
      </c>
    </row>
    <row r="127" spans="1:28">
      <c r="A127" s="9" t="s">
        <v>528</v>
      </c>
      <c r="B127" s="24"/>
      <c r="C127" s="26"/>
      <c r="D127" s="25">
        <f t="shared" si="165"/>
        <v>158</v>
      </c>
      <c r="E127" s="29">
        <f t="shared" ref="E127" si="191">E126</f>
        <v>247</v>
      </c>
      <c r="F127" s="25">
        <f t="shared" si="167"/>
        <v>178</v>
      </c>
      <c r="G127" s="29">
        <f t="shared" si="170"/>
        <v>267</v>
      </c>
      <c r="H127" s="4" t="s">
        <v>0</v>
      </c>
      <c r="I127" s="16" t="str">
        <f t="shared" si="115"/>
        <v>17-31</v>
      </c>
      <c r="J127" s="14">
        <f t="shared" si="116"/>
        <v>158</v>
      </c>
      <c r="K127" s="15">
        <f t="shared" si="117"/>
        <v>247</v>
      </c>
      <c r="L127" s="17">
        <f t="shared" si="118"/>
        <v>178</v>
      </c>
      <c r="M127" s="18">
        <f t="shared" si="119"/>
        <v>247</v>
      </c>
      <c r="N127" s="14">
        <f t="shared" si="120"/>
        <v>178</v>
      </c>
      <c r="O127" s="15">
        <f t="shared" si="121"/>
        <v>267</v>
      </c>
      <c r="P127" s="17">
        <f t="shared" si="122"/>
        <v>158</v>
      </c>
      <c r="Q127" s="18">
        <f t="shared" si="123"/>
        <v>267</v>
      </c>
      <c r="R127" s="4" t="s">
        <v>0</v>
      </c>
      <c r="S127" s="16" t="str">
        <f t="shared" si="124"/>
        <v>17-31</v>
      </c>
      <c r="T127" s="14">
        <f t="shared" si="125"/>
        <v>158</v>
      </c>
      <c r="U127" s="18">
        <f t="shared" si="126"/>
        <v>503</v>
      </c>
      <c r="V127" s="14">
        <f t="shared" si="127"/>
        <v>178</v>
      </c>
      <c r="W127" s="18">
        <f t="shared" si="128"/>
        <v>503</v>
      </c>
      <c r="X127" s="14">
        <f t="shared" si="129"/>
        <v>178</v>
      </c>
      <c r="Y127" s="18">
        <f t="shared" si="130"/>
        <v>483</v>
      </c>
      <c r="Z127" s="14">
        <f t="shared" si="131"/>
        <v>158</v>
      </c>
      <c r="AA127" s="18">
        <f t="shared" si="132"/>
        <v>483</v>
      </c>
      <c r="AB127" s="4" t="s">
        <v>0</v>
      </c>
    </row>
    <row r="128" spans="1:28">
      <c r="A128" s="9" t="s">
        <v>272</v>
      </c>
      <c r="B128" s="24"/>
      <c r="C128" s="26"/>
      <c r="D128" s="25">
        <f t="shared" si="165"/>
        <v>178</v>
      </c>
      <c r="E128" s="29">
        <f t="shared" ref="E128" si="192">E127</f>
        <v>247</v>
      </c>
      <c r="F128" s="25">
        <f t="shared" si="167"/>
        <v>198</v>
      </c>
      <c r="G128" s="29">
        <f t="shared" si="170"/>
        <v>267</v>
      </c>
      <c r="H128" s="4" t="s">
        <v>0</v>
      </c>
      <c r="I128" s="16" t="str">
        <f t="shared" si="115"/>
        <v>17-11</v>
      </c>
      <c r="J128" s="14">
        <f t="shared" si="116"/>
        <v>178</v>
      </c>
      <c r="K128" s="15">
        <f t="shared" si="117"/>
        <v>247</v>
      </c>
      <c r="L128" s="17">
        <f t="shared" si="118"/>
        <v>198</v>
      </c>
      <c r="M128" s="18">
        <f t="shared" si="119"/>
        <v>247</v>
      </c>
      <c r="N128" s="14">
        <f t="shared" si="120"/>
        <v>198</v>
      </c>
      <c r="O128" s="15">
        <f t="shared" si="121"/>
        <v>267</v>
      </c>
      <c r="P128" s="17">
        <f t="shared" si="122"/>
        <v>178</v>
      </c>
      <c r="Q128" s="18">
        <f t="shared" si="123"/>
        <v>267</v>
      </c>
      <c r="R128" s="4" t="s">
        <v>0</v>
      </c>
      <c r="S128" s="16" t="str">
        <f t="shared" si="124"/>
        <v>17-11</v>
      </c>
      <c r="T128" s="14">
        <f t="shared" si="125"/>
        <v>178</v>
      </c>
      <c r="U128" s="18">
        <f t="shared" si="126"/>
        <v>503</v>
      </c>
      <c r="V128" s="14">
        <f t="shared" si="127"/>
        <v>198</v>
      </c>
      <c r="W128" s="18">
        <f t="shared" si="128"/>
        <v>503</v>
      </c>
      <c r="X128" s="14">
        <f t="shared" si="129"/>
        <v>198</v>
      </c>
      <c r="Y128" s="18">
        <f t="shared" si="130"/>
        <v>483</v>
      </c>
      <c r="Z128" s="14">
        <f t="shared" si="131"/>
        <v>178</v>
      </c>
      <c r="AA128" s="18">
        <f t="shared" si="132"/>
        <v>483</v>
      </c>
      <c r="AB128" s="4" t="s">
        <v>0</v>
      </c>
    </row>
    <row r="129" spans="1:28">
      <c r="A129" s="9" t="s">
        <v>517</v>
      </c>
      <c r="B129" s="24"/>
      <c r="C129" s="26"/>
      <c r="D129" s="25">
        <f t="shared" si="165"/>
        <v>212</v>
      </c>
      <c r="E129" s="29">
        <f t="shared" ref="E129" si="193">E128</f>
        <v>247</v>
      </c>
      <c r="F129" s="25">
        <f t="shared" si="167"/>
        <v>232</v>
      </c>
      <c r="G129" s="29">
        <f t="shared" si="170"/>
        <v>267</v>
      </c>
      <c r="H129" s="4" t="s">
        <v>0</v>
      </c>
      <c r="I129" s="16" t="str">
        <f t="shared" si="115"/>
        <v>16-31</v>
      </c>
      <c r="J129" s="14">
        <f t="shared" si="116"/>
        <v>212</v>
      </c>
      <c r="K129" s="15">
        <f t="shared" si="117"/>
        <v>247</v>
      </c>
      <c r="L129" s="17">
        <f t="shared" si="118"/>
        <v>232</v>
      </c>
      <c r="M129" s="18">
        <f t="shared" si="119"/>
        <v>247</v>
      </c>
      <c r="N129" s="14">
        <f t="shared" si="120"/>
        <v>232</v>
      </c>
      <c r="O129" s="15">
        <f t="shared" si="121"/>
        <v>267</v>
      </c>
      <c r="P129" s="17">
        <f t="shared" si="122"/>
        <v>212</v>
      </c>
      <c r="Q129" s="18">
        <f t="shared" si="123"/>
        <v>267</v>
      </c>
      <c r="R129" s="4" t="s">
        <v>0</v>
      </c>
      <c r="S129" s="16" t="str">
        <f t="shared" si="124"/>
        <v>16-31</v>
      </c>
      <c r="T129" s="14">
        <f t="shared" si="125"/>
        <v>212</v>
      </c>
      <c r="U129" s="18">
        <f t="shared" si="126"/>
        <v>503</v>
      </c>
      <c r="V129" s="14">
        <f t="shared" si="127"/>
        <v>232</v>
      </c>
      <c r="W129" s="18">
        <f t="shared" si="128"/>
        <v>503</v>
      </c>
      <c r="X129" s="14">
        <f t="shared" si="129"/>
        <v>232</v>
      </c>
      <c r="Y129" s="18">
        <f t="shared" si="130"/>
        <v>483</v>
      </c>
      <c r="Z129" s="14">
        <f t="shared" si="131"/>
        <v>212</v>
      </c>
      <c r="AA129" s="18">
        <f t="shared" si="132"/>
        <v>483</v>
      </c>
      <c r="AB129" s="4" t="s">
        <v>0</v>
      </c>
    </row>
    <row r="130" spans="1:28">
      <c r="A130" s="9" t="s">
        <v>251</v>
      </c>
      <c r="B130" s="24"/>
      <c r="C130" s="26"/>
      <c r="D130" s="25">
        <f t="shared" si="165"/>
        <v>232</v>
      </c>
      <c r="E130" s="29">
        <f t="shared" ref="E130" si="194">E129</f>
        <v>247</v>
      </c>
      <c r="F130" s="25">
        <f t="shared" si="167"/>
        <v>252</v>
      </c>
      <c r="G130" s="29">
        <f t="shared" si="170"/>
        <v>267</v>
      </c>
      <c r="H130" s="4" t="s">
        <v>0</v>
      </c>
      <c r="I130" s="16" t="str">
        <f t="shared" si="115"/>
        <v>16-11</v>
      </c>
      <c r="J130" s="14">
        <f t="shared" si="116"/>
        <v>232</v>
      </c>
      <c r="K130" s="15">
        <f t="shared" si="117"/>
        <v>247</v>
      </c>
      <c r="L130" s="17">
        <f t="shared" si="118"/>
        <v>252</v>
      </c>
      <c r="M130" s="18">
        <f t="shared" si="119"/>
        <v>247</v>
      </c>
      <c r="N130" s="14">
        <f t="shared" si="120"/>
        <v>252</v>
      </c>
      <c r="O130" s="15">
        <f t="shared" si="121"/>
        <v>267</v>
      </c>
      <c r="P130" s="17">
        <f t="shared" si="122"/>
        <v>232</v>
      </c>
      <c r="Q130" s="18">
        <f t="shared" si="123"/>
        <v>267</v>
      </c>
      <c r="R130" s="4" t="s">
        <v>0</v>
      </c>
      <c r="S130" s="16" t="str">
        <f t="shared" si="124"/>
        <v>16-11</v>
      </c>
      <c r="T130" s="14">
        <f t="shared" si="125"/>
        <v>232</v>
      </c>
      <c r="U130" s="18">
        <f t="shared" si="126"/>
        <v>503</v>
      </c>
      <c r="V130" s="14">
        <f t="shared" si="127"/>
        <v>252</v>
      </c>
      <c r="W130" s="18">
        <f t="shared" si="128"/>
        <v>503</v>
      </c>
      <c r="X130" s="14">
        <f t="shared" si="129"/>
        <v>252</v>
      </c>
      <c r="Y130" s="18">
        <f t="shared" si="130"/>
        <v>483</v>
      </c>
      <c r="Z130" s="14">
        <f t="shared" si="131"/>
        <v>232</v>
      </c>
      <c r="AA130" s="18">
        <f t="shared" si="132"/>
        <v>483</v>
      </c>
      <c r="AB130" s="4" t="s">
        <v>0</v>
      </c>
    </row>
    <row r="131" spans="1:28">
      <c r="A131" s="9" t="s">
        <v>506</v>
      </c>
      <c r="B131" s="24"/>
      <c r="C131" s="26"/>
      <c r="D131" s="25">
        <f t="shared" si="165"/>
        <v>266</v>
      </c>
      <c r="E131" s="29">
        <f t="shared" ref="E131" si="195">E130</f>
        <v>247</v>
      </c>
      <c r="F131" s="25">
        <f t="shared" si="167"/>
        <v>286</v>
      </c>
      <c r="G131" s="29">
        <f t="shared" si="170"/>
        <v>267</v>
      </c>
      <c r="H131" s="4" t="s">
        <v>0</v>
      </c>
      <c r="I131" s="16" t="str">
        <f t="shared" si="115"/>
        <v>15-31</v>
      </c>
      <c r="J131" s="14">
        <f t="shared" si="116"/>
        <v>266</v>
      </c>
      <c r="K131" s="15">
        <f t="shared" si="117"/>
        <v>247</v>
      </c>
      <c r="L131" s="17">
        <f t="shared" si="118"/>
        <v>286</v>
      </c>
      <c r="M131" s="18">
        <f t="shared" si="119"/>
        <v>247</v>
      </c>
      <c r="N131" s="14">
        <f t="shared" si="120"/>
        <v>286</v>
      </c>
      <c r="O131" s="15">
        <f t="shared" si="121"/>
        <v>267</v>
      </c>
      <c r="P131" s="17">
        <f t="shared" si="122"/>
        <v>266</v>
      </c>
      <c r="Q131" s="18">
        <f t="shared" si="123"/>
        <v>267</v>
      </c>
      <c r="R131" s="4" t="s">
        <v>0</v>
      </c>
      <c r="S131" s="16" t="str">
        <f t="shared" si="124"/>
        <v>15-31</v>
      </c>
      <c r="T131" s="14">
        <f t="shared" si="125"/>
        <v>266</v>
      </c>
      <c r="U131" s="18">
        <f t="shared" si="126"/>
        <v>503</v>
      </c>
      <c r="V131" s="14">
        <f t="shared" si="127"/>
        <v>286</v>
      </c>
      <c r="W131" s="18">
        <f t="shared" si="128"/>
        <v>503</v>
      </c>
      <c r="X131" s="14">
        <f t="shared" si="129"/>
        <v>286</v>
      </c>
      <c r="Y131" s="18">
        <f t="shared" si="130"/>
        <v>483</v>
      </c>
      <c r="Z131" s="14">
        <f t="shared" si="131"/>
        <v>266</v>
      </c>
      <c r="AA131" s="18">
        <f t="shared" si="132"/>
        <v>483</v>
      </c>
      <c r="AB131" s="4" t="s">
        <v>0</v>
      </c>
    </row>
    <row r="132" spans="1:28">
      <c r="A132" s="9" t="s">
        <v>232</v>
      </c>
      <c r="B132" s="24"/>
      <c r="C132" s="26"/>
      <c r="D132" s="25">
        <f t="shared" si="165"/>
        <v>286</v>
      </c>
      <c r="E132" s="29">
        <f t="shared" ref="E132" si="196">E131</f>
        <v>247</v>
      </c>
      <c r="F132" s="25">
        <f t="shared" si="167"/>
        <v>306</v>
      </c>
      <c r="G132" s="29">
        <f t="shared" si="170"/>
        <v>267</v>
      </c>
      <c r="H132" s="4" t="s">
        <v>0</v>
      </c>
      <c r="I132" s="16" t="str">
        <f t="shared" si="115"/>
        <v>15-11</v>
      </c>
      <c r="J132" s="14">
        <f t="shared" si="116"/>
        <v>286</v>
      </c>
      <c r="K132" s="15">
        <f t="shared" si="117"/>
        <v>247</v>
      </c>
      <c r="L132" s="17">
        <f t="shared" si="118"/>
        <v>306</v>
      </c>
      <c r="M132" s="18">
        <f t="shared" si="119"/>
        <v>247</v>
      </c>
      <c r="N132" s="14">
        <f t="shared" si="120"/>
        <v>306</v>
      </c>
      <c r="O132" s="15">
        <f t="shared" si="121"/>
        <v>267</v>
      </c>
      <c r="P132" s="17">
        <f t="shared" si="122"/>
        <v>286</v>
      </c>
      <c r="Q132" s="18">
        <f t="shared" si="123"/>
        <v>267</v>
      </c>
      <c r="R132" s="4" t="s">
        <v>0</v>
      </c>
      <c r="S132" s="16" t="str">
        <f t="shared" si="124"/>
        <v>15-11</v>
      </c>
      <c r="T132" s="14">
        <f t="shared" si="125"/>
        <v>286</v>
      </c>
      <c r="U132" s="18">
        <f t="shared" si="126"/>
        <v>503</v>
      </c>
      <c r="V132" s="14">
        <f t="shared" si="127"/>
        <v>306</v>
      </c>
      <c r="W132" s="18">
        <f t="shared" si="128"/>
        <v>503</v>
      </c>
      <c r="X132" s="14">
        <f t="shared" si="129"/>
        <v>306</v>
      </c>
      <c r="Y132" s="18">
        <f t="shared" si="130"/>
        <v>483</v>
      </c>
      <c r="Z132" s="14">
        <f t="shared" si="131"/>
        <v>286</v>
      </c>
      <c r="AA132" s="18">
        <f t="shared" si="132"/>
        <v>483</v>
      </c>
      <c r="AB132" s="4" t="s">
        <v>0</v>
      </c>
    </row>
    <row r="133" spans="1:28">
      <c r="A133" s="9" t="s">
        <v>491</v>
      </c>
      <c r="B133" s="24"/>
      <c r="C133" s="26"/>
      <c r="D133" s="25">
        <f t="shared" si="165"/>
        <v>320</v>
      </c>
      <c r="E133" s="29">
        <f t="shared" ref="E133" si="197">E132</f>
        <v>247</v>
      </c>
      <c r="F133" s="25">
        <f t="shared" si="167"/>
        <v>340</v>
      </c>
      <c r="G133" s="29">
        <f t="shared" si="170"/>
        <v>267</v>
      </c>
      <c r="H133" s="4" t="s">
        <v>0</v>
      </c>
      <c r="I133" s="16" t="str">
        <f t="shared" si="115"/>
        <v>13-31</v>
      </c>
      <c r="J133" s="14">
        <f t="shared" si="116"/>
        <v>320</v>
      </c>
      <c r="K133" s="15">
        <f t="shared" si="117"/>
        <v>247</v>
      </c>
      <c r="L133" s="17">
        <f t="shared" si="118"/>
        <v>340</v>
      </c>
      <c r="M133" s="18">
        <f t="shared" si="119"/>
        <v>247</v>
      </c>
      <c r="N133" s="14">
        <f t="shared" si="120"/>
        <v>340</v>
      </c>
      <c r="O133" s="15">
        <f t="shared" si="121"/>
        <v>267</v>
      </c>
      <c r="P133" s="17">
        <f t="shared" si="122"/>
        <v>320</v>
      </c>
      <c r="Q133" s="18">
        <f t="shared" si="123"/>
        <v>267</v>
      </c>
      <c r="R133" s="4" t="s">
        <v>0</v>
      </c>
      <c r="S133" s="16" t="str">
        <f t="shared" si="124"/>
        <v>13-31</v>
      </c>
      <c r="T133" s="14">
        <f t="shared" si="125"/>
        <v>320</v>
      </c>
      <c r="U133" s="18">
        <f t="shared" si="126"/>
        <v>503</v>
      </c>
      <c r="V133" s="14">
        <f t="shared" si="127"/>
        <v>340</v>
      </c>
      <c r="W133" s="18">
        <f t="shared" si="128"/>
        <v>503</v>
      </c>
      <c r="X133" s="14">
        <f t="shared" si="129"/>
        <v>340</v>
      </c>
      <c r="Y133" s="18">
        <f t="shared" si="130"/>
        <v>483</v>
      </c>
      <c r="Z133" s="14">
        <f t="shared" si="131"/>
        <v>320</v>
      </c>
      <c r="AA133" s="18">
        <f t="shared" si="132"/>
        <v>483</v>
      </c>
      <c r="AB133" s="4" t="s">
        <v>0</v>
      </c>
    </row>
    <row r="134" spans="1:28">
      <c r="A134" s="9" t="s">
        <v>215</v>
      </c>
      <c r="B134" s="24"/>
      <c r="C134" s="26"/>
      <c r="D134" s="25">
        <f t="shared" si="165"/>
        <v>340</v>
      </c>
      <c r="E134" s="29">
        <f t="shared" ref="E134" si="198">E133</f>
        <v>247</v>
      </c>
      <c r="F134" s="25">
        <f t="shared" si="167"/>
        <v>360</v>
      </c>
      <c r="G134" s="29">
        <f t="shared" si="170"/>
        <v>267</v>
      </c>
      <c r="H134" s="4" t="s">
        <v>0</v>
      </c>
      <c r="I134" s="16" t="str">
        <f t="shared" si="115"/>
        <v>13-11</v>
      </c>
      <c r="J134" s="14">
        <f t="shared" si="116"/>
        <v>340</v>
      </c>
      <c r="K134" s="15">
        <f t="shared" si="117"/>
        <v>247</v>
      </c>
      <c r="L134" s="17">
        <f t="shared" si="118"/>
        <v>360</v>
      </c>
      <c r="M134" s="18">
        <f t="shared" si="119"/>
        <v>247</v>
      </c>
      <c r="N134" s="14">
        <f t="shared" si="120"/>
        <v>360</v>
      </c>
      <c r="O134" s="15">
        <f t="shared" si="121"/>
        <v>267</v>
      </c>
      <c r="P134" s="17">
        <f t="shared" si="122"/>
        <v>340</v>
      </c>
      <c r="Q134" s="18">
        <f t="shared" si="123"/>
        <v>267</v>
      </c>
      <c r="R134" s="4" t="s">
        <v>0</v>
      </c>
      <c r="S134" s="16" t="str">
        <f t="shared" si="124"/>
        <v>13-11</v>
      </c>
      <c r="T134" s="14">
        <f t="shared" si="125"/>
        <v>340</v>
      </c>
      <c r="U134" s="18">
        <f t="shared" si="126"/>
        <v>503</v>
      </c>
      <c r="V134" s="14">
        <f t="shared" si="127"/>
        <v>360</v>
      </c>
      <c r="W134" s="18">
        <f t="shared" si="128"/>
        <v>503</v>
      </c>
      <c r="X134" s="14">
        <f t="shared" si="129"/>
        <v>360</v>
      </c>
      <c r="Y134" s="18">
        <f t="shared" si="130"/>
        <v>483</v>
      </c>
      <c r="Z134" s="14">
        <f t="shared" si="131"/>
        <v>340</v>
      </c>
      <c r="AA134" s="18">
        <f t="shared" si="132"/>
        <v>483</v>
      </c>
      <c r="AB134" s="4" t="s">
        <v>0</v>
      </c>
    </row>
    <row r="135" spans="1:28">
      <c r="A135" s="9" t="s">
        <v>476</v>
      </c>
      <c r="B135" s="24"/>
      <c r="C135" s="26"/>
      <c r="D135" s="25">
        <f t="shared" si="165"/>
        <v>374</v>
      </c>
      <c r="E135" s="29">
        <f t="shared" ref="E135" si="199">E134</f>
        <v>247</v>
      </c>
      <c r="F135" s="25">
        <f t="shared" si="167"/>
        <v>394</v>
      </c>
      <c r="G135" s="29">
        <f t="shared" si="170"/>
        <v>267</v>
      </c>
      <c r="H135" s="4" t="s">
        <v>0</v>
      </c>
      <c r="I135" s="16" t="str">
        <f t="shared" si="115"/>
        <v>12-31</v>
      </c>
      <c r="J135" s="14">
        <f t="shared" si="116"/>
        <v>374</v>
      </c>
      <c r="K135" s="15">
        <f t="shared" si="117"/>
        <v>247</v>
      </c>
      <c r="L135" s="17">
        <f t="shared" si="118"/>
        <v>394</v>
      </c>
      <c r="M135" s="18">
        <f t="shared" si="119"/>
        <v>247</v>
      </c>
      <c r="N135" s="14">
        <f t="shared" si="120"/>
        <v>394</v>
      </c>
      <c r="O135" s="15">
        <f t="shared" si="121"/>
        <v>267</v>
      </c>
      <c r="P135" s="17">
        <f t="shared" si="122"/>
        <v>374</v>
      </c>
      <c r="Q135" s="18">
        <f t="shared" si="123"/>
        <v>267</v>
      </c>
      <c r="R135" s="4" t="s">
        <v>0</v>
      </c>
      <c r="S135" s="16" t="str">
        <f t="shared" si="124"/>
        <v>12-31</v>
      </c>
      <c r="T135" s="14">
        <f t="shared" si="125"/>
        <v>374</v>
      </c>
      <c r="U135" s="18">
        <f t="shared" si="126"/>
        <v>503</v>
      </c>
      <c r="V135" s="14">
        <f t="shared" si="127"/>
        <v>394</v>
      </c>
      <c r="W135" s="18">
        <f t="shared" si="128"/>
        <v>503</v>
      </c>
      <c r="X135" s="14">
        <f t="shared" si="129"/>
        <v>394</v>
      </c>
      <c r="Y135" s="18">
        <f t="shared" si="130"/>
        <v>483</v>
      </c>
      <c r="Z135" s="14">
        <f t="shared" si="131"/>
        <v>374</v>
      </c>
      <c r="AA135" s="18">
        <f t="shared" si="132"/>
        <v>483</v>
      </c>
      <c r="AB135" s="4" t="s">
        <v>0</v>
      </c>
    </row>
    <row r="136" spans="1:28">
      <c r="A136" s="9" t="s">
        <v>107</v>
      </c>
      <c r="B136" s="24"/>
      <c r="C136" s="26"/>
      <c r="D136" s="25">
        <f t="shared" si="165"/>
        <v>394</v>
      </c>
      <c r="E136" s="29">
        <f t="shared" ref="E136" si="200">E135</f>
        <v>247</v>
      </c>
      <c r="F136" s="25">
        <f t="shared" si="167"/>
        <v>414</v>
      </c>
      <c r="G136" s="29">
        <f t="shared" si="170"/>
        <v>267</v>
      </c>
      <c r="H136" s="4" t="s">
        <v>0</v>
      </c>
      <c r="I136" s="16" t="str">
        <f t="shared" si="115"/>
        <v>12-11</v>
      </c>
      <c r="J136" s="14">
        <f t="shared" si="116"/>
        <v>394</v>
      </c>
      <c r="K136" s="15">
        <f t="shared" si="117"/>
        <v>247</v>
      </c>
      <c r="L136" s="17">
        <f t="shared" si="118"/>
        <v>414</v>
      </c>
      <c r="M136" s="18">
        <f t="shared" si="119"/>
        <v>247</v>
      </c>
      <c r="N136" s="14">
        <f t="shared" si="120"/>
        <v>414</v>
      </c>
      <c r="O136" s="15">
        <f t="shared" si="121"/>
        <v>267</v>
      </c>
      <c r="P136" s="17">
        <f t="shared" si="122"/>
        <v>394</v>
      </c>
      <c r="Q136" s="18">
        <f t="shared" si="123"/>
        <v>267</v>
      </c>
      <c r="R136" s="4" t="s">
        <v>0</v>
      </c>
      <c r="S136" s="16" t="str">
        <f t="shared" si="124"/>
        <v>12-11</v>
      </c>
      <c r="T136" s="14">
        <f t="shared" si="125"/>
        <v>394</v>
      </c>
      <c r="U136" s="18">
        <f t="shared" si="126"/>
        <v>503</v>
      </c>
      <c r="V136" s="14">
        <f t="shared" si="127"/>
        <v>414</v>
      </c>
      <c r="W136" s="18">
        <f t="shared" si="128"/>
        <v>503</v>
      </c>
      <c r="X136" s="14">
        <f t="shared" si="129"/>
        <v>414</v>
      </c>
      <c r="Y136" s="18">
        <f t="shared" si="130"/>
        <v>483</v>
      </c>
      <c r="Z136" s="14">
        <f t="shared" si="131"/>
        <v>394</v>
      </c>
      <c r="AA136" s="18">
        <f t="shared" si="132"/>
        <v>483</v>
      </c>
      <c r="AB136" s="4" t="s">
        <v>0</v>
      </c>
    </row>
    <row r="137" spans="1:28">
      <c r="A137" s="9" t="s">
        <v>461</v>
      </c>
      <c r="B137" s="24"/>
      <c r="C137" s="26"/>
      <c r="D137" s="25">
        <f t="shared" si="165"/>
        <v>428</v>
      </c>
      <c r="E137" s="29">
        <f t="shared" ref="E137" si="201">E136</f>
        <v>247</v>
      </c>
      <c r="F137" s="25">
        <f t="shared" si="167"/>
        <v>448</v>
      </c>
      <c r="G137" s="29">
        <f t="shared" si="170"/>
        <v>267</v>
      </c>
      <c r="H137" s="4" t="s">
        <v>0</v>
      </c>
      <c r="I137" s="16" t="str">
        <f t="shared" si="115"/>
        <v>11-26</v>
      </c>
      <c r="J137" s="14">
        <f t="shared" si="116"/>
        <v>428</v>
      </c>
      <c r="K137" s="15">
        <f t="shared" si="117"/>
        <v>247</v>
      </c>
      <c r="L137" s="17">
        <f t="shared" si="118"/>
        <v>448</v>
      </c>
      <c r="M137" s="18">
        <f t="shared" si="119"/>
        <v>247</v>
      </c>
      <c r="N137" s="14">
        <f t="shared" si="120"/>
        <v>448</v>
      </c>
      <c r="O137" s="15">
        <f t="shared" si="121"/>
        <v>267</v>
      </c>
      <c r="P137" s="17">
        <f t="shared" si="122"/>
        <v>428</v>
      </c>
      <c r="Q137" s="18">
        <f t="shared" si="123"/>
        <v>267</v>
      </c>
      <c r="R137" s="4" t="s">
        <v>0</v>
      </c>
      <c r="S137" s="16" t="str">
        <f t="shared" si="124"/>
        <v>11-26</v>
      </c>
      <c r="T137" s="14">
        <f t="shared" si="125"/>
        <v>428</v>
      </c>
      <c r="U137" s="18">
        <f t="shared" si="126"/>
        <v>503</v>
      </c>
      <c r="V137" s="14">
        <f t="shared" si="127"/>
        <v>448</v>
      </c>
      <c r="W137" s="18">
        <f t="shared" si="128"/>
        <v>503</v>
      </c>
      <c r="X137" s="14">
        <f t="shared" si="129"/>
        <v>448</v>
      </c>
      <c r="Y137" s="18">
        <f t="shared" si="130"/>
        <v>483</v>
      </c>
      <c r="Z137" s="14">
        <f t="shared" si="131"/>
        <v>428</v>
      </c>
      <c r="AA137" s="18">
        <f t="shared" si="132"/>
        <v>483</v>
      </c>
      <c r="AB137" s="4" t="s">
        <v>0</v>
      </c>
    </row>
    <row r="138" spans="1:28">
      <c r="A138" s="9" t="s">
        <v>95</v>
      </c>
      <c r="B138" s="24"/>
      <c r="C138" s="26"/>
      <c r="D138" s="25">
        <f t="shared" si="165"/>
        <v>448</v>
      </c>
      <c r="E138" s="29">
        <f t="shared" ref="E138" si="202">E137</f>
        <v>247</v>
      </c>
      <c r="F138" s="25">
        <f t="shared" si="167"/>
        <v>468</v>
      </c>
      <c r="G138" s="29">
        <f t="shared" si="170"/>
        <v>267</v>
      </c>
      <c r="H138" s="4" t="s">
        <v>0</v>
      </c>
      <c r="I138" s="16" t="str">
        <f t="shared" ref="I138:I172" si="203">A138</f>
        <v>11-08</v>
      </c>
      <c r="J138" s="14">
        <f t="shared" ref="J138:J172" si="204">IF(D138&lt;&gt;"",D138,0)</f>
        <v>448</v>
      </c>
      <c r="K138" s="15">
        <f t="shared" ref="K138:K172" si="205">IF(E138&lt;&gt;"",E138,0)</f>
        <v>247</v>
      </c>
      <c r="L138" s="17">
        <f t="shared" ref="L138:L172" si="206">N138</f>
        <v>468</v>
      </c>
      <c r="M138" s="18">
        <f t="shared" ref="M138:M172" si="207">K138</f>
        <v>247</v>
      </c>
      <c r="N138" s="14">
        <f t="shared" ref="N138:N172" si="208">IF(F138&lt;&gt;"",F138,0)</f>
        <v>468</v>
      </c>
      <c r="O138" s="15">
        <f t="shared" ref="O138:O172" si="209">IF(G138&lt;&gt;"",G138,0)</f>
        <v>267</v>
      </c>
      <c r="P138" s="17">
        <f t="shared" ref="P138:P172" si="210">J138</f>
        <v>448</v>
      </c>
      <c r="Q138" s="18">
        <f t="shared" ref="Q138:Q172" si="211">O138</f>
        <v>267</v>
      </c>
      <c r="R138" s="4" t="s">
        <v>0</v>
      </c>
      <c r="S138" s="16" t="str">
        <f t="shared" ref="S138:S172" si="212">I138</f>
        <v>11-08</v>
      </c>
      <c r="T138" s="14">
        <f t="shared" ref="T138:T172" si="213">IF(J138&lt;&gt;"",J138,"")</f>
        <v>448</v>
      </c>
      <c r="U138" s="18">
        <f t="shared" ref="U138:U172" si="214">IF(K138&lt;&gt;"",U$6-K138,"")</f>
        <v>503</v>
      </c>
      <c r="V138" s="14">
        <f t="shared" ref="V138:V172" si="215">IF(L138&lt;&gt;"",L138,"")</f>
        <v>468</v>
      </c>
      <c r="W138" s="18">
        <f t="shared" ref="W138:W172" si="216">IF(M138&lt;&gt;"",W$6-M138,"")</f>
        <v>503</v>
      </c>
      <c r="X138" s="14">
        <f t="shared" ref="X138:X172" si="217">IF(N138&lt;&gt;"",N138,"")</f>
        <v>468</v>
      </c>
      <c r="Y138" s="18">
        <f t="shared" ref="Y138:Y172" si="218">IF(O138&lt;&gt;"",Y$6-O138,"")</f>
        <v>483</v>
      </c>
      <c r="Z138" s="14">
        <f t="shared" ref="Z138:Z172" si="219">IF(P138&lt;&gt;"",P138,"")</f>
        <v>448</v>
      </c>
      <c r="AA138" s="18">
        <f t="shared" ref="AA138:AA172" si="220">IF(Q138&lt;&gt;"",AA$6-Q138,"")</f>
        <v>483</v>
      </c>
      <c r="AB138" s="4" t="s">
        <v>0</v>
      </c>
    </row>
    <row r="139" spans="1:28">
      <c r="A139" s="9" t="s">
        <v>326</v>
      </c>
      <c r="B139" s="24"/>
      <c r="C139" s="26">
        <v>8</v>
      </c>
      <c r="D139" s="25">
        <f t="shared" si="165"/>
        <v>50</v>
      </c>
      <c r="E139" s="28">
        <f t="shared" ref="E139" si="221">ROUND(E$11+19.5*$C139, 0)</f>
        <v>266</v>
      </c>
      <c r="F139" s="25">
        <f t="shared" si="167"/>
        <v>70</v>
      </c>
      <c r="G139" s="28">
        <f t="shared" ref="G139" si="222">ROUND(G$11+19.5*$C139, 0)</f>
        <v>286</v>
      </c>
      <c r="H139" s="4" t="s">
        <v>0</v>
      </c>
      <c r="I139" s="16" t="str">
        <f t="shared" si="203"/>
        <v>20-22</v>
      </c>
      <c r="J139" s="14">
        <f t="shared" si="204"/>
        <v>50</v>
      </c>
      <c r="K139" s="15">
        <f t="shared" si="205"/>
        <v>266</v>
      </c>
      <c r="L139" s="17">
        <f t="shared" si="206"/>
        <v>70</v>
      </c>
      <c r="M139" s="18">
        <f t="shared" si="207"/>
        <v>266</v>
      </c>
      <c r="N139" s="14">
        <f t="shared" si="208"/>
        <v>70</v>
      </c>
      <c r="O139" s="15">
        <f t="shared" si="209"/>
        <v>286</v>
      </c>
      <c r="P139" s="17">
        <f t="shared" si="210"/>
        <v>50</v>
      </c>
      <c r="Q139" s="18">
        <f t="shared" si="211"/>
        <v>286</v>
      </c>
      <c r="R139" s="4" t="s">
        <v>0</v>
      </c>
      <c r="S139" s="16" t="str">
        <f t="shared" si="212"/>
        <v>20-22</v>
      </c>
      <c r="T139" s="14">
        <f t="shared" si="213"/>
        <v>50</v>
      </c>
      <c r="U139" s="18">
        <f t="shared" si="214"/>
        <v>484</v>
      </c>
      <c r="V139" s="14">
        <f t="shared" si="215"/>
        <v>70</v>
      </c>
      <c r="W139" s="18">
        <f t="shared" si="216"/>
        <v>484</v>
      </c>
      <c r="X139" s="14">
        <f t="shared" si="217"/>
        <v>70</v>
      </c>
      <c r="Y139" s="18">
        <f t="shared" si="218"/>
        <v>464</v>
      </c>
      <c r="Z139" s="14">
        <f t="shared" si="219"/>
        <v>50</v>
      </c>
      <c r="AA139" s="18">
        <f t="shared" si="220"/>
        <v>464</v>
      </c>
      <c r="AB139" s="4" t="s">
        <v>0</v>
      </c>
    </row>
    <row r="140" spans="1:28">
      <c r="A140" s="9" t="s">
        <v>313</v>
      </c>
      <c r="B140" s="24"/>
      <c r="C140" s="26"/>
      <c r="D140" s="25">
        <f t="shared" si="165"/>
        <v>70</v>
      </c>
      <c r="E140" s="29">
        <f t="shared" ref="E140" si="223">E139</f>
        <v>266</v>
      </c>
      <c r="F140" s="25">
        <f t="shared" si="167"/>
        <v>90</v>
      </c>
      <c r="G140" s="29">
        <f t="shared" ref="G140" si="224">G139</f>
        <v>286</v>
      </c>
      <c r="H140" s="4" t="s">
        <v>0</v>
      </c>
      <c r="I140" s="16" t="str">
        <f t="shared" si="203"/>
        <v>20-06</v>
      </c>
      <c r="J140" s="14">
        <f t="shared" si="204"/>
        <v>70</v>
      </c>
      <c r="K140" s="15">
        <f t="shared" si="205"/>
        <v>266</v>
      </c>
      <c r="L140" s="17">
        <f t="shared" si="206"/>
        <v>90</v>
      </c>
      <c r="M140" s="18">
        <f t="shared" si="207"/>
        <v>266</v>
      </c>
      <c r="N140" s="14">
        <f t="shared" si="208"/>
        <v>90</v>
      </c>
      <c r="O140" s="15">
        <f t="shared" si="209"/>
        <v>286</v>
      </c>
      <c r="P140" s="17">
        <f t="shared" si="210"/>
        <v>70</v>
      </c>
      <c r="Q140" s="18">
        <f t="shared" si="211"/>
        <v>286</v>
      </c>
      <c r="R140" s="4" t="s">
        <v>0</v>
      </c>
      <c r="S140" s="16" t="str">
        <f t="shared" si="212"/>
        <v>20-06</v>
      </c>
      <c r="T140" s="14">
        <f t="shared" si="213"/>
        <v>70</v>
      </c>
      <c r="U140" s="18">
        <f t="shared" si="214"/>
        <v>484</v>
      </c>
      <c r="V140" s="14">
        <f t="shared" si="215"/>
        <v>90</v>
      </c>
      <c r="W140" s="18">
        <f t="shared" si="216"/>
        <v>484</v>
      </c>
      <c r="X140" s="14">
        <f t="shared" si="217"/>
        <v>90</v>
      </c>
      <c r="Y140" s="18">
        <f t="shared" si="218"/>
        <v>464</v>
      </c>
      <c r="Z140" s="14">
        <f t="shared" si="219"/>
        <v>70</v>
      </c>
      <c r="AA140" s="18">
        <f t="shared" si="220"/>
        <v>464</v>
      </c>
      <c r="AB140" s="4" t="s">
        <v>0</v>
      </c>
    </row>
    <row r="141" spans="1:28">
      <c r="A141" s="9" t="s">
        <v>308</v>
      </c>
      <c r="B141" s="24"/>
      <c r="C141" s="26"/>
      <c r="D141" s="25">
        <f t="shared" si="165"/>
        <v>104</v>
      </c>
      <c r="E141" s="29">
        <f t="shared" ref="E141" si="225">E140</f>
        <v>266</v>
      </c>
      <c r="F141" s="25">
        <f t="shared" si="167"/>
        <v>124</v>
      </c>
      <c r="G141" s="29">
        <f t="shared" si="170"/>
        <v>286</v>
      </c>
      <c r="H141" s="4" t="s">
        <v>0</v>
      </c>
      <c r="I141" s="16" t="str">
        <f t="shared" si="203"/>
        <v>18-30</v>
      </c>
      <c r="J141" s="14">
        <f t="shared" si="204"/>
        <v>104</v>
      </c>
      <c r="K141" s="15">
        <f t="shared" si="205"/>
        <v>266</v>
      </c>
      <c r="L141" s="17">
        <f t="shared" si="206"/>
        <v>124</v>
      </c>
      <c r="M141" s="18">
        <f t="shared" si="207"/>
        <v>266</v>
      </c>
      <c r="N141" s="14">
        <f t="shared" si="208"/>
        <v>124</v>
      </c>
      <c r="O141" s="15">
        <f t="shared" si="209"/>
        <v>286</v>
      </c>
      <c r="P141" s="17">
        <f t="shared" si="210"/>
        <v>104</v>
      </c>
      <c r="Q141" s="18">
        <f t="shared" si="211"/>
        <v>286</v>
      </c>
      <c r="R141" s="4" t="s">
        <v>0</v>
      </c>
      <c r="S141" s="16" t="str">
        <f t="shared" si="212"/>
        <v>18-30</v>
      </c>
      <c r="T141" s="14">
        <f t="shared" si="213"/>
        <v>104</v>
      </c>
      <c r="U141" s="18">
        <f t="shared" si="214"/>
        <v>484</v>
      </c>
      <c r="V141" s="14">
        <f t="shared" si="215"/>
        <v>124</v>
      </c>
      <c r="W141" s="18">
        <f t="shared" si="216"/>
        <v>484</v>
      </c>
      <c r="X141" s="14">
        <f t="shared" si="217"/>
        <v>124</v>
      </c>
      <c r="Y141" s="18">
        <f t="shared" si="218"/>
        <v>464</v>
      </c>
      <c r="Z141" s="14">
        <f t="shared" si="219"/>
        <v>104</v>
      </c>
      <c r="AA141" s="18">
        <f t="shared" si="220"/>
        <v>464</v>
      </c>
      <c r="AB141" s="4" t="s">
        <v>0</v>
      </c>
    </row>
    <row r="142" spans="1:28">
      <c r="A142" s="9" t="s">
        <v>292</v>
      </c>
      <c r="B142" s="24"/>
      <c r="C142" s="26"/>
      <c r="D142" s="25">
        <f t="shared" si="165"/>
        <v>124</v>
      </c>
      <c r="E142" s="29">
        <f t="shared" ref="E142" si="226">E141</f>
        <v>266</v>
      </c>
      <c r="F142" s="25">
        <f t="shared" si="167"/>
        <v>144</v>
      </c>
      <c r="G142" s="29">
        <f t="shared" si="170"/>
        <v>286</v>
      </c>
      <c r="H142" s="4" t="s">
        <v>0</v>
      </c>
      <c r="I142" s="16" t="str">
        <f t="shared" si="203"/>
        <v>18-10</v>
      </c>
      <c r="J142" s="14">
        <f t="shared" si="204"/>
        <v>124</v>
      </c>
      <c r="K142" s="15">
        <f t="shared" si="205"/>
        <v>266</v>
      </c>
      <c r="L142" s="17">
        <f t="shared" si="206"/>
        <v>144</v>
      </c>
      <c r="M142" s="18">
        <f t="shared" si="207"/>
        <v>266</v>
      </c>
      <c r="N142" s="14">
        <f t="shared" si="208"/>
        <v>144</v>
      </c>
      <c r="O142" s="15">
        <f t="shared" si="209"/>
        <v>286</v>
      </c>
      <c r="P142" s="17">
        <f t="shared" si="210"/>
        <v>124</v>
      </c>
      <c r="Q142" s="18">
        <f t="shared" si="211"/>
        <v>286</v>
      </c>
      <c r="R142" s="4" t="s">
        <v>0</v>
      </c>
      <c r="S142" s="16" t="str">
        <f t="shared" si="212"/>
        <v>18-10</v>
      </c>
      <c r="T142" s="14">
        <f t="shared" si="213"/>
        <v>124</v>
      </c>
      <c r="U142" s="18">
        <f t="shared" si="214"/>
        <v>484</v>
      </c>
      <c r="V142" s="14">
        <f t="shared" si="215"/>
        <v>144</v>
      </c>
      <c r="W142" s="18">
        <f t="shared" si="216"/>
        <v>484</v>
      </c>
      <c r="X142" s="14">
        <f t="shared" si="217"/>
        <v>144</v>
      </c>
      <c r="Y142" s="18">
        <f t="shared" si="218"/>
        <v>464</v>
      </c>
      <c r="Z142" s="14">
        <f t="shared" si="219"/>
        <v>124</v>
      </c>
      <c r="AA142" s="18">
        <f t="shared" si="220"/>
        <v>464</v>
      </c>
      <c r="AB142" s="4" t="s">
        <v>0</v>
      </c>
    </row>
    <row r="143" spans="1:28">
      <c r="A143" s="9" t="s">
        <v>527</v>
      </c>
      <c r="B143" s="24"/>
      <c r="C143" s="26"/>
      <c r="D143" s="25">
        <f t="shared" si="165"/>
        <v>158</v>
      </c>
      <c r="E143" s="29">
        <f t="shared" ref="E143" si="227">E142</f>
        <v>266</v>
      </c>
      <c r="F143" s="25">
        <f t="shared" si="167"/>
        <v>178</v>
      </c>
      <c r="G143" s="29">
        <f t="shared" si="170"/>
        <v>286</v>
      </c>
      <c r="H143" s="4" t="s">
        <v>0</v>
      </c>
      <c r="I143" s="16" t="str">
        <f t="shared" si="203"/>
        <v>17-30</v>
      </c>
      <c r="J143" s="14">
        <f t="shared" si="204"/>
        <v>158</v>
      </c>
      <c r="K143" s="15">
        <f t="shared" si="205"/>
        <v>266</v>
      </c>
      <c r="L143" s="17">
        <f t="shared" si="206"/>
        <v>178</v>
      </c>
      <c r="M143" s="18">
        <f t="shared" si="207"/>
        <v>266</v>
      </c>
      <c r="N143" s="14">
        <f t="shared" si="208"/>
        <v>178</v>
      </c>
      <c r="O143" s="15">
        <f t="shared" si="209"/>
        <v>286</v>
      </c>
      <c r="P143" s="17">
        <f t="shared" si="210"/>
        <v>158</v>
      </c>
      <c r="Q143" s="18">
        <f t="shared" si="211"/>
        <v>286</v>
      </c>
      <c r="R143" s="4" t="s">
        <v>0</v>
      </c>
      <c r="S143" s="16" t="str">
        <f t="shared" si="212"/>
        <v>17-30</v>
      </c>
      <c r="T143" s="14">
        <f t="shared" si="213"/>
        <v>158</v>
      </c>
      <c r="U143" s="18">
        <f t="shared" si="214"/>
        <v>484</v>
      </c>
      <c r="V143" s="14">
        <f t="shared" si="215"/>
        <v>178</v>
      </c>
      <c r="W143" s="18">
        <f t="shared" si="216"/>
        <v>484</v>
      </c>
      <c r="X143" s="14">
        <f t="shared" si="217"/>
        <v>178</v>
      </c>
      <c r="Y143" s="18">
        <f t="shared" si="218"/>
        <v>464</v>
      </c>
      <c r="Z143" s="14">
        <f t="shared" si="219"/>
        <v>158</v>
      </c>
      <c r="AA143" s="18">
        <f t="shared" si="220"/>
        <v>464</v>
      </c>
      <c r="AB143" s="4" t="s">
        <v>0</v>
      </c>
    </row>
    <row r="144" spans="1:28">
      <c r="A144" s="9" t="s">
        <v>271</v>
      </c>
      <c r="B144" s="24"/>
      <c r="C144" s="26"/>
      <c r="D144" s="25">
        <f t="shared" si="165"/>
        <v>178</v>
      </c>
      <c r="E144" s="29">
        <f t="shared" ref="E144" si="228">E143</f>
        <v>266</v>
      </c>
      <c r="F144" s="25">
        <f t="shared" si="167"/>
        <v>198</v>
      </c>
      <c r="G144" s="29">
        <f t="shared" si="170"/>
        <v>286</v>
      </c>
      <c r="H144" s="4" t="s">
        <v>0</v>
      </c>
      <c r="I144" s="16" t="str">
        <f t="shared" si="203"/>
        <v>17-10</v>
      </c>
      <c r="J144" s="14">
        <f t="shared" si="204"/>
        <v>178</v>
      </c>
      <c r="K144" s="15">
        <f t="shared" si="205"/>
        <v>266</v>
      </c>
      <c r="L144" s="17">
        <f t="shared" si="206"/>
        <v>198</v>
      </c>
      <c r="M144" s="18">
        <f t="shared" si="207"/>
        <v>266</v>
      </c>
      <c r="N144" s="14">
        <f t="shared" si="208"/>
        <v>198</v>
      </c>
      <c r="O144" s="15">
        <f t="shared" si="209"/>
        <v>286</v>
      </c>
      <c r="P144" s="17">
        <f t="shared" si="210"/>
        <v>178</v>
      </c>
      <c r="Q144" s="18">
        <f t="shared" si="211"/>
        <v>286</v>
      </c>
      <c r="R144" s="4" t="s">
        <v>0</v>
      </c>
      <c r="S144" s="16" t="str">
        <f t="shared" si="212"/>
        <v>17-10</v>
      </c>
      <c r="T144" s="14">
        <f t="shared" si="213"/>
        <v>178</v>
      </c>
      <c r="U144" s="18">
        <f t="shared" si="214"/>
        <v>484</v>
      </c>
      <c r="V144" s="14">
        <f t="shared" si="215"/>
        <v>198</v>
      </c>
      <c r="W144" s="18">
        <f t="shared" si="216"/>
        <v>484</v>
      </c>
      <c r="X144" s="14">
        <f t="shared" si="217"/>
        <v>198</v>
      </c>
      <c r="Y144" s="18">
        <f t="shared" si="218"/>
        <v>464</v>
      </c>
      <c r="Z144" s="14">
        <f t="shared" si="219"/>
        <v>178</v>
      </c>
      <c r="AA144" s="18">
        <f t="shared" si="220"/>
        <v>464</v>
      </c>
      <c r="AB144" s="4" t="s">
        <v>0</v>
      </c>
    </row>
    <row r="145" spans="1:28">
      <c r="A145" s="9" t="s">
        <v>516</v>
      </c>
      <c r="B145" s="24"/>
      <c r="C145" s="26"/>
      <c r="D145" s="25">
        <f t="shared" si="165"/>
        <v>212</v>
      </c>
      <c r="E145" s="29">
        <f t="shared" ref="E145" si="229">E144</f>
        <v>266</v>
      </c>
      <c r="F145" s="25">
        <f t="shared" si="167"/>
        <v>232</v>
      </c>
      <c r="G145" s="29">
        <f t="shared" si="170"/>
        <v>286</v>
      </c>
      <c r="H145" s="4" t="s">
        <v>0</v>
      </c>
      <c r="I145" s="16" t="str">
        <f t="shared" si="203"/>
        <v>16-30</v>
      </c>
      <c r="J145" s="14">
        <f t="shared" si="204"/>
        <v>212</v>
      </c>
      <c r="K145" s="15">
        <f t="shared" si="205"/>
        <v>266</v>
      </c>
      <c r="L145" s="17">
        <f t="shared" si="206"/>
        <v>232</v>
      </c>
      <c r="M145" s="18">
        <f t="shared" si="207"/>
        <v>266</v>
      </c>
      <c r="N145" s="14">
        <f t="shared" si="208"/>
        <v>232</v>
      </c>
      <c r="O145" s="15">
        <f t="shared" si="209"/>
        <v>286</v>
      </c>
      <c r="P145" s="17">
        <f t="shared" si="210"/>
        <v>212</v>
      </c>
      <c r="Q145" s="18">
        <f t="shared" si="211"/>
        <v>286</v>
      </c>
      <c r="R145" s="4" t="s">
        <v>0</v>
      </c>
      <c r="S145" s="16" t="str">
        <f t="shared" si="212"/>
        <v>16-30</v>
      </c>
      <c r="T145" s="14">
        <f t="shared" si="213"/>
        <v>212</v>
      </c>
      <c r="U145" s="18">
        <f t="shared" si="214"/>
        <v>484</v>
      </c>
      <c r="V145" s="14">
        <f t="shared" si="215"/>
        <v>232</v>
      </c>
      <c r="W145" s="18">
        <f t="shared" si="216"/>
        <v>484</v>
      </c>
      <c r="X145" s="14">
        <f t="shared" si="217"/>
        <v>232</v>
      </c>
      <c r="Y145" s="18">
        <f t="shared" si="218"/>
        <v>464</v>
      </c>
      <c r="Z145" s="14">
        <f t="shared" si="219"/>
        <v>212</v>
      </c>
      <c r="AA145" s="18">
        <f t="shared" si="220"/>
        <v>464</v>
      </c>
      <c r="AB145" s="4" t="s">
        <v>0</v>
      </c>
    </row>
    <row r="146" spans="1:28">
      <c r="A146" s="9" t="s">
        <v>250</v>
      </c>
      <c r="B146" s="24"/>
      <c r="C146" s="26"/>
      <c r="D146" s="25">
        <f t="shared" si="165"/>
        <v>232</v>
      </c>
      <c r="E146" s="29">
        <f t="shared" ref="E146" si="230">E145</f>
        <v>266</v>
      </c>
      <c r="F146" s="25">
        <f t="shared" si="167"/>
        <v>252</v>
      </c>
      <c r="G146" s="29">
        <f t="shared" si="170"/>
        <v>286</v>
      </c>
      <c r="H146" s="4" t="s">
        <v>0</v>
      </c>
      <c r="I146" s="16" t="str">
        <f t="shared" si="203"/>
        <v>16-10</v>
      </c>
      <c r="J146" s="14">
        <f t="shared" si="204"/>
        <v>232</v>
      </c>
      <c r="K146" s="15">
        <f t="shared" si="205"/>
        <v>266</v>
      </c>
      <c r="L146" s="17">
        <f t="shared" si="206"/>
        <v>252</v>
      </c>
      <c r="M146" s="18">
        <f t="shared" si="207"/>
        <v>266</v>
      </c>
      <c r="N146" s="14">
        <f t="shared" si="208"/>
        <v>252</v>
      </c>
      <c r="O146" s="15">
        <f t="shared" si="209"/>
        <v>286</v>
      </c>
      <c r="P146" s="17">
        <f t="shared" si="210"/>
        <v>232</v>
      </c>
      <c r="Q146" s="18">
        <f t="shared" si="211"/>
        <v>286</v>
      </c>
      <c r="R146" s="4" t="s">
        <v>0</v>
      </c>
      <c r="S146" s="16" t="str">
        <f t="shared" si="212"/>
        <v>16-10</v>
      </c>
      <c r="T146" s="14">
        <f t="shared" si="213"/>
        <v>232</v>
      </c>
      <c r="U146" s="18">
        <f t="shared" si="214"/>
        <v>484</v>
      </c>
      <c r="V146" s="14">
        <f t="shared" si="215"/>
        <v>252</v>
      </c>
      <c r="W146" s="18">
        <f t="shared" si="216"/>
        <v>484</v>
      </c>
      <c r="X146" s="14">
        <f t="shared" si="217"/>
        <v>252</v>
      </c>
      <c r="Y146" s="18">
        <f t="shared" si="218"/>
        <v>464</v>
      </c>
      <c r="Z146" s="14">
        <f t="shared" si="219"/>
        <v>232</v>
      </c>
      <c r="AA146" s="18">
        <f t="shared" si="220"/>
        <v>464</v>
      </c>
      <c r="AB146" s="4" t="s">
        <v>0</v>
      </c>
    </row>
    <row r="147" spans="1:28">
      <c r="A147" s="9" t="s">
        <v>505</v>
      </c>
      <c r="B147" s="24"/>
      <c r="C147" s="26"/>
      <c r="D147" s="25">
        <f t="shared" si="165"/>
        <v>266</v>
      </c>
      <c r="E147" s="29">
        <f t="shared" ref="E147" si="231">E146</f>
        <v>266</v>
      </c>
      <c r="F147" s="25">
        <f t="shared" si="167"/>
        <v>286</v>
      </c>
      <c r="G147" s="29">
        <f t="shared" si="170"/>
        <v>286</v>
      </c>
      <c r="H147" s="4" t="s">
        <v>0</v>
      </c>
      <c r="I147" s="16" t="str">
        <f t="shared" si="203"/>
        <v>15-30</v>
      </c>
      <c r="J147" s="14">
        <f t="shared" si="204"/>
        <v>266</v>
      </c>
      <c r="K147" s="15">
        <f t="shared" si="205"/>
        <v>266</v>
      </c>
      <c r="L147" s="17">
        <f t="shared" si="206"/>
        <v>286</v>
      </c>
      <c r="M147" s="18">
        <f t="shared" si="207"/>
        <v>266</v>
      </c>
      <c r="N147" s="14">
        <f t="shared" si="208"/>
        <v>286</v>
      </c>
      <c r="O147" s="15">
        <f t="shared" si="209"/>
        <v>286</v>
      </c>
      <c r="P147" s="17">
        <f t="shared" si="210"/>
        <v>266</v>
      </c>
      <c r="Q147" s="18">
        <f t="shared" si="211"/>
        <v>286</v>
      </c>
      <c r="R147" s="4" t="s">
        <v>0</v>
      </c>
      <c r="S147" s="16" t="str">
        <f t="shared" si="212"/>
        <v>15-30</v>
      </c>
      <c r="T147" s="14">
        <f t="shared" si="213"/>
        <v>266</v>
      </c>
      <c r="U147" s="18">
        <f t="shared" si="214"/>
        <v>484</v>
      </c>
      <c r="V147" s="14">
        <f t="shared" si="215"/>
        <v>286</v>
      </c>
      <c r="W147" s="18">
        <f t="shared" si="216"/>
        <v>484</v>
      </c>
      <c r="X147" s="14">
        <f t="shared" si="217"/>
        <v>286</v>
      </c>
      <c r="Y147" s="18">
        <f t="shared" si="218"/>
        <v>464</v>
      </c>
      <c r="Z147" s="14">
        <f t="shared" si="219"/>
        <v>266</v>
      </c>
      <c r="AA147" s="18">
        <f t="shared" si="220"/>
        <v>464</v>
      </c>
      <c r="AB147" s="4" t="s">
        <v>0</v>
      </c>
    </row>
    <row r="148" spans="1:28">
      <c r="A148" s="9" t="s">
        <v>231</v>
      </c>
      <c r="B148" s="24"/>
      <c r="C148" s="26"/>
      <c r="D148" s="25">
        <f t="shared" si="165"/>
        <v>286</v>
      </c>
      <c r="E148" s="29">
        <f t="shared" ref="E148" si="232">E147</f>
        <v>266</v>
      </c>
      <c r="F148" s="25">
        <f t="shared" si="167"/>
        <v>306</v>
      </c>
      <c r="G148" s="29">
        <f t="shared" si="170"/>
        <v>286</v>
      </c>
      <c r="H148" s="4" t="s">
        <v>0</v>
      </c>
      <c r="I148" s="16" t="str">
        <f t="shared" si="203"/>
        <v>15-10</v>
      </c>
      <c r="J148" s="14">
        <f t="shared" si="204"/>
        <v>286</v>
      </c>
      <c r="K148" s="15">
        <f t="shared" si="205"/>
        <v>266</v>
      </c>
      <c r="L148" s="17">
        <f t="shared" si="206"/>
        <v>306</v>
      </c>
      <c r="M148" s="18">
        <f t="shared" si="207"/>
        <v>266</v>
      </c>
      <c r="N148" s="14">
        <f t="shared" si="208"/>
        <v>306</v>
      </c>
      <c r="O148" s="15">
        <f t="shared" si="209"/>
        <v>286</v>
      </c>
      <c r="P148" s="17">
        <f t="shared" si="210"/>
        <v>286</v>
      </c>
      <c r="Q148" s="18">
        <f t="shared" si="211"/>
        <v>286</v>
      </c>
      <c r="R148" s="4" t="s">
        <v>0</v>
      </c>
      <c r="S148" s="16" t="str">
        <f t="shared" si="212"/>
        <v>15-10</v>
      </c>
      <c r="T148" s="14">
        <f t="shared" si="213"/>
        <v>286</v>
      </c>
      <c r="U148" s="18">
        <f t="shared" si="214"/>
        <v>484</v>
      </c>
      <c r="V148" s="14">
        <f t="shared" si="215"/>
        <v>306</v>
      </c>
      <c r="W148" s="18">
        <f t="shared" si="216"/>
        <v>484</v>
      </c>
      <c r="X148" s="14">
        <f t="shared" si="217"/>
        <v>306</v>
      </c>
      <c r="Y148" s="18">
        <f t="shared" si="218"/>
        <v>464</v>
      </c>
      <c r="Z148" s="14">
        <f t="shared" si="219"/>
        <v>286</v>
      </c>
      <c r="AA148" s="18">
        <f t="shared" si="220"/>
        <v>464</v>
      </c>
      <c r="AB148" s="4" t="s">
        <v>0</v>
      </c>
    </row>
    <row r="149" spans="1:28">
      <c r="A149" s="9" t="s">
        <v>490</v>
      </c>
      <c r="B149" s="24"/>
      <c r="C149" s="26"/>
      <c r="D149" s="25">
        <f t="shared" si="165"/>
        <v>320</v>
      </c>
      <c r="E149" s="29">
        <f t="shared" ref="E149" si="233">E148</f>
        <v>266</v>
      </c>
      <c r="F149" s="25">
        <f t="shared" si="167"/>
        <v>340</v>
      </c>
      <c r="G149" s="29">
        <f t="shared" si="170"/>
        <v>286</v>
      </c>
      <c r="H149" s="4" t="s">
        <v>0</v>
      </c>
      <c r="I149" s="16" t="str">
        <f t="shared" si="203"/>
        <v>13-30</v>
      </c>
      <c r="J149" s="14">
        <f t="shared" si="204"/>
        <v>320</v>
      </c>
      <c r="K149" s="15">
        <f t="shared" si="205"/>
        <v>266</v>
      </c>
      <c r="L149" s="17">
        <f t="shared" si="206"/>
        <v>340</v>
      </c>
      <c r="M149" s="18">
        <f t="shared" si="207"/>
        <v>266</v>
      </c>
      <c r="N149" s="14">
        <f t="shared" si="208"/>
        <v>340</v>
      </c>
      <c r="O149" s="15">
        <f t="shared" si="209"/>
        <v>286</v>
      </c>
      <c r="P149" s="17">
        <f t="shared" si="210"/>
        <v>320</v>
      </c>
      <c r="Q149" s="18">
        <f t="shared" si="211"/>
        <v>286</v>
      </c>
      <c r="R149" s="4" t="s">
        <v>0</v>
      </c>
      <c r="S149" s="16" t="str">
        <f t="shared" si="212"/>
        <v>13-30</v>
      </c>
      <c r="T149" s="14">
        <f t="shared" si="213"/>
        <v>320</v>
      </c>
      <c r="U149" s="18">
        <f t="shared" si="214"/>
        <v>484</v>
      </c>
      <c r="V149" s="14">
        <f t="shared" si="215"/>
        <v>340</v>
      </c>
      <c r="W149" s="18">
        <f t="shared" si="216"/>
        <v>484</v>
      </c>
      <c r="X149" s="14">
        <f t="shared" si="217"/>
        <v>340</v>
      </c>
      <c r="Y149" s="18">
        <f t="shared" si="218"/>
        <v>464</v>
      </c>
      <c r="Z149" s="14">
        <f t="shared" si="219"/>
        <v>320</v>
      </c>
      <c r="AA149" s="18">
        <f t="shared" si="220"/>
        <v>464</v>
      </c>
      <c r="AB149" s="4" t="s">
        <v>0</v>
      </c>
    </row>
    <row r="150" spans="1:28">
      <c r="A150" s="9" t="s">
        <v>214</v>
      </c>
      <c r="B150" s="24"/>
      <c r="C150" s="26"/>
      <c r="D150" s="25">
        <f t="shared" si="165"/>
        <v>340</v>
      </c>
      <c r="E150" s="29">
        <f t="shared" ref="E150" si="234">E149</f>
        <v>266</v>
      </c>
      <c r="F150" s="25">
        <f t="shared" si="167"/>
        <v>360</v>
      </c>
      <c r="G150" s="29">
        <f t="shared" si="170"/>
        <v>286</v>
      </c>
      <c r="H150" s="4" t="s">
        <v>0</v>
      </c>
      <c r="I150" s="16" t="str">
        <f t="shared" si="203"/>
        <v>13-10</v>
      </c>
      <c r="J150" s="14">
        <f t="shared" si="204"/>
        <v>340</v>
      </c>
      <c r="K150" s="15">
        <f t="shared" si="205"/>
        <v>266</v>
      </c>
      <c r="L150" s="17">
        <f t="shared" si="206"/>
        <v>360</v>
      </c>
      <c r="M150" s="18">
        <f t="shared" si="207"/>
        <v>266</v>
      </c>
      <c r="N150" s="14">
        <f t="shared" si="208"/>
        <v>360</v>
      </c>
      <c r="O150" s="15">
        <f t="shared" si="209"/>
        <v>286</v>
      </c>
      <c r="P150" s="17">
        <f t="shared" si="210"/>
        <v>340</v>
      </c>
      <c r="Q150" s="18">
        <f t="shared" si="211"/>
        <v>286</v>
      </c>
      <c r="R150" s="4" t="s">
        <v>0</v>
      </c>
      <c r="S150" s="16" t="str">
        <f t="shared" si="212"/>
        <v>13-10</v>
      </c>
      <c r="T150" s="14">
        <f t="shared" si="213"/>
        <v>340</v>
      </c>
      <c r="U150" s="18">
        <f t="shared" si="214"/>
        <v>484</v>
      </c>
      <c r="V150" s="14">
        <f t="shared" si="215"/>
        <v>360</v>
      </c>
      <c r="W150" s="18">
        <f t="shared" si="216"/>
        <v>484</v>
      </c>
      <c r="X150" s="14">
        <f t="shared" si="217"/>
        <v>360</v>
      </c>
      <c r="Y150" s="18">
        <f t="shared" si="218"/>
        <v>464</v>
      </c>
      <c r="Z150" s="14">
        <f t="shared" si="219"/>
        <v>340</v>
      </c>
      <c r="AA150" s="18">
        <f t="shared" si="220"/>
        <v>464</v>
      </c>
      <c r="AB150" s="4" t="s">
        <v>0</v>
      </c>
    </row>
    <row r="151" spans="1:28">
      <c r="A151" s="9" t="s">
        <v>475</v>
      </c>
      <c r="B151" s="24"/>
      <c r="C151" s="26"/>
      <c r="D151" s="25">
        <f t="shared" si="165"/>
        <v>374</v>
      </c>
      <c r="E151" s="29">
        <f t="shared" ref="E151" si="235">E150</f>
        <v>266</v>
      </c>
      <c r="F151" s="25">
        <f t="shared" si="167"/>
        <v>394</v>
      </c>
      <c r="G151" s="29">
        <f t="shared" si="170"/>
        <v>286</v>
      </c>
      <c r="H151" s="4" t="s">
        <v>0</v>
      </c>
      <c r="I151" s="16" t="str">
        <f t="shared" si="203"/>
        <v>12-30</v>
      </c>
      <c r="J151" s="14">
        <f t="shared" si="204"/>
        <v>374</v>
      </c>
      <c r="K151" s="15">
        <f t="shared" si="205"/>
        <v>266</v>
      </c>
      <c r="L151" s="17">
        <f t="shared" si="206"/>
        <v>394</v>
      </c>
      <c r="M151" s="18">
        <f t="shared" si="207"/>
        <v>266</v>
      </c>
      <c r="N151" s="14">
        <f t="shared" si="208"/>
        <v>394</v>
      </c>
      <c r="O151" s="15">
        <f t="shared" si="209"/>
        <v>286</v>
      </c>
      <c r="P151" s="17">
        <f t="shared" si="210"/>
        <v>374</v>
      </c>
      <c r="Q151" s="18">
        <f t="shared" si="211"/>
        <v>286</v>
      </c>
      <c r="R151" s="4" t="s">
        <v>0</v>
      </c>
      <c r="S151" s="16" t="str">
        <f t="shared" si="212"/>
        <v>12-30</v>
      </c>
      <c r="T151" s="14">
        <f t="shared" si="213"/>
        <v>374</v>
      </c>
      <c r="U151" s="18">
        <f t="shared" si="214"/>
        <v>484</v>
      </c>
      <c r="V151" s="14">
        <f t="shared" si="215"/>
        <v>394</v>
      </c>
      <c r="W151" s="18">
        <f t="shared" si="216"/>
        <v>484</v>
      </c>
      <c r="X151" s="14">
        <f t="shared" si="217"/>
        <v>394</v>
      </c>
      <c r="Y151" s="18">
        <f t="shared" si="218"/>
        <v>464</v>
      </c>
      <c r="Z151" s="14">
        <f t="shared" si="219"/>
        <v>374</v>
      </c>
      <c r="AA151" s="18">
        <f t="shared" si="220"/>
        <v>464</v>
      </c>
      <c r="AB151" s="4" t="s">
        <v>0</v>
      </c>
    </row>
    <row r="152" spans="1:28">
      <c r="A152" s="9" t="s">
        <v>106</v>
      </c>
      <c r="B152" s="24"/>
      <c r="C152" s="26"/>
      <c r="D152" s="25">
        <f t="shared" si="165"/>
        <v>394</v>
      </c>
      <c r="E152" s="29">
        <f t="shared" ref="E152" si="236">E151</f>
        <v>266</v>
      </c>
      <c r="F152" s="25">
        <f t="shared" si="167"/>
        <v>414</v>
      </c>
      <c r="G152" s="29">
        <f t="shared" si="170"/>
        <v>286</v>
      </c>
      <c r="H152" s="4" t="s">
        <v>0</v>
      </c>
      <c r="I152" s="16" t="str">
        <f t="shared" si="203"/>
        <v>12-10</v>
      </c>
      <c r="J152" s="14">
        <f t="shared" si="204"/>
        <v>394</v>
      </c>
      <c r="K152" s="15">
        <f t="shared" si="205"/>
        <v>266</v>
      </c>
      <c r="L152" s="17">
        <f t="shared" si="206"/>
        <v>414</v>
      </c>
      <c r="M152" s="18">
        <f t="shared" si="207"/>
        <v>266</v>
      </c>
      <c r="N152" s="14">
        <f t="shared" si="208"/>
        <v>414</v>
      </c>
      <c r="O152" s="15">
        <f t="shared" si="209"/>
        <v>286</v>
      </c>
      <c r="P152" s="17">
        <f t="shared" si="210"/>
        <v>394</v>
      </c>
      <c r="Q152" s="18">
        <f t="shared" si="211"/>
        <v>286</v>
      </c>
      <c r="R152" s="4" t="s">
        <v>0</v>
      </c>
      <c r="S152" s="16" t="str">
        <f t="shared" si="212"/>
        <v>12-10</v>
      </c>
      <c r="T152" s="14">
        <f t="shared" si="213"/>
        <v>394</v>
      </c>
      <c r="U152" s="18">
        <f t="shared" si="214"/>
        <v>484</v>
      </c>
      <c r="V152" s="14">
        <f t="shared" si="215"/>
        <v>414</v>
      </c>
      <c r="W152" s="18">
        <f t="shared" si="216"/>
        <v>484</v>
      </c>
      <c r="X152" s="14">
        <f t="shared" si="217"/>
        <v>414</v>
      </c>
      <c r="Y152" s="18">
        <f t="shared" si="218"/>
        <v>464</v>
      </c>
      <c r="Z152" s="14">
        <f t="shared" si="219"/>
        <v>394</v>
      </c>
      <c r="AA152" s="18">
        <f t="shared" si="220"/>
        <v>464</v>
      </c>
      <c r="AB152" s="4" t="s">
        <v>0</v>
      </c>
    </row>
    <row r="153" spans="1:28">
      <c r="A153" s="9" t="s">
        <v>460</v>
      </c>
      <c r="B153" s="24"/>
      <c r="C153" s="26"/>
      <c r="D153" s="25">
        <f t="shared" si="165"/>
        <v>428</v>
      </c>
      <c r="E153" s="29">
        <f t="shared" ref="E153" si="237">E152</f>
        <v>266</v>
      </c>
      <c r="F153" s="25">
        <f t="shared" si="167"/>
        <v>448</v>
      </c>
      <c r="G153" s="29">
        <f t="shared" si="170"/>
        <v>286</v>
      </c>
      <c r="H153" s="4" t="s">
        <v>0</v>
      </c>
      <c r="I153" s="16" t="str">
        <f t="shared" si="203"/>
        <v>11-25</v>
      </c>
      <c r="J153" s="14">
        <f t="shared" si="204"/>
        <v>428</v>
      </c>
      <c r="K153" s="15">
        <f t="shared" si="205"/>
        <v>266</v>
      </c>
      <c r="L153" s="17">
        <f t="shared" si="206"/>
        <v>448</v>
      </c>
      <c r="M153" s="18">
        <f t="shared" si="207"/>
        <v>266</v>
      </c>
      <c r="N153" s="14">
        <f t="shared" si="208"/>
        <v>448</v>
      </c>
      <c r="O153" s="15">
        <f t="shared" si="209"/>
        <v>286</v>
      </c>
      <c r="P153" s="17">
        <f t="shared" si="210"/>
        <v>428</v>
      </c>
      <c r="Q153" s="18">
        <f t="shared" si="211"/>
        <v>286</v>
      </c>
      <c r="R153" s="4" t="s">
        <v>0</v>
      </c>
      <c r="S153" s="16" t="str">
        <f t="shared" si="212"/>
        <v>11-25</v>
      </c>
      <c r="T153" s="14">
        <f t="shared" si="213"/>
        <v>428</v>
      </c>
      <c r="U153" s="18">
        <f t="shared" si="214"/>
        <v>484</v>
      </c>
      <c r="V153" s="14">
        <f t="shared" si="215"/>
        <v>448</v>
      </c>
      <c r="W153" s="18">
        <f t="shared" si="216"/>
        <v>484</v>
      </c>
      <c r="X153" s="14">
        <f t="shared" si="217"/>
        <v>448</v>
      </c>
      <c r="Y153" s="18">
        <f t="shared" si="218"/>
        <v>464</v>
      </c>
      <c r="Z153" s="14">
        <f t="shared" si="219"/>
        <v>428</v>
      </c>
      <c r="AA153" s="18">
        <f t="shared" si="220"/>
        <v>464</v>
      </c>
      <c r="AB153" s="4" t="s">
        <v>0</v>
      </c>
    </row>
    <row r="154" spans="1:28">
      <c r="A154" s="9" t="s">
        <v>94</v>
      </c>
      <c r="B154" s="24"/>
      <c r="C154" s="26"/>
      <c r="D154" s="25">
        <f t="shared" si="165"/>
        <v>448</v>
      </c>
      <c r="E154" s="29">
        <f t="shared" ref="E154" si="238">E153</f>
        <v>266</v>
      </c>
      <c r="F154" s="25">
        <f t="shared" si="167"/>
        <v>468</v>
      </c>
      <c r="G154" s="29">
        <f t="shared" si="170"/>
        <v>286</v>
      </c>
      <c r="H154" s="4" t="s">
        <v>0</v>
      </c>
      <c r="I154" s="16" t="str">
        <f t="shared" si="203"/>
        <v>11-07</v>
      </c>
      <c r="J154" s="14">
        <f t="shared" si="204"/>
        <v>448</v>
      </c>
      <c r="K154" s="15">
        <f t="shared" si="205"/>
        <v>266</v>
      </c>
      <c r="L154" s="17">
        <f t="shared" si="206"/>
        <v>468</v>
      </c>
      <c r="M154" s="18">
        <f t="shared" si="207"/>
        <v>266</v>
      </c>
      <c r="N154" s="14">
        <f t="shared" si="208"/>
        <v>468</v>
      </c>
      <c r="O154" s="15">
        <f t="shared" si="209"/>
        <v>286</v>
      </c>
      <c r="P154" s="17">
        <f t="shared" si="210"/>
        <v>448</v>
      </c>
      <c r="Q154" s="18">
        <f t="shared" si="211"/>
        <v>286</v>
      </c>
      <c r="R154" s="4" t="s">
        <v>0</v>
      </c>
      <c r="S154" s="16" t="str">
        <f t="shared" si="212"/>
        <v>11-07</v>
      </c>
      <c r="T154" s="14">
        <f t="shared" si="213"/>
        <v>448</v>
      </c>
      <c r="U154" s="18">
        <f t="shared" si="214"/>
        <v>484</v>
      </c>
      <c r="V154" s="14">
        <f t="shared" si="215"/>
        <v>468</v>
      </c>
      <c r="W154" s="18">
        <f t="shared" si="216"/>
        <v>484</v>
      </c>
      <c r="X154" s="14">
        <f t="shared" si="217"/>
        <v>468</v>
      </c>
      <c r="Y154" s="18">
        <f t="shared" si="218"/>
        <v>464</v>
      </c>
      <c r="Z154" s="14">
        <f t="shared" si="219"/>
        <v>448</v>
      </c>
      <c r="AA154" s="18">
        <f t="shared" si="220"/>
        <v>464</v>
      </c>
      <c r="AB154" s="4" t="s">
        <v>0</v>
      </c>
    </row>
    <row r="155" spans="1:28">
      <c r="A155" s="9" t="s">
        <v>325</v>
      </c>
      <c r="B155" s="24"/>
      <c r="C155" s="26">
        <v>9</v>
      </c>
      <c r="D155" s="25">
        <f t="shared" si="165"/>
        <v>50</v>
      </c>
      <c r="E155" s="28">
        <f t="shared" ref="E155" si="239">ROUND(E$11+19.5*$C155, 0)</f>
        <v>286</v>
      </c>
      <c r="F155" s="25">
        <f t="shared" si="167"/>
        <v>70</v>
      </c>
      <c r="G155" s="28">
        <f t="shared" ref="G155" si="240">ROUND(G$11+19.5*$C155, 0)</f>
        <v>306</v>
      </c>
      <c r="H155" s="4" t="s">
        <v>0</v>
      </c>
      <c r="I155" s="16" t="str">
        <f t="shared" si="203"/>
        <v>20-21</v>
      </c>
      <c r="J155" s="14">
        <f t="shared" si="204"/>
        <v>50</v>
      </c>
      <c r="K155" s="15">
        <f t="shared" si="205"/>
        <v>286</v>
      </c>
      <c r="L155" s="17">
        <f t="shared" si="206"/>
        <v>70</v>
      </c>
      <c r="M155" s="18">
        <f t="shared" si="207"/>
        <v>286</v>
      </c>
      <c r="N155" s="14">
        <f t="shared" si="208"/>
        <v>70</v>
      </c>
      <c r="O155" s="15">
        <f t="shared" si="209"/>
        <v>306</v>
      </c>
      <c r="P155" s="17">
        <f t="shared" si="210"/>
        <v>50</v>
      </c>
      <c r="Q155" s="18">
        <f t="shared" si="211"/>
        <v>306</v>
      </c>
      <c r="R155" s="4" t="s">
        <v>0</v>
      </c>
      <c r="S155" s="16" t="str">
        <f t="shared" si="212"/>
        <v>20-21</v>
      </c>
      <c r="T155" s="14">
        <f t="shared" si="213"/>
        <v>50</v>
      </c>
      <c r="U155" s="18">
        <f t="shared" si="214"/>
        <v>464</v>
      </c>
      <c r="V155" s="14">
        <f t="shared" si="215"/>
        <v>70</v>
      </c>
      <c r="W155" s="18">
        <f t="shared" si="216"/>
        <v>464</v>
      </c>
      <c r="X155" s="14">
        <f t="shared" si="217"/>
        <v>70</v>
      </c>
      <c r="Y155" s="18">
        <f t="shared" si="218"/>
        <v>444</v>
      </c>
      <c r="Z155" s="14">
        <f t="shared" si="219"/>
        <v>50</v>
      </c>
      <c r="AA155" s="18">
        <f t="shared" si="220"/>
        <v>444</v>
      </c>
      <c r="AB155" s="4" t="s">
        <v>0</v>
      </c>
    </row>
    <row r="156" spans="1:28">
      <c r="A156" s="9" t="s">
        <v>312</v>
      </c>
      <c r="B156" s="24"/>
      <c r="C156" s="26"/>
      <c r="D156" s="25">
        <f t="shared" si="165"/>
        <v>70</v>
      </c>
      <c r="E156" s="29">
        <f t="shared" ref="E156" si="241">E155</f>
        <v>286</v>
      </c>
      <c r="F156" s="25">
        <f t="shared" si="167"/>
        <v>90</v>
      </c>
      <c r="G156" s="29">
        <f t="shared" ref="G156" si="242">G155</f>
        <v>306</v>
      </c>
      <c r="H156" s="4" t="s">
        <v>0</v>
      </c>
      <c r="I156" s="16" t="str">
        <f t="shared" si="203"/>
        <v>20-05</v>
      </c>
      <c r="J156" s="14">
        <f t="shared" si="204"/>
        <v>70</v>
      </c>
      <c r="K156" s="15">
        <f t="shared" si="205"/>
        <v>286</v>
      </c>
      <c r="L156" s="17">
        <f t="shared" si="206"/>
        <v>90</v>
      </c>
      <c r="M156" s="18">
        <f t="shared" si="207"/>
        <v>286</v>
      </c>
      <c r="N156" s="14">
        <f t="shared" si="208"/>
        <v>90</v>
      </c>
      <c r="O156" s="15">
        <f t="shared" si="209"/>
        <v>306</v>
      </c>
      <c r="P156" s="17">
        <f t="shared" si="210"/>
        <v>70</v>
      </c>
      <c r="Q156" s="18">
        <f t="shared" si="211"/>
        <v>306</v>
      </c>
      <c r="R156" s="4" t="s">
        <v>0</v>
      </c>
      <c r="S156" s="16" t="str">
        <f t="shared" si="212"/>
        <v>20-05</v>
      </c>
      <c r="T156" s="14">
        <f t="shared" si="213"/>
        <v>70</v>
      </c>
      <c r="U156" s="18">
        <f t="shared" si="214"/>
        <v>464</v>
      </c>
      <c r="V156" s="14">
        <f t="shared" si="215"/>
        <v>90</v>
      </c>
      <c r="W156" s="18">
        <f t="shared" si="216"/>
        <v>464</v>
      </c>
      <c r="X156" s="14">
        <f t="shared" si="217"/>
        <v>90</v>
      </c>
      <c r="Y156" s="18">
        <f t="shared" si="218"/>
        <v>444</v>
      </c>
      <c r="Z156" s="14">
        <f t="shared" si="219"/>
        <v>70</v>
      </c>
      <c r="AA156" s="18">
        <f t="shared" si="220"/>
        <v>444</v>
      </c>
      <c r="AB156" s="4" t="s">
        <v>0</v>
      </c>
    </row>
    <row r="157" spans="1:28">
      <c r="A157" s="9" t="s">
        <v>307</v>
      </c>
      <c r="B157" s="24"/>
      <c r="C157" s="26"/>
      <c r="D157" s="25">
        <f t="shared" si="165"/>
        <v>104</v>
      </c>
      <c r="E157" s="29">
        <f t="shared" ref="E157" si="243">E156</f>
        <v>286</v>
      </c>
      <c r="F157" s="25">
        <f t="shared" si="167"/>
        <v>124</v>
      </c>
      <c r="G157" s="29">
        <f t="shared" si="170"/>
        <v>306</v>
      </c>
      <c r="H157" s="4" t="s">
        <v>0</v>
      </c>
      <c r="I157" s="16" t="str">
        <f t="shared" si="203"/>
        <v>18-28</v>
      </c>
      <c r="J157" s="14">
        <f t="shared" si="204"/>
        <v>104</v>
      </c>
      <c r="K157" s="15">
        <f t="shared" si="205"/>
        <v>286</v>
      </c>
      <c r="L157" s="17">
        <f t="shared" si="206"/>
        <v>124</v>
      </c>
      <c r="M157" s="18">
        <f t="shared" si="207"/>
        <v>286</v>
      </c>
      <c r="N157" s="14">
        <f t="shared" si="208"/>
        <v>124</v>
      </c>
      <c r="O157" s="15">
        <f t="shared" si="209"/>
        <v>306</v>
      </c>
      <c r="P157" s="17">
        <f t="shared" si="210"/>
        <v>104</v>
      </c>
      <c r="Q157" s="18">
        <f t="shared" si="211"/>
        <v>306</v>
      </c>
      <c r="R157" s="4" t="s">
        <v>0</v>
      </c>
      <c r="S157" s="16" t="str">
        <f t="shared" si="212"/>
        <v>18-28</v>
      </c>
      <c r="T157" s="14">
        <f t="shared" si="213"/>
        <v>104</v>
      </c>
      <c r="U157" s="18">
        <f t="shared" si="214"/>
        <v>464</v>
      </c>
      <c r="V157" s="14">
        <f t="shared" si="215"/>
        <v>124</v>
      </c>
      <c r="W157" s="18">
        <f t="shared" si="216"/>
        <v>464</v>
      </c>
      <c r="X157" s="14">
        <f t="shared" si="217"/>
        <v>124</v>
      </c>
      <c r="Y157" s="18">
        <f t="shared" si="218"/>
        <v>444</v>
      </c>
      <c r="Z157" s="14">
        <f t="shared" si="219"/>
        <v>104</v>
      </c>
      <c r="AA157" s="18">
        <f t="shared" si="220"/>
        <v>444</v>
      </c>
      <c r="AB157" s="4" t="s">
        <v>0</v>
      </c>
    </row>
    <row r="158" spans="1:28">
      <c r="A158" s="9" t="s">
        <v>291</v>
      </c>
      <c r="B158" s="24"/>
      <c r="C158" s="26"/>
      <c r="D158" s="25">
        <f t="shared" si="165"/>
        <v>124</v>
      </c>
      <c r="E158" s="29">
        <f t="shared" ref="E158" si="244">E157</f>
        <v>286</v>
      </c>
      <c r="F158" s="25">
        <f t="shared" si="167"/>
        <v>144</v>
      </c>
      <c r="G158" s="29">
        <f t="shared" si="170"/>
        <v>306</v>
      </c>
      <c r="H158" s="4" t="s">
        <v>0</v>
      </c>
      <c r="I158" s="16" t="str">
        <f t="shared" si="203"/>
        <v>18-08</v>
      </c>
      <c r="J158" s="14">
        <f t="shared" si="204"/>
        <v>124</v>
      </c>
      <c r="K158" s="15">
        <f t="shared" si="205"/>
        <v>286</v>
      </c>
      <c r="L158" s="17">
        <f t="shared" si="206"/>
        <v>144</v>
      </c>
      <c r="M158" s="18">
        <f t="shared" si="207"/>
        <v>286</v>
      </c>
      <c r="N158" s="14">
        <f t="shared" si="208"/>
        <v>144</v>
      </c>
      <c r="O158" s="15">
        <f t="shared" si="209"/>
        <v>306</v>
      </c>
      <c r="P158" s="17">
        <f t="shared" si="210"/>
        <v>124</v>
      </c>
      <c r="Q158" s="18">
        <f t="shared" si="211"/>
        <v>306</v>
      </c>
      <c r="R158" s="4" t="s">
        <v>0</v>
      </c>
      <c r="S158" s="16" t="str">
        <f t="shared" si="212"/>
        <v>18-08</v>
      </c>
      <c r="T158" s="14">
        <f t="shared" si="213"/>
        <v>124</v>
      </c>
      <c r="U158" s="18">
        <f t="shared" si="214"/>
        <v>464</v>
      </c>
      <c r="V158" s="14">
        <f t="shared" si="215"/>
        <v>144</v>
      </c>
      <c r="W158" s="18">
        <f t="shared" si="216"/>
        <v>464</v>
      </c>
      <c r="X158" s="14">
        <f t="shared" si="217"/>
        <v>144</v>
      </c>
      <c r="Y158" s="18">
        <f t="shared" si="218"/>
        <v>444</v>
      </c>
      <c r="Z158" s="14">
        <f t="shared" si="219"/>
        <v>124</v>
      </c>
      <c r="AA158" s="18">
        <f t="shared" si="220"/>
        <v>444</v>
      </c>
      <c r="AB158" s="4" t="s">
        <v>0</v>
      </c>
    </row>
    <row r="159" spans="1:28">
      <c r="A159" s="9" t="s">
        <v>526</v>
      </c>
      <c r="B159" s="24"/>
      <c r="C159" s="26"/>
      <c r="D159" s="25">
        <f t="shared" si="165"/>
        <v>158</v>
      </c>
      <c r="E159" s="29">
        <f t="shared" ref="E159" si="245">E158</f>
        <v>286</v>
      </c>
      <c r="F159" s="25">
        <f t="shared" si="167"/>
        <v>178</v>
      </c>
      <c r="G159" s="29">
        <f t="shared" si="170"/>
        <v>306</v>
      </c>
      <c r="H159" s="4" t="s">
        <v>0</v>
      </c>
      <c r="I159" s="16" t="str">
        <f t="shared" si="203"/>
        <v>17-28</v>
      </c>
      <c r="J159" s="14">
        <f t="shared" si="204"/>
        <v>158</v>
      </c>
      <c r="K159" s="15">
        <f t="shared" si="205"/>
        <v>286</v>
      </c>
      <c r="L159" s="17">
        <f t="shared" si="206"/>
        <v>178</v>
      </c>
      <c r="M159" s="18">
        <f t="shared" si="207"/>
        <v>286</v>
      </c>
      <c r="N159" s="14">
        <f t="shared" si="208"/>
        <v>178</v>
      </c>
      <c r="O159" s="15">
        <f t="shared" si="209"/>
        <v>306</v>
      </c>
      <c r="P159" s="17">
        <f t="shared" si="210"/>
        <v>158</v>
      </c>
      <c r="Q159" s="18">
        <f t="shared" si="211"/>
        <v>306</v>
      </c>
      <c r="R159" s="4" t="s">
        <v>0</v>
      </c>
      <c r="S159" s="16" t="str">
        <f t="shared" si="212"/>
        <v>17-28</v>
      </c>
      <c r="T159" s="14">
        <f t="shared" si="213"/>
        <v>158</v>
      </c>
      <c r="U159" s="18">
        <f t="shared" si="214"/>
        <v>464</v>
      </c>
      <c r="V159" s="14">
        <f t="shared" si="215"/>
        <v>178</v>
      </c>
      <c r="W159" s="18">
        <f t="shared" si="216"/>
        <v>464</v>
      </c>
      <c r="X159" s="14">
        <f t="shared" si="217"/>
        <v>178</v>
      </c>
      <c r="Y159" s="18">
        <f t="shared" si="218"/>
        <v>444</v>
      </c>
      <c r="Z159" s="14">
        <f t="shared" si="219"/>
        <v>158</v>
      </c>
      <c r="AA159" s="18">
        <f t="shared" si="220"/>
        <v>444</v>
      </c>
      <c r="AB159" s="4" t="s">
        <v>0</v>
      </c>
    </row>
    <row r="160" spans="1:28">
      <c r="A160" s="9" t="s">
        <v>270</v>
      </c>
      <c r="B160" s="24"/>
      <c r="C160" s="26"/>
      <c r="D160" s="25">
        <f t="shared" si="165"/>
        <v>178</v>
      </c>
      <c r="E160" s="29">
        <f t="shared" ref="E160" si="246">E159</f>
        <v>286</v>
      </c>
      <c r="F160" s="25">
        <f t="shared" si="167"/>
        <v>198</v>
      </c>
      <c r="G160" s="29">
        <f t="shared" si="170"/>
        <v>306</v>
      </c>
      <c r="H160" s="4" t="s">
        <v>0</v>
      </c>
      <c r="I160" s="16" t="str">
        <f t="shared" si="203"/>
        <v>17-08</v>
      </c>
      <c r="J160" s="14">
        <f t="shared" si="204"/>
        <v>178</v>
      </c>
      <c r="K160" s="15">
        <f t="shared" si="205"/>
        <v>286</v>
      </c>
      <c r="L160" s="17">
        <f t="shared" si="206"/>
        <v>198</v>
      </c>
      <c r="M160" s="18">
        <f t="shared" si="207"/>
        <v>286</v>
      </c>
      <c r="N160" s="14">
        <f t="shared" si="208"/>
        <v>198</v>
      </c>
      <c r="O160" s="15">
        <f t="shared" si="209"/>
        <v>306</v>
      </c>
      <c r="P160" s="17">
        <f t="shared" si="210"/>
        <v>178</v>
      </c>
      <c r="Q160" s="18">
        <f t="shared" si="211"/>
        <v>306</v>
      </c>
      <c r="R160" s="4" t="s">
        <v>0</v>
      </c>
      <c r="S160" s="16" t="str">
        <f t="shared" si="212"/>
        <v>17-08</v>
      </c>
      <c r="T160" s="14">
        <f t="shared" si="213"/>
        <v>178</v>
      </c>
      <c r="U160" s="18">
        <f t="shared" si="214"/>
        <v>464</v>
      </c>
      <c r="V160" s="14">
        <f t="shared" si="215"/>
        <v>198</v>
      </c>
      <c r="W160" s="18">
        <f t="shared" si="216"/>
        <v>464</v>
      </c>
      <c r="X160" s="14">
        <f t="shared" si="217"/>
        <v>198</v>
      </c>
      <c r="Y160" s="18">
        <f t="shared" si="218"/>
        <v>444</v>
      </c>
      <c r="Z160" s="14">
        <f t="shared" si="219"/>
        <v>178</v>
      </c>
      <c r="AA160" s="18">
        <f t="shared" si="220"/>
        <v>444</v>
      </c>
      <c r="AB160" s="4" t="s">
        <v>0</v>
      </c>
    </row>
    <row r="161" spans="1:28">
      <c r="A161" s="9" t="s">
        <v>515</v>
      </c>
      <c r="B161" s="24"/>
      <c r="C161" s="26"/>
      <c r="D161" s="25">
        <f t="shared" si="165"/>
        <v>212</v>
      </c>
      <c r="E161" s="29">
        <f t="shared" ref="E161" si="247">E160</f>
        <v>286</v>
      </c>
      <c r="F161" s="25">
        <f t="shared" si="167"/>
        <v>232</v>
      </c>
      <c r="G161" s="29">
        <f t="shared" si="170"/>
        <v>306</v>
      </c>
      <c r="H161" s="4" t="s">
        <v>0</v>
      </c>
      <c r="I161" s="16" t="str">
        <f t="shared" si="203"/>
        <v>16-28</v>
      </c>
      <c r="J161" s="14">
        <f t="shared" si="204"/>
        <v>212</v>
      </c>
      <c r="K161" s="15">
        <f t="shared" si="205"/>
        <v>286</v>
      </c>
      <c r="L161" s="17">
        <f t="shared" si="206"/>
        <v>232</v>
      </c>
      <c r="M161" s="18">
        <f t="shared" si="207"/>
        <v>286</v>
      </c>
      <c r="N161" s="14">
        <f t="shared" si="208"/>
        <v>232</v>
      </c>
      <c r="O161" s="15">
        <f t="shared" si="209"/>
        <v>306</v>
      </c>
      <c r="P161" s="17">
        <f t="shared" si="210"/>
        <v>212</v>
      </c>
      <c r="Q161" s="18">
        <f t="shared" si="211"/>
        <v>306</v>
      </c>
      <c r="R161" s="4" t="s">
        <v>0</v>
      </c>
      <c r="S161" s="16" t="str">
        <f t="shared" si="212"/>
        <v>16-28</v>
      </c>
      <c r="T161" s="14">
        <f t="shared" si="213"/>
        <v>212</v>
      </c>
      <c r="U161" s="18">
        <f t="shared" si="214"/>
        <v>464</v>
      </c>
      <c r="V161" s="14">
        <f t="shared" si="215"/>
        <v>232</v>
      </c>
      <c r="W161" s="18">
        <f t="shared" si="216"/>
        <v>464</v>
      </c>
      <c r="X161" s="14">
        <f t="shared" si="217"/>
        <v>232</v>
      </c>
      <c r="Y161" s="18">
        <f t="shared" si="218"/>
        <v>444</v>
      </c>
      <c r="Z161" s="14">
        <f t="shared" si="219"/>
        <v>212</v>
      </c>
      <c r="AA161" s="18">
        <f t="shared" si="220"/>
        <v>444</v>
      </c>
      <c r="AB161" s="4" t="s">
        <v>0</v>
      </c>
    </row>
    <row r="162" spans="1:28">
      <c r="A162" s="9" t="s">
        <v>249</v>
      </c>
      <c r="B162" s="24"/>
      <c r="C162" s="26"/>
      <c r="D162" s="25">
        <f t="shared" si="165"/>
        <v>232</v>
      </c>
      <c r="E162" s="29">
        <f t="shared" ref="E162" si="248">E161</f>
        <v>286</v>
      </c>
      <c r="F162" s="25">
        <f t="shared" si="167"/>
        <v>252</v>
      </c>
      <c r="G162" s="29">
        <f t="shared" si="170"/>
        <v>306</v>
      </c>
      <c r="H162" s="4" t="s">
        <v>0</v>
      </c>
      <c r="I162" s="16" t="str">
        <f t="shared" si="203"/>
        <v>16-08</v>
      </c>
      <c r="J162" s="14">
        <f t="shared" si="204"/>
        <v>232</v>
      </c>
      <c r="K162" s="15">
        <f t="shared" si="205"/>
        <v>286</v>
      </c>
      <c r="L162" s="17">
        <f t="shared" si="206"/>
        <v>252</v>
      </c>
      <c r="M162" s="18">
        <f t="shared" si="207"/>
        <v>286</v>
      </c>
      <c r="N162" s="14">
        <f t="shared" si="208"/>
        <v>252</v>
      </c>
      <c r="O162" s="15">
        <f t="shared" si="209"/>
        <v>306</v>
      </c>
      <c r="P162" s="17">
        <f t="shared" si="210"/>
        <v>232</v>
      </c>
      <c r="Q162" s="18">
        <f t="shared" si="211"/>
        <v>306</v>
      </c>
      <c r="R162" s="4" t="s">
        <v>0</v>
      </c>
      <c r="S162" s="16" t="str">
        <f t="shared" si="212"/>
        <v>16-08</v>
      </c>
      <c r="T162" s="14">
        <f t="shared" si="213"/>
        <v>232</v>
      </c>
      <c r="U162" s="18">
        <f t="shared" si="214"/>
        <v>464</v>
      </c>
      <c r="V162" s="14">
        <f t="shared" si="215"/>
        <v>252</v>
      </c>
      <c r="W162" s="18">
        <f t="shared" si="216"/>
        <v>464</v>
      </c>
      <c r="X162" s="14">
        <f t="shared" si="217"/>
        <v>252</v>
      </c>
      <c r="Y162" s="18">
        <f t="shared" si="218"/>
        <v>444</v>
      </c>
      <c r="Z162" s="14">
        <f t="shared" si="219"/>
        <v>232</v>
      </c>
      <c r="AA162" s="18">
        <f t="shared" si="220"/>
        <v>444</v>
      </c>
      <c r="AB162" s="4" t="s">
        <v>0</v>
      </c>
    </row>
    <row r="163" spans="1:28">
      <c r="A163" s="9" t="s">
        <v>504</v>
      </c>
      <c r="B163" s="24"/>
      <c r="C163" s="26"/>
      <c r="D163" s="25">
        <f t="shared" si="165"/>
        <v>266</v>
      </c>
      <c r="E163" s="29">
        <f t="shared" ref="E163" si="249">E162</f>
        <v>286</v>
      </c>
      <c r="F163" s="25">
        <f t="shared" si="167"/>
        <v>286</v>
      </c>
      <c r="G163" s="29">
        <f t="shared" si="170"/>
        <v>306</v>
      </c>
      <c r="H163" s="4" t="s">
        <v>0</v>
      </c>
      <c r="I163" s="16" t="str">
        <f t="shared" si="203"/>
        <v>15-28</v>
      </c>
      <c r="J163" s="14">
        <f t="shared" si="204"/>
        <v>266</v>
      </c>
      <c r="K163" s="15">
        <f t="shared" si="205"/>
        <v>286</v>
      </c>
      <c r="L163" s="17">
        <f t="shared" si="206"/>
        <v>286</v>
      </c>
      <c r="M163" s="18">
        <f t="shared" si="207"/>
        <v>286</v>
      </c>
      <c r="N163" s="14">
        <f t="shared" si="208"/>
        <v>286</v>
      </c>
      <c r="O163" s="15">
        <f t="shared" si="209"/>
        <v>306</v>
      </c>
      <c r="P163" s="17">
        <f t="shared" si="210"/>
        <v>266</v>
      </c>
      <c r="Q163" s="18">
        <f t="shared" si="211"/>
        <v>306</v>
      </c>
      <c r="R163" s="4" t="s">
        <v>0</v>
      </c>
      <c r="S163" s="16" t="str">
        <f t="shared" si="212"/>
        <v>15-28</v>
      </c>
      <c r="T163" s="14">
        <f t="shared" si="213"/>
        <v>266</v>
      </c>
      <c r="U163" s="18">
        <f t="shared" si="214"/>
        <v>464</v>
      </c>
      <c r="V163" s="14">
        <f t="shared" si="215"/>
        <v>286</v>
      </c>
      <c r="W163" s="18">
        <f t="shared" si="216"/>
        <v>464</v>
      </c>
      <c r="X163" s="14">
        <f t="shared" si="217"/>
        <v>286</v>
      </c>
      <c r="Y163" s="18">
        <f t="shared" si="218"/>
        <v>444</v>
      </c>
      <c r="Z163" s="14">
        <f t="shared" si="219"/>
        <v>266</v>
      </c>
      <c r="AA163" s="18">
        <f t="shared" si="220"/>
        <v>444</v>
      </c>
      <c r="AB163" s="4" t="s">
        <v>0</v>
      </c>
    </row>
    <row r="164" spans="1:28">
      <c r="A164" s="9" t="s">
        <v>230</v>
      </c>
      <c r="B164" s="24"/>
      <c r="C164" s="26"/>
      <c r="D164" s="25">
        <f t="shared" si="165"/>
        <v>286</v>
      </c>
      <c r="E164" s="29">
        <f t="shared" ref="E164" si="250">E163</f>
        <v>286</v>
      </c>
      <c r="F164" s="25">
        <f t="shared" si="167"/>
        <v>306</v>
      </c>
      <c r="G164" s="29">
        <f t="shared" si="170"/>
        <v>306</v>
      </c>
      <c r="H164" s="4" t="s">
        <v>0</v>
      </c>
      <c r="I164" s="16" t="str">
        <f t="shared" si="203"/>
        <v>15-08</v>
      </c>
      <c r="J164" s="14">
        <f t="shared" si="204"/>
        <v>286</v>
      </c>
      <c r="K164" s="15">
        <f t="shared" si="205"/>
        <v>286</v>
      </c>
      <c r="L164" s="17">
        <f t="shared" si="206"/>
        <v>306</v>
      </c>
      <c r="M164" s="18">
        <f t="shared" si="207"/>
        <v>286</v>
      </c>
      <c r="N164" s="14">
        <f t="shared" si="208"/>
        <v>306</v>
      </c>
      <c r="O164" s="15">
        <f t="shared" si="209"/>
        <v>306</v>
      </c>
      <c r="P164" s="17">
        <f t="shared" si="210"/>
        <v>286</v>
      </c>
      <c r="Q164" s="18">
        <f t="shared" si="211"/>
        <v>306</v>
      </c>
      <c r="R164" s="4" t="s">
        <v>0</v>
      </c>
      <c r="S164" s="16" t="str">
        <f t="shared" si="212"/>
        <v>15-08</v>
      </c>
      <c r="T164" s="14">
        <f t="shared" si="213"/>
        <v>286</v>
      </c>
      <c r="U164" s="18">
        <f t="shared" si="214"/>
        <v>464</v>
      </c>
      <c r="V164" s="14">
        <f t="shared" si="215"/>
        <v>306</v>
      </c>
      <c r="W164" s="18">
        <f t="shared" si="216"/>
        <v>464</v>
      </c>
      <c r="X164" s="14">
        <f t="shared" si="217"/>
        <v>306</v>
      </c>
      <c r="Y164" s="18">
        <f t="shared" si="218"/>
        <v>444</v>
      </c>
      <c r="Z164" s="14">
        <f t="shared" si="219"/>
        <v>286</v>
      </c>
      <c r="AA164" s="18">
        <f t="shared" si="220"/>
        <v>444</v>
      </c>
      <c r="AB164" s="4" t="s">
        <v>0</v>
      </c>
    </row>
    <row r="165" spans="1:28">
      <c r="A165" s="9" t="s">
        <v>489</v>
      </c>
      <c r="B165" s="24"/>
      <c r="C165" s="26"/>
      <c r="D165" s="25">
        <f t="shared" si="165"/>
        <v>320</v>
      </c>
      <c r="E165" s="29">
        <f t="shared" ref="E165" si="251">E164</f>
        <v>286</v>
      </c>
      <c r="F165" s="25">
        <f t="shared" si="167"/>
        <v>340</v>
      </c>
      <c r="G165" s="29">
        <f t="shared" si="170"/>
        <v>306</v>
      </c>
      <c r="H165" s="4" t="s">
        <v>0</v>
      </c>
      <c r="I165" s="16" t="str">
        <f t="shared" si="203"/>
        <v>13-28</v>
      </c>
      <c r="J165" s="14">
        <f t="shared" si="204"/>
        <v>320</v>
      </c>
      <c r="K165" s="15">
        <f t="shared" si="205"/>
        <v>286</v>
      </c>
      <c r="L165" s="17">
        <f t="shared" si="206"/>
        <v>340</v>
      </c>
      <c r="M165" s="18">
        <f t="shared" si="207"/>
        <v>286</v>
      </c>
      <c r="N165" s="14">
        <f t="shared" si="208"/>
        <v>340</v>
      </c>
      <c r="O165" s="15">
        <f t="shared" si="209"/>
        <v>306</v>
      </c>
      <c r="P165" s="17">
        <f t="shared" si="210"/>
        <v>320</v>
      </c>
      <c r="Q165" s="18">
        <f t="shared" si="211"/>
        <v>306</v>
      </c>
      <c r="R165" s="4" t="s">
        <v>0</v>
      </c>
      <c r="S165" s="16" t="str">
        <f t="shared" si="212"/>
        <v>13-28</v>
      </c>
      <c r="T165" s="14">
        <f t="shared" si="213"/>
        <v>320</v>
      </c>
      <c r="U165" s="18">
        <f t="shared" si="214"/>
        <v>464</v>
      </c>
      <c r="V165" s="14">
        <f t="shared" si="215"/>
        <v>340</v>
      </c>
      <c r="W165" s="18">
        <f t="shared" si="216"/>
        <v>464</v>
      </c>
      <c r="X165" s="14">
        <f t="shared" si="217"/>
        <v>340</v>
      </c>
      <c r="Y165" s="18">
        <f t="shared" si="218"/>
        <v>444</v>
      </c>
      <c r="Z165" s="14">
        <f t="shared" si="219"/>
        <v>320</v>
      </c>
      <c r="AA165" s="18">
        <f t="shared" si="220"/>
        <v>444</v>
      </c>
      <c r="AB165" s="4" t="s">
        <v>0</v>
      </c>
    </row>
    <row r="166" spans="1:28">
      <c r="A166" s="9" t="s">
        <v>213</v>
      </c>
      <c r="B166" s="24"/>
      <c r="C166" s="26"/>
      <c r="D166" s="25">
        <f t="shared" si="165"/>
        <v>340</v>
      </c>
      <c r="E166" s="29">
        <f t="shared" ref="E166" si="252">E165</f>
        <v>286</v>
      </c>
      <c r="F166" s="25">
        <f t="shared" si="167"/>
        <v>360</v>
      </c>
      <c r="G166" s="29">
        <f t="shared" si="170"/>
        <v>306</v>
      </c>
      <c r="H166" s="4" t="s">
        <v>0</v>
      </c>
      <c r="I166" s="16" t="str">
        <f t="shared" si="203"/>
        <v>13-08</v>
      </c>
      <c r="J166" s="14">
        <f t="shared" si="204"/>
        <v>340</v>
      </c>
      <c r="K166" s="15">
        <f t="shared" si="205"/>
        <v>286</v>
      </c>
      <c r="L166" s="17">
        <f t="shared" si="206"/>
        <v>360</v>
      </c>
      <c r="M166" s="18">
        <f t="shared" si="207"/>
        <v>286</v>
      </c>
      <c r="N166" s="14">
        <f t="shared" si="208"/>
        <v>360</v>
      </c>
      <c r="O166" s="15">
        <f t="shared" si="209"/>
        <v>306</v>
      </c>
      <c r="P166" s="17">
        <f t="shared" si="210"/>
        <v>340</v>
      </c>
      <c r="Q166" s="18">
        <f t="shared" si="211"/>
        <v>306</v>
      </c>
      <c r="R166" s="4" t="s">
        <v>0</v>
      </c>
      <c r="S166" s="16" t="str">
        <f t="shared" si="212"/>
        <v>13-08</v>
      </c>
      <c r="T166" s="14">
        <f t="shared" si="213"/>
        <v>340</v>
      </c>
      <c r="U166" s="18">
        <f t="shared" si="214"/>
        <v>464</v>
      </c>
      <c r="V166" s="14">
        <f t="shared" si="215"/>
        <v>360</v>
      </c>
      <c r="W166" s="18">
        <f t="shared" si="216"/>
        <v>464</v>
      </c>
      <c r="X166" s="14">
        <f t="shared" si="217"/>
        <v>360</v>
      </c>
      <c r="Y166" s="18">
        <f t="shared" si="218"/>
        <v>444</v>
      </c>
      <c r="Z166" s="14">
        <f t="shared" si="219"/>
        <v>340</v>
      </c>
      <c r="AA166" s="18">
        <f t="shared" si="220"/>
        <v>444</v>
      </c>
      <c r="AB166" s="4" t="s">
        <v>0</v>
      </c>
    </row>
    <row r="167" spans="1:28">
      <c r="A167" s="9" t="s">
        <v>474</v>
      </c>
      <c r="B167" s="24"/>
      <c r="C167" s="26"/>
      <c r="D167" s="25">
        <f t="shared" si="165"/>
        <v>374</v>
      </c>
      <c r="E167" s="29">
        <f t="shared" ref="E167" si="253">E166</f>
        <v>286</v>
      </c>
      <c r="F167" s="25">
        <f t="shared" si="167"/>
        <v>394</v>
      </c>
      <c r="G167" s="29">
        <f t="shared" si="170"/>
        <v>306</v>
      </c>
      <c r="H167" s="4" t="s">
        <v>0</v>
      </c>
      <c r="I167" s="16" t="str">
        <f t="shared" si="203"/>
        <v>12-28</v>
      </c>
      <c r="J167" s="14">
        <f t="shared" si="204"/>
        <v>374</v>
      </c>
      <c r="K167" s="15">
        <f t="shared" si="205"/>
        <v>286</v>
      </c>
      <c r="L167" s="17">
        <f t="shared" si="206"/>
        <v>394</v>
      </c>
      <c r="M167" s="18">
        <f t="shared" si="207"/>
        <v>286</v>
      </c>
      <c r="N167" s="14">
        <f t="shared" si="208"/>
        <v>394</v>
      </c>
      <c r="O167" s="15">
        <f t="shared" si="209"/>
        <v>306</v>
      </c>
      <c r="P167" s="17">
        <f t="shared" si="210"/>
        <v>374</v>
      </c>
      <c r="Q167" s="18">
        <f t="shared" si="211"/>
        <v>306</v>
      </c>
      <c r="R167" s="4" t="s">
        <v>0</v>
      </c>
      <c r="S167" s="16" t="str">
        <f t="shared" si="212"/>
        <v>12-28</v>
      </c>
      <c r="T167" s="14">
        <f t="shared" si="213"/>
        <v>374</v>
      </c>
      <c r="U167" s="18">
        <f t="shared" si="214"/>
        <v>464</v>
      </c>
      <c r="V167" s="14">
        <f t="shared" si="215"/>
        <v>394</v>
      </c>
      <c r="W167" s="18">
        <f t="shared" si="216"/>
        <v>464</v>
      </c>
      <c r="X167" s="14">
        <f t="shared" si="217"/>
        <v>394</v>
      </c>
      <c r="Y167" s="18">
        <f t="shared" si="218"/>
        <v>444</v>
      </c>
      <c r="Z167" s="14">
        <f t="shared" si="219"/>
        <v>374</v>
      </c>
      <c r="AA167" s="18">
        <f t="shared" si="220"/>
        <v>444</v>
      </c>
      <c r="AB167" s="4" t="s">
        <v>0</v>
      </c>
    </row>
    <row r="168" spans="1:28">
      <c r="A168" s="9" t="s">
        <v>105</v>
      </c>
      <c r="B168" s="24"/>
      <c r="C168" s="26"/>
      <c r="D168" s="25">
        <f t="shared" si="165"/>
        <v>394</v>
      </c>
      <c r="E168" s="29">
        <f t="shared" ref="E168" si="254">E167</f>
        <v>286</v>
      </c>
      <c r="F168" s="25">
        <f t="shared" si="167"/>
        <v>414</v>
      </c>
      <c r="G168" s="29">
        <f t="shared" si="170"/>
        <v>306</v>
      </c>
      <c r="H168" s="4" t="s">
        <v>0</v>
      </c>
      <c r="I168" s="16" t="str">
        <f t="shared" si="203"/>
        <v>12-08</v>
      </c>
      <c r="J168" s="14">
        <f t="shared" si="204"/>
        <v>394</v>
      </c>
      <c r="K168" s="15">
        <f t="shared" si="205"/>
        <v>286</v>
      </c>
      <c r="L168" s="17">
        <f t="shared" si="206"/>
        <v>414</v>
      </c>
      <c r="M168" s="18">
        <f t="shared" si="207"/>
        <v>286</v>
      </c>
      <c r="N168" s="14">
        <f t="shared" si="208"/>
        <v>414</v>
      </c>
      <c r="O168" s="15">
        <f t="shared" si="209"/>
        <v>306</v>
      </c>
      <c r="P168" s="17">
        <f t="shared" si="210"/>
        <v>394</v>
      </c>
      <c r="Q168" s="18">
        <f t="shared" si="211"/>
        <v>306</v>
      </c>
      <c r="R168" s="4" t="s">
        <v>0</v>
      </c>
      <c r="S168" s="16" t="str">
        <f t="shared" si="212"/>
        <v>12-08</v>
      </c>
      <c r="T168" s="14">
        <f t="shared" si="213"/>
        <v>394</v>
      </c>
      <c r="U168" s="18">
        <f t="shared" si="214"/>
        <v>464</v>
      </c>
      <c r="V168" s="14">
        <f t="shared" si="215"/>
        <v>414</v>
      </c>
      <c r="W168" s="18">
        <f t="shared" si="216"/>
        <v>464</v>
      </c>
      <c r="X168" s="14">
        <f t="shared" si="217"/>
        <v>414</v>
      </c>
      <c r="Y168" s="18">
        <f t="shared" si="218"/>
        <v>444</v>
      </c>
      <c r="Z168" s="14">
        <f t="shared" si="219"/>
        <v>394</v>
      </c>
      <c r="AA168" s="18">
        <f t="shared" si="220"/>
        <v>444</v>
      </c>
      <c r="AB168" s="4" t="s">
        <v>0</v>
      </c>
    </row>
    <row r="169" spans="1:28">
      <c r="A169" s="9" t="s">
        <v>459</v>
      </c>
      <c r="B169" s="24"/>
      <c r="C169" s="26"/>
      <c r="D169" s="25">
        <f t="shared" si="165"/>
        <v>428</v>
      </c>
      <c r="E169" s="29">
        <f t="shared" ref="E169" si="255">E168</f>
        <v>286</v>
      </c>
      <c r="F169" s="25">
        <f t="shared" si="167"/>
        <v>448</v>
      </c>
      <c r="G169" s="29">
        <f t="shared" si="170"/>
        <v>306</v>
      </c>
      <c r="H169" s="4" t="s">
        <v>0</v>
      </c>
      <c r="I169" s="16" t="str">
        <f t="shared" si="203"/>
        <v>11-23</v>
      </c>
      <c r="J169" s="14">
        <f t="shared" si="204"/>
        <v>428</v>
      </c>
      <c r="K169" s="15">
        <f t="shared" si="205"/>
        <v>286</v>
      </c>
      <c r="L169" s="17">
        <f t="shared" si="206"/>
        <v>448</v>
      </c>
      <c r="M169" s="18">
        <f t="shared" si="207"/>
        <v>286</v>
      </c>
      <c r="N169" s="14">
        <f t="shared" si="208"/>
        <v>448</v>
      </c>
      <c r="O169" s="15">
        <f t="shared" si="209"/>
        <v>306</v>
      </c>
      <c r="P169" s="17">
        <f t="shared" si="210"/>
        <v>428</v>
      </c>
      <c r="Q169" s="18">
        <f t="shared" si="211"/>
        <v>306</v>
      </c>
      <c r="R169" s="4" t="s">
        <v>0</v>
      </c>
      <c r="S169" s="16" t="str">
        <f t="shared" si="212"/>
        <v>11-23</v>
      </c>
      <c r="T169" s="14">
        <f t="shared" si="213"/>
        <v>428</v>
      </c>
      <c r="U169" s="18">
        <f t="shared" si="214"/>
        <v>464</v>
      </c>
      <c r="V169" s="14">
        <f t="shared" si="215"/>
        <v>448</v>
      </c>
      <c r="W169" s="18">
        <f t="shared" si="216"/>
        <v>464</v>
      </c>
      <c r="X169" s="14">
        <f t="shared" si="217"/>
        <v>448</v>
      </c>
      <c r="Y169" s="18">
        <f t="shared" si="218"/>
        <v>444</v>
      </c>
      <c r="Z169" s="14">
        <f t="shared" si="219"/>
        <v>428</v>
      </c>
      <c r="AA169" s="18">
        <f t="shared" si="220"/>
        <v>444</v>
      </c>
      <c r="AB169" s="4" t="s">
        <v>0</v>
      </c>
    </row>
    <row r="170" spans="1:28">
      <c r="A170" s="9" t="s">
        <v>93</v>
      </c>
      <c r="B170" s="24"/>
      <c r="C170" s="26"/>
      <c r="D170" s="25">
        <f t="shared" si="165"/>
        <v>448</v>
      </c>
      <c r="E170" s="29">
        <f t="shared" ref="E170" si="256">E169</f>
        <v>286</v>
      </c>
      <c r="F170" s="25">
        <f t="shared" si="167"/>
        <v>468</v>
      </c>
      <c r="G170" s="29">
        <f t="shared" si="170"/>
        <v>306</v>
      </c>
      <c r="H170" s="4" t="s">
        <v>0</v>
      </c>
      <c r="I170" s="16" t="str">
        <f t="shared" si="203"/>
        <v>11-06</v>
      </c>
      <c r="J170" s="14">
        <f t="shared" si="204"/>
        <v>448</v>
      </c>
      <c r="K170" s="15">
        <f t="shared" si="205"/>
        <v>286</v>
      </c>
      <c r="L170" s="17">
        <f t="shared" si="206"/>
        <v>468</v>
      </c>
      <c r="M170" s="18">
        <f t="shared" si="207"/>
        <v>286</v>
      </c>
      <c r="N170" s="14">
        <f t="shared" si="208"/>
        <v>468</v>
      </c>
      <c r="O170" s="15">
        <f t="shared" si="209"/>
        <v>306</v>
      </c>
      <c r="P170" s="17">
        <f t="shared" si="210"/>
        <v>448</v>
      </c>
      <c r="Q170" s="18">
        <f t="shared" si="211"/>
        <v>306</v>
      </c>
      <c r="R170" s="4" t="s">
        <v>0</v>
      </c>
      <c r="S170" s="16" t="str">
        <f t="shared" si="212"/>
        <v>11-06</v>
      </c>
      <c r="T170" s="14">
        <f t="shared" si="213"/>
        <v>448</v>
      </c>
      <c r="U170" s="18">
        <f t="shared" si="214"/>
        <v>464</v>
      </c>
      <c r="V170" s="14">
        <f t="shared" si="215"/>
        <v>468</v>
      </c>
      <c r="W170" s="18">
        <f t="shared" si="216"/>
        <v>464</v>
      </c>
      <c r="X170" s="14">
        <f t="shared" si="217"/>
        <v>468</v>
      </c>
      <c r="Y170" s="18">
        <f t="shared" si="218"/>
        <v>444</v>
      </c>
      <c r="Z170" s="14">
        <f t="shared" si="219"/>
        <v>448</v>
      </c>
      <c r="AA170" s="18">
        <f t="shared" si="220"/>
        <v>444</v>
      </c>
      <c r="AB170" s="4" t="s">
        <v>0</v>
      </c>
    </row>
    <row r="171" spans="1:28">
      <c r="A171" s="9" t="s">
        <v>324</v>
      </c>
      <c r="B171" s="24"/>
      <c r="C171" s="26">
        <v>10</v>
      </c>
      <c r="D171" s="25">
        <f t="shared" ref="D171:D218" si="257">D155</f>
        <v>50</v>
      </c>
      <c r="E171" s="28">
        <f t="shared" ref="E171" si="258">ROUND(E$11+19.5*$C171, 0)</f>
        <v>305</v>
      </c>
      <c r="F171" s="25">
        <f t="shared" ref="F171:F218" si="259">F155</f>
        <v>70</v>
      </c>
      <c r="G171" s="28">
        <f t="shared" ref="G171" si="260">ROUND(G$11+19.5*$C171, 0)</f>
        <v>325</v>
      </c>
      <c r="H171" s="4" t="s">
        <v>0</v>
      </c>
      <c r="I171" s="16" t="str">
        <f t="shared" si="203"/>
        <v>20-20</v>
      </c>
      <c r="J171" s="14">
        <f t="shared" si="204"/>
        <v>50</v>
      </c>
      <c r="K171" s="15">
        <f t="shared" si="205"/>
        <v>305</v>
      </c>
      <c r="L171" s="17">
        <f t="shared" si="206"/>
        <v>70</v>
      </c>
      <c r="M171" s="18">
        <f t="shared" si="207"/>
        <v>305</v>
      </c>
      <c r="N171" s="14">
        <f t="shared" si="208"/>
        <v>70</v>
      </c>
      <c r="O171" s="15">
        <f t="shared" si="209"/>
        <v>325</v>
      </c>
      <c r="P171" s="17">
        <f t="shared" si="210"/>
        <v>50</v>
      </c>
      <c r="Q171" s="18">
        <f t="shared" si="211"/>
        <v>325</v>
      </c>
      <c r="R171" s="4" t="s">
        <v>0</v>
      </c>
      <c r="S171" s="16" t="str">
        <f t="shared" si="212"/>
        <v>20-20</v>
      </c>
      <c r="T171" s="14">
        <f t="shared" si="213"/>
        <v>50</v>
      </c>
      <c r="U171" s="18">
        <f t="shared" si="214"/>
        <v>445</v>
      </c>
      <c r="V171" s="14">
        <f t="shared" si="215"/>
        <v>70</v>
      </c>
      <c r="W171" s="18">
        <f t="shared" si="216"/>
        <v>445</v>
      </c>
      <c r="X171" s="14">
        <f t="shared" si="217"/>
        <v>70</v>
      </c>
      <c r="Y171" s="18">
        <f t="shared" si="218"/>
        <v>425</v>
      </c>
      <c r="Z171" s="14">
        <f t="shared" si="219"/>
        <v>50</v>
      </c>
      <c r="AA171" s="18">
        <f t="shared" si="220"/>
        <v>425</v>
      </c>
      <c r="AB171" s="4" t="s">
        <v>0</v>
      </c>
    </row>
    <row r="172" spans="1:28">
      <c r="A172" s="9" t="s">
        <v>311</v>
      </c>
      <c r="B172" s="24"/>
      <c r="C172" s="26"/>
      <c r="D172" s="25">
        <f t="shared" si="257"/>
        <v>70</v>
      </c>
      <c r="E172" s="29">
        <f t="shared" ref="E172" si="261">E171</f>
        <v>305</v>
      </c>
      <c r="F172" s="25">
        <f t="shared" si="259"/>
        <v>90</v>
      </c>
      <c r="G172" s="29">
        <f t="shared" ref="G172:G202" si="262">G171</f>
        <v>325</v>
      </c>
      <c r="H172" s="4" t="s">
        <v>0</v>
      </c>
      <c r="I172" s="16" t="str">
        <f t="shared" si="203"/>
        <v>20-03</v>
      </c>
      <c r="J172" s="14">
        <f t="shared" si="204"/>
        <v>70</v>
      </c>
      <c r="K172" s="15">
        <f t="shared" si="205"/>
        <v>305</v>
      </c>
      <c r="L172" s="17">
        <f t="shared" si="206"/>
        <v>90</v>
      </c>
      <c r="M172" s="18">
        <f t="shared" si="207"/>
        <v>305</v>
      </c>
      <c r="N172" s="14">
        <f t="shared" si="208"/>
        <v>90</v>
      </c>
      <c r="O172" s="15">
        <f t="shared" si="209"/>
        <v>325</v>
      </c>
      <c r="P172" s="17">
        <f t="shared" si="210"/>
        <v>70</v>
      </c>
      <c r="Q172" s="18">
        <f t="shared" si="211"/>
        <v>325</v>
      </c>
      <c r="R172" s="4" t="s">
        <v>0</v>
      </c>
      <c r="S172" s="16" t="str">
        <f t="shared" si="212"/>
        <v>20-03</v>
      </c>
      <c r="T172" s="14">
        <f t="shared" si="213"/>
        <v>70</v>
      </c>
      <c r="U172" s="18">
        <f t="shared" si="214"/>
        <v>445</v>
      </c>
      <c r="V172" s="14">
        <f t="shared" si="215"/>
        <v>90</v>
      </c>
      <c r="W172" s="18">
        <f t="shared" si="216"/>
        <v>445</v>
      </c>
      <c r="X172" s="14">
        <f t="shared" si="217"/>
        <v>90</v>
      </c>
      <c r="Y172" s="18">
        <f t="shared" si="218"/>
        <v>425</v>
      </c>
      <c r="Z172" s="14">
        <f t="shared" si="219"/>
        <v>70</v>
      </c>
      <c r="AA172" s="18">
        <f t="shared" si="220"/>
        <v>425</v>
      </c>
      <c r="AB172" s="4" t="s">
        <v>0</v>
      </c>
    </row>
    <row r="173" spans="1:28">
      <c r="A173" s="9" t="s">
        <v>306</v>
      </c>
      <c r="B173" s="24"/>
      <c r="C173" s="26"/>
      <c r="D173" s="25">
        <f t="shared" si="257"/>
        <v>104</v>
      </c>
      <c r="E173" s="29">
        <f t="shared" ref="E173" si="263">E172</f>
        <v>305</v>
      </c>
      <c r="F173" s="25">
        <f t="shared" si="259"/>
        <v>124</v>
      </c>
      <c r="G173" s="29">
        <f t="shared" si="262"/>
        <v>325</v>
      </c>
      <c r="H173" s="4" t="s">
        <v>0</v>
      </c>
      <c r="I173" s="16" t="str">
        <f t="shared" si="0"/>
        <v>18-27</v>
      </c>
      <c r="J173" s="14">
        <f t="shared" si="3"/>
        <v>104</v>
      </c>
      <c r="K173" s="15">
        <f t="shared" si="3"/>
        <v>305</v>
      </c>
      <c r="L173" s="17">
        <f t="shared" si="4"/>
        <v>124</v>
      </c>
      <c r="M173" s="18">
        <f t="shared" si="5"/>
        <v>305</v>
      </c>
      <c r="N173" s="14">
        <f t="shared" si="6"/>
        <v>124</v>
      </c>
      <c r="O173" s="15">
        <f t="shared" si="6"/>
        <v>325</v>
      </c>
      <c r="P173" s="17">
        <f t="shared" si="7"/>
        <v>104</v>
      </c>
      <c r="Q173" s="18">
        <f t="shared" si="8"/>
        <v>325</v>
      </c>
      <c r="R173" s="4" t="s">
        <v>0</v>
      </c>
      <c r="S173" s="16" t="str">
        <f t="shared" si="9"/>
        <v>18-27</v>
      </c>
      <c r="T173" s="14">
        <f t="shared" si="10"/>
        <v>104</v>
      </c>
      <c r="U173" s="18">
        <f t="shared" si="11"/>
        <v>445</v>
      </c>
      <c r="V173" s="14">
        <f t="shared" si="1"/>
        <v>124</v>
      </c>
      <c r="W173" s="18">
        <f t="shared" si="12"/>
        <v>445</v>
      </c>
      <c r="X173" s="14">
        <f t="shared" si="1"/>
        <v>124</v>
      </c>
      <c r="Y173" s="18">
        <f t="shared" si="13"/>
        <v>425</v>
      </c>
      <c r="Z173" s="14">
        <f t="shared" si="1"/>
        <v>104</v>
      </c>
      <c r="AA173" s="18">
        <f t="shared" si="14"/>
        <v>425</v>
      </c>
      <c r="AB173" s="4" t="s">
        <v>0</v>
      </c>
    </row>
    <row r="174" spans="1:28">
      <c r="A174" s="9" t="s">
        <v>290</v>
      </c>
      <c r="B174" s="24"/>
      <c r="C174" s="26"/>
      <c r="D174" s="25">
        <f t="shared" si="257"/>
        <v>124</v>
      </c>
      <c r="E174" s="29">
        <f t="shared" ref="E174" si="264">E173</f>
        <v>305</v>
      </c>
      <c r="F174" s="25">
        <f t="shared" si="259"/>
        <v>144</v>
      </c>
      <c r="G174" s="29">
        <f t="shared" si="262"/>
        <v>325</v>
      </c>
      <c r="H174" s="4" t="s">
        <v>0</v>
      </c>
      <c r="I174" s="16" t="str">
        <f t="shared" si="0"/>
        <v>18-07</v>
      </c>
      <c r="J174" s="14">
        <f t="shared" si="3"/>
        <v>124</v>
      </c>
      <c r="K174" s="15">
        <f t="shared" si="3"/>
        <v>305</v>
      </c>
      <c r="L174" s="17">
        <f t="shared" si="4"/>
        <v>144</v>
      </c>
      <c r="M174" s="18">
        <f t="shared" si="5"/>
        <v>305</v>
      </c>
      <c r="N174" s="14">
        <f t="shared" si="6"/>
        <v>144</v>
      </c>
      <c r="O174" s="15">
        <f t="shared" si="6"/>
        <v>325</v>
      </c>
      <c r="P174" s="17">
        <f t="shared" si="7"/>
        <v>124</v>
      </c>
      <c r="Q174" s="18">
        <f t="shared" si="8"/>
        <v>325</v>
      </c>
      <c r="R174" s="4" t="s">
        <v>0</v>
      </c>
      <c r="S174" s="16" t="str">
        <f t="shared" si="9"/>
        <v>18-07</v>
      </c>
      <c r="T174" s="14">
        <f t="shared" si="10"/>
        <v>124</v>
      </c>
      <c r="U174" s="18">
        <f t="shared" si="11"/>
        <v>445</v>
      </c>
      <c r="V174" s="14">
        <f t="shared" si="1"/>
        <v>144</v>
      </c>
      <c r="W174" s="18">
        <f t="shared" si="12"/>
        <v>445</v>
      </c>
      <c r="X174" s="14">
        <f t="shared" si="1"/>
        <v>144</v>
      </c>
      <c r="Y174" s="18">
        <f t="shared" si="13"/>
        <v>425</v>
      </c>
      <c r="Z174" s="14">
        <f t="shared" si="1"/>
        <v>124</v>
      </c>
      <c r="AA174" s="18">
        <f t="shared" si="14"/>
        <v>425</v>
      </c>
      <c r="AB174" s="4" t="s">
        <v>0</v>
      </c>
    </row>
    <row r="175" spans="1:28">
      <c r="A175" s="9" t="s">
        <v>525</v>
      </c>
      <c r="B175" s="24"/>
      <c r="C175" s="26"/>
      <c r="D175" s="25">
        <f t="shared" si="257"/>
        <v>158</v>
      </c>
      <c r="E175" s="29">
        <f t="shared" ref="E175" si="265">E174</f>
        <v>305</v>
      </c>
      <c r="F175" s="25">
        <f t="shared" si="259"/>
        <v>178</v>
      </c>
      <c r="G175" s="29">
        <f t="shared" si="262"/>
        <v>325</v>
      </c>
      <c r="H175" s="4" t="s">
        <v>0</v>
      </c>
      <c r="I175" s="11" t="str">
        <f t="shared" si="0"/>
        <v>17-27</v>
      </c>
      <c r="J175" s="14">
        <f t="shared" si="3"/>
        <v>158</v>
      </c>
      <c r="K175" s="15">
        <f t="shared" si="3"/>
        <v>305</v>
      </c>
      <c r="L175" s="17">
        <f t="shared" si="4"/>
        <v>178</v>
      </c>
      <c r="M175" s="18">
        <f t="shared" si="5"/>
        <v>305</v>
      </c>
      <c r="N175" s="14">
        <f t="shared" si="6"/>
        <v>178</v>
      </c>
      <c r="O175" s="15">
        <f t="shared" si="6"/>
        <v>325</v>
      </c>
      <c r="P175" s="17">
        <f t="shared" si="7"/>
        <v>158</v>
      </c>
      <c r="Q175" s="18">
        <f t="shared" si="8"/>
        <v>325</v>
      </c>
      <c r="R175" s="4" t="s">
        <v>0</v>
      </c>
      <c r="S175" s="16" t="str">
        <f t="shared" si="9"/>
        <v>17-27</v>
      </c>
      <c r="T175" s="14">
        <f t="shared" si="10"/>
        <v>158</v>
      </c>
      <c r="U175" s="18">
        <f t="shared" si="11"/>
        <v>445</v>
      </c>
      <c r="V175" s="14">
        <f t="shared" si="1"/>
        <v>178</v>
      </c>
      <c r="W175" s="18">
        <f t="shared" si="12"/>
        <v>445</v>
      </c>
      <c r="X175" s="14">
        <f t="shared" si="1"/>
        <v>178</v>
      </c>
      <c r="Y175" s="18">
        <f t="shared" si="13"/>
        <v>425</v>
      </c>
      <c r="Z175" s="14">
        <f t="shared" si="1"/>
        <v>158</v>
      </c>
      <c r="AA175" s="18">
        <f t="shared" si="14"/>
        <v>425</v>
      </c>
      <c r="AB175" s="4" t="s">
        <v>0</v>
      </c>
    </row>
    <row r="176" spans="1:28">
      <c r="A176" s="9" t="s">
        <v>269</v>
      </c>
      <c r="B176" s="24"/>
      <c r="C176" s="26"/>
      <c r="D176" s="25">
        <f t="shared" si="257"/>
        <v>178</v>
      </c>
      <c r="E176" s="29">
        <f t="shared" ref="E176" si="266">E175</f>
        <v>305</v>
      </c>
      <c r="F176" s="25">
        <f t="shared" si="259"/>
        <v>198</v>
      </c>
      <c r="G176" s="29">
        <f t="shared" si="262"/>
        <v>325</v>
      </c>
      <c r="H176" s="4" t="s">
        <v>0</v>
      </c>
      <c r="I176" s="11" t="str">
        <f t="shared" si="0"/>
        <v>17-07</v>
      </c>
      <c r="J176" s="14">
        <f t="shared" si="3"/>
        <v>178</v>
      </c>
      <c r="K176" s="15">
        <f t="shared" si="3"/>
        <v>305</v>
      </c>
      <c r="L176" s="17">
        <f t="shared" si="4"/>
        <v>198</v>
      </c>
      <c r="M176" s="18">
        <f t="shared" si="5"/>
        <v>305</v>
      </c>
      <c r="N176" s="14">
        <f t="shared" si="6"/>
        <v>198</v>
      </c>
      <c r="O176" s="15">
        <f t="shared" si="6"/>
        <v>325</v>
      </c>
      <c r="P176" s="17">
        <f t="shared" si="7"/>
        <v>178</v>
      </c>
      <c r="Q176" s="18">
        <f t="shared" si="8"/>
        <v>325</v>
      </c>
      <c r="R176" s="4" t="s">
        <v>0</v>
      </c>
      <c r="S176" s="16" t="str">
        <f t="shared" si="9"/>
        <v>17-07</v>
      </c>
      <c r="T176" s="14">
        <f t="shared" si="10"/>
        <v>178</v>
      </c>
      <c r="U176" s="18">
        <f t="shared" si="11"/>
        <v>445</v>
      </c>
      <c r="V176" s="14">
        <f t="shared" si="1"/>
        <v>198</v>
      </c>
      <c r="W176" s="18">
        <f t="shared" si="12"/>
        <v>445</v>
      </c>
      <c r="X176" s="14">
        <f t="shared" si="1"/>
        <v>198</v>
      </c>
      <c r="Y176" s="18">
        <f t="shared" si="13"/>
        <v>425</v>
      </c>
      <c r="Z176" s="14">
        <f t="shared" si="1"/>
        <v>178</v>
      </c>
      <c r="AA176" s="18">
        <f t="shared" si="14"/>
        <v>425</v>
      </c>
      <c r="AB176" s="4" t="s">
        <v>0</v>
      </c>
    </row>
    <row r="177" spans="1:28">
      <c r="A177" s="9" t="s">
        <v>514</v>
      </c>
      <c r="B177" s="24"/>
      <c r="C177" s="26"/>
      <c r="D177" s="25">
        <f t="shared" si="257"/>
        <v>212</v>
      </c>
      <c r="E177" s="29">
        <f t="shared" ref="E177" si="267">E176</f>
        <v>305</v>
      </c>
      <c r="F177" s="25">
        <f t="shared" si="259"/>
        <v>232</v>
      </c>
      <c r="G177" s="29">
        <f t="shared" si="262"/>
        <v>325</v>
      </c>
      <c r="H177" s="4" t="s">
        <v>0</v>
      </c>
      <c r="I177" s="11" t="str">
        <f t="shared" si="0"/>
        <v>16-27</v>
      </c>
      <c r="J177" s="14">
        <f t="shared" si="3"/>
        <v>212</v>
      </c>
      <c r="K177" s="15">
        <f t="shared" si="3"/>
        <v>305</v>
      </c>
      <c r="L177" s="17">
        <f t="shared" si="4"/>
        <v>232</v>
      </c>
      <c r="M177" s="18">
        <f t="shared" si="5"/>
        <v>305</v>
      </c>
      <c r="N177" s="14">
        <f t="shared" si="6"/>
        <v>232</v>
      </c>
      <c r="O177" s="15">
        <f t="shared" si="6"/>
        <v>325</v>
      </c>
      <c r="P177" s="17">
        <f t="shared" si="7"/>
        <v>212</v>
      </c>
      <c r="Q177" s="18">
        <f t="shared" si="8"/>
        <v>325</v>
      </c>
      <c r="R177" s="4" t="s">
        <v>0</v>
      </c>
      <c r="S177" s="16" t="str">
        <f t="shared" si="9"/>
        <v>16-27</v>
      </c>
      <c r="T177" s="14">
        <f t="shared" si="10"/>
        <v>212</v>
      </c>
      <c r="U177" s="18">
        <f t="shared" si="11"/>
        <v>445</v>
      </c>
      <c r="V177" s="14">
        <f t="shared" si="1"/>
        <v>232</v>
      </c>
      <c r="W177" s="18">
        <f t="shared" si="12"/>
        <v>445</v>
      </c>
      <c r="X177" s="14">
        <f t="shared" si="1"/>
        <v>232</v>
      </c>
      <c r="Y177" s="18">
        <f t="shared" si="13"/>
        <v>425</v>
      </c>
      <c r="Z177" s="14">
        <f t="shared" si="1"/>
        <v>212</v>
      </c>
      <c r="AA177" s="18">
        <f t="shared" si="14"/>
        <v>425</v>
      </c>
      <c r="AB177" s="4" t="s">
        <v>0</v>
      </c>
    </row>
    <row r="178" spans="1:28">
      <c r="A178" s="9" t="s">
        <v>248</v>
      </c>
      <c r="B178" s="24"/>
      <c r="C178" s="26"/>
      <c r="D178" s="25">
        <f t="shared" si="257"/>
        <v>232</v>
      </c>
      <c r="E178" s="29">
        <f t="shared" ref="E178" si="268">E177</f>
        <v>305</v>
      </c>
      <c r="F178" s="25">
        <f t="shared" si="259"/>
        <v>252</v>
      </c>
      <c r="G178" s="29">
        <f t="shared" si="262"/>
        <v>325</v>
      </c>
      <c r="H178" s="4" t="s">
        <v>0</v>
      </c>
      <c r="I178" s="11" t="str">
        <f t="shared" si="0"/>
        <v>16-07</v>
      </c>
      <c r="J178" s="14">
        <f t="shared" si="3"/>
        <v>232</v>
      </c>
      <c r="K178" s="15">
        <f t="shared" si="3"/>
        <v>305</v>
      </c>
      <c r="L178" s="17">
        <f t="shared" si="4"/>
        <v>252</v>
      </c>
      <c r="M178" s="18">
        <f t="shared" si="5"/>
        <v>305</v>
      </c>
      <c r="N178" s="14">
        <f t="shared" si="6"/>
        <v>252</v>
      </c>
      <c r="O178" s="15">
        <f t="shared" si="6"/>
        <v>325</v>
      </c>
      <c r="P178" s="17">
        <f t="shared" si="7"/>
        <v>232</v>
      </c>
      <c r="Q178" s="18">
        <f t="shared" si="8"/>
        <v>325</v>
      </c>
      <c r="R178" s="4" t="s">
        <v>0</v>
      </c>
      <c r="S178" s="16" t="str">
        <f t="shared" si="9"/>
        <v>16-07</v>
      </c>
      <c r="T178" s="14">
        <f t="shared" si="10"/>
        <v>232</v>
      </c>
      <c r="U178" s="18">
        <f t="shared" si="11"/>
        <v>445</v>
      </c>
      <c r="V178" s="14">
        <f t="shared" si="1"/>
        <v>252</v>
      </c>
      <c r="W178" s="18">
        <f t="shared" si="12"/>
        <v>445</v>
      </c>
      <c r="X178" s="14">
        <f t="shared" si="1"/>
        <v>252</v>
      </c>
      <c r="Y178" s="18">
        <f t="shared" si="13"/>
        <v>425</v>
      </c>
      <c r="Z178" s="14">
        <f t="shared" si="1"/>
        <v>232</v>
      </c>
      <c r="AA178" s="18">
        <f t="shared" si="14"/>
        <v>425</v>
      </c>
      <c r="AB178" s="4" t="s">
        <v>0</v>
      </c>
    </row>
    <row r="179" spans="1:28">
      <c r="A179" s="9" t="s">
        <v>503</v>
      </c>
      <c r="B179" s="24"/>
      <c r="C179" s="26"/>
      <c r="D179" s="25">
        <f t="shared" si="257"/>
        <v>266</v>
      </c>
      <c r="E179" s="29">
        <f t="shared" ref="E179" si="269">E178</f>
        <v>305</v>
      </c>
      <c r="F179" s="25">
        <f t="shared" si="259"/>
        <v>286</v>
      </c>
      <c r="G179" s="29">
        <f t="shared" si="262"/>
        <v>325</v>
      </c>
      <c r="H179" s="4" t="s">
        <v>0</v>
      </c>
      <c r="I179" s="11" t="str">
        <f t="shared" si="0"/>
        <v>15-27</v>
      </c>
      <c r="J179" s="14">
        <f t="shared" si="3"/>
        <v>266</v>
      </c>
      <c r="K179" s="15">
        <f t="shared" si="3"/>
        <v>305</v>
      </c>
      <c r="L179" s="17">
        <f t="shared" si="4"/>
        <v>286</v>
      </c>
      <c r="M179" s="18">
        <f t="shared" si="5"/>
        <v>305</v>
      </c>
      <c r="N179" s="14">
        <f t="shared" si="6"/>
        <v>286</v>
      </c>
      <c r="O179" s="15">
        <f t="shared" si="6"/>
        <v>325</v>
      </c>
      <c r="P179" s="17">
        <f t="shared" si="7"/>
        <v>266</v>
      </c>
      <c r="Q179" s="18">
        <f t="shared" si="8"/>
        <v>325</v>
      </c>
      <c r="R179" s="4" t="s">
        <v>0</v>
      </c>
      <c r="S179" s="16" t="str">
        <f t="shared" si="9"/>
        <v>15-27</v>
      </c>
      <c r="T179" s="14">
        <f t="shared" si="10"/>
        <v>266</v>
      </c>
      <c r="U179" s="18">
        <f t="shared" si="11"/>
        <v>445</v>
      </c>
      <c r="V179" s="14">
        <f t="shared" si="1"/>
        <v>286</v>
      </c>
      <c r="W179" s="18">
        <f t="shared" si="12"/>
        <v>445</v>
      </c>
      <c r="X179" s="14">
        <f t="shared" si="1"/>
        <v>286</v>
      </c>
      <c r="Y179" s="18">
        <f t="shared" si="13"/>
        <v>425</v>
      </c>
      <c r="Z179" s="14">
        <f t="shared" si="1"/>
        <v>266</v>
      </c>
      <c r="AA179" s="18">
        <f t="shared" si="14"/>
        <v>425</v>
      </c>
      <c r="AB179" s="4" t="s">
        <v>0</v>
      </c>
    </row>
    <row r="180" spans="1:28">
      <c r="A180" s="9" t="s">
        <v>229</v>
      </c>
      <c r="B180" s="24"/>
      <c r="C180" s="26"/>
      <c r="D180" s="25">
        <f t="shared" si="257"/>
        <v>286</v>
      </c>
      <c r="E180" s="29">
        <f t="shared" ref="E180" si="270">E179</f>
        <v>305</v>
      </c>
      <c r="F180" s="25">
        <f t="shared" si="259"/>
        <v>306</v>
      </c>
      <c r="G180" s="29">
        <f t="shared" si="262"/>
        <v>325</v>
      </c>
      <c r="H180" s="4" t="s">
        <v>0</v>
      </c>
      <c r="I180" s="11" t="str">
        <f t="shared" si="0"/>
        <v>15-07</v>
      </c>
      <c r="J180" s="14">
        <f t="shared" si="3"/>
        <v>286</v>
      </c>
      <c r="K180" s="15">
        <f t="shared" si="3"/>
        <v>305</v>
      </c>
      <c r="L180" s="17">
        <f t="shared" si="4"/>
        <v>306</v>
      </c>
      <c r="M180" s="18">
        <f t="shared" si="5"/>
        <v>305</v>
      </c>
      <c r="N180" s="14">
        <f t="shared" si="6"/>
        <v>306</v>
      </c>
      <c r="O180" s="15">
        <f t="shared" si="6"/>
        <v>325</v>
      </c>
      <c r="P180" s="17">
        <f t="shared" si="7"/>
        <v>286</v>
      </c>
      <c r="Q180" s="18">
        <f t="shared" si="8"/>
        <v>325</v>
      </c>
      <c r="R180" s="4" t="s">
        <v>0</v>
      </c>
      <c r="S180" s="16" t="str">
        <f t="shared" si="9"/>
        <v>15-07</v>
      </c>
      <c r="T180" s="14">
        <f t="shared" si="10"/>
        <v>286</v>
      </c>
      <c r="U180" s="18">
        <f t="shared" si="11"/>
        <v>445</v>
      </c>
      <c r="V180" s="14">
        <f t="shared" si="1"/>
        <v>306</v>
      </c>
      <c r="W180" s="18">
        <f t="shared" si="12"/>
        <v>445</v>
      </c>
      <c r="X180" s="14">
        <f t="shared" si="1"/>
        <v>306</v>
      </c>
      <c r="Y180" s="18">
        <f t="shared" si="13"/>
        <v>425</v>
      </c>
      <c r="Z180" s="14">
        <f t="shared" si="1"/>
        <v>286</v>
      </c>
      <c r="AA180" s="18">
        <f t="shared" si="14"/>
        <v>425</v>
      </c>
      <c r="AB180" s="4" t="s">
        <v>0</v>
      </c>
    </row>
    <row r="181" spans="1:28">
      <c r="A181" s="9" t="s">
        <v>488</v>
      </c>
      <c r="B181" s="24"/>
      <c r="C181" s="26"/>
      <c r="D181" s="25">
        <f t="shared" si="257"/>
        <v>320</v>
      </c>
      <c r="E181" s="29">
        <f t="shared" ref="E181" si="271">E180</f>
        <v>305</v>
      </c>
      <c r="F181" s="25">
        <f t="shared" si="259"/>
        <v>340</v>
      </c>
      <c r="G181" s="29">
        <f t="shared" si="262"/>
        <v>325</v>
      </c>
      <c r="H181" s="4" t="s">
        <v>0</v>
      </c>
      <c r="I181" s="11" t="str">
        <f t="shared" si="0"/>
        <v>13-27</v>
      </c>
      <c r="J181" s="14">
        <f t="shared" si="3"/>
        <v>320</v>
      </c>
      <c r="K181" s="15">
        <f t="shared" si="3"/>
        <v>305</v>
      </c>
      <c r="L181" s="17">
        <f t="shared" si="4"/>
        <v>340</v>
      </c>
      <c r="M181" s="18">
        <f t="shared" si="5"/>
        <v>305</v>
      </c>
      <c r="N181" s="14">
        <f t="shared" si="6"/>
        <v>340</v>
      </c>
      <c r="O181" s="15">
        <f t="shared" si="6"/>
        <v>325</v>
      </c>
      <c r="P181" s="17">
        <f t="shared" si="7"/>
        <v>320</v>
      </c>
      <c r="Q181" s="18">
        <f t="shared" si="8"/>
        <v>325</v>
      </c>
      <c r="R181" s="4" t="s">
        <v>0</v>
      </c>
      <c r="S181" s="16" t="str">
        <f t="shared" si="9"/>
        <v>13-27</v>
      </c>
      <c r="T181" s="14">
        <f t="shared" si="10"/>
        <v>320</v>
      </c>
      <c r="U181" s="18">
        <f t="shared" si="11"/>
        <v>445</v>
      </c>
      <c r="V181" s="14">
        <f t="shared" si="1"/>
        <v>340</v>
      </c>
      <c r="W181" s="18">
        <f t="shared" si="12"/>
        <v>445</v>
      </c>
      <c r="X181" s="14">
        <f t="shared" si="1"/>
        <v>340</v>
      </c>
      <c r="Y181" s="18">
        <f t="shared" si="13"/>
        <v>425</v>
      </c>
      <c r="Z181" s="14">
        <f t="shared" si="1"/>
        <v>320</v>
      </c>
      <c r="AA181" s="18">
        <f t="shared" si="14"/>
        <v>425</v>
      </c>
      <c r="AB181" s="4" t="s">
        <v>0</v>
      </c>
    </row>
    <row r="182" spans="1:28">
      <c r="A182" s="9" t="s">
        <v>212</v>
      </c>
      <c r="B182" s="24"/>
      <c r="C182" s="26"/>
      <c r="D182" s="25">
        <f t="shared" si="257"/>
        <v>340</v>
      </c>
      <c r="E182" s="29">
        <f t="shared" ref="E182" si="272">E181</f>
        <v>305</v>
      </c>
      <c r="F182" s="25">
        <f t="shared" si="259"/>
        <v>360</v>
      </c>
      <c r="G182" s="29">
        <f t="shared" si="262"/>
        <v>325</v>
      </c>
      <c r="H182" s="4" t="s">
        <v>0</v>
      </c>
      <c r="I182" s="11" t="str">
        <f t="shared" si="0"/>
        <v>13-07</v>
      </c>
      <c r="J182" s="14">
        <f t="shared" si="3"/>
        <v>340</v>
      </c>
      <c r="K182" s="15">
        <f t="shared" si="3"/>
        <v>305</v>
      </c>
      <c r="L182" s="17">
        <f t="shared" si="4"/>
        <v>360</v>
      </c>
      <c r="M182" s="18">
        <f t="shared" si="5"/>
        <v>305</v>
      </c>
      <c r="N182" s="14">
        <f t="shared" si="6"/>
        <v>360</v>
      </c>
      <c r="O182" s="15">
        <f t="shared" si="6"/>
        <v>325</v>
      </c>
      <c r="P182" s="17">
        <f t="shared" si="7"/>
        <v>340</v>
      </c>
      <c r="Q182" s="18">
        <f t="shared" si="8"/>
        <v>325</v>
      </c>
      <c r="R182" s="4" t="s">
        <v>0</v>
      </c>
      <c r="S182" s="16" t="str">
        <f t="shared" si="9"/>
        <v>13-07</v>
      </c>
      <c r="T182" s="14">
        <f t="shared" si="10"/>
        <v>340</v>
      </c>
      <c r="U182" s="18">
        <f t="shared" si="11"/>
        <v>445</v>
      </c>
      <c r="V182" s="14">
        <f t="shared" si="1"/>
        <v>360</v>
      </c>
      <c r="W182" s="18">
        <f t="shared" si="12"/>
        <v>445</v>
      </c>
      <c r="X182" s="14">
        <f t="shared" si="1"/>
        <v>360</v>
      </c>
      <c r="Y182" s="18">
        <f t="shared" si="13"/>
        <v>425</v>
      </c>
      <c r="Z182" s="14">
        <f t="shared" si="1"/>
        <v>340</v>
      </c>
      <c r="AA182" s="18">
        <f t="shared" si="14"/>
        <v>425</v>
      </c>
      <c r="AB182" s="4" t="s">
        <v>0</v>
      </c>
    </row>
    <row r="183" spans="1:28">
      <c r="A183" s="9" t="s">
        <v>473</v>
      </c>
      <c r="B183" s="24"/>
      <c r="C183" s="26"/>
      <c r="D183" s="25">
        <f t="shared" si="257"/>
        <v>374</v>
      </c>
      <c r="E183" s="29">
        <f t="shared" ref="E183" si="273">E182</f>
        <v>305</v>
      </c>
      <c r="F183" s="25">
        <f t="shared" si="259"/>
        <v>394</v>
      </c>
      <c r="G183" s="29">
        <f t="shared" si="262"/>
        <v>325</v>
      </c>
      <c r="H183" s="4" t="s">
        <v>0</v>
      </c>
      <c r="I183" s="11" t="str">
        <f t="shared" si="0"/>
        <v>12-27</v>
      </c>
      <c r="J183" s="14">
        <f t="shared" si="3"/>
        <v>374</v>
      </c>
      <c r="K183" s="15">
        <f t="shared" si="3"/>
        <v>305</v>
      </c>
      <c r="L183" s="17">
        <f t="shared" si="4"/>
        <v>394</v>
      </c>
      <c r="M183" s="18">
        <f t="shared" si="5"/>
        <v>305</v>
      </c>
      <c r="N183" s="14">
        <f t="shared" si="6"/>
        <v>394</v>
      </c>
      <c r="O183" s="15">
        <f t="shared" si="6"/>
        <v>325</v>
      </c>
      <c r="P183" s="17">
        <f t="shared" si="7"/>
        <v>374</v>
      </c>
      <c r="Q183" s="18">
        <f t="shared" si="8"/>
        <v>325</v>
      </c>
      <c r="R183" s="4" t="s">
        <v>0</v>
      </c>
      <c r="S183" s="16" t="str">
        <f t="shared" si="9"/>
        <v>12-27</v>
      </c>
      <c r="T183" s="14">
        <f t="shared" si="10"/>
        <v>374</v>
      </c>
      <c r="U183" s="18">
        <f t="shared" si="11"/>
        <v>445</v>
      </c>
      <c r="V183" s="14">
        <f t="shared" si="1"/>
        <v>394</v>
      </c>
      <c r="W183" s="18">
        <f t="shared" si="12"/>
        <v>445</v>
      </c>
      <c r="X183" s="14">
        <f t="shared" si="1"/>
        <v>394</v>
      </c>
      <c r="Y183" s="18">
        <f t="shared" si="13"/>
        <v>425</v>
      </c>
      <c r="Z183" s="14">
        <f t="shared" si="1"/>
        <v>374</v>
      </c>
      <c r="AA183" s="18">
        <f t="shared" si="14"/>
        <v>425</v>
      </c>
      <c r="AB183" s="4" t="s">
        <v>0</v>
      </c>
    </row>
    <row r="184" spans="1:28">
      <c r="A184" s="9" t="s">
        <v>104</v>
      </c>
      <c r="B184" s="24"/>
      <c r="C184" s="26"/>
      <c r="D184" s="25">
        <f t="shared" si="257"/>
        <v>394</v>
      </c>
      <c r="E184" s="29">
        <f t="shared" ref="E184" si="274">E183</f>
        <v>305</v>
      </c>
      <c r="F184" s="25">
        <f t="shared" si="259"/>
        <v>414</v>
      </c>
      <c r="G184" s="29">
        <f t="shared" si="262"/>
        <v>325</v>
      </c>
      <c r="H184" s="4" t="s">
        <v>0</v>
      </c>
      <c r="I184" s="11" t="str">
        <f t="shared" si="0"/>
        <v>12-07</v>
      </c>
      <c r="J184" s="14">
        <f t="shared" si="3"/>
        <v>394</v>
      </c>
      <c r="K184" s="15">
        <f t="shared" si="3"/>
        <v>305</v>
      </c>
      <c r="L184" s="17">
        <f t="shared" si="4"/>
        <v>414</v>
      </c>
      <c r="M184" s="18">
        <f t="shared" si="5"/>
        <v>305</v>
      </c>
      <c r="N184" s="14">
        <f t="shared" si="6"/>
        <v>414</v>
      </c>
      <c r="O184" s="15">
        <f t="shared" si="6"/>
        <v>325</v>
      </c>
      <c r="P184" s="17">
        <f t="shared" si="7"/>
        <v>394</v>
      </c>
      <c r="Q184" s="18">
        <f t="shared" si="8"/>
        <v>325</v>
      </c>
      <c r="R184" s="4" t="s">
        <v>0</v>
      </c>
      <c r="S184" s="16" t="str">
        <f t="shared" si="9"/>
        <v>12-07</v>
      </c>
      <c r="T184" s="14">
        <f t="shared" si="10"/>
        <v>394</v>
      </c>
      <c r="U184" s="18">
        <f t="shared" si="11"/>
        <v>445</v>
      </c>
      <c r="V184" s="14">
        <f t="shared" si="1"/>
        <v>414</v>
      </c>
      <c r="W184" s="18">
        <f t="shared" si="12"/>
        <v>445</v>
      </c>
      <c r="X184" s="14">
        <f t="shared" si="1"/>
        <v>414</v>
      </c>
      <c r="Y184" s="18">
        <f t="shared" si="13"/>
        <v>425</v>
      </c>
      <c r="Z184" s="14">
        <f t="shared" si="1"/>
        <v>394</v>
      </c>
      <c r="AA184" s="18">
        <f t="shared" si="14"/>
        <v>425</v>
      </c>
      <c r="AB184" s="4" t="s">
        <v>0</v>
      </c>
    </row>
    <row r="185" spans="1:28">
      <c r="A185" s="9" t="s">
        <v>458</v>
      </c>
      <c r="B185" s="24"/>
      <c r="C185" s="26"/>
      <c r="D185" s="25">
        <f t="shared" si="257"/>
        <v>428</v>
      </c>
      <c r="E185" s="29">
        <f t="shared" ref="E185" si="275">E184</f>
        <v>305</v>
      </c>
      <c r="F185" s="25">
        <f t="shared" si="259"/>
        <v>448</v>
      </c>
      <c r="G185" s="29">
        <f t="shared" si="262"/>
        <v>325</v>
      </c>
      <c r="H185" s="4" t="s">
        <v>0</v>
      </c>
      <c r="I185" s="11" t="str">
        <f t="shared" si="0"/>
        <v>11-22</v>
      </c>
      <c r="J185" s="14">
        <f t="shared" si="3"/>
        <v>428</v>
      </c>
      <c r="K185" s="15">
        <f t="shared" si="3"/>
        <v>305</v>
      </c>
      <c r="L185" s="17">
        <f t="shared" si="4"/>
        <v>448</v>
      </c>
      <c r="M185" s="18">
        <f t="shared" si="5"/>
        <v>305</v>
      </c>
      <c r="N185" s="14">
        <f t="shared" si="6"/>
        <v>448</v>
      </c>
      <c r="O185" s="15">
        <f t="shared" si="6"/>
        <v>325</v>
      </c>
      <c r="P185" s="17">
        <f t="shared" si="7"/>
        <v>428</v>
      </c>
      <c r="Q185" s="18">
        <f t="shared" si="8"/>
        <v>325</v>
      </c>
      <c r="R185" s="4" t="s">
        <v>0</v>
      </c>
      <c r="S185" s="16" t="str">
        <f t="shared" si="9"/>
        <v>11-22</v>
      </c>
      <c r="T185" s="14">
        <f t="shared" si="10"/>
        <v>428</v>
      </c>
      <c r="U185" s="18">
        <f t="shared" si="11"/>
        <v>445</v>
      </c>
      <c r="V185" s="14">
        <f t="shared" si="1"/>
        <v>448</v>
      </c>
      <c r="W185" s="18">
        <f t="shared" si="12"/>
        <v>445</v>
      </c>
      <c r="X185" s="14">
        <f t="shared" si="1"/>
        <v>448</v>
      </c>
      <c r="Y185" s="18">
        <f t="shared" si="13"/>
        <v>425</v>
      </c>
      <c r="Z185" s="14">
        <f t="shared" si="1"/>
        <v>428</v>
      </c>
      <c r="AA185" s="18">
        <f t="shared" si="14"/>
        <v>425</v>
      </c>
      <c r="AB185" s="4" t="s">
        <v>0</v>
      </c>
    </row>
    <row r="186" spans="1:28">
      <c r="A186" s="9" t="s">
        <v>92</v>
      </c>
      <c r="B186" s="24"/>
      <c r="C186" s="26"/>
      <c r="D186" s="25">
        <f t="shared" si="257"/>
        <v>448</v>
      </c>
      <c r="E186" s="29">
        <f t="shared" ref="E186" si="276">E185</f>
        <v>305</v>
      </c>
      <c r="F186" s="25">
        <f t="shared" si="259"/>
        <v>468</v>
      </c>
      <c r="G186" s="29">
        <f t="shared" si="262"/>
        <v>325</v>
      </c>
      <c r="H186" s="4" t="s">
        <v>0</v>
      </c>
      <c r="I186" s="11" t="str">
        <f t="shared" si="0"/>
        <v>11-05</v>
      </c>
      <c r="J186" s="14">
        <f t="shared" si="3"/>
        <v>448</v>
      </c>
      <c r="K186" s="15">
        <f t="shared" si="3"/>
        <v>305</v>
      </c>
      <c r="L186" s="17">
        <f t="shared" si="4"/>
        <v>468</v>
      </c>
      <c r="M186" s="18">
        <f t="shared" si="5"/>
        <v>305</v>
      </c>
      <c r="N186" s="14">
        <f t="shared" si="6"/>
        <v>468</v>
      </c>
      <c r="O186" s="15">
        <f t="shared" si="6"/>
        <v>325</v>
      </c>
      <c r="P186" s="17">
        <f t="shared" si="7"/>
        <v>448</v>
      </c>
      <c r="Q186" s="18">
        <f t="shared" si="8"/>
        <v>325</v>
      </c>
      <c r="R186" s="4" t="s">
        <v>0</v>
      </c>
      <c r="S186" s="16" t="str">
        <f t="shared" si="9"/>
        <v>11-05</v>
      </c>
      <c r="T186" s="14">
        <f t="shared" si="10"/>
        <v>448</v>
      </c>
      <c r="U186" s="18">
        <f t="shared" si="11"/>
        <v>445</v>
      </c>
      <c r="V186" s="14">
        <f t="shared" si="1"/>
        <v>468</v>
      </c>
      <c r="W186" s="18">
        <f t="shared" si="12"/>
        <v>445</v>
      </c>
      <c r="X186" s="14">
        <f t="shared" si="1"/>
        <v>468</v>
      </c>
      <c r="Y186" s="18">
        <f t="shared" si="13"/>
        <v>425</v>
      </c>
      <c r="Z186" s="14">
        <f t="shared" si="1"/>
        <v>448</v>
      </c>
      <c r="AA186" s="18">
        <f t="shared" si="14"/>
        <v>425</v>
      </c>
      <c r="AB186" s="4" t="s">
        <v>0</v>
      </c>
    </row>
    <row r="187" spans="1:28">
      <c r="A187" s="9" t="s">
        <v>323</v>
      </c>
      <c r="B187" s="24"/>
      <c r="C187" s="26">
        <v>11</v>
      </c>
      <c r="D187" s="25">
        <f t="shared" si="257"/>
        <v>50</v>
      </c>
      <c r="E187" s="28">
        <f t="shared" ref="E187:E203" si="277">ROUND(E$11+19.5*$C187, 0)</f>
        <v>325</v>
      </c>
      <c r="F187" s="25">
        <f t="shared" si="259"/>
        <v>70</v>
      </c>
      <c r="G187" s="28">
        <f t="shared" ref="G187:G203" si="278">ROUND(G$11+19.5*$C187, 0)</f>
        <v>345</v>
      </c>
      <c r="H187" s="4" t="s">
        <v>0</v>
      </c>
      <c r="I187" s="11" t="str">
        <f t="shared" si="0"/>
        <v>20-18</v>
      </c>
      <c r="J187" s="14">
        <f t="shared" si="3"/>
        <v>50</v>
      </c>
      <c r="K187" s="15">
        <f t="shared" si="3"/>
        <v>325</v>
      </c>
      <c r="L187" s="17">
        <f t="shared" si="4"/>
        <v>70</v>
      </c>
      <c r="M187" s="18">
        <f t="shared" si="5"/>
        <v>325</v>
      </c>
      <c r="N187" s="14">
        <f t="shared" si="6"/>
        <v>70</v>
      </c>
      <c r="O187" s="15">
        <f t="shared" si="6"/>
        <v>345</v>
      </c>
      <c r="P187" s="17">
        <f t="shared" si="7"/>
        <v>50</v>
      </c>
      <c r="Q187" s="18">
        <f t="shared" si="8"/>
        <v>345</v>
      </c>
      <c r="R187" s="4" t="s">
        <v>0</v>
      </c>
      <c r="S187" s="16" t="str">
        <f t="shared" si="9"/>
        <v>20-18</v>
      </c>
      <c r="T187" s="14">
        <f t="shared" si="10"/>
        <v>50</v>
      </c>
      <c r="U187" s="18">
        <f t="shared" si="11"/>
        <v>425</v>
      </c>
      <c r="V187" s="14">
        <f t="shared" ref="V187:V247" si="279">IF(L187&lt;&gt;"",L187,"")</f>
        <v>70</v>
      </c>
      <c r="W187" s="18">
        <f t="shared" si="12"/>
        <v>425</v>
      </c>
      <c r="X187" s="14">
        <f t="shared" ref="X187:X247" si="280">IF(N187&lt;&gt;"",N187,"")</f>
        <v>70</v>
      </c>
      <c r="Y187" s="18">
        <f t="shared" si="13"/>
        <v>405</v>
      </c>
      <c r="Z187" s="14">
        <f t="shared" ref="Z187:Z247" si="281">IF(P187&lt;&gt;"",P187,"")</f>
        <v>50</v>
      </c>
      <c r="AA187" s="18">
        <f t="shared" si="14"/>
        <v>405</v>
      </c>
      <c r="AB187" s="4" t="s">
        <v>0</v>
      </c>
    </row>
    <row r="188" spans="1:28">
      <c r="A188" s="9" t="s">
        <v>310</v>
      </c>
      <c r="B188" s="24"/>
      <c r="C188" s="26"/>
      <c r="D188" s="25">
        <f t="shared" si="257"/>
        <v>70</v>
      </c>
      <c r="E188" s="29">
        <f t="shared" ref="E188" si="282">E187</f>
        <v>325</v>
      </c>
      <c r="F188" s="25">
        <f t="shared" si="259"/>
        <v>90</v>
      </c>
      <c r="G188" s="29">
        <f t="shared" ref="G188" si="283">G187</f>
        <v>345</v>
      </c>
      <c r="H188" s="4" t="s">
        <v>0</v>
      </c>
      <c r="I188" s="11" t="str">
        <f t="shared" si="0"/>
        <v>20-02</v>
      </c>
      <c r="J188" s="14">
        <f t="shared" si="3"/>
        <v>70</v>
      </c>
      <c r="K188" s="15">
        <f t="shared" si="3"/>
        <v>325</v>
      </c>
      <c r="L188" s="17">
        <f t="shared" si="4"/>
        <v>90</v>
      </c>
      <c r="M188" s="18">
        <f t="shared" si="5"/>
        <v>325</v>
      </c>
      <c r="N188" s="14">
        <f t="shared" si="6"/>
        <v>90</v>
      </c>
      <c r="O188" s="15">
        <f t="shared" si="6"/>
        <v>345</v>
      </c>
      <c r="P188" s="17">
        <f t="shared" si="7"/>
        <v>70</v>
      </c>
      <c r="Q188" s="18">
        <f t="shared" si="8"/>
        <v>345</v>
      </c>
      <c r="R188" s="4" t="s">
        <v>0</v>
      </c>
      <c r="S188" s="16" t="str">
        <f t="shared" si="9"/>
        <v>20-02</v>
      </c>
      <c r="T188" s="14">
        <f t="shared" si="10"/>
        <v>70</v>
      </c>
      <c r="U188" s="18">
        <f t="shared" si="11"/>
        <v>425</v>
      </c>
      <c r="V188" s="14">
        <f t="shared" si="279"/>
        <v>90</v>
      </c>
      <c r="W188" s="18">
        <f t="shared" si="12"/>
        <v>425</v>
      </c>
      <c r="X188" s="14">
        <f t="shared" si="280"/>
        <v>90</v>
      </c>
      <c r="Y188" s="18">
        <f t="shared" si="13"/>
        <v>405</v>
      </c>
      <c r="Z188" s="14">
        <f t="shared" si="281"/>
        <v>70</v>
      </c>
      <c r="AA188" s="18">
        <f t="shared" si="14"/>
        <v>405</v>
      </c>
      <c r="AB188" s="4" t="s">
        <v>0</v>
      </c>
    </row>
    <row r="189" spans="1:28">
      <c r="A189" s="9" t="s">
        <v>305</v>
      </c>
      <c r="B189" s="24"/>
      <c r="C189" s="26"/>
      <c r="D189" s="25">
        <f t="shared" si="257"/>
        <v>104</v>
      </c>
      <c r="E189" s="29">
        <f t="shared" ref="E189" si="284">E188</f>
        <v>325</v>
      </c>
      <c r="F189" s="25">
        <f t="shared" si="259"/>
        <v>124</v>
      </c>
      <c r="G189" s="29">
        <f t="shared" si="262"/>
        <v>345</v>
      </c>
      <c r="H189" s="4" t="s">
        <v>0</v>
      </c>
      <c r="I189" s="11" t="str">
        <f t="shared" si="0"/>
        <v>18-26</v>
      </c>
      <c r="J189" s="14">
        <f t="shared" si="3"/>
        <v>104</v>
      </c>
      <c r="K189" s="15">
        <f t="shared" si="3"/>
        <v>325</v>
      </c>
      <c r="L189" s="17">
        <f t="shared" si="4"/>
        <v>124</v>
      </c>
      <c r="M189" s="18">
        <f t="shared" si="5"/>
        <v>325</v>
      </c>
      <c r="N189" s="14">
        <f t="shared" si="6"/>
        <v>124</v>
      </c>
      <c r="O189" s="15">
        <f t="shared" si="6"/>
        <v>345</v>
      </c>
      <c r="P189" s="17">
        <f t="shared" si="7"/>
        <v>104</v>
      </c>
      <c r="Q189" s="18">
        <f t="shared" si="8"/>
        <v>345</v>
      </c>
      <c r="R189" s="4" t="s">
        <v>0</v>
      </c>
      <c r="S189" s="16" t="str">
        <f t="shared" si="9"/>
        <v>18-26</v>
      </c>
      <c r="T189" s="14">
        <f t="shared" si="10"/>
        <v>104</v>
      </c>
      <c r="U189" s="18">
        <f t="shared" si="11"/>
        <v>425</v>
      </c>
      <c r="V189" s="14">
        <f t="shared" si="279"/>
        <v>124</v>
      </c>
      <c r="W189" s="18">
        <f t="shared" si="12"/>
        <v>425</v>
      </c>
      <c r="X189" s="14">
        <f t="shared" si="280"/>
        <v>124</v>
      </c>
      <c r="Y189" s="18">
        <f t="shared" si="13"/>
        <v>405</v>
      </c>
      <c r="Z189" s="14">
        <f t="shared" si="281"/>
        <v>104</v>
      </c>
      <c r="AA189" s="18">
        <f t="shared" si="14"/>
        <v>405</v>
      </c>
      <c r="AB189" s="4" t="s">
        <v>0</v>
      </c>
    </row>
    <row r="190" spans="1:28">
      <c r="A190" s="9" t="s">
        <v>289</v>
      </c>
      <c r="B190" s="24"/>
      <c r="C190" s="26"/>
      <c r="D190" s="25">
        <f t="shared" si="257"/>
        <v>124</v>
      </c>
      <c r="E190" s="29">
        <f t="shared" ref="E190" si="285">E189</f>
        <v>325</v>
      </c>
      <c r="F190" s="25">
        <f t="shared" si="259"/>
        <v>144</v>
      </c>
      <c r="G190" s="29">
        <f t="shared" si="262"/>
        <v>345</v>
      </c>
      <c r="H190" s="4" t="s">
        <v>0</v>
      </c>
      <c r="I190" s="11" t="str">
        <f t="shared" si="0"/>
        <v>18-06</v>
      </c>
      <c r="J190" s="14">
        <f t="shared" si="3"/>
        <v>124</v>
      </c>
      <c r="K190" s="15">
        <f t="shared" si="3"/>
        <v>325</v>
      </c>
      <c r="L190" s="17">
        <f t="shared" si="4"/>
        <v>144</v>
      </c>
      <c r="M190" s="18">
        <f t="shared" si="5"/>
        <v>325</v>
      </c>
      <c r="N190" s="14">
        <f t="shared" si="6"/>
        <v>144</v>
      </c>
      <c r="O190" s="15">
        <f t="shared" si="6"/>
        <v>345</v>
      </c>
      <c r="P190" s="17">
        <f t="shared" si="7"/>
        <v>124</v>
      </c>
      <c r="Q190" s="18">
        <f t="shared" si="8"/>
        <v>345</v>
      </c>
      <c r="R190" s="4" t="s">
        <v>0</v>
      </c>
      <c r="S190" s="16" t="str">
        <f t="shared" si="9"/>
        <v>18-06</v>
      </c>
      <c r="T190" s="14">
        <f t="shared" si="10"/>
        <v>124</v>
      </c>
      <c r="U190" s="18">
        <f t="shared" si="11"/>
        <v>425</v>
      </c>
      <c r="V190" s="14">
        <f t="shared" si="279"/>
        <v>144</v>
      </c>
      <c r="W190" s="18">
        <f t="shared" si="12"/>
        <v>425</v>
      </c>
      <c r="X190" s="14">
        <f t="shared" si="280"/>
        <v>144</v>
      </c>
      <c r="Y190" s="18">
        <f t="shared" si="13"/>
        <v>405</v>
      </c>
      <c r="Z190" s="14">
        <f t="shared" si="281"/>
        <v>124</v>
      </c>
      <c r="AA190" s="18">
        <f t="shared" si="14"/>
        <v>405</v>
      </c>
      <c r="AB190" s="4" t="s">
        <v>0</v>
      </c>
    </row>
    <row r="191" spans="1:28">
      <c r="A191" s="9" t="s">
        <v>284</v>
      </c>
      <c r="B191" s="24"/>
      <c r="C191" s="26"/>
      <c r="D191" s="25">
        <f t="shared" si="257"/>
        <v>158</v>
      </c>
      <c r="E191" s="29">
        <f t="shared" ref="E191" si="286">E190</f>
        <v>325</v>
      </c>
      <c r="F191" s="25">
        <f t="shared" si="259"/>
        <v>178</v>
      </c>
      <c r="G191" s="29">
        <f t="shared" si="262"/>
        <v>345</v>
      </c>
      <c r="H191" s="4" t="s">
        <v>0</v>
      </c>
      <c r="I191" s="11" t="str">
        <f t="shared" si="0"/>
        <v>17-26</v>
      </c>
      <c r="J191" s="14">
        <f t="shared" si="3"/>
        <v>158</v>
      </c>
      <c r="K191" s="15">
        <f t="shared" si="3"/>
        <v>325</v>
      </c>
      <c r="L191" s="17">
        <f t="shared" si="4"/>
        <v>178</v>
      </c>
      <c r="M191" s="18">
        <f t="shared" si="5"/>
        <v>325</v>
      </c>
      <c r="N191" s="14">
        <f t="shared" si="6"/>
        <v>178</v>
      </c>
      <c r="O191" s="15">
        <f t="shared" si="6"/>
        <v>345</v>
      </c>
      <c r="P191" s="17">
        <f t="shared" si="7"/>
        <v>158</v>
      </c>
      <c r="Q191" s="18">
        <f t="shared" si="8"/>
        <v>345</v>
      </c>
      <c r="R191" s="4" t="s">
        <v>0</v>
      </c>
      <c r="S191" s="16" t="str">
        <f t="shared" si="9"/>
        <v>17-26</v>
      </c>
      <c r="T191" s="14">
        <f t="shared" si="10"/>
        <v>158</v>
      </c>
      <c r="U191" s="18">
        <f t="shared" si="11"/>
        <v>425</v>
      </c>
      <c r="V191" s="14">
        <f t="shared" si="279"/>
        <v>178</v>
      </c>
      <c r="W191" s="18">
        <f t="shared" si="12"/>
        <v>425</v>
      </c>
      <c r="X191" s="14">
        <f t="shared" si="280"/>
        <v>178</v>
      </c>
      <c r="Y191" s="18">
        <f t="shared" si="13"/>
        <v>405</v>
      </c>
      <c r="Z191" s="14">
        <f t="shared" si="281"/>
        <v>158</v>
      </c>
      <c r="AA191" s="18">
        <f t="shared" si="14"/>
        <v>405</v>
      </c>
      <c r="AB191" s="4" t="s">
        <v>0</v>
      </c>
    </row>
    <row r="192" spans="1:28">
      <c r="A192" s="9" t="s">
        <v>268</v>
      </c>
      <c r="B192" s="24"/>
      <c r="C192" s="26"/>
      <c r="D192" s="25">
        <f t="shared" si="257"/>
        <v>178</v>
      </c>
      <c r="E192" s="29">
        <f t="shared" ref="E192" si="287">E191</f>
        <v>325</v>
      </c>
      <c r="F192" s="25">
        <f t="shared" si="259"/>
        <v>198</v>
      </c>
      <c r="G192" s="29">
        <f t="shared" si="262"/>
        <v>345</v>
      </c>
      <c r="H192" s="4" t="s">
        <v>0</v>
      </c>
      <c r="I192" s="11" t="str">
        <f t="shared" si="0"/>
        <v>17-06</v>
      </c>
      <c r="J192" s="14">
        <f t="shared" si="3"/>
        <v>178</v>
      </c>
      <c r="K192" s="15">
        <f t="shared" si="3"/>
        <v>325</v>
      </c>
      <c r="L192" s="17">
        <f t="shared" si="4"/>
        <v>198</v>
      </c>
      <c r="M192" s="18">
        <f t="shared" si="5"/>
        <v>325</v>
      </c>
      <c r="N192" s="14">
        <f t="shared" si="6"/>
        <v>198</v>
      </c>
      <c r="O192" s="15">
        <f t="shared" si="6"/>
        <v>345</v>
      </c>
      <c r="P192" s="17">
        <f t="shared" si="7"/>
        <v>178</v>
      </c>
      <c r="Q192" s="18">
        <f t="shared" si="8"/>
        <v>345</v>
      </c>
      <c r="R192" s="4" t="s">
        <v>0</v>
      </c>
      <c r="S192" s="16" t="str">
        <f t="shared" si="9"/>
        <v>17-06</v>
      </c>
      <c r="T192" s="14">
        <f t="shared" si="10"/>
        <v>178</v>
      </c>
      <c r="U192" s="18">
        <f t="shared" si="11"/>
        <v>425</v>
      </c>
      <c r="V192" s="14">
        <f t="shared" si="279"/>
        <v>198</v>
      </c>
      <c r="W192" s="18">
        <f t="shared" si="12"/>
        <v>425</v>
      </c>
      <c r="X192" s="14">
        <f t="shared" si="280"/>
        <v>198</v>
      </c>
      <c r="Y192" s="18">
        <f t="shared" si="13"/>
        <v>405</v>
      </c>
      <c r="Z192" s="14">
        <f t="shared" si="281"/>
        <v>178</v>
      </c>
      <c r="AA192" s="18">
        <f t="shared" si="14"/>
        <v>405</v>
      </c>
      <c r="AB192" s="4" t="s">
        <v>0</v>
      </c>
    </row>
    <row r="193" spans="1:28">
      <c r="A193" s="9" t="s">
        <v>263</v>
      </c>
      <c r="B193" s="24"/>
      <c r="C193" s="26"/>
      <c r="D193" s="25">
        <f t="shared" si="257"/>
        <v>212</v>
      </c>
      <c r="E193" s="29">
        <f t="shared" ref="E193" si="288">E192</f>
        <v>325</v>
      </c>
      <c r="F193" s="25">
        <f t="shared" si="259"/>
        <v>232</v>
      </c>
      <c r="G193" s="29">
        <f t="shared" si="262"/>
        <v>345</v>
      </c>
      <c r="H193" s="4" t="s">
        <v>0</v>
      </c>
      <c r="I193" s="11" t="str">
        <f t="shared" si="0"/>
        <v>16-26</v>
      </c>
      <c r="J193" s="14">
        <f t="shared" si="3"/>
        <v>212</v>
      </c>
      <c r="K193" s="15">
        <f t="shared" si="3"/>
        <v>325</v>
      </c>
      <c r="L193" s="17">
        <f t="shared" si="4"/>
        <v>232</v>
      </c>
      <c r="M193" s="18">
        <f t="shared" si="5"/>
        <v>325</v>
      </c>
      <c r="N193" s="14">
        <f t="shared" si="6"/>
        <v>232</v>
      </c>
      <c r="O193" s="15">
        <f t="shared" si="6"/>
        <v>345</v>
      </c>
      <c r="P193" s="17">
        <f t="shared" si="7"/>
        <v>212</v>
      </c>
      <c r="Q193" s="18">
        <f t="shared" si="8"/>
        <v>345</v>
      </c>
      <c r="R193" s="4" t="s">
        <v>0</v>
      </c>
      <c r="S193" s="16" t="str">
        <f t="shared" si="9"/>
        <v>16-26</v>
      </c>
      <c r="T193" s="14">
        <f t="shared" si="10"/>
        <v>212</v>
      </c>
      <c r="U193" s="18">
        <f t="shared" si="11"/>
        <v>425</v>
      </c>
      <c r="V193" s="14">
        <f t="shared" si="279"/>
        <v>232</v>
      </c>
      <c r="W193" s="18">
        <f t="shared" si="12"/>
        <v>425</v>
      </c>
      <c r="X193" s="14">
        <f t="shared" si="280"/>
        <v>232</v>
      </c>
      <c r="Y193" s="18">
        <f t="shared" si="13"/>
        <v>405</v>
      </c>
      <c r="Z193" s="14">
        <f t="shared" si="281"/>
        <v>212</v>
      </c>
      <c r="AA193" s="18">
        <f t="shared" si="14"/>
        <v>405</v>
      </c>
      <c r="AB193" s="4" t="s">
        <v>0</v>
      </c>
    </row>
    <row r="194" spans="1:28">
      <c r="A194" s="9" t="s">
        <v>247</v>
      </c>
      <c r="B194" s="24"/>
      <c r="C194" s="26"/>
      <c r="D194" s="25">
        <f t="shared" si="257"/>
        <v>232</v>
      </c>
      <c r="E194" s="29">
        <f t="shared" ref="E194" si="289">E193</f>
        <v>325</v>
      </c>
      <c r="F194" s="25">
        <f t="shared" si="259"/>
        <v>252</v>
      </c>
      <c r="G194" s="29">
        <f t="shared" si="262"/>
        <v>345</v>
      </c>
      <c r="H194" s="4" t="s">
        <v>0</v>
      </c>
      <c r="I194" s="11" t="str">
        <f t="shared" si="0"/>
        <v>16-06</v>
      </c>
      <c r="J194" s="14">
        <f t="shared" si="3"/>
        <v>232</v>
      </c>
      <c r="K194" s="15">
        <f t="shared" si="3"/>
        <v>325</v>
      </c>
      <c r="L194" s="17">
        <f t="shared" si="4"/>
        <v>252</v>
      </c>
      <c r="M194" s="18">
        <f t="shared" si="5"/>
        <v>325</v>
      </c>
      <c r="N194" s="14">
        <f t="shared" si="6"/>
        <v>252</v>
      </c>
      <c r="O194" s="15">
        <f t="shared" si="6"/>
        <v>345</v>
      </c>
      <c r="P194" s="17">
        <f t="shared" si="7"/>
        <v>232</v>
      </c>
      <c r="Q194" s="18">
        <f t="shared" si="8"/>
        <v>345</v>
      </c>
      <c r="R194" s="4" t="s">
        <v>0</v>
      </c>
      <c r="S194" s="16" t="str">
        <f t="shared" si="9"/>
        <v>16-06</v>
      </c>
      <c r="T194" s="14">
        <f t="shared" si="10"/>
        <v>232</v>
      </c>
      <c r="U194" s="18">
        <f t="shared" si="11"/>
        <v>425</v>
      </c>
      <c r="V194" s="14">
        <f t="shared" si="279"/>
        <v>252</v>
      </c>
      <c r="W194" s="18">
        <f t="shared" si="12"/>
        <v>425</v>
      </c>
      <c r="X194" s="14">
        <f t="shared" si="280"/>
        <v>252</v>
      </c>
      <c r="Y194" s="18">
        <f t="shared" si="13"/>
        <v>405</v>
      </c>
      <c r="Z194" s="14">
        <f t="shared" si="281"/>
        <v>232</v>
      </c>
      <c r="AA194" s="18">
        <f t="shared" si="14"/>
        <v>405</v>
      </c>
      <c r="AB194" s="4" t="s">
        <v>0</v>
      </c>
    </row>
    <row r="195" spans="1:28">
      <c r="A195" s="9" t="s">
        <v>502</v>
      </c>
      <c r="B195" s="24"/>
      <c r="C195" s="26"/>
      <c r="D195" s="25">
        <f t="shared" si="257"/>
        <v>266</v>
      </c>
      <c r="E195" s="29">
        <f t="shared" ref="E195" si="290">E194</f>
        <v>325</v>
      </c>
      <c r="F195" s="25">
        <f t="shared" si="259"/>
        <v>286</v>
      </c>
      <c r="G195" s="29">
        <f t="shared" si="262"/>
        <v>345</v>
      </c>
      <c r="H195" s="4" t="s">
        <v>0</v>
      </c>
      <c r="I195" s="11" t="str">
        <f t="shared" si="0"/>
        <v>15-26</v>
      </c>
      <c r="J195" s="14">
        <f t="shared" si="3"/>
        <v>266</v>
      </c>
      <c r="K195" s="15">
        <f t="shared" si="3"/>
        <v>325</v>
      </c>
      <c r="L195" s="17">
        <f t="shared" si="4"/>
        <v>286</v>
      </c>
      <c r="M195" s="18">
        <f t="shared" si="5"/>
        <v>325</v>
      </c>
      <c r="N195" s="14">
        <f t="shared" si="6"/>
        <v>286</v>
      </c>
      <c r="O195" s="15">
        <f t="shared" si="6"/>
        <v>345</v>
      </c>
      <c r="P195" s="17">
        <f t="shared" si="7"/>
        <v>266</v>
      </c>
      <c r="Q195" s="18">
        <f t="shared" si="8"/>
        <v>345</v>
      </c>
      <c r="R195" s="4" t="s">
        <v>0</v>
      </c>
      <c r="S195" s="16" t="str">
        <f t="shared" si="9"/>
        <v>15-26</v>
      </c>
      <c r="T195" s="14">
        <f t="shared" si="10"/>
        <v>266</v>
      </c>
      <c r="U195" s="18">
        <f t="shared" si="11"/>
        <v>425</v>
      </c>
      <c r="V195" s="14">
        <f t="shared" si="279"/>
        <v>286</v>
      </c>
      <c r="W195" s="18">
        <f t="shared" si="12"/>
        <v>425</v>
      </c>
      <c r="X195" s="14">
        <f t="shared" si="280"/>
        <v>286</v>
      </c>
      <c r="Y195" s="18">
        <f t="shared" si="13"/>
        <v>405</v>
      </c>
      <c r="Z195" s="14">
        <f t="shared" si="281"/>
        <v>266</v>
      </c>
      <c r="AA195" s="18">
        <f t="shared" si="14"/>
        <v>405</v>
      </c>
      <c r="AB195" s="4" t="s">
        <v>0</v>
      </c>
    </row>
    <row r="196" spans="1:28">
      <c r="A196" s="9" t="s">
        <v>228</v>
      </c>
      <c r="B196" s="24"/>
      <c r="C196" s="26"/>
      <c r="D196" s="25">
        <f t="shared" si="257"/>
        <v>286</v>
      </c>
      <c r="E196" s="29">
        <f t="shared" ref="E196" si="291">E195</f>
        <v>325</v>
      </c>
      <c r="F196" s="25">
        <f t="shared" si="259"/>
        <v>306</v>
      </c>
      <c r="G196" s="29">
        <f t="shared" si="262"/>
        <v>345</v>
      </c>
      <c r="H196" s="4" t="s">
        <v>0</v>
      </c>
      <c r="I196" s="11" t="str">
        <f t="shared" si="0"/>
        <v>15-06</v>
      </c>
      <c r="J196" s="14">
        <f t="shared" si="3"/>
        <v>286</v>
      </c>
      <c r="K196" s="15">
        <f t="shared" si="3"/>
        <v>325</v>
      </c>
      <c r="L196" s="17">
        <f t="shared" si="4"/>
        <v>306</v>
      </c>
      <c r="M196" s="18">
        <f t="shared" si="5"/>
        <v>325</v>
      </c>
      <c r="N196" s="14">
        <f t="shared" si="6"/>
        <v>306</v>
      </c>
      <c r="O196" s="15">
        <f t="shared" si="6"/>
        <v>345</v>
      </c>
      <c r="P196" s="17">
        <f t="shared" si="7"/>
        <v>286</v>
      </c>
      <c r="Q196" s="18">
        <f t="shared" si="8"/>
        <v>345</v>
      </c>
      <c r="R196" s="4" t="s">
        <v>0</v>
      </c>
      <c r="S196" s="16" t="str">
        <f t="shared" si="9"/>
        <v>15-06</v>
      </c>
      <c r="T196" s="14">
        <f t="shared" si="10"/>
        <v>286</v>
      </c>
      <c r="U196" s="18">
        <f t="shared" si="11"/>
        <v>425</v>
      </c>
      <c r="V196" s="14">
        <f t="shared" si="279"/>
        <v>306</v>
      </c>
      <c r="W196" s="18">
        <f t="shared" si="12"/>
        <v>425</v>
      </c>
      <c r="X196" s="14">
        <f t="shared" si="280"/>
        <v>306</v>
      </c>
      <c r="Y196" s="18">
        <f t="shared" si="13"/>
        <v>405</v>
      </c>
      <c r="Z196" s="14">
        <f t="shared" si="281"/>
        <v>286</v>
      </c>
      <c r="AA196" s="18">
        <f t="shared" si="14"/>
        <v>405</v>
      </c>
      <c r="AB196" s="4" t="s">
        <v>0</v>
      </c>
    </row>
    <row r="197" spans="1:28">
      <c r="A197" s="9" t="s">
        <v>487</v>
      </c>
      <c r="B197" s="24"/>
      <c r="C197" s="26"/>
      <c r="D197" s="25">
        <f t="shared" si="257"/>
        <v>320</v>
      </c>
      <c r="E197" s="29">
        <f t="shared" ref="E197" si="292">E196</f>
        <v>325</v>
      </c>
      <c r="F197" s="25">
        <f t="shared" si="259"/>
        <v>340</v>
      </c>
      <c r="G197" s="29">
        <f t="shared" si="262"/>
        <v>345</v>
      </c>
      <c r="H197" s="4" t="s">
        <v>0</v>
      </c>
      <c r="I197" s="11" t="str">
        <f t="shared" si="0"/>
        <v>13-26</v>
      </c>
      <c r="J197" s="14">
        <f t="shared" si="3"/>
        <v>320</v>
      </c>
      <c r="K197" s="15">
        <f t="shared" si="3"/>
        <v>325</v>
      </c>
      <c r="L197" s="17">
        <f t="shared" si="4"/>
        <v>340</v>
      </c>
      <c r="M197" s="18">
        <f t="shared" si="5"/>
        <v>325</v>
      </c>
      <c r="N197" s="14">
        <f t="shared" si="6"/>
        <v>340</v>
      </c>
      <c r="O197" s="15">
        <f t="shared" si="6"/>
        <v>345</v>
      </c>
      <c r="P197" s="17">
        <f t="shared" si="7"/>
        <v>320</v>
      </c>
      <c r="Q197" s="18">
        <f t="shared" si="8"/>
        <v>345</v>
      </c>
      <c r="R197" s="4" t="s">
        <v>0</v>
      </c>
      <c r="S197" s="16" t="str">
        <f t="shared" si="9"/>
        <v>13-26</v>
      </c>
      <c r="T197" s="14">
        <f t="shared" si="10"/>
        <v>320</v>
      </c>
      <c r="U197" s="18">
        <f t="shared" si="11"/>
        <v>425</v>
      </c>
      <c r="V197" s="14">
        <f t="shared" si="279"/>
        <v>340</v>
      </c>
      <c r="W197" s="18">
        <f t="shared" si="12"/>
        <v>425</v>
      </c>
      <c r="X197" s="14">
        <f t="shared" si="280"/>
        <v>340</v>
      </c>
      <c r="Y197" s="18">
        <f t="shared" si="13"/>
        <v>405</v>
      </c>
      <c r="Z197" s="14">
        <f t="shared" si="281"/>
        <v>320</v>
      </c>
      <c r="AA197" s="18">
        <f t="shared" si="14"/>
        <v>405</v>
      </c>
      <c r="AB197" s="4" t="s">
        <v>0</v>
      </c>
    </row>
    <row r="198" spans="1:28">
      <c r="A198" s="9" t="s">
        <v>211</v>
      </c>
      <c r="B198" s="24"/>
      <c r="C198" s="26"/>
      <c r="D198" s="25">
        <f t="shared" si="257"/>
        <v>340</v>
      </c>
      <c r="E198" s="29">
        <f t="shared" ref="E198" si="293">E197</f>
        <v>325</v>
      </c>
      <c r="F198" s="25">
        <f t="shared" si="259"/>
        <v>360</v>
      </c>
      <c r="G198" s="29">
        <f t="shared" si="262"/>
        <v>345</v>
      </c>
      <c r="H198" s="4" t="s">
        <v>0</v>
      </c>
      <c r="I198" s="11" t="str">
        <f t="shared" si="0"/>
        <v>13-06</v>
      </c>
      <c r="J198" s="14">
        <f t="shared" si="3"/>
        <v>340</v>
      </c>
      <c r="K198" s="15">
        <f t="shared" si="3"/>
        <v>325</v>
      </c>
      <c r="L198" s="17">
        <f t="shared" si="4"/>
        <v>360</v>
      </c>
      <c r="M198" s="18">
        <f t="shared" si="5"/>
        <v>325</v>
      </c>
      <c r="N198" s="14">
        <f t="shared" si="6"/>
        <v>360</v>
      </c>
      <c r="O198" s="15">
        <f t="shared" si="6"/>
        <v>345</v>
      </c>
      <c r="P198" s="17">
        <f t="shared" si="7"/>
        <v>340</v>
      </c>
      <c r="Q198" s="18">
        <f t="shared" si="8"/>
        <v>345</v>
      </c>
      <c r="R198" s="4" t="s">
        <v>0</v>
      </c>
      <c r="S198" s="16" t="str">
        <f t="shared" si="9"/>
        <v>13-06</v>
      </c>
      <c r="T198" s="14">
        <f t="shared" si="10"/>
        <v>340</v>
      </c>
      <c r="U198" s="18">
        <f t="shared" si="11"/>
        <v>425</v>
      </c>
      <c r="V198" s="14">
        <f t="shared" si="279"/>
        <v>360</v>
      </c>
      <c r="W198" s="18">
        <f t="shared" si="12"/>
        <v>425</v>
      </c>
      <c r="X198" s="14">
        <f t="shared" si="280"/>
        <v>360</v>
      </c>
      <c r="Y198" s="18">
        <f t="shared" si="13"/>
        <v>405</v>
      </c>
      <c r="Z198" s="14">
        <f t="shared" si="281"/>
        <v>340</v>
      </c>
      <c r="AA198" s="18">
        <f t="shared" si="14"/>
        <v>405</v>
      </c>
      <c r="AB198" s="4" t="s">
        <v>0</v>
      </c>
    </row>
    <row r="199" spans="1:28">
      <c r="A199" s="9" t="s">
        <v>472</v>
      </c>
      <c r="B199" s="24"/>
      <c r="C199" s="26"/>
      <c r="D199" s="25">
        <f t="shared" si="257"/>
        <v>374</v>
      </c>
      <c r="E199" s="29">
        <f t="shared" ref="E199" si="294">E198</f>
        <v>325</v>
      </c>
      <c r="F199" s="25">
        <f t="shared" si="259"/>
        <v>394</v>
      </c>
      <c r="G199" s="29">
        <f t="shared" si="262"/>
        <v>345</v>
      </c>
      <c r="H199" s="4" t="s">
        <v>0</v>
      </c>
      <c r="I199" s="11" t="str">
        <f t="shared" si="0"/>
        <v>12-26</v>
      </c>
      <c r="J199" s="14">
        <f t="shared" si="3"/>
        <v>374</v>
      </c>
      <c r="K199" s="15">
        <f t="shared" si="3"/>
        <v>325</v>
      </c>
      <c r="L199" s="17">
        <f t="shared" si="4"/>
        <v>394</v>
      </c>
      <c r="M199" s="18">
        <f t="shared" si="5"/>
        <v>325</v>
      </c>
      <c r="N199" s="14">
        <f t="shared" si="6"/>
        <v>394</v>
      </c>
      <c r="O199" s="15">
        <f t="shared" si="6"/>
        <v>345</v>
      </c>
      <c r="P199" s="17">
        <f t="shared" si="7"/>
        <v>374</v>
      </c>
      <c r="Q199" s="18">
        <f t="shared" si="8"/>
        <v>345</v>
      </c>
      <c r="R199" s="4" t="s">
        <v>0</v>
      </c>
      <c r="S199" s="16" t="str">
        <f t="shared" si="9"/>
        <v>12-26</v>
      </c>
      <c r="T199" s="14">
        <f t="shared" si="10"/>
        <v>374</v>
      </c>
      <c r="U199" s="18">
        <f t="shared" si="11"/>
        <v>425</v>
      </c>
      <c r="V199" s="14">
        <f t="shared" si="279"/>
        <v>394</v>
      </c>
      <c r="W199" s="18">
        <f t="shared" si="12"/>
        <v>425</v>
      </c>
      <c r="X199" s="14">
        <f t="shared" si="280"/>
        <v>394</v>
      </c>
      <c r="Y199" s="18">
        <f t="shared" si="13"/>
        <v>405</v>
      </c>
      <c r="Z199" s="14">
        <f t="shared" si="281"/>
        <v>374</v>
      </c>
      <c r="AA199" s="18">
        <f t="shared" si="14"/>
        <v>405</v>
      </c>
      <c r="AB199" s="4" t="s">
        <v>0</v>
      </c>
    </row>
    <row r="200" spans="1:28">
      <c r="A200" s="9" t="s">
        <v>103</v>
      </c>
      <c r="B200" s="24"/>
      <c r="C200" s="26"/>
      <c r="D200" s="25">
        <f t="shared" si="257"/>
        <v>394</v>
      </c>
      <c r="E200" s="29">
        <f t="shared" ref="E200" si="295">E199</f>
        <v>325</v>
      </c>
      <c r="F200" s="25">
        <f t="shared" si="259"/>
        <v>414</v>
      </c>
      <c r="G200" s="29">
        <f t="shared" si="262"/>
        <v>345</v>
      </c>
      <c r="H200" s="4" t="s">
        <v>0</v>
      </c>
      <c r="I200" s="11" t="str">
        <f t="shared" si="0"/>
        <v>12-06</v>
      </c>
      <c r="J200" s="14">
        <f t="shared" si="3"/>
        <v>394</v>
      </c>
      <c r="K200" s="15">
        <f t="shared" si="3"/>
        <v>325</v>
      </c>
      <c r="L200" s="17">
        <f t="shared" si="4"/>
        <v>414</v>
      </c>
      <c r="M200" s="18">
        <f t="shared" si="5"/>
        <v>325</v>
      </c>
      <c r="N200" s="14">
        <f t="shared" si="6"/>
        <v>414</v>
      </c>
      <c r="O200" s="15">
        <f t="shared" si="6"/>
        <v>345</v>
      </c>
      <c r="P200" s="17">
        <f t="shared" si="7"/>
        <v>394</v>
      </c>
      <c r="Q200" s="18">
        <f t="shared" si="8"/>
        <v>345</v>
      </c>
      <c r="R200" s="4" t="s">
        <v>0</v>
      </c>
      <c r="S200" s="16" t="str">
        <f t="shared" si="9"/>
        <v>12-06</v>
      </c>
      <c r="T200" s="14">
        <f t="shared" si="10"/>
        <v>394</v>
      </c>
      <c r="U200" s="18">
        <f t="shared" si="11"/>
        <v>425</v>
      </c>
      <c r="V200" s="14">
        <f t="shared" si="279"/>
        <v>414</v>
      </c>
      <c r="W200" s="18">
        <f t="shared" si="12"/>
        <v>425</v>
      </c>
      <c r="X200" s="14">
        <f t="shared" si="280"/>
        <v>414</v>
      </c>
      <c r="Y200" s="18">
        <f t="shared" si="13"/>
        <v>405</v>
      </c>
      <c r="Z200" s="14">
        <f t="shared" si="281"/>
        <v>394</v>
      </c>
      <c r="AA200" s="18">
        <f t="shared" si="14"/>
        <v>405</v>
      </c>
      <c r="AB200" s="4" t="s">
        <v>0</v>
      </c>
    </row>
    <row r="201" spans="1:28">
      <c r="A201" s="9" t="s">
        <v>200</v>
      </c>
      <c r="B201" s="24"/>
      <c r="C201" s="26"/>
      <c r="D201" s="25">
        <f t="shared" si="257"/>
        <v>428</v>
      </c>
      <c r="E201" s="29">
        <f t="shared" ref="E201" si="296">E200</f>
        <v>325</v>
      </c>
      <c r="F201" s="25">
        <f t="shared" si="259"/>
        <v>448</v>
      </c>
      <c r="G201" s="29">
        <f t="shared" si="262"/>
        <v>345</v>
      </c>
      <c r="H201" s="4" t="s">
        <v>0</v>
      </c>
      <c r="I201" s="11" t="str">
        <f t="shared" si="0"/>
        <v>11-21</v>
      </c>
      <c r="J201" s="14">
        <f t="shared" si="3"/>
        <v>428</v>
      </c>
      <c r="K201" s="15">
        <f t="shared" si="3"/>
        <v>325</v>
      </c>
      <c r="L201" s="17">
        <f t="shared" si="4"/>
        <v>448</v>
      </c>
      <c r="M201" s="18">
        <f t="shared" si="5"/>
        <v>325</v>
      </c>
      <c r="N201" s="14">
        <f t="shared" si="6"/>
        <v>448</v>
      </c>
      <c r="O201" s="15">
        <f t="shared" si="6"/>
        <v>345</v>
      </c>
      <c r="P201" s="17">
        <f t="shared" si="7"/>
        <v>428</v>
      </c>
      <c r="Q201" s="18">
        <f t="shared" si="8"/>
        <v>345</v>
      </c>
      <c r="R201" s="4" t="s">
        <v>0</v>
      </c>
      <c r="S201" s="16" t="str">
        <f t="shared" si="9"/>
        <v>11-21</v>
      </c>
      <c r="T201" s="14">
        <f t="shared" si="10"/>
        <v>428</v>
      </c>
      <c r="U201" s="18">
        <f t="shared" si="11"/>
        <v>425</v>
      </c>
      <c r="V201" s="14">
        <f t="shared" si="279"/>
        <v>448</v>
      </c>
      <c r="W201" s="18">
        <f t="shared" si="12"/>
        <v>425</v>
      </c>
      <c r="X201" s="14">
        <f t="shared" si="280"/>
        <v>448</v>
      </c>
      <c r="Y201" s="18">
        <f t="shared" si="13"/>
        <v>405</v>
      </c>
      <c r="Z201" s="14">
        <f t="shared" si="281"/>
        <v>428</v>
      </c>
      <c r="AA201" s="18">
        <f t="shared" si="14"/>
        <v>405</v>
      </c>
      <c r="AB201" s="4" t="s">
        <v>0</v>
      </c>
    </row>
    <row r="202" spans="1:28">
      <c r="A202" s="9" t="s">
        <v>91</v>
      </c>
      <c r="B202" s="24"/>
      <c r="C202" s="26"/>
      <c r="D202" s="25">
        <f t="shared" si="257"/>
        <v>448</v>
      </c>
      <c r="E202" s="29">
        <f t="shared" ref="E202" si="297">E201</f>
        <v>325</v>
      </c>
      <c r="F202" s="25">
        <f t="shared" si="259"/>
        <v>468</v>
      </c>
      <c r="G202" s="29">
        <f t="shared" si="262"/>
        <v>345</v>
      </c>
      <c r="H202" s="4" t="s">
        <v>0</v>
      </c>
      <c r="I202" s="11" t="str">
        <f t="shared" si="0"/>
        <v>11-03</v>
      </c>
      <c r="J202" s="14">
        <f t="shared" si="3"/>
        <v>448</v>
      </c>
      <c r="K202" s="15">
        <f t="shared" si="3"/>
        <v>325</v>
      </c>
      <c r="L202" s="17">
        <f t="shared" si="4"/>
        <v>468</v>
      </c>
      <c r="M202" s="18">
        <f t="shared" si="5"/>
        <v>325</v>
      </c>
      <c r="N202" s="14">
        <f t="shared" si="6"/>
        <v>468</v>
      </c>
      <c r="O202" s="15">
        <f t="shared" si="6"/>
        <v>345</v>
      </c>
      <c r="P202" s="17">
        <f t="shared" si="7"/>
        <v>448</v>
      </c>
      <c r="Q202" s="18">
        <f t="shared" si="8"/>
        <v>345</v>
      </c>
      <c r="R202" s="4" t="s">
        <v>0</v>
      </c>
      <c r="S202" s="16" t="str">
        <f t="shared" si="9"/>
        <v>11-03</v>
      </c>
      <c r="T202" s="14">
        <f t="shared" si="10"/>
        <v>448</v>
      </c>
      <c r="U202" s="18">
        <f t="shared" si="11"/>
        <v>425</v>
      </c>
      <c r="V202" s="14">
        <f t="shared" si="279"/>
        <v>468</v>
      </c>
      <c r="W202" s="18">
        <f t="shared" si="12"/>
        <v>425</v>
      </c>
      <c r="X202" s="14">
        <f t="shared" si="280"/>
        <v>468</v>
      </c>
      <c r="Y202" s="18">
        <f t="shared" si="13"/>
        <v>405</v>
      </c>
      <c r="Z202" s="14">
        <f t="shared" si="281"/>
        <v>448</v>
      </c>
      <c r="AA202" s="18">
        <f t="shared" si="14"/>
        <v>405</v>
      </c>
      <c r="AB202" s="4" t="s">
        <v>0</v>
      </c>
    </row>
    <row r="203" spans="1:28">
      <c r="A203" s="9" t="s">
        <v>322</v>
      </c>
      <c r="B203" s="24"/>
      <c r="C203" s="26">
        <v>12</v>
      </c>
      <c r="D203" s="25">
        <f t="shared" si="257"/>
        <v>50</v>
      </c>
      <c r="E203" s="28">
        <f t="shared" si="277"/>
        <v>344</v>
      </c>
      <c r="F203" s="25">
        <f t="shared" si="259"/>
        <v>70</v>
      </c>
      <c r="G203" s="28">
        <f t="shared" si="278"/>
        <v>364</v>
      </c>
      <c r="H203" s="4" t="s">
        <v>0</v>
      </c>
      <c r="I203" s="11" t="str">
        <f t="shared" si="0"/>
        <v>20-17</v>
      </c>
      <c r="J203" s="14">
        <f t="shared" si="3"/>
        <v>50</v>
      </c>
      <c r="K203" s="15">
        <f t="shared" si="3"/>
        <v>344</v>
      </c>
      <c r="L203" s="17">
        <f t="shared" si="4"/>
        <v>70</v>
      </c>
      <c r="M203" s="18">
        <f t="shared" si="5"/>
        <v>344</v>
      </c>
      <c r="N203" s="14">
        <f t="shared" si="6"/>
        <v>70</v>
      </c>
      <c r="O203" s="15">
        <f t="shared" si="6"/>
        <v>364</v>
      </c>
      <c r="P203" s="17">
        <f t="shared" si="7"/>
        <v>50</v>
      </c>
      <c r="Q203" s="18">
        <f t="shared" si="8"/>
        <v>364</v>
      </c>
      <c r="R203" s="4" t="s">
        <v>0</v>
      </c>
      <c r="S203" s="16" t="str">
        <f t="shared" si="9"/>
        <v>20-17</v>
      </c>
      <c r="T203" s="14">
        <f t="shared" si="10"/>
        <v>50</v>
      </c>
      <c r="U203" s="18">
        <f t="shared" si="11"/>
        <v>406</v>
      </c>
      <c r="V203" s="14">
        <f t="shared" si="279"/>
        <v>70</v>
      </c>
      <c r="W203" s="18">
        <f t="shared" si="12"/>
        <v>406</v>
      </c>
      <c r="X203" s="14">
        <f t="shared" si="280"/>
        <v>70</v>
      </c>
      <c r="Y203" s="18">
        <f t="shared" si="13"/>
        <v>386</v>
      </c>
      <c r="Z203" s="14">
        <f t="shared" si="281"/>
        <v>50</v>
      </c>
      <c r="AA203" s="18">
        <f t="shared" si="14"/>
        <v>386</v>
      </c>
      <c r="AB203" s="4" t="s">
        <v>0</v>
      </c>
    </row>
    <row r="204" spans="1:28">
      <c r="A204" s="9" t="s">
        <v>309</v>
      </c>
      <c r="B204" s="24"/>
      <c r="C204" s="26"/>
      <c r="D204" s="25">
        <f t="shared" si="257"/>
        <v>70</v>
      </c>
      <c r="E204" s="29">
        <f t="shared" ref="E204" si="298">E203</f>
        <v>344</v>
      </c>
      <c r="F204" s="25">
        <f t="shared" si="259"/>
        <v>90</v>
      </c>
      <c r="G204" s="29">
        <f t="shared" ref="G204:G256" si="299">G203</f>
        <v>364</v>
      </c>
      <c r="H204" s="4" t="s">
        <v>0</v>
      </c>
      <c r="I204" s="11" t="str">
        <f t="shared" si="0"/>
        <v>20-01</v>
      </c>
      <c r="J204" s="14">
        <f t="shared" si="3"/>
        <v>70</v>
      </c>
      <c r="K204" s="15">
        <f t="shared" si="3"/>
        <v>344</v>
      </c>
      <c r="L204" s="17">
        <f t="shared" si="4"/>
        <v>90</v>
      </c>
      <c r="M204" s="18">
        <f t="shared" si="5"/>
        <v>344</v>
      </c>
      <c r="N204" s="14">
        <f t="shared" si="6"/>
        <v>90</v>
      </c>
      <c r="O204" s="15">
        <f t="shared" si="6"/>
        <v>364</v>
      </c>
      <c r="P204" s="17">
        <f t="shared" si="7"/>
        <v>70</v>
      </c>
      <c r="Q204" s="18">
        <f t="shared" si="8"/>
        <v>364</v>
      </c>
      <c r="R204" s="4" t="s">
        <v>0</v>
      </c>
      <c r="S204" s="16" t="str">
        <f t="shared" si="9"/>
        <v>20-01</v>
      </c>
      <c r="T204" s="14">
        <f t="shared" si="10"/>
        <v>70</v>
      </c>
      <c r="U204" s="18">
        <f t="shared" si="11"/>
        <v>406</v>
      </c>
      <c r="V204" s="14">
        <f t="shared" si="279"/>
        <v>90</v>
      </c>
      <c r="W204" s="18">
        <f t="shared" si="12"/>
        <v>406</v>
      </c>
      <c r="X204" s="14">
        <f t="shared" si="280"/>
        <v>90</v>
      </c>
      <c r="Y204" s="18">
        <f t="shared" si="13"/>
        <v>386</v>
      </c>
      <c r="Z204" s="14">
        <f t="shared" si="281"/>
        <v>70</v>
      </c>
      <c r="AA204" s="18">
        <f t="shared" si="14"/>
        <v>386</v>
      </c>
      <c r="AB204" s="4" t="s">
        <v>0</v>
      </c>
    </row>
    <row r="205" spans="1:28">
      <c r="A205" s="9" t="s">
        <v>304</v>
      </c>
      <c r="B205" s="24"/>
      <c r="C205" s="26"/>
      <c r="D205" s="25">
        <f t="shared" si="257"/>
        <v>104</v>
      </c>
      <c r="E205" s="29">
        <f t="shared" ref="E205" si="300">E204</f>
        <v>344</v>
      </c>
      <c r="F205" s="25">
        <f t="shared" si="259"/>
        <v>124</v>
      </c>
      <c r="G205" s="29">
        <f t="shared" si="299"/>
        <v>364</v>
      </c>
      <c r="H205" s="4" t="s">
        <v>0</v>
      </c>
      <c r="I205" s="11" t="str">
        <f t="shared" si="0"/>
        <v>18-25</v>
      </c>
      <c r="J205" s="14">
        <f t="shared" si="3"/>
        <v>104</v>
      </c>
      <c r="K205" s="15">
        <f t="shared" si="3"/>
        <v>344</v>
      </c>
      <c r="L205" s="17">
        <f t="shared" si="4"/>
        <v>124</v>
      </c>
      <c r="M205" s="18">
        <f t="shared" si="5"/>
        <v>344</v>
      </c>
      <c r="N205" s="14">
        <f t="shared" si="6"/>
        <v>124</v>
      </c>
      <c r="O205" s="15">
        <f t="shared" si="6"/>
        <v>364</v>
      </c>
      <c r="P205" s="17">
        <f t="shared" si="7"/>
        <v>104</v>
      </c>
      <c r="Q205" s="18">
        <f t="shared" si="8"/>
        <v>364</v>
      </c>
      <c r="R205" s="4" t="s">
        <v>0</v>
      </c>
      <c r="S205" s="16" t="str">
        <f t="shared" si="9"/>
        <v>18-25</v>
      </c>
      <c r="T205" s="14">
        <f t="shared" si="10"/>
        <v>104</v>
      </c>
      <c r="U205" s="18">
        <f t="shared" si="11"/>
        <v>406</v>
      </c>
      <c r="V205" s="14">
        <f t="shared" si="279"/>
        <v>124</v>
      </c>
      <c r="W205" s="18">
        <f t="shared" si="12"/>
        <v>406</v>
      </c>
      <c r="X205" s="14">
        <f t="shared" si="280"/>
        <v>124</v>
      </c>
      <c r="Y205" s="18">
        <f t="shared" si="13"/>
        <v>386</v>
      </c>
      <c r="Z205" s="14">
        <f t="shared" si="281"/>
        <v>104</v>
      </c>
      <c r="AA205" s="18">
        <f t="shared" si="14"/>
        <v>386</v>
      </c>
      <c r="AB205" s="4" t="s">
        <v>0</v>
      </c>
    </row>
    <row r="206" spans="1:28">
      <c r="A206" s="9" t="s">
        <v>288</v>
      </c>
      <c r="B206" s="24"/>
      <c r="C206" s="26"/>
      <c r="D206" s="25">
        <f t="shared" si="257"/>
        <v>124</v>
      </c>
      <c r="E206" s="29">
        <f t="shared" ref="E206" si="301">E205</f>
        <v>344</v>
      </c>
      <c r="F206" s="25">
        <f t="shared" si="259"/>
        <v>144</v>
      </c>
      <c r="G206" s="29">
        <f t="shared" si="299"/>
        <v>364</v>
      </c>
      <c r="H206" s="4" t="s">
        <v>0</v>
      </c>
      <c r="I206" s="11" t="str">
        <f t="shared" si="0"/>
        <v>18-05</v>
      </c>
      <c r="J206" s="14">
        <f t="shared" si="3"/>
        <v>124</v>
      </c>
      <c r="K206" s="15">
        <f t="shared" si="3"/>
        <v>344</v>
      </c>
      <c r="L206" s="17">
        <f t="shared" si="4"/>
        <v>144</v>
      </c>
      <c r="M206" s="18">
        <f t="shared" si="5"/>
        <v>344</v>
      </c>
      <c r="N206" s="14">
        <f t="shared" si="6"/>
        <v>144</v>
      </c>
      <c r="O206" s="15">
        <f t="shared" si="6"/>
        <v>364</v>
      </c>
      <c r="P206" s="17">
        <f t="shared" si="7"/>
        <v>124</v>
      </c>
      <c r="Q206" s="18">
        <f t="shared" si="8"/>
        <v>364</v>
      </c>
      <c r="R206" s="4" t="s">
        <v>0</v>
      </c>
      <c r="S206" s="16" t="str">
        <f t="shared" si="9"/>
        <v>18-05</v>
      </c>
      <c r="T206" s="14">
        <f t="shared" si="10"/>
        <v>124</v>
      </c>
      <c r="U206" s="18">
        <f t="shared" si="11"/>
        <v>406</v>
      </c>
      <c r="V206" s="14">
        <f t="shared" si="279"/>
        <v>144</v>
      </c>
      <c r="W206" s="18">
        <f t="shared" si="12"/>
        <v>406</v>
      </c>
      <c r="X206" s="14">
        <f t="shared" si="280"/>
        <v>144</v>
      </c>
      <c r="Y206" s="18">
        <f t="shared" si="13"/>
        <v>386</v>
      </c>
      <c r="Z206" s="14">
        <f t="shared" si="281"/>
        <v>124</v>
      </c>
      <c r="AA206" s="18">
        <f t="shared" si="14"/>
        <v>386</v>
      </c>
      <c r="AB206" s="4" t="s">
        <v>0</v>
      </c>
    </row>
    <row r="207" spans="1:28">
      <c r="A207" s="9" t="s">
        <v>283</v>
      </c>
      <c r="B207" s="24"/>
      <c r="C207" s="26"/>
      <c r="D207" s="25">
        <f t="shared" si="257"/>
        <v>158</v>
      </c>
      <c r="E207" s="29">
        <f t="shared" ref="E207" si="302">E206</f>
        <v>344</v>
      </c>
      <c r="F207" s="25">
        <f t="shared" si="259"/>
        <v>178</v>
      </c>
      <c r="G207" s="29">
        <f t="shared" si="299"/>
        <v>364</v>
      </c>
      <c r="H207" s="4" t="s">
        <v>0</v>
      </c>
      <c r="I207" s="11" t="str">
        <f t="shared" si="0"/>
        <v>17-25</v>
      </c>
      <c r="J207" s="14">
        <f t="shared" si="3"/>
        <v>158</v>
      </c>
      <c r="K207" s="15">
        <f t="shared" si="3"/>
        <v>344</v>
      </c>
      <c r="L207" s="17">
        <f t="shared" si="4"/>
        <v>178</v>
      </c>
      <c r="M207" s="18">
        <f t="shared" si="5"/>
        <v>344</v>
      </c>
      <c r="N207" s="14">
        <f t="shared" si="6"/>
        <v>178</v>
      </c>
      <c r="O207" s="15">
        <f t="shared" si="6"/>
        <v>364</v>
      </c>
      <c r="P207" s="17">
        <f t="shared" si="7"/>
        <v>158</v>
      </c>
      <c r="Q207" s="18">
        <f t="shared" si="8"/>
        <v>364</v>
      </c>
      <c r="R207" s="4" t="s">
        <v>0</v>
      </c>
      <c r="S207" s="16" t="str">
        <f t="shared" si="9"/>
        <v>17-25</v>
      </c>
      <c r="T207" s="14">
        <f t="shared" si="10"/>
        <v>158</v>
      </c>
      <c r="U207" s="18">
        <f t="shared" si="11"/>
        <v>406</v>
      </c>
      <c r="V207" s="14">
        <f t="shared" si="279"/>
        <v>178</v>
      </c>
      <c r="W207" s="18">
        <f t="shared" si="12"/>
        <v>406</v>
      </c>
      <c r="X207" s="14">
        <f t="shared" si="280"/>
        <v>178</v>
      </c>
      <c r="Y207" s="18">
        <f t="shared" si="13"/>
        <v>386</v>
      </c>
      <c r="Z207" s="14">
        <f t="shared" si="281"/>
        <v>158</v>
      </c>
      <c r="AA207" s="18">
        <f t="shared" si="14"/>
        <v>386</v>
      </c>
      <c r="AB207" s="4" t="s">
        <v>0</v>
      </c>
    </row>
    <row r="208" spans="1:28">
      <c r="A208" s="9" t="s">
        <v>267</v>
      </c>
      <c r="B208" s="24"/>
      <c r="C208" s="26"/>
      <c r="D208" s="25">
        <f t="shared" si="257"/>
        <v>178</v>
      </c>
      <c r="E208" s="29">
        <f t="shared" ref="E208" si="303">E207</f>
        <v>344</v>
      </c>
      <c r="F208" s="25">
        <f t="shared" si="259"/>
        <v>198</v>
      </c>
      <c r="G208" s="29">
        <f t="shared" si="299"/>
        <v>364</v>
      </c>
      <c r="H208" s="4" t="s">
        <v>0</v>
      </c>
      <c r="I208" s="11" t="str">
        <f t="shared" si="0"/>
        <v>17-05</v>
      </c>
      <c r="J208" s="14">
        <f t="shared" si="3"/>
        <v>178</v>
      </c>
      <c r="K208" s="15">
        <f t="shared" si="3"/>
        <v>344</v>
      </c>
      <c r="L208" s="17">
        <f t="shared" si="4"/>
        <v>198</v>
      </c>
      <c r="M208" s="18">
        <f t="shared" si="5"/>
        <v>344</v>
      </c>
      <c r="N208" s="14">
        <f t="shared" si="6"/>
        <v>198</v>
      </c>
      <c r="O208" s="15">
        <f t="shared" si="6"/>
        <v>364</v>
      </c>
      <c r="P208" s="17">
        <f t="shared" si="7"/>
        <v>178</v>
      </c>
      <c r="Q208" s="18">
        <f t="shared" si="8"/>
        <v>364</v>
      </c>
      <c r="R208" s="4" t="s">
        <v>0</v>
      </c>
      <c r="S208" s="16" t="str">
        <f t="shared" si="9"/>
        <v>17-05</v>
      </c>
      <c r="T208" s="14">
        <f t="shared" si="10"/>
        <v>178</v>
      </c>
      <c r="U208" s="18">
        <f t="shared" si="11"/>
        <v>406</v>
      </c>
      <c r="V208" s="14">
        <f t="shared" si="279"/>
        <v>198</v>
      </c>
      <c r="W208" s="18">
        <f t="shared" si="12"/>
        <v>406</v>
      </c>
      <c r="X208" s="14">
        <f t="shared" si="280"/>
        <v>198</v>
      </c>
      <c r="Y208" s="18">
        <f t="shared" si="13"/>
        <v>386</v>
      </c>
      <c r="Z208" s="14">
        <f t="shared" si="281"/>
        <v>178</v>
      </c>
      <c r="AA208" s="18">
        <f t="shared" si="14"/>
        <v>386</v>
      </c>
      <c r="AB208" s="4" t="s">
        <v>0</v>
      </c>
    </row>
    <row r="209" spans="1:28">
      <c r="A209" s="9" t="s">
        <v>262</v>
      </c>
      <c r="B209" s="24"/>
      <c r="C209" s="26"/>
      <c r="D209" s="25">
        <f t="shared" si="257"/>
        <v>212</v>
      </c>
      <c r="E209" s="29">
        <f t="shared" ref="E209" si="304">E208</f>
        <v>344</v>
      </c>
      <c r="F209" s="25">
        <f t="shared" si="259"/>
        <v>232</v>
      </c>
      <c r="G209" s="29">
        <f t="shared" si="299"/>
        <v>364</v>
      </c>
      <c r="H209" s="4" t="s">
        <v>0</v>
      </c>
      <c r="I209" s="11" t="str">
        <f t="shared" si="0"/>
        <v>16-25</v>
      </c>
      <c r="J209" s="14">
        <f t="shared" si="3"/>
        <v>212</v>
      </c>
      <c r="K209" s="15">
        <f t="shared" si="3"/>
        <v>344</v>
      </c>
      <c r="L209" s="17">
        <f t="shared" si="4"/>
        <v>232</v>
      </c>
      <c r="M209" s="18">
        <f t="shared" si="5"/>
        <v>344</v>
      </c>
      <c r="N209" s="14">
        <f t="shared" si="6"/>
        <v>232</v>
      </c>
      <c r="O209" s="15">
        <f t="shared" si="6"/>
        <v>364</v>
      </c>
      <c r="P209" s="17">
        <f t="shared" si="7"/>
        <v>212</v>
      </c>
      <c r="Q209" s="18">
        <f t="shared" si="8"/>
        <v>364</v>
      </c>
      <c r="R209" s="4" t="s">
        <v>0</v>
      </c>
      <c r="S209" s="16" t="str">
        <f t="shared" si="9"/>
        <v>16-25</v>
      </c>
      <c r="T209" s="14">
        <f t="shared" si="10"/>
        <v>212</v>
      </c>
      <c r="U209" s="18">
        <f t="shared" si="11"/>
        <v>406</v>
      </c>
      <c r="V209" s="14">
        <f t="shared" si="279"/>
        <v>232</v>
      </c>
      <c r="W209" s="18">
        <f t="shared" si="12"/>
        <v>406</v>
      </c>
      <c r="X209" s="14">
        <f t="shared" si="280"/>
        <v>232</v>
      </c>
      <c r="Y209" s="18">
        <f t="shared" si="13"/>
        <v>386</v>
      </c>
      <c r="Z209" s="14">
        <f t="shared" si="281"/>
        <v>212</v>
      </c>
      <c r="AA209" s="18">
        <f t="shared" si="14"/>
        <v>386</v>
      </c>
      <c r="AB209" s="4" t="s">
        <v>0</v>
      </c>
    </row>
    <row r="210" spans="1:28">
      <c r="A210" s="9" t="s">
        <v>246</v>
      </c>
      <c r="B210" s="24"/>
      <c r="C210" s="26"/>
      <c r="D210" s="25">
        <f t="shared" si="257"/>
        <v>232</v>
      </c>
      <c r="E210" s="29">
        <f t="shared" ref="E210" si="305">E209</f>
        <v>344</v>
      </c>
      <c r="F210" s="25">
        <f t="shared" si="259"/>
        <v>252</v>
      </c>
      <c r="G210" s="29">
        <f t="shared" si="299"/>
        <v>364</v>
      </c>
      <c r="H210" s="4" t="s">
        <v>0</v>
      </c>
      <c r="I210" s="11" t="str">
        <f t="shared" si="0"/>
        <v>16-05</v>
      </c>
      <c r="J210" s="14">
        <f t="shared" si="3"/>
        <v>232</v>
      </c>
      <c r="K210" s="15">
        <f t="shared" si="3"/>
        <v>344</v>
      </c>
      <c r="L210" s="17">
        <f t="shared" si="4"/>
        <v>252</v>
      </c>
      <c r="M210" s="18">
        <f t="shared" si="5"/>
        <v>344</v>
      </c>
      <c r="N210" s="14">
        <f t="shared" si="6"/>
        <v>252</v>
      </c>
      <c r="O210" s="15">
        <f t="shared" si="6"/>
        <v>364</v>
      </c>
      <c r="P210" s="17">
        <f t="shared" si="7"/>
        <v>232</v>
      </c>
      <c r="Q210" s="18">
        <f t="shared" si="8"/>
        <v>364</v>
      </c>
      <c r="R210" s="4" t="s">
        <v>0</v>
      </c>
      <c r="S210" s="16" t="str">
        <f t="shared" si="9"/>
        <v>16-05</v>
      </c>
      <c r="T210" s="14">
        <f t="shared" si="10"/>
        <v>232</v>
      </c>
      <c r="U210" s="18">
        <f t="shared" si="11"/>
        <v>406</v>
      </c>
      <c r="V210" s="14">
        <f t="shared" si="279"/>
        <v>252</v>
      </c>
      <c r="W210" s="18">
        <f t="shared" si="12"/>
        <v>406</v>
      </c>
      <c r="X210" s="14">
        <f t="shared" si="280"/>
        <v>252</v>
      </c>
      <c r="Y210" s="18">
        <f t="shared" si="13"/>
        <v>386</v>
      </c>
      <c r="Z210" s="14">
        <f t="shared" si="281"/>
        <v>232</v>
      </c>
      <c r="AA210" s="18">
        <f t="shared" si="14"/>
        <v>386</v>
      </c>
      <c r="AB210" s="4" t="s">
        <v>0</v>
      </c>
    </row>
    <row r="211" spans="1:28">
      <c r="A211" s="9" t="s">
        <v>501</v>
      </c>
      <c r="B211" s="24"/>
      <c r="C211" s="26"/>
      <c r="D211" s="25">
        <f t="shared" si="257"/>
        <v>266</v>
      </c>
      <c r="E211" s="29">
        <f t="shared" ref="E211" si="306">E210</f>
        <v>344</v>
      </c>
      <c r="F211" s="25">
        <f t="shared" si="259"/>
        <v>286</v>
      </c>
      <c r="G211" s="29">
        <f t="shared" si="299"/>
        <v>364</v>
      </c>
      <c r="H211" s="4" t="s">
        <v>0</v>
      </c>
      <c r="I211" s="11" t="str">
        <f t="shared" si="0"/>
        <v>15-25</v>
      </c>
      <c r="J211" s="14">
        <f t="shared" si="3"/>
        <v>266</v>
      </c>
      <c r="K211" s="15">
        <f t="shared" si="3"/>
        <v>344</v>
      </c>
      <c r="L211" s="17">
        <f t="shared" si="4"/>
        <v>286</v>
      </c>
      <c r="M211" s="18">
        <f t="shared" si="5"/>
        <v>344</v>
      </c>
      <c r="N211" s="14">
        <f t="shared" si="6"/>
        <v>286</v>
      </c>
      <c r="O211" s="15">
        <f t="shared" si="6"/>
        <v>364</v>
      </c>
      <c r="P211" s="17">
        <f t="shared" si="7"/>
        <v>266</v>
      </c>
      <c r="Q211" s="18">
        <f t="shared" si="8"/>
        <v>364</v>
      </c>
      <c r="R211" s="4" t="s">
        <v>0</v>
      </c>
      <c r="S211" s="16" t="str">
        <f t="shared" si="9"/>
        <v>15-25</v>
      </c>
      <c r="T211" s="14">
        <f t="shared" si="10"/>
        <v>266</v>
      </c>
      <c r="U211" s="18">
        <f t="shared" si="11"/>
        <v>406</v>
      </c>
      <c r="V211" s="14">
        <f t="shared" si="279"/>
        <v>286</v>
      </c>
      <c r="W211" s="18">
        <f t="shared" si="12"/>
        <v>406</v>
      </c>
      <c r="X211" s="14">
        <f t="shared" si="280"/>
        <v>286</v>
      </c>
      <c r="Y211" s="18">
        <f t="shared" si="13"/>
        <v>386</v>
      </c>
      <c r="Z211" s="14">
        <f t="shared" si="281"/>
        <v>266</v>
      </c>
      <c r="AA211" s="18">
        <f t="shared" si="14"/>
        <v>386</v>
      </c>
      <c r="AB211" s="4" t="s">
        <v>0</v>
      </c>
    </row>
    <row r="212" spans="1:28">
      <c r="A212" s="9" t="s">
        <v>227</v>
      </c>
      <c r="B212" s="24"/>
      <c r="C212" s="26"/>
      <c r="D212" s="25">
        <f t="shared" si="257"/>
        <v>286</v>
      </c>
      <c r="E212" s="29">
        <f t="shared" ref="E212" si="307">E211</f>
        <v>344</v>
      </c>
      <c r="F212" s="25">
        <f t="shared" si="259"/>
        <v>306</v>
      </c>
      <c r="G212" s="29">
        <f t="shared" si="299"/>
        <v>364</v>
      </c>
      <c r="H212" s="4" t="s">
        <v>0</v>
      </c>
      <c r="I212" s="11" t="str">
        <f t="shared" si="0"/>
        <v>15-05</v>
      </c>
      <c r="J212" s="14">
        <f t="shared" si="3"/>
        <v>286</v>
      </c>
      <c r="K212" s="15">
        <f t="shared" si="3"/>
        <v>344</v>
      </c>
      <c r="L212" s="17">
        <f t="shared" si="4"/>
        <v>306</v>
      </c>
      <c r="M212" s="18">
        <f t="shared" si="5"/>
        <v>344</v>
      </c>
      <c r="N212" s="14">
        <f t="shared" si="6"/>
        <v>306</v>
      </c>
      <c r="O212" s="15">
        <f t="shared" si="6"/>
        <v>364</v>
      </c>
      <c r="P212" s="17">
        <f t="shared" si="7"/>
        <v>286</v>
      </c>
      <c r="Q212" s="18">
        <f t="shared" si="8"/>
        <v>364</v>
      </c>
      <c r="R212" s="4" t="s">
        <v>0</v>
      </c>
      <c r="S212" s="16" t="str">
        <f t="shared" si="9"/>
        <v>15-05</v>
      </c>
      <c r="T212" s="14">
        <f t="shared" si="10"/>
        <v>286</v>
      </c>
      <c r="U212" s="18">
        <f t="shared" si="11"/>
        <v>406</v>
      </c>
      <c r="V212" s="14">
        <f t="shared" si="279"/>
        <v>306</v>
      </c>
      <c r="W212" s="18">
        <f t="shared" si="12"/>
        <v>406</v>
      </c>
      <c r="X212" s="14">
        <f t="shared" si="280"/>
        <v>306</v>
      </c>
      <c r="Y212" s="18">
        <f t="shared" si="13"/>
        <v>386</v>
      </c>
      <c r="Z212" s="14">
        <f t="shared" si="281"/>
        <v>286</v>
      </c>
      <c r="AA212" s="18">
        <f t="shared" si="14"/>
        <v>386</v>
      </c>
      <c r="AB212" s="4" t="s">
        <v>0</v>
      </c>
    </row>
    <row r="213" spans="1:28">
      <c r="A213" s="9" t="s">
        <v>486</v>
      </c>
      <c r="B213" s="24"/>
      <c r="C213" s="26"/>
      <c r="D213" s="25">
        <f t="shared" si="257"/>
        <v>320</v>
      </c>
      <c r="E213" s="29">
        <f t="shared" ref="E213" si="308">E212</f>
        <v>344</v>
      </c>
      <c r="F213" s="25">
        <f t="shared" si="259"/>
        <v>340</v>
      </c>
      <c r="G213" s="29">
        <f t="shared" si="299"/>
        <v>364</v>
      </c>
      <c r="H213" s="4" t="s">
        <v>0</v>
      </c>
      <c r="I213" s="11" t="str">
        <f t="shared" si="0"/>
        <v>13-25</v>
      </c>
      <c r="J213" s="14">
        <f t="shared" si="3"/>
        <v>320</v>
      </c>
      <c r="K213" s="15">
        <f t="shared" si="3"/>
        <v>344</v>
      </c>
      <c r="L213" s="17">
        <f t="shared" si="4"/>
        <v>340</v>
      </c>
      <c r="M213" s="18">
        <f t="shared" si="5"/>
        <v>344</v>
      </c>
      <c r="N213" s="14">
        <f t="shared" si="6"/>
        <v>340</v>
      </c>
      <c r="O213" s="15">
        <f t="shared" si="6"/>
        <v>364</v>
      </c>
      <c r="P213" s="17">
        <f t="shared" si="7"/>
        <v>320</v>
      </c>
      <c r="Q213" s="18">
        <f t="shared" si="8"/>
        <v>364</v>
      </c>
      <c r="R213" s="4" t="s">
        <v>0</v>
      </c>
      <c r="S213" s="16" t="str">
        <f t="shared" si="9"/>
        <v>13-25</v>
      </c>
      <c r="T213" s="14">
        <f t="shared" si="10"/>
        <v>320</v>
      </c>
      <c r="U213" s="18">
        <f t="shared" si="11"/>
        <v>406</v>
      </c>
      <c r="V213" s="14">
        <f t="shared" si="279"/>
        <v>340</v>
      </c>
      <c r="W213" s="18">
        <f t="shared" si="12"/>
        <v>406</v>
      </c>
      <c r="X213" s="14">
        <f t="shared" si="280"/>
        <v>340</v>
      </c>
      <c r="Y213" s="18">
        <f t="shared" si="13"/>
        <v>386</v>
      </c>
      <c r="Z213" s="14">
        <f t="shared" si="281"/>
        <v>320</v>
      </c>
      <c r="AA213" s="18">
        <f t="shared" si="14"/>
        <v>386</v>
      </c>
      <c r="AB213" s="4" t="s">
        <v>0</v>
      </c>
    </row>
    <row r="214" spans="1:28">
      <c r="A214" s="9" t="s">
        <v>210</v>
      </c>
      <c r="B214" s="24"/>
      <c r="C214" s="26"/>
      <c r="D214" s="25">
        <f t="shared" si="257"/>
        <v>340</v>
      </c>
      <c r="E214" s="29">
        <f t="shared" ref="E214" si="309">E213</f>
        <v>344</v>
      </c>
      <c r="F214" s="25">
        <f t="shared" si="259"/>
        <v>360</v>
      </c>
      <c r="G214" s="29">
        <f t="shared" si="299"/>
        <v>364</v>
      </c>
      <c r="H214" s="4" t="s">
        <v>0</v>
      </c>
      <c r="I214" s="11" t="str">
        <f t="shared" si="0"/>
        <v>13-05</v>
      </c>
      <c r="J214" s="14">
        <f t="shared" si="3"/>
        <v>340</v>
      </c>
      <c r="K214" s="15">
        <f t="shared" si="3"/>
        <v>344</v>
      </c>
      <c r="L214" s="17">
        <f t="shared" si="4"/>
        <v>360</v>
      </c>
      <c r="M214" s="18">
        <f t="shared" si="5"/>
        <v>344</v>
      </c>
      <c r="N214" s="14">
        <f t="shared" si="6"/>
        <v>360</v>
      </c>
      <c r="O214" s="15">
        <f t="shared" si="6"/>
        <v>364</v>
      </c>
      <c r="P214" s="17">
        <f t="shared" si="7"/>
        <v>340</v>
      </c>
      <c r="Q214" s="18">
        <f t="shared" si="8"/>
        <v>364</v>
      </c>
      <c r="R214" s="4" t="s">
        <v>0</v>
      </c>
      <c r="S214" s="16" t="str">
        <f t="shared" si="9"/>
        <v>13-05</v>
      </c>
      <c r="T214" s="14">
        <f t="shared" si="10"/>
        <v>340</v>
      </c>
      <c r="U214" s="18">
        <f t="shared" si="11"/>
        <v>406</v>
      </c>
      <c r="V214" s="14">
        <f t="shared" si="279"/>
        <v>360</v>
      </c>
      <c r="W214" s="18">
        <f t="shared" si="12"/>
        <v>406</v>
      </c>
      <c r="X214" s="14">
        <f t="shared" si="280"/>
        <v>360</v>
      </c>
      <c r="Y214" s="18">
        <f t="shared" si="13"/>
        <v>386</v>
      </c>
      <c r="Z214" s="14">
        <f t="shared" si="281"/>
        <v>340</v>
      </c>
      <c r="AA214" s="18">
        <f t="shared" si="14"/>
        <v>386</v>
      </c>
      <c r="AB214" s="4" t="s">
        <v>0</v>
      </c>
    </row>
    <row r="215" spans="1:28">
      <c r="A215" s="9" t="s">
        <v>471</v>
      </c>
      <c r="B215" s="24"/>
      <c r="C215" s="26"/>
      <c r="D215" s="25">
        <f t="shared" si="257"/>
        <v>374</v>
      </c>
      <c r="E215" s="29">
        <f t="shared" ref="E215" si="310">E214</f>
        <v>344</v>
      </c>
      <c r="F215" s="25">
        <f t="shared" si="259"/>
        <v>394</v>
      </c>
      <c r="G215" s="29">
        <f t="shared" si="299"/>
        <v>364</v>
      </c>
      <c r="H215" s="4" t="s">
        <v>0</v>
      </c>
      <c r="I215" s="11" t="str">
        <f t="shared" si="0"/>
        <v>12-25</v>
      </c>
      <c r="J215" s="14">
        <f t="shared" si="3"/>
        <v>374</v>
      </c>
      <c r="K215" s="15">
        <f t="shared" si="3"/>
        <v>344</v>
      </c>
      <c r="L215" s="17">
        <f t="shared" si="4"/>
        <v>394</v>
      </c>
      <c r="M215" s="18">
        <f t="shared" si="5"/>
        <v>344</v>
      </c>
      <c r="N215" s="14">
        <f t="shared" si="6"/>
        <v>394</v>
      </c>
      <c r="O215" s="15">
        <f t="shared" si="6"/>
        <v>364</v>
      </c>
      <c r="P215" s="17">
        <f t="shared" si="7"/>
        <v>374</v>
      </c>
      <c r="Q215" s="18">
        <f t="shared" si="8"/>
        <v>364</v>
      </c>
      <c r="R215" s="4" t="s">
        <v>0</v>
      </c>
      <c r="S215" s="16" t="str">
        <f t="shared" si="9"/>
        <v>12-25</v>
      </c>
      <c r="T215" s="14">
        <f t="shared" si="10"/>
        <v>374</v>
      </c>
      <c r="U215" s="18">
        <f t="shared" si="11"/>
        <v>406</v>
      </c>
      <c r="V215" s="14">
        <f t="shared" si="279"/>
        <v>394</v>
      </c>
      <c r="W215" s="18">
        <f t="shared" si="12"/>
        <v>406</v>
      </c>
      <c r="X215" s="14">
        <f t="shared" si="280"/>
        <v>394</v>
      </c>
      <c r="Y215" s="18">
        <f t="shared" si="13"/>
        <v>386</v>
      </c>
      <c r="Z215" s="14">
        <f t="shared" si="281"/>
        <v>374</v>
      </c>
      <c r="AA215" s="18">
        <f t="shared" si="14"/>
        <v>386</v>
      </c>
      <c r="AB215" s="4" t="s">
        <v>0</v>
      </c>
    </row>
    <row r="216" spans="1:28">
      <c r="A216" s="9" t="s">
        <v>102</v>
      </c>
      <c r="B216" s="24"/>
      <c r="C216" s="26"/>
      <c r="D216" s="25">
        <f t="shared" si="257"/>
        <v>394</v>
      </c>
      <c r="E216" s="29">
        <f t="shared" ref="E216" si="311">E215</f>
        <v>344</v>
      </c>
      <c r="F216" s="25">
        <f t="shared" si="259"/>
        <v>414</v>
      </c>
      <c r="G216" s="29">
        <f t="shared" si="299"/>
        <v>364</v>
      </c>
      <c r="H216" s="4" t="s">
        <v>0</v>
      </c>
      <c r="I216" s="11" t="str">
        <f t="shared" si="0"/>
        <v>12-05</v>
      </c>
      <c r="J216" s="14">
        <f t="shared" si="3"/>
        <v>394</v>
      </c>
      <c r="K216" s="15">
        <f t="shared" si="3"/>
        <v>344</v>
      </c>
      <c r="L216" s="17">
        <f t="shared" si="4"/>
        <v>414</v>
      </c>
      <c r="M216" s="18">
        <f t="shared" si="5"/>
        <v>344</v>
      </c>
      <c r="N216" s="14">
        <f t="shared" si="6"/>
        <v>414</v>
      </c>
      <c r="O216" s="15">
        <f t="shared" si="6"/>
        <v>364</v>
      </c>
      <c r="P216" s="17">
        <f t="shared" si="7"/>
        <v>394</v>
      </c>
      <c r="Q216" s="18">
        <f t="shared" si="8"/>
        <v>364</v>
      </c>
      <c r="R216" s="4" t="s">
        <v>0</v>
      </c>
      <c r="S216" s="16" t="str">
        <f t="shared" si="9"/>
        <v>12-05</v>
      </c>
      <c r="T216" s="14">
        <f t="shared" si="10"/>
        <v>394</v>
      </c>
      <c r="U216" s="18">
        <f t="shared" si="11"/>
        <v>406</v>
      </c>
      <c r="V216" s="14">
        <f t="shared" si="279"/>
        <v>414</v>
      </c>
      <c r="W216" s="18">
        <f t="shared" si="12"/>
        <v>406</v>
      </c>
      <c r="X216" s="14">
        <f t="shared" si="280"/>
        <v>414</v>
      </c>
      <c r="Y216" s="18">
        <f t="shared" si="13"/>
        <v>386</v>
      </c>
      <c r="Z216" s="14">
        <f t="shared" si="281"/>
        <v>394</v>
      </c>
      <c r="AA216" s="18">
        <f t="shared" si="14"/>
        <v>386</v>
      </c>
      <c r="AB216" s="4" t="s">
        <v>0</v>
      </c>
    </row>
    <row r="217" spans="1:28">
      <c r="A217" s="9" t="s">
        <v>199</v>
      </c>
      <c r="B217" s="24"/>
      <c r="C217" s="26"/>
      <c r="D217" s="25">
        <f t="shared" si="257"/>
        <v>428</v>
      </c>
      <c r="E217" s="29">
        <f t="shared" ref="E217" si="312">E216</f>
        <v>344</v>
      </c>
      <c r="F217" s="25">
        <f t="shared" si="259"/>
        <v>448</v>
      </c>
      <c r="G217" s="29">
        <f t="shared" si="299"/>
        <v>364</v>
      </c>
      <c r="H217" s="4" t="s">
        <v>0</v>
      </c>
      <c r="I217" s="11" t="str">
        <f t="shared" si="0"/>
        <v>11-20</v>
      </c>
      <c r="J217" s="14">
        <f t="shared" si="3"/>
        <v>428</v>
      </c>
      <c r="K217" s="15">
        <f t="shared" si="3"/>
        <v>344</v>
      </c>
      <c r="L217" s="17">
        <f t="shared" si="4"/>
        <v>448</v>
      </c>
      <c r="M217" s="18">
        <f t="shared" si="5"/>
        <v>344</v>
      </c>
      <c r="N217" s="14">
        <f t="shared" si="6"/>
        <v>448</v>
      </c>
      <c r="O217" s="15">
        <f t="shared" si="6"/>
        <v>364</v>
      </c>
      <c r="P217" s="17">
        <f t="shared" si="7"/>
        <v>428</v>
      </c>
      <c r="Q217" s="18">
        <f t="shared" si="8"/>
        <v>364</v>
      </c>
      <c r="R217" s="4" t="s">
        <v>0</v>
      </c>
      <c r="S217" s="16" t="str">
        <f t="shared" si="9"/>
        <v>11-20</v>
      </c>
      <c r="T217" s="14">
        <f t="shared" si="10"/>
        <v>428</v>
      </c>
      <c r="U217" s="18">
        <f t="shared" si="11"/>
        <v>406</v>
      </c>
      <c r="V217" s="14">
        <f t="shared" si="279"/>
        <v>448</v>
      </c>
      <c r="W217" s="18">
        <f t="shared" si="12"/>
        <v>406</v>
      </c>
      <c r="X217" s="14">
        <f t="shared" si="280"/>
        <v>448</v>
      </c>
      <c r="Y217" s="18">
        <f t="shared" si="13"/>
        <v>386</v>
      </c>
      <c r="Z217" s="14">
        <f t="shared" si="281"/>
        <v>428</v>
      </c>
      <c r="AA217" s="18">
        <f t="shared" si="14"/>
        <v>386</v>
      </c>
      <c r="AB217" s="4" t="s">
        <v>0</v>
      </c>
    </row>
    <row r="218" spans="1:28">
      <c r="A218" s="9" t="s">
        <v>90</v>
      </c>
      <c r="B218" s="24"/>
      <c r="C218" s="26"/>
      <c r="D218" s="25">
        <f t="shared" si="257"/>
        <v>448</v>
      </c>
      <c r="E218" s="29">
        <f t="shared" ref="E218" si="313">E217</f>
        <v>344</v>
      </c>
      <c r="F218" s="25">
        <f t="shared" si="259"/>
        <v>468</v>
      </c>
      <c r="G218" s="29">
        <f t="shared" si="299"/>
        <v>364</v>
      </c>
      <c r="H218" s="4" t="s">
        <v>0</v>
      </c>
      <c r="I218" s="11" t="str">
        <f t="shared" si="0"/>
        <v>11-02</v>
      </c>
      <c r="J218" s="14">
        <f t="shared" si="3"/>
        <v>448</v>
      </c>
      <c r="K218" s="15">
        <f t="shared" si="3"/>
        <v>344</v>
      </c>
      <c r="L218" s="17">
        <f t="shared" si="4"/>
        <v>468</v>
      </c>
      <c r="M218" s="18">
        <f t="shared" si="5"/>
        <v>344</v>
      </c>
      <c r="N218" s="14">
        <f t="shared" si="6"/>
        <v>468</v>
      </c>
      <c r="O218" s="15">
        <f t="shared" si="6"/>
        <v>364</v>
      </c>
      <c r="P218" s="17">
        <f t="shared" si="7"/>
        <v>448</v>
      </c>
      <c r="Q218" s="18">
        <f t="shared" si="8"/>
        <v>364</v>
      </c>
      <c r="R218" s="4" t="s">
        <v>0</v>
      </c>
      <c r="S218" s="16" t="str">
        <f t="shared" si="9"/>
        <v>11-02</v>
      </c>
      <c r="T218" s="14">
        <f t="shared" si="10"/>
        <v>448</v>
      </c>
      <c r="U218" s="18">
        <f t="shared" si="11"/>
        <v>406</v>
      </c>
      <c r="V218" s="14">
        <f t="shared" si="279"/>
        <v>468</v>
      </c>
      <c r="W218" s="18">
        <f t="shared" si="12"/>
        <v>406</v>
      </c>
      <c r="X218" s="14">
        <f t="shared" si="280"/>
        <v>468</v>
      </c>
      <c r="Y218" s="18">
        <f t="shared" si="13"/>
        <v>386</v>
      </c>
      <c r="Z218" s="14">
        <f t="shared" si="281"/>
        <v>448</v>
      </c>
      <c r="AA218" s="18">
        <f t="shared" si="14"/>
        <v>386</v>
      </c>
      <c r="AB218" s="4" t="s">
        <v>0</v>
      </c>
    </row>
    <row r="219" spans="1:28">
      <c r="A219" s="9" t="s">
        <v>303</v>
      </c>
      <c r="B219" s="24"/>
      <c r="C219" s="26">
        <v>13</v>
      </c>
      <c r="D219" s="25">
        <f>D205</f>
        <v>104</v>
      </c>
      <c r="E219" s="28">
        <f t="shared" ref="E219" si="314">ROUND(E$11+19.5*$C219, 0)</f>
        <v>364</v>
      </c>
      <c r="F219" s="25">
        <f>F205</f>
        <v>124</v>
      </c>
      <c r="G219" s="28">
        <f t="shared" ref="G219" si="315">ROUND(G$11+19.5*$C219, 0)</f>
        <v>384</v>
      </c>
      <c r="H219" s="4" t="s">
        <v>0</v>
      </c>
      <c r="I219" s="11" t="str">
        <f t="shared" si="0"/>
        <v>18-23</v>
      </c>
      <c r="J219" s="14">
        <f t="shared" si="3"/>
        <v>104</v>
      </c>
      <c r="K219" s="15">
        <f t="shared" si="3"/>
        <v>364</v>
      </c>
      <c r="L219" s="17">
        <f t="shared" si="4"/>
        <v>124</v>
      </c>
      <c r="M219" s="18">
        <f t="shared" si="5"/>
        <v>364</v>
      </c>
      <c r="N219" s="14">
        <f t="shared" si="6"/>
        <v>124</v>
      </c>
      <c r="O219" s="15">
        <f t="shared" si="6"/>
        <v>384</v>
      </c>
      <c r="P219" s="17">
        <f t="shared" si="7"/>
        <v>104</v>
      </c>
      <c r="Q219" s="18">
        <f t="shared" si="8"/>
        <v>384</v>
      </c>
      <c r="R219" s="4" t="s">
        <v>0</v>
      </c>
      <c r="S219" s="16" t="str">
        <f t="shared" si="9"/>
        <v>18-23</v>
      </c>
      <c r="T219" s="14">
        <f t="shared" si="10"/>
        <v>104</v>
      </c>
      <c r="U219" s="18">
        <f t="shared" si="11"/>
        <v>386</v>
      </c>
      <c r="V219" s="14">
        <f t="shared" si="279"/>
        <v>124</v>
      </c>
      <c r="W219" s="18">
        <f t="shared" si="12"/>
        <v>386</v>
      </c>
      <c r="X219" s="14">
        <f t="shared" si="280"/>
        <v>124</v>
      </c>
      <c r="Y219" s="18">
        <f t="shared" si="13"/>
        <v>366</v>
      </c>
      <c r="Z219" s="14">
        <f t="shared" si="281"/>
        <v>104</v>
      </c>
      <c r="AA219" s="18">
        <f t="shared" si="14"/>
        <v>366</v>
      </c>
      <c r="AB219" s="4" t="s">
        <v>0</v>
      </c>
    </row>
    <row r="220" spans="1:28">
      <c r="A220" s="9" t="s">
        <v>287</v>
      </c>
      <c r="B220" s="24"/>
      <c r="C220" s="26"/>
      <c r="D220" s="25">
        <f t="shared" ref="D220:D244" si="316">D206</f>
        <v>124</v>
      </c>
      <c r="E220" s="29">
        <f t="shared" ref="E220" si="317">E219</f>
        <v>364</v>
      </c>
      <c r="F220" s="25">
        <f t="shared" ref="F220:F244" si="318">F206</f>
        <v>144</v>
      </c>
      <c r="G220" s="29">
        <f t="shared" si="299"/>
        <v>384</v>
      </c>
      <c r="H220" s="4" t="s">
        <v>0</v>
      </c>
      <c r="I220" s="11" t="str">
        <f t="shared" si="0"/>
        <v>18-03</v>
      </c>
      <c r="J220" s="14">
        <f t="shared" si="3"/>
        <v>124</v>
      </c>
      <c r="K220" s="15">
        <f t="shared" si="3"/>
        <v>364</v>
      </c>
      <c r="L220" s="17">
        <f t="shared" si="4"/>
        <v>144</v>
      </c>
      <c r="M220" s="18">
        <f t="shared" si="5"/>
        <v>364</v>
      </c>
      <c r="N220" s="14">
        <f t="shared" si="6"/>
        <v>144</v>
      </c>
      <c r="O220" s="15">
        <f t="shared" si="6"/>
        <v>384</v>
      </c>
      <c r="P220" s="17">
        <f t="shared" si="7"/>
        <v>124</v>
      </c>
      <c r="Q220" s="18">
        <f t="shared" si="8"/>
        <v>384</v>
      </c>
      <c r="R220" s="4" t="s">
        <v>0</v>
      </c>
      <c r="S220" s="16" t="str">
        <f t="shared" si="9"/>
        <v>18-03</v>
      </c>
      <c r="T220" s="14">
        <f t="shared" si="10"/>
        <v>124</v>
      </c>
      <c r="U220" s="18">
        <f t="shared" si="11"/>
        <v>386</v>
      </c>
      <c r="V220" s="14">
        <f t="shared" si="279"/>
        <v>144</v>
      </c>
      <c r="W220" s="18">
        <f t="shared" si="12"/>
        <v>386</v>
      </c>
      <c r="X220" s="14">
        <f t="shared" si="280"/>
        <v>144</v>
      </c>
      <c r="Y220" s="18">
        <f t="shared" si="13"/>
        <v>366</v>
      </c>
      <c r="Z220" s="14">
        <f t="shared" si="281"/>
        <v>124</v>
      </c>
      <c r="AA220" s="18">
        <f t="shared" si="14"/>
        <v>366</v>
      </c>
      <c r="AB220" s="4" t="s">
        <v>0</v>
      </c>
    </row>
    <row r="221" spans="1:28">
      <c r="A221" s="9" t="s">
        <v>282</v>
      </c>
      <c r="B221" s="24"/>
      <c r="C221" s="26"/>
      <c r="D221" s="25">
        <f t="shared" si="316"/>
        <v>158</v>
      </c>
      <c r="E221" s="29">
        <f t="shared" ref="E221" si="319">E220</f>
        <v>364</v>
      </c>
      <c r="F221" s="25">
        <f t="shared" si="318"/>
        <v>178</v>
      </c>
      <c r="G221" s="29">
        <f t="shared" si="299"/>
        <v>384</v>
      </c>
      <c r="H221" s="4" t="s">
        <v>0</v>
      </c>
      <c r="I221" s="11" t="str">
        <f t="shared" si="0"/>
        <v>17-23</v>
      </c>
      <c r="J221" s="14">
        <f t="shared" si="3"/>
        <v>158</v>
      </c>
      <c r="K221" s="15">
        <f t="shared" si="3"/>
        <v>364</v>
      </c>
      <c r="L221" s="17">
        <f t="shared" si="4"/>
        <v>178</v>
      </c>
      <c r="M221" s="18">
        <f t="shared" si="5"/>
        <v>364</v>
      </c>
      <c r="N221" s="14">
        <f t="shared" si="6"/>
        <v>178</v>
      </c>
      <c r="O221" s="15">
        <f t="shared" si="6"/>
        <v>384</v>
      </c>
      <c r="P221" s="17">
        <f t="shared" si="7"/>
        <v>158</v>
      </c>
      <c r="Q221" s="18">
        <f t="shared" si="8"/>
        <v>384</v>
      </c>
      <c r="R221" s="4" t="s">
        <v>0</v>
      </c>
      <c r="S221" s="16" t="str">
        <f t="shared" si="9"/>
        <v>17-23</v>
      </c>
      <c r="T221" s="14">
        <f t="shared" si="10"/>
        <v>158</v>
      </c>
      <c r="U221" s="18">
        <f t="shared" si="11"/>
        <v>386</v>
      </c>
      <c r="V221" s="14">
        <f t="shared" si="279"/>
        <v>178</v>
      </c>
      <c r="W221" s="18">
        <f t="shared" si="12"/>
        <v>386</v>
      </c>
      <c r="X221" s="14">
        <f t="shared" si="280"/>
        <v>178</v>
      </c>
      <c r="Y221" s="18">
        <f t="shared" si="13"/>
        <v>366</v>
      </c>
      <c r="Z221" s="14">
        <f t="shared" si="281"/>
        <v>158</v>
      </c>
      <c r="AA221" s="18">
        <f t="shared" si="14"/>
        <v>366</v>
      </c>
      <c r="AB221" s="4" t="s">
        <v>0</v>
      </c>
    </row>
    <row r="222" spans="1:28">
      <c r="A222" s="9" t="s">
        <v>266</v>
      </c>
      <c r="B222" s="24"/>
      <c r="C222" s="26"/>
      <c r="D222" s="25">
        <f t="shared" si="316"/>
        <v>178</v>
      </c>
      <c r="E222" s="29">
        <f t="shared" ref="E222" si="320">E221</f>
        <v>364</v>
      </c>
      <c r="F222" s="25">
        <f t="shared" si="318"/>
        <v>198</v>
      </c>
      <c r="G222" s="29">
        <f t="shared" si="299"/>
        <v>384</v>
      </c>
      <c r="H222" s="4" t="s">
        <v>0</v>
      </c>
      <c r="I222" s="11" t="str">
        <f t="shared" si="0"/>
        <v>17-03</v>
      </c>
      <c r="J222" s="14">
        <f t="shared" si="3"/>
        <v>178</v>
      </c>
      <c r="K222" s="15">
        <f t="shared" si="3"/>
        <v>364</v>
      </c>
      <c r="L222" s="17">
        <f t="shared" si="4"/>
        <v>198</v>
      </c>
      <c r="M222" s="18">
        <f t="shared" si="5"/>
        <v>364</v>
      </c>
      <c r="N222" s="14">
        <f t="shared" si="6"/>
        <v>198</v>
      </c>
      <c r="O222" s="15">
        <f t="shared" si="6"/>
        <v>384</v>
      </c>
      <c r="P222" s="17">
        <f t="shared" si="7"/>
        <v>178</v>
      </c>
      <c r="Q222" s="18">
        <f t="shared" si="8"/>
        <v>384</v>
      </c>
      <c r="R222" s="4" t="s">
        <v>0</v>
      </c>
      <c r="S222" s="16" t="str">
        <f t="shared" si="9"/>
        <v>17-03</v>
      </c>
      <c r="T222" s="14">
        <f t="shared" si="10"/>
        <v>178</v>
      </c>
      <c r="U222" s="18">
        <f t="shared" si="11"/>
        <v>386</v>
      </c>
      <c r="V222" s="14">
        <f t="shared" si="279"/>
        <v>198</v>
      </c>
      <c r="W222" s="18">
        <f t="shared" si="12"/>
        <v>386</v>
      </c>
      <c r="X222" s="14">
        <f t="shared" si="280"/>
        <v>198</v>
      </c>
      <c r="Y222" s="18">
        <f t="shared" si="13"/>
        <v>366</v>
      </c>
      <c r="Z222" s="14">
        <f t="shared" si="281"/>
        <v>178</v>
      </c>
      <c r="AA222" s="18">
        <f t="shared" si="14"/>
        <v>366</v>
      </c>
      <c r="AB222" s="4" t="s">
        <v>0</v>
      </c>
    </row>
    <row r="223" spans="1:28">
      <c r="A223" s="9" t="s">
        <v>261</v>
      </c>
      <c r="B223" s="24"/>
      <c r="C223" s="26"/>
      <c r="D223" s="25">
        <f t="shared" si="316"/>
        <v>212</v>
      </c>
      <c r="E223" s="29">
        <f t="shared" ref="E223" si="321">E222</f>
        <v>364</v>
      </c>
      <c r="F223" s="25">
        <f t="shared" si="318"/>
        <v>232</v>
      </c>
      <c r="G223" s="29">
        <f t="shared" si="299"/>
        <v>384</v>
      </c>
      <c r="H223" s="4" t="s">
        <v>0</v>
      </c>
      <c r="I223" s="11" t="str">
        <f t="shared" si="0"/>
        <v>16-23</v>
      </c>
      <c r="J223" s="14">
        <f t="shared" si="3"/>
        <v>212</v>
      </c>
      <c r="K223" s="15">
        <f t="shared" si="3"/>
        <v>364</v>
      </c>
      <c r="L223" s="17">
        <f t="shared" si="4"/>
        <v>232</v>
      </c>
      <c r="M223" s="18">
        <f t="shared" si="5"/>
        <v>364</v>
      </c>
      <c r="N223" s="14">
        <f t="shared" si="6"/>
        <v>232</v>
      </c>
      <c r="O223" s="15">
        <f t="shared" si="6"/>
        <v>384</v>
      </c>
      <c r="P223" s="17">
        <f t="shared" si="7"/>
        <v>212</v>
      </c>
      <c r="Q223" s="18">
        <f t="shared" si="8"/>
        <v>384</v>
      </c>
      <c r="R223" s="4" t="s">
        <v>0</v>
      </c>
      <c r="S223" s="16" t="str">
        <f t="shared" si="9"/>
        <v>16-23</v>
      </c>
      <c r="T223" s="14">
        <f t="shared" si="10"/>
        <v>212</v>
      </c>
      <c r="U223" s="18">
        <f t="shared" si="11"/>
        <v>386</v>
      </c>
      <c r="V223" s="14">
        <f t="shared" si="279"/>
        <v>232</v>
      </c>
      <c r="W223" s="18">
        <f t="shared" si="12"/>
        <v>386</v>
      </c>
      <c r="X223" s="14">
        <f t="shared" si="280"/>
        <v>232</v>
      </c>
      <c r="Y223" s="18">
        <f t="shared" si="13"/>
        <v>366</v>
      </c>
      <c r="Z223" s="14">
        <f t="shared" si="281"/>
        <v>212</v>
      </c>
      <c r="AA223" s="18">
        <f t="shared" si="14"/>
        <v>366</v>
      </c>
      <c r="AB223" s="4" t="s">
        <v>0</v>
      </c>
    </row>
    <row r="224" spans="1:28">
      <c r="A224" s="9" t="s">
        <v>245</v>
      </c>
      <c r="B224" s="24"/>
      <c r="C224" s="26"/>
      <c r="D224" s="25">
        <f t="shared" si="316"/>
        <v>232</v>
      </c>
      <c r="E224" s="29">
        <f t="shared" ref="E224" si="322">E223</f>
        <v>364</v>
      </c>
      <c r="F224" s="25">
        <f t="shared" si="318"/>
        <v>252</v>
      </c>
      <c r="G224" s="29">
        <f t="shared" si="299"/>
        <v>384</v>
      </c>
      <c r="H224" s="4" t="s">
        <v>0</v>
      </c>
      <c r="I224" s="11" t="str">
        <f t="shared" si="0"/>
        <v>16-03</v>
      </c>
      <c r="J224" s="14">
        <f t="shared" si="3"/>
        <v>232</v>
      </c>
      <c r="K224" s="15">
        <f t="shared" si="3"/>
        <v>364</v>
      </c>
      <c r="L224" s="17">
        <f t="shared" si="4"/>
        <v>252</v>
      </c>
      <c r="M224" s="18">
        <f t="shared" si="5"/>
        <v>364</v>
      </c>
      <c r="N224" s="14">
        <f t="shared" si="6"/>
        <v>252</v>
      </c>
      <c r="O224" s="15">
        <f t="shared" si="6"/>
        <v>384</v>
      </c>
      <c r="P224" s="17">
        <f t="shared" si="7"/>
        <v>232</v>
      </c>
      <c r="Q224" s="18">
        <f t="shared" si="8"/>
        <v>384</v>
      </c>
      <c r="R224" s="4" t="s">
        <v>0</v>
      </c>
      <c r="S224" s="16" t="str">
        <f t="shared" si="9"/>
        <v>16-03</v>
      </c>
      <c r="T224" s="14">
        <f t="shared" si="10"/>
        <v>232</v>
      </c>
      <c r="U224" s="18">
        <f t="shared" si="11"/>
        <v>386</v>
      </c>
      <c r="V224" s="14">
        <f t="shared" si="279"/>
        <v>252</v>
      </c>
      <c r="W224" s="18">
        <f t="shared" si="12"/>
        <v>386</v>
      </c>
      <c r="X224" s="14">
        <f t="shared" si="280"/>
        <v>252</v>
      </c>
      <c r="Y224" s="18">
        <f t="shared" si="13"/>
        <v>366</v>
      </c>
      <c r="Z224" s="14">
        <f t="shared" si="281"/>
        <v>232</v>
      </c>
      <c r="AA224" s="18">
        <f t="shared" si="14"/>
        <v>366</v>
      </c>
      <c r="AB224" s="4" t="s">
        <v>0</v>
      </c>
    </row>
    <row r="225" spans="1:28">
      <c r="A225" s="9" t="s">
        <v>500</v>
      </c>
      <c r="B225" s="24"/>
      <c r="C225" s="26"/>
      <c r="D225" s="25">
        <f t="shared" si="316"/>
        <v>266</v>
      </c>
      <c r="E225" s="29">
        <f t="shared" ref="E225" si="323">E224</f>
        <v>364</v>
      </c>
      <c r="F225" s="25">
        <f t="shared" si="318"/>
        <v>286</v>
      </c>
      <c r="G225" s="29">
        <f t="shared" si="299"/>
        <v>384</v>
      </c>
      <c r="H225" s="4" t="s">
        <v>0</v>
      </c>
      <c r="I225" s="11" t="str">
        <f t="shared" si="0"/>
        <v>15-23</v>
      </c>
      <c r="J225" s="14">
        <f t="shared" si="3"/>
        <v>266</v>
      </c>
      <c r="K225" s="15">
        <f t="shared" si="3"/>
        <v>364</v>
      </c>
      <c r="L225" s="17">
        <f t="shared" si="4"/>
        <v>286</v>
      </c>
      <c r="M225" s="18">
        <f t="shared" si="5"/>
        <v>364</v>
      </c>
      <c r="N225" s="14">
        <f t="shared" si="6"/>
        <v>286</v>
      </c>
      <c r="O225" s="15">
        <f t="shared" si="6"/>
        <v>384</v>
      </c>
      <c r="P225" s="17">
        <f t="shared" si="7"/>
        <v>266</v>
      </c>
      <c r="Q225" s="18">
        <f t="shared" si="8"/>
        <v>384</v>
      </c>
      <c r="R225" s="4" t="s">
        <v>0</v>
      </c>
      <c r="S225" s="16" t="str">
        <f t="shared" si="9"/>
        <v>15-23</v>
      </c>
      <c r="T225" s="14">
        <f t="shared" si="10"/>
        <v>266</v>
      </c>
      <c r="U225" s="18">
        <f t="shared" si="11"/>
        <v>386</v>
      </c>
      <c r="V225" s="14">
        <f t="shared" si="279"/>
        <v>286</v>
      </c>
      <c r="W225" s="18">
        <f t="shared" si="12"/>
        <v>386</v>
      </c>
      <c r="X225" s="14">
        <f t="shared" si="280"/>
        <v>286</v>
      </c>
      <c r="Y225" s="18">
        <f t="shared" si="13"/>
        <v>366</v>
      </c>
      <c r="Z225" s="14">
        <f t="shared" si="281"/>
        <v>266</v>
      </c>
      <c r="AA225" s="18">
        <f t="shared" si="14"/>
        <v>366</v>
      </c>
      <c r="AB225" s="4" t="s">
        <v>0</v>
      </c>
    </row>
    <row r="226" spans="1:28">
      <c r="A226" s="9" t="s">
        <v>226</v>
      </c>
      <c r="B226" s="24"/>
      <c r="C226" s="26"/>
      <c r="D226" s="25">
        <f t="shared" si="316"/>
        <v>286</v>
      </c>
      <c r="E226" s="29">
        <f t="shared" ref="E226" si="324">E225</f>
        <v>364</v>
      </c>
      <c r="F226" s="25">
        <f t="shared" si="318"/>
        <v>306</v>
      </c>
      <c r="G226" s="29">
        <f t="shared" si="299"/>
        <v>384</v>
      </c>
      <c r="H226" s="4" t="s">
        <v>0</v>
      </c>
      <c r="I226" s="11" t="str">
        <f t="shared" si="0"/>
        <v>15-03</v>
      </c>
      <c r="J226" s="14">
        <f t="shared" si="3"/>
        <v>286</v>
      </c>
      <c r="K226" s="15">
        <f t="shared" si="3"/>
        <v>364</v>
      </c>
      <c r="L226" s="17">
        <f t="shared" si="4"/>
        <v>306</v>
      </c>
      <c r="M226" s="18">
        <f t="shared" si="5"/>
        <v>364</v>
      </c>
      <c r="N226" s="14">
        <f t="shared" si="6"/>
        <v>306</v>
      </c>
      <c r="O226" s="15">
        <f t="shared" si="6"/>
        <v>384</v>
      </c>
      <c r="P226" s="17">
        <f t="shared" si="7"/>
        <v>286</v>
      </c>
      <c r="Q226" s="18">
        <f t="shared" si="8"/>
        <v>384</v>
      </c>
      <c r="R226" s="4" t="s">
        <v>0</v>
      </c>
      <c r="S226" s="16" t="str">
        <f t="shared" si="9"/>
        <v>15-03</v>
      </c>
      <c r="T226" s="14">
        <f t="shared" si="10"/>
        <v>286</v>
      </c>
      <c r="U226" s="18">
        <f t="shared" si="11"/>
        <v>386</v>
      </c>
      <c r="V226" s="14">
        <f t="shared" si="279"/>
        <v>306</v>
      </c>
      <c r="W226" s="18">
        <f t="shared" si="12"/>
        <v>386</v>
      </c>
      <c r="X226" s="14">
        <f t="shared" si="280"/>
        <v>306</v>
      </c>
      <c r="Y226" s="18">
        <f t="shared" si="13"/>
        <v>366</v>
      </c>
      <c r="Z226" s="14">
        <f t="shared" si="281"/>
        <v>286</v>
      </c>
      <c r="AA226" s="18">
        <f t="shared" si="14"/>
        <v>366</v>
      </c>
      <c r="AB226" s="4" t="s">
        <v>0</v>
      </c>
    </row>
    <row r="227" spans="1:28">
      <c r="A227" s="9" t="s">
        <v>485</v>
      </c>
      <c r="B227" s="24"/>
      <c r="C227" s="26"/>
      <c r="D227" s="25">
        <f t="shared" si="316"/>
        <v>320</v>
      </c>
      <c r="E227" s="29">
        <f t="shared" ref="E227" si="325">E226</f>
        <v>364</v>
      </c>
      <c r="F227" s="25">
        <f t="shared" si="318"/>
        <v>340</v>
      </c>
      <c r="G227" s="29">
        <f t="shared" si="299"/>
        <v>384</v>
      </c>
      <c r="H227" s="4" t="s">
        <v>0</v>
      </c>
      <c r="I227" s="11" t="str">
        <f t="shared" si="0"/>
        <v>13-23</v>
      </c>
      <c r="J227" s="14">
        <f t="shared" si="3"/>
        <v>320</v>
      </c>
      <c r="K227" s="15">
        <f t="shared" si="3"/>
        <v>364</v>
      </c>
      <c r="L227" s="17">
        <f t="shared" si="4"/>
        <v>340</v>
      </c>
      <c r="M227" s="18">
        <f t="shared" si="5"/>
        <v>364</v>
      </c>
      <c r="N227" s="14">
        <f t="shared" si="6"/>
        <v>340</v>
      </c>
      <c r="O227" s="15">
        <f t="shared" si="6"/>
        <v>384</v>
      </c>
      <c r="P227" s="17">
        <f t="shared" si="7"/>
        <v>320</v>
      </c>
      <c r="Q227" s="18">
        <f t="shared" si="8"/>
        <v>384</v>
      </c>
      <c r="R227" s="4" t="s">
        <v>0</v>
      </c>
      <c r="S227" s="16" t="str">
        <f t="shared" si="9"/>
        <v>13-23</v>
      </c>
      <c r="T227" s="14">
        <f t="shared" si="10"/>
        <v>320</v>
      </c>
      <c r="U227" s="18">
        <f t="shared" si="11"/>
        <v>386</v>
      </c>
      <c r="V227" s="14">
        <f t="shared" si="279"/>
        <v>340</v>
      </c>
      <c r="W227" s="18">
        <f t="shared" si="12"/>
        <v>386</v>
      </c>
      <c r="X227" s="14">
        <f t="shared" si="280"/>
        <v>340</v>
      </c>
      <c r="Y227" s="18">
        <f t="shared" si="13"/>
        <v>366</v>
      </c>
      <c r="Z227" s="14">
        <f t="shared" si="281"/>
        <v>320</v>
      </c>
      <c r="AA227" s="18">
        <f t="shared" si="14"/>
        <v>366</v>
      </c>
      <c r="AB227" s="4" t="s">
        <v>0</v>
      </c>
    </row>
    <row r="228" spans="1:28">
      <c r="A228" s="9" t="s">
        <v>209</v>
      </c>
      <c r="B228" s="24"/>
      <c r="C228" s="26"/>
      <c r="D228" s="25">
        <f t="shared" si="316"/>
        <v>340</v>
      </c>
      <c r="E228" s="29">
        <f t="shared" ref="E228" si="326">E227</f>
        <v>364</v>
      </c>
      <c r="F228" s="25">
        <f t="shared" si="318"/>
        <v>360</v>
      </c>
      <c r="G228" s="29">
        <f t="shared" si="299"/>
        <v>384</v>
      </c>
      <c r="H228" s="4" t="s">
        <v>0</v>
      </c>
      <c r="I228" s="11" t="str">
        <f t="shared" si="0"/>
        <v>13-03</v>
      </c>
      <c r="J228" s="14">
        <f t="shared" si="3"/>
        <v>340</v>
      </c>
      <c r="K228" s="15">
        <f t="shared" si="3"/>
        <v>364</v>
      </c>
      <c r="L228" s="17">
        <f t="shared" si="4"/>
        <v>360</v>
      </c>
      <c r="M228" s="18">
        <f t="shared" si="5"/>
        <v>364</v>
      </c>
      <c r="N228" s="14">
        <f t="shared" si="6"/>
        <v>360</v>
      </c>
      <c r="O228" s="15">
        <f t="shared" si="6"/>
        <v>384</v>
      </c>
      <c r="P228" s="17">
        <f t="shared" si="7"/>
        <v>340</v>
      </c>
      <c r="Q228" s="18">
        <f t="shared" si="8"/>
        <v>384</v>
      </c>
      <c r="R228" s="4" t="s">
        <v>0</v>
      </c>
      <c r="S228" s="16" t="str">
        <f t="shared" si="9"/>
        <v>13-03</v>
      </c>
      <c r="T228" s="14">
        <f t="shared" si="10"/>
        <v>340</v>
      </c>
      <c r="U228" s="18">
        <f t="shared" si="11"/>
        <v>386</v>
      </c>
      <c r="V228" s="14">
        <f t="shared" si="279"/>
        <v>360</v>
      </c>
      <c r="W228" s="18">
        <f t="shared" si="12"/>
        <v>386</v>
      </c>
      <c r="X228" s="14">
        <f t="shared" si="280"/>
        <v>360</v>
      </c>
      <c r="Y228" s="18">
        <f t="shared" si="13"/>
        <v>366</v>
      </c>
      <c r="Z228" s="14">
        <f t="shared" si="281"/>
        <v>340</v>
      </c>
      <c r="AA228" s="18">
        <f t="shared" si="14"/>
        <v>366</v>
      </c>
      <c r="AB228" s="4" t="s">
        <v>0</v>
      </c>
    </row>
    <row r="229" spans="1:28">
      <c r="A229" s="9" t="s">
        <v>470</v>
      </c>
      <c r="B229" s="24"/>
      <c r="C229" s="26"/>
      <c r="D229" s="25">
        <f t="shared" si="316"/>
        <v>374</v>
      </c>
      <c r="E229" s="29">
        <f t="shared" ref="E229" si="327">E228</f>
        <v>364</v>
      </c>
      <c r="F229" s="25">
        <f t="shared" si="318"/>
        <v>394</v>
      </c>
      <c r="G229" s="29">
        <f t="shared" si="299"/>
        <v>384</v>
      </c>
      <c r="H229" s="4" t="s">
        <v>0</v>
      </c>
      <c r="I229" s="11" t="str">
        <f t="shared" si="0"/>
        <v>12-23</v>
      </c>
      <c r="J229" s="14">
        <f t="shared" si="3"/>
        <v>374</v>
      </c>
      <c r="K229" s="15">
        <f t="shared" si="3"/>
        <v>364</v>
      </c>
      <c r="L229" s="17">
        <f t="shared" si="4"/>
        <v>394</v>
      </c>
      <c r="M229" s="18">
        <f t="shared" si="5"/>
        <v>364</v>
      </c>
      <c r="N229" s="14">
        <f t="shared" si="6"/>
        <v>394</v>
      </c>
      <c r="O229" s="15">
        <f t="shared" si="6"/>
        <v>384</v>
      </c>
      <c r="P229" s="17">
        <f t="shared" si="7"/>
        <v>374</v>
      </c>
      <c r="Q229" s="18">
        <f t="shared" si="8"/>
        <v>384</v>
      </c>
      <c r="R229" s="4" t="s">
        <v>0</v>
      </c>
      <c r="S229" s="16" t="str">
        <f t="shared" si="9"/>
        <v>12-23</v>
      </c>
      <c r="T229" s="14">
        <f t="shared" si="10"/>
        <v>374</v>
      </c>
      <c r="U229" s="18">
        <f t="shared" si="11"/>
        <v>386</v>
      </c>
      <c r="V229" s="14">
        <f t="shared" si="279"/>
        <v>394</v>
      </c>
      <c r="W229" s="18">
        <f t="shared" si="12"/>
        <v>386</v>
      </c>
      <c r="X229" s="14">
        <f t="shared" si="280"/>
        <v>394</v>
      </c>
      <c r="Y229" s="18">
        <f t="shared" si="13"/>
        <v>366</v>
      </c>
      <c r="Z229" s="14">
        <f t="shared" si="281"/>
        <v>374</v>
      </c>
      <c r="AA229" s="18">
        <f t="shared" si="14"/>
        <v>366</v>
      </c>
      <c r="AB229" s="4" t="s">
        <v>0</v>
      </c>
    </row>
    <row r="230" spans="1:28">
      <c r="A230" s="9" t="s">
        <v>101</v>
      </c>
      <c r="B230" s="24"/>
      <c r="C230" s="26"/>
      <c r="D230" s="25">
        <f t="shared" si="316"/>
        <v>394</v>
      </c>
      <c r="E230" s="29">
        <f t="shared" ref="E230" si="328">E229</f>
        <v>364</v>
      </c>
      <c r="F230" s="25">
        <f t="shared" si="318"/>
        <v>414</v>
      </c>
      <c r="G230" s="29">
        <f t="shared" si="299"/>
        <v>384</v>
      </c>
      <c r="H230" s="4" t="s">
        <v>0</v>
      </c>
      <c r="I230" s="11" t="str">
        <f t="shared" si="0"/>
        <v>12-03</v>
      </c>
      <c r="J230" s="14">
        <f t="shared" si="3"/>
        <v>394</v>
      </c>
      <c r="K230" s="15">
        <f t="shared" si="3"/>
        <v>364</v>
      </c>
      <c r="L230" s="17">
        <f t="shared" si="4"/>
        <v>414</v>
      </c>
      <c r="M230" s="18">
        <f t="shared" si="5"/>
        <v>364</v>
      </c>
      <c r="N230" s="14">
        <f t="shared" si="6"/>
        <v>414</v>
      </c>
      <c r="O230" s="15">
        <f t="shared" si="6"/>
        <v>384</v>
      </c>
      <c r="P230" s="17">
        <f t="shared" si="7"/>
        <v>394</v>
      </c>
      <c r="Q230" s="18">
        <f t="shared" si="8"/>
        <v>384</v>
      </c>
      <c r="R230" s="4" t="s">
        <v>0</v>
      </c>
      <c r="S230" s="16" t="str">
        <f t="shared" si="9"/>
        <v>12-03</v>
      </c>
      <c r="T230" s="14">
        <f t="shared" si="10"/>
        <v>394</v>
      </c>
      <c r="U230" s="18">
        <f t="shared" si="11"/>
        <v>386</v>
      </c>
      <c r="V230" s="14">
        <f t="shared" si="279"/>
        <v>414</v>
      </c>
      <c r="W230" s="18">
        <f t="shared" si="12"/>
        <v>386</v>
      </c>
      <c r="X230" s="14">
        <f t="shared" si="280"/>
        <v>414</v>
      </c>
      <c r="Y230" s="18">
        <f t="shared" si="13"/>
        <v>366</v>
      </c>
      <c r="Z230" s="14">
        <f t="shared" si="281"/>
        <v>394</v>
      </c>
      <c r="AA230" s="18">
        <f t="shared" si="14"/>
        <v>366</v>
      </c>
      <c r="AB230" s="4" t="s">
        <v>0</v>
      </c>
    </row>
    <row r="231" spans="1:28">
      <c r="A231" s="9" t="s">
        <v>198</v>
      </c>
      <c r="B231" s="24"/>
      <c r="C231" s="26"/>
      <c r="D231" s="25">
        <f t="shared" si="316"/>
        <v>428</v>
      </c>
      <c r="E231" s="29">
        <f t="shared" ref="E231" si="329">E230</f>
        <v>364</v>
      </c>
      <c r="F231" s="25">
        <f t="shared" si="318"/>
        <v>448</v>
      </c>
      <c r="G231" s="29">
        <f t="shared" si="299"/>
        <v>384</v>
      </c>
      <c r="H231" s="4" t="s">
        <v>0</v>
      </c>
      <c r="I231" s="11" t="str">
        <f t="shared" si="0"/>
        <v>11-18</v>
      </c>
      <c r="J231" s="14">
        <f t="shared" si="3"/>
        <v>428</v>
      </c>
      <c r="K231" s="15">
        <f t="shared" si="3"/>
        <v>364</v>
      </c>
      <c r="L231" s="17">
        <f t="shared" si="4"/>
        <v>448</v>
      </c>
      <c r="M231" s="18">
        <f t="shared" si="5"/>
        <v>364</v>
      </c>
      <c r="N231" s="14">
        <f t="shared" si="6"/>
        <v>448</v>
      </c>
      <c r="O231" s="15">
        <f t="shared" si="6"/>
        <v>384</v>
      </c>
      <c r="P231" s="17">
        <f t="shared" si="7"/>
        <v>428</v>
      </c>
      <c r="Q231" s="18">
        <f t="shared" si="8"/>
        <v>384</v>
      </c>
      <c r="R231" s="4" t="s">
        <v>0</v>
      </c>
      <c r="S231" s="16" t="str">
        <f t="shared" si="9"/>
        <v>11-18</v>
      </c>
      <c r="T231" s="14">
        <f t="shared" si="10"/>
        <v>428</v>
      </c>
      <c r="U231" s="18">
        <f t="shared" si="11"/>
        <v>386</v>
      </c>
      <c r="V231" s="14">
        <f t="shared" si="279"/>
        <v>448</v>
      </c>
      <c r="W231" s="18">
        <f t="shared" si="12"/>
        <v>386</v>
      </c>
      <c r="X231" s="14">
        <f t="shared" si="280"/>
        <v>448</v>
      </c>
      <c r="Y231" s="18">
        <f t="shared" si="13"/>
        <v>366</v>
      </c>
      <c r="Z231" s="14">
        <f t="shared" si="281"/>
        <v>428</v>
      </c>
      <c r="AA231" s="18">
        <f t="shared" si="14"/>
        <v>366</v>
      </c>
      <c r="AB231" s="4" t="s">
        <v>0</v>
      </c>
    </row>
    <row r="232" spans="1:28">
      <c r="A232" s="9" t="s">
        <v>89</v>
      </c>
      <c r="B232" s="24"/>
      <c r="C232" s="26"/>
      <c r="D232" s="25">
        <f t="shared" si="316"/>
        <v>448</v>
      </c>
      <c r="E232" s="29">
        <f t="shared" ref="E232" si="330">E231</f>
        <v>364</v>
      </c>
      <c r="F232" s="25">
        <f t="shared" si="318"/>
        <v>468</v>
      </c>
      <c r="G232" s="29">
        <f t="shared" si="299"/>
        <v>384</v>
      </c>
      <c r="H232" s="4" t="s">
        <v>0</v>
      </c>
      <c r="I232" s="11" t="str">
        <f t="shared" ref="I232:I256" si="331">A232</f>
        <v>11-01</v>
      </c>
      <c r="J232" s="14">
        <f t="shared" si="3"/>
        <v>448</v>
      </c>
      <c r="K232" s="15">
        <f t="shared" si="3"/>
        <v>364</v>
      </c>
      <c r="L232" s="17">
        <f t="shared" si="4"/>
        <v>468</v>
      </c>
      <c r="M232" s="18">
        <f t="shared" si="5"/>
        <v>364</v>
      </c>
      <c r="N232" s="14">
        <f t="shared" si="6"/>
        <v>468</v>
      </c>
      <c r="O232" s="15">
        <f t="shared" si="6"/>
        <v>384</v>
      </c>
      <c r="P232" s="17">
        <f t="shared" si="7"/>
        <v>448</v>
      </c>
      <c r="Q232" s="18">
        <f t="shared" si="8"/>
        <v>384</v>
      </c>
      <c r="R232" s="4" t="s">
        <v>0</v>
      </c>
      <c r="S232" s="16" t="str">
        <f t="shared" si="9"/>
        <v>11-01</v>
      </c>
      <c r="T232" s="14">
        <f t="shared" si="10"/>
        <v>448</v>
      </c>
      <c r="U232" s="18">
        <f t="shared" si="11"/>
        <v>386</v>
      </c>
      <c r="V232" s="14">
        <f t="shared" si="279"/>
        <v>468</v>
      </c>
      <c r="W232" s="18">
        <f t="shared" si="12"/>
        <v>386</v>
      </c>
      <c r="X232" s="14">
        <f t="shared" si="280"/>
        <v>468</v>
      </c>
      <c r="Y232" s="18">
        <f t="shared" si="13"/>
        <v>366</v>
      </c>
      <c r="Z232" s="14">
        <f t="shared" si="281"/>
        <v>448</v>
      </c>
      <c r="AA232" s="18">
        <f t="shared" si="14"/>
        <v>366</v>
      </c>
      <c r="AB232" s="4" t="s">
        <v>0</v>
      </c>
    </row>
    <row r="233" spans="1:28">
      <c r="A233" s="9" t="s">
        <v>302</v>
      </c>
      <c r="B233" s="24"/>
      <c r="C233" s="26">
        <v>14</v>
      </c>
      <c r="D233" s="25">
        <f>D219</f>
        <v>104</v>
      </c>
      <c r="E233" s="28">
        <f t="shared" ref="E233" si="332">ROUND(E$11+19.5*$C233, 0)</f>
        <v>383</v>
      </c>
      <c r="F233" s="25">
        <f>F219</f>
        <v>124</v>
      </c>
      <c r="G233" s="28">
        <f t="shared" ref="G233" si="333">ROUND(G$11+19.5*$C233, 0)</f>
        <v>403</v>
      </c>
      <c r="H233" s="4" t="s">
        <v>0</v>
      </c>
      <c r="I233" s="11" t="str">
        <f t="shared" si="331"/>
        <v>18-22</v>
      </c>
      <c r="J233" s="14">
        <f t="shared" ref="J233:K256" si="334">IF(D233&lt;&gt;"",D233,0)</f>
        <v>104</v>
      </c>
      <c r="K233" s="15">
        <f t="shared" si="334"/>
        <v>383</v>
      </c>
      <c r="L233" s="17">
        <f t="shared" ref="L233:L256" si="335">N233</f>
        <v>124</v>
      </c>
      <c r="M233" s="18">
        <f t="shared" ref="M233:M256" si="336">K233</f>
        <v>383</v>
      </c>
      <c r="N233" s="14">
        <f t="shared" ref="N233:O256" si="337">IF(F233&lt;&gt;"",F233,0)</f>
        <v>124</v>
      </c>
      <c r="O233" s="15">
        <f t="shared" si="337"/>
        <v>403</v>
      </c>
      <c r="P233" s="17">
        <f t="shared" ref="P233:P256" si="338">J233</f>
        <v>104</v>
      </c>
      <c r="Q233" s="18">
        <f t="shared" ref="Q233:Q256" si="339">O233</f>
        <v>403</v>
      </c>
      <c r="R233" s="4" t="s">
        <v>0</v>
      </c>
      <c r="S233" s="16" t="str">
        <f t="shared" ref="S233:S256" si="340">I233</f>
        <v>18-22</v>
      </c>
      <c r="T233" s="14">
        <f t="shared" ref="T233:T256" si="341">IF(J233&lt;&gt;"",J233,"")</f>
        <v>104</v>
      </c>
      <c r="U233" s="18">
        <f t="shared" ref="U233:U256" si="342">IF(K233&lt;&gt;"",U$6-K233,"")</f>
        <v>367</v>
      </c>
      <c r="V233" s="14">
        <f t="shared" si="279"/>
        <v>124</v>
      </c>
      <c r="W233" s="18">
        <f t="shared" ref="W233:W256" si="343">IF(M233&lt;&gt;"",W$6-M233,"")</f>
        <v>367</v>
      </c>
      <c r="X233" s="14">
        <f t="shared" si="280"/>
        <v>124</v>
      </c>
      <c r="Y233" s="18">
        <f t="shared" ref="Y233:Y256" si="344">IF(O233&lt;&gt;"",Y$6-O233,"")</f>
        <v>347</v>
      </c>
      <c r="Z233" s="14">
        <f t="shared" si="281"/>
        <v>104</v>
      </c>
      <c r="AA233" s="18">
        <f t="shared" ref="AA233:AA256" si="345">IF(Q233&lt;&gt;"",AA$6-Q233,"")</f>
        <v>347</v>
      </c>
      <c r="AB233" s="4" t="s">
        <v>0</v>
      </c>
    </row>
    <row r="234" spans="1:28">
      <c r="A234" s="9" t="s">
        <v>286</v>
      </c>
      <c r="B234" s="24"/>
      <c r="C234" s="26"/>
      <c r="D234" s="25">
        <f t="shared" si="316"/>
        <v>124</v>
      </c>
      <c r="E234" s="29">
        <f t="shared" ref="E234" si="346">E233</f>
        <v>383</v>
      </c>
      <c r="F234" s="25">
        <f t="shared" si="318"/>
        <v>144</v>
      </c>
      <c r="G234" s="29">
        <f t="shared" si="299"/>
        <v>403</v>
      </c>
      <c r="H234" s="4" t="s">
        <v>0</v>
      </c>
      <c r="I234" s="11" t="str">
        <f t="shared" si="331"/>
        <v>18-02</v>
      </c>
      <c r="J234" s="14">
        <f t="shared" si="334"/>
        <v>124</v>
      </c>
      <c r="K234" s="15">
        <f t="shared" si="334"/>
        <v>383</v>
      </c>
      <c r="L234" s="17">
        <f t="shared" si="335"/>
        <v>144</v>
      </c>
      <c r="M234" s="18">
        <f t="shared" si="336"/>
        <v>383</v>
      </c>
      <c r="N234" s="14">
        <f t="shared" si="337"/>
        <v>144</v>
      </c>
      <c r="O234" s="15">
        <f t="shared" si="337"/>
        <v>403</v>
      </c>
      <c r="P234" s="17">
        <f t="shared" si="338"/>
        <v>124</v>
      </c>
      <c r="Q234" s="18">
        <f t="shared" si="339"/>
        <v>403</v>
      </c>
      <c r="R234" s="4" t="s">
        <v>0</v>
      </c>
      <c r="S234" s="16" t="str">
        <f t="shared" si="340"/>
        <v>18-02</v>
      </c>
      <c r="T234" s="14">
        <f t="shared" si="341"/>
        <v>124</v>
      </c>
      <c r="U234" s="18">
        <f t="shared" si="342"/>
        <v>367</v>
      </c>
      <c r="V234" s="14">
        <f t="shared" si="279"/>
        <v>144</v>
      </c>
      <c r="W234" s="18">
        <f t="shared" si="343"/>
        <v>367</v>
      </c>
      <c r="X234" s="14">
        <f t="shared" si="280"/>
        <v>144</v>
      </c>
      <c r="Y234" s="18">
        <f t="shared" si="344"/>
        <v>347</v>
      </c>
      <c r="Z234" s="14">
        <f t="shared" si="281"/>
        <v>124</v>
      </c>
      <c r="AA234" s="18">
        <f t="shared" si="345"/>
        <v>347</v>
      </c>
      <c r="AB234" s="4" t="s">
        <v>0</v>
      </c>
    </row>
    <row r="235" spans="1:28">
      <c r="A235" s="9" t="s">
        <v>281</v>
      </c>
      <c r="B235" s="24"/>
      <c r="C235" s="26"/>
      <c r="D235" s="25">
        <f t="shared" si="316"/>
        <v>158</v>
      </c>
      <c r="E235" s="29">
        <f t="shared" ref="E235" si="347">E234</f>
        <v>383</v>
      </c>
      <c r="F235" s="25">
        <f t="shared" si="318"/>
        <v>178</v>
      </c>
      <c r="G235" s="29">
        <f t="shared" si="299"/>
        <v>403</v>
      </c>
      <c r="H235" s="4" t="s">
        <v>0</v>
      </c>
      <c r="I235" s="11" t="str">
        <f t="shared" si="331"/>
        <v>17-22</v>
      </c>
      <c r="J235" s="14">
        <f t="shared" si="334"/>
        <v>158</v>
      </c>
      <c r="K235" s="15">
        <f t="shared" si="334"/>
        <v>383</v>
      </c>
      <c r="L235" s="17">
        <f t="shared" si="335"/>
        <v>178</v>
      </c>
      <c r="M235" s="18">
        <f t="shared" si="336"/>
        <v>383</v>
      </c>
      <c r="N235" s="14">
        <f t="shared" si="337"/>
        <v>178</v>
      </c>
      <c r="O235" s="15">
        <f t="shared" si="337"/>
        <v>403</v>
      </c>
      <c r="P235" s="17">
        <f t="shared" si="338"/>
        <v>158</v>
      </c>
      <c r="Q235" s="18">
        <f t="shared" si="339"/>
        <v>403</v>
      </c>
      <c r="R235" s="4" t="s">
        <v>0</v>
      </c>
      <c r="S235" s="16" t="str">
        <f t="shared" si="340"/>
        <v>17-22</v>
      </c>
      <c r="T235" s="14">
        <f t="shared" si="341"/>
        <v>158</v>
      </c>
      <c r="U235" s="18">
        <f t="shared" si="342"/>
        <v>367</v>
      </c>
      <c r="V235" s="14">
        <f t="shared" si="279"/>
        <v>178</v>
      </c>
      <c r="W235" s="18">
        <f t="shared" si="343"/>
        <v>367</v>
      </c>
      <c r="X235" s="14">
        <f t="shared" si="280"/>
        <v>178</v>
      </c>
      <c r="Y235" s="18">
        <f t="shared" si="344"/>
        <v>347</v>
      </c>
      <c r="Z235" s="14">
        <f t="shared" si="281"/>
        <v>158</v>
      </c>
      <c r="AA235" s="18">
        <f t="shared" si="345"/>
        <v>347</v>
      </c>
      <c r="AB235" s="4" t="s">
        <v>0</v>
      </c>
    </row>
    <row r="236" spans="1:28">
      <c r="A236" s="9" t="s">
        <v>265</v>
      </c>
      <c r="B236" s="24"/>
      <c r="C236" s="26"/>
      <c r="D236" s="25">
        <f t="shared" si="316"/>
        <v>178</v>
      </c>
      <c r="E236" s="29">
        <f t="shared" ref="E236" si="348">E235</f>
        <v>383</v>
      </c>
      <c r="F236" s="25">
        <f t="shared" si="318"/>
        <v>198</v>
      </c>
      <c r="G236" s="29">
        <f t="shared" si="299"/>
        <v>403</v>
      </c>
      <c r="H236" s="4" t="s">
        <v>0</v>
      </c>
      <c r="I236" s="11" t="str">
        <f t="shared" si="331"/>
        <v>17-02</v>
      </c>
      <c r="J236" s="14">
        <f t="shared" si="334"/>
        <v>178</v>
      </c>
      <c r="K236" s="15">
        <f t="shared" si="334"/>
        <v>383</v>
      </c>
      <c r="L236" s="17">
        <f t="shared" si="335"/>
        <v>198</v>
      </c>
      <c r="M236" s="18">
        <f t="shared" si="336"/>
        <v>383</v>
      </c>
      <c r="N236" s="14">
        <f t="shared" si="337"/>
        <v>198</v>
      </c>
      <c r="O236" s="15">
        <f t="shared" si="337"/>
        <v>403</v>
      </c>
      <c r="P236" s="17">
        <f t="shared" si="338"/>
        <v>178</v>
      </c>
      <c r="Q236" s="18">
        <f t="shared" si="339"/>
        <v>403</v>
      </c>
      <c r="R236" s="4" t="s">
        <v>0</v>
      </c>
      <c r="S236" s="16" t="str">
        <f t="shared" si="340"/>
        <v>17-02</v>
      </c>
      <c r="T236" s="14">
        <f t="shared" si="341"/>
        <v>178</v>
      </c>
      <c r="U236" s="18">
        <f t="shared" si="342"/>
        <v>367</v>
      </c>
      <c r="V236" s="14">
        <f t="shared" si="279"/>
        <v>198</v>
      </c>
      <c r="W236" s="18">
        <f t="shared" si="343"/>
        <v>367</v>
      </c>
      <c r="X236" s="14">
        <f t="shared" si="280"/>
        <v>198</v>
      </c>
      <c r="Y236" s="18">
        <f t="shared" si="344"/>
        <v>347</v>
      </c>
      <c r="Z236" s="14">
        <f t="shared" si="281"/>
        <v>178</v>
      </c>
      <c r="AA236" s="18">
        <f t="shared" si="345"/>
        <v>347</v>
      </c>
      <c r="AB236" s="4" t="s">
        <v>0</v>
      </c>
    </row>
    <row r="237" spans="1:28">
      <c r="A237" s="9" t="s">
        <v>260</v>
      </c>
      <c r="B237" s="24"/>
      <c r="C237" s="26"/>
      <c r="D237" s="25">
        <f t="shared" si="316"/>
        <v>212</v>
      </c>
      <c r="E237" s="29">
        <f t="shared" ref="E237" si="349">E236</f>
        <v>383</v>
      </c>
      <c r="F237" s="25">
        <f t="shared" si="318"/>
        <v>232</v>
      </c>
      <c r="G237" s="29">
        <f t="shared" si="299"/>
        <v>403</v>
      </c>
      <c r="H237" s="4" t="s">
        <v>0</v>
      </c>
      <c r="I237" s="11" t="str">
        <f t="shared" si="331"/>
        <v>16-22</v>
      </c>
      <c r="J237" s="14">
        <f t="shared" si="334"/>
        <v>212</v>
      </c>
      <c r="K237" s="15">
        <f t="shared" si="334"/>
        <v>383</v>
      </c>
      <c r="L237" s="17">
        <f t="shared" si="335"/>
        <v>232</v>
      </c>
      <c r="M237" s="18">
        <f t="shared" si="336"/>
        <v>383</v>
      </c>
      <c r="N237" s="14">
        <f t="shared" si="337"/>
        <v>232</v>
      </c>
      <c r="O237" s="15">
        <f t="shared" si="337"/>
        <v>403</v>
      </c>
      <c r="P237" s="17">
        <f t="shared" si="338"/>
        <v>212</v>
      </c>
      <c r="Q237" s="18">
        <f t="shared" si="339"/>
        <v>403</v>
      </c>
      <c r="R237" s="4" t="s">
        <v>0</v>
      </c>
      <c r="S237" s="16" t="str">
        <f t="shared" si="340"/>
        <v>16-22</v>
      </c>
      <c r="T237" s="14">
        <f t="shared" si="341"/>
        <v>212</v>
      </c>
      <c r="U237" s="18">
        <f t="shared" si="342"/>
        <v>367</v>
      </c>
      <c r="V237" s="14">
        <f t="shared" si="279"/>
        <v>232</v>
      </c>
      <c r="W237" s="18">
        <f t="shared" si="343"/>
        <v>367</v>
      </c>
      <c r="X237" s="14">
        <f t="shared" si="280"/>
        <v>232</v>
      </c>
      <c r="Y237" s="18">
        <f t="shared" si="344"/>
        <v>347</v>
      </c>
      <c r="Z237" s="14">
        <f t="shared" si="281"/>
        <v>212</v>
      </c>
      <c r="AA237" s="18">
        <f t="shared" si="345"/>
        <v>347</v>
      </c>
      <c r="AB237" s="4" t="s">
        <v>0</v>
      </c>
    </row>
    <row r="238" spans="1:28">
      <c r="A238" s="9" t="s">
        <v>244</v>
      </c>
      <c r="B238" s="24"/>
      <c r="C238" s="26"/>
      <c r="D238" s="25">
        <f t="shared" si="316"/>
        <v>232</v>
      </c>
      <c r="E238" s="29">
        <f t="shared" ref="E238" si="350">E237</f>
        <v>383</v>
      </c>
      <c r="F238" s="25">
        <f t="shared" si="318"/>
        <v>252</v>
      </c>
      <c r="G238" s="29">
        <f t="shared" si="299"/>
        <v>403</v>
      </c>
      <c r="H238" s="4" t="s">
        <v>0</v>
      </c>
      <c r="I238" s="11" t="str">
        <f t="shared" si="331"/>
        <v>16-02</v>
      </c>
      <c r="J238" s="14">
        <f t="shared" si="334"/>
        <v>232</v>
      </c>
      <c r="K238" s="15">
        <f t="shared" si="334"/>
        <v>383</v>
      </c>
      <c r="L238" s="17">
        <f t="shared" si="335"/>
        <v>252</v>
      </c>
      <c r="M238" s="18">
        <f t="shared" si="336"/>
        <v>383</v>
      </c>
      <c r="N238" s="14">
        <f t="shared" si="337"/>
        <v>252</v>
      </c>
      <c r="O238" s="15">
        <f t="shared" si="337"/>
        <v>403</v>
      </c>
      <c r="P238" s="17">
        <f t="shared" si="338"/>
        <v>232</v>
      </c>
      <c r="Q238" s="18">
        <f t="shared" si="339"/>
        <v>403</v>
      </c>
      <c r="R238" s="4" t="s">
        <v>0</v>
      </c>
      <c r="S238" s="16" t="str">
        <f t="shared" si="340"/>
        <v>16-02</v>
      </c>
      <c r="T238" s="14">
        <f t="shared" si="341"/>
        <v>232</v>
      </c>
      <c r="U238" s="18">
        <f t="shared" si="342"/>
        <v>367</v>
      </c>
      <c r="V238" s="14">
        <f t="shared" si="279"/>
        <v>252</v>
      </c>
      <c r="W238" s="18">
        <f t="shared" si="343"/>
        <v>367</v>
      </c>
      <c r="X238" s="14">
        <f t="shared" si="280"/>
        <v>252</v>
      </c>
      <c r="Y238" s="18">
        <f t="shared" si="344"/>
        <v>347</v>
      </c>
      <c r="Z238" s="14">
        <f t="shared" si="281"/>
        <v>232</v>
      </c>
      <c r="AA238" s="18">
        <f t="shared" si="345"/>
        <v>347</v>
      </c>
      <c r="AB238" s="4" t="s">
        <v>0</v>
      </c>
    </row>
    <row r="239" spans="1:28">
      <c r="A239" s="9" t="s">
        <v>499</v>
      </c>
      <c r="B239" s="24"/>
      <c r="C239" s="26"/>
      <c r="D239" s="25">
        <f t="shared" si="316"/>
        <v>266</v>
      </c>
      <c r="E239" s="29">
        <f t="shared" ref="E239" si="351">E238</f>
        <v>383</v>
      </c>
      <c r="F239" s="25">
        <f t="shared" si="318"/>
        <v>286</v>
      </c>
      <c r="G239" s="29">
        <f t="shared" si="299"/>
        <v>403</v>
      </c>
      <c r="H239" s="4" t="s">
        <v>0</v>
      </c>
      <c r="I239" s="11" t="str">
        <f t="shared" si="331"/>
        <v>15-22</v>
      </c>
      <c r="J239" s="14">
        <f t="shared" si="334"/>
        <v>266</v>
      </c>
      <c r="K239" s="15">
        <f t="shared" si="334"/>
        <v>383</v>
      </c>
      <c r="L239" s="17">
        <f t="shared" si="335"/>
        <v>286</v>
      </c>
      <c r="M239" s="18">
        <f t="shared" si="336"/>
        <v>383</v>
      </c>
      <c r="N239" s="14">
        <f t="shared" si="337"/>
        <v>286</v>
      </c>
      <c r="O239" s="15">
        <f t="shared" si="337"/>
        <v>403</v>
      </c>
      <c r="P239" s="17">
        <f t="shared" si="338"/>
        <v>266</v>
      </c>
      <c r="Q239" s="18">
        <f t="shared" si="339"/>
        <v>403</v>
      </c>
      <c r="R239" s="4" t="s">
        <v>0</v>
      </c>
      <c r="S239" s="16" t="str">
        <f t="shared" si="340"/>
        <v>15-22</v>
      </c>
      <c r="T239" s="14">
        <f t="shared" si="341"/>
        <v>266</v>
      </c>
      <c r="U239" s="18">
        <f t="shared" si="342"/>
        <v>367</v>
      </c>
      <c r="V239" s="14">
        <f t="shared" si="279"/>
        <v>286</v>
      </c>
      <c r="W239" s="18">
        <f t="shared" si="343"/>
        <v>367</v>
      </c>
      <c r="X239" s="14">
        <f t="shared" si="280"/>
        <v>286</v>
      </c>
      <c r="Y239" s="18">
        <f t="shared" si="344"/>
        <v>347</v>
      </c>
      <c r="Z239" s="14">
        <f t="shared" si="281"/>
        <v>266</v>
      </c>
      <c r="AA239" s="18">
        <f t="shared" si="345"/>
        <v>347</v>
      </c>
      <c r="AB239" s="4" t="s">
        <v>0</v>
      </c>
    </row>
    <row r="240" spans="1:28">
      <c r="A240" s="9" t="s">
        <v>225</v>
      </c>
      <c r="B240" s="24"/>
      <c r="C240" s="26"/>
      <c r="D240" s="25">
        <f t="shared" si="316"/>
        <v>286</v>
      </c>
      <c r="E240" s="29">
        <f t="shared" ref="E240" si="352">E239</f>
        <v>383</v>
      </c>
      <c r="F240" s="25">
        <f t="shared" si="318"/>
        <v>306</v>
      </c>
      <c r="G240" s="29">
        <f t="shared" si="299"/>
        <v>403</v>
      </c>
      <c r="H240" s="4" t="s">
        <v>0</v>
      </c>
      <c r="I240" s="11" t="str">
        <f t="shared" si="331"/>
        <v>15-02</v>
      </c>
      <c r="J240" s="14">
        <f t="shared" si="334"/>
        <v>286</v>
      </c>
      <c r="K240" s="15">
        <f t="shared" si="334"/>
        <v>383</v>
      </c>
      <c r="L240" s="17">
        <f t="shared" si="335"/>
        <v>306</v>
      </c>
      <c r="M240" s="18">
        <f t="shared" si="336"/>
        <v>383</v>
      </c>
      <c r="N240" s="14">
        <f t="shared" si="337"/>
        <v>306</v>
      </c>
      <c r="O240" s="15">
        <f t="shared" si="337"/>
        <v>403</v>
      </c>
      <c r="P240" s="17">
        <f t="shared" si="338"/>
        <v>286</v>
      </c>
      <c r="Q240" s="18">
        <f t="shared" si="339"/>
        <v>403</v>
      </c>
      <c r="R240" s="4" t="s">
        <v>0</v>
      </c>
      <c r="S240" s="16" t="str">
        <f t="shared" si="340"/>
        <v>15-02</v>
      </c>
      <c r="T240" s="14">
        <f t="shared" si="341"/>
        <v>286</v>
      </c>
      <c r="U240" s="18">
        <f t="shared" si="342"/>
        <v>367</v>
      </c>
      <c r="V240" s="14">
        <f t="shared" si="279"/>
        <v>306</v>
      </c>
      <c r="W240" s="18">
        <f t="shared" si="343"/>
        <v>367</v>
      </c>
      <c r="X240" s="14">
        <f t="shared" si="280"/>
        <v>306</v>
      </c>
      <c r="Y240" s="18">
        <f t="shared" si="344"/>
        <v>347</v>
      </c>
      <c r="Z240" s="14">
        <f t="shared" si="281"/>
        <v>286</v>
      </c>
      <c r="AA240" s="18">
        <f t="shared" si="345"/>
        <v>347</v>
      </c>
      <c r="AB240" s="4" t="s">
        <v>0</v>
      </c>
    </row>
    <row r="241" spans="1:28">
      <c r="A241" s="9" t="s">
        <v>484</v>
      </c>
      <c r="B241" s="24"/>
      <c r="C241" s="26"/>
      <c r="D241" s="25">
        <f t="shared" si="316"/>
        <v>320</v>
      </c>
      <c r="E241" s="29">
        <f t="shared" ref="E241" si="353">E240</f>
        <v>383</v>
      </c>
      <c r="F241" s="25">
        <f t="shared" si="318"/>
        <v>340</v>
      </c>
      <c r="G241" s="29">
        <f t="shared" si="299"/>
        <v>403</v>
      </c>
      <c r="H241" s="4" t="s">
        <v>0</v>
      </c>
      <c r="I241" s="11" t="str">
        <f t="shared" si="331"/>
        <v>13-22</v>
      </c>
      <c r="J241" s="14">
        <f t="shared" si="334"/>
        <v>320</v>
      </c>
      <c r="K241" s="15">
        <f t="shared" si="334"/>
        <v>383</v>
      </c>
      <c r="L241" s="17">
        <f t="shared" si="335"/>
        <v>340</v>
      </c>
      <c r="M241" s="18">
        <f t="shared" si="336"/>
        <v>383</v>
      </c>
      <c r="N241" s="14">
        <f t="shared" si="337"/>
        <v>340</v>
      </c>
      <c r="O241" s="15">
        <f t="shared" si="337"/>
        <v>403</v>
      </c>
      <c r="P241" s="17">
        <f t="shared" si="338"/>
        <v>320</v>
      </c>
      <c r="Q241" s="18">
        <f t="shared" si="339"/>
        <v>403</v>
      </c>
      <c r="R241" s="4" t="s">
        <v>0</v>
      </c>
      <c r="S241" s="16" t="str">
        <f t="shared" si="340"/>
        <v>13-22</v>
      </c>
      <c r="T241" s="14">
        <f t="shared" si="341"/>
        <v>320</v>
      </c>
      <c r="U241" s="18">
        <f t="shared" si="342"/>
        <v>367</v>
      </c>
      <c r="V241" s="14">
        <f t="shared" si="279"/>
        <v>340</v>
      </c>
      <c r="W241" s="18">
        <f t="shared" si="343"/>
        <v>367</v>
      </c>
      <c r="X241" s="14">
        <f t="shared" si="280"/>
        <v>340</v>
      </c>
      <c r="Y241" s="18">
        <f t="shared" si="344"/>
        <v>347</v>
      </c>
      <c r="Z241" s="14">
        <f t="shared" si="281"/>
        <v>320</v>
      </c>
      <c r="AA241" s="18">
        <f t="shared" si="345"/>
        <v>347</v>
      </c>
      <c r="AB241" s="4" t="s">
        <v>0</v>
      </c>
    </row>
    <row r="242" spans="1:28">
      <c r="A242" s="9" t="s">
        <v>208</v>
      </c>
      <c r="B242" s="24"/>
      <c r="C242" s="26"/>
      <c r="D242" s="25">
        <f t="shared" si="316"/>
        <v>340</v>
      </c>
      <c r="E242" s="29">
        <f t="shared" ref="E242" si="354">E241</f>
        <v>383</v>
      </c>
      <c r="F242" s="25">
        <f t="shared" si="318"/>
        <v>360</v>
      </c>
      <c r="G242" s="29">
        <f t="shared" si="299"/>
        <v>403</v>
      </c>
      <c r="H242" s="4" t="s">
        <v>0</v>
      </c>
      <c r="I242" s="11" t="str">
        <f t="shared" si="331"/>
        <v>13-02</v>
      </c>
      <c r="J242" s="14">
        <f t="shared" si="334"/>
        <v>340</v>
      </c>
      <c r="K242" s="15">
        <f t="shared" si="334"/>
        <v>383</v>
      </c>
      <c r="L242" s="17">
        <f t="shared" si="335"/>
        <v>360</v>
      </c>
      <c r="M242" s="18">
        <f t="shared" si="336"/>
        <v>383</v>
      </c>
      <c r="N242" s="14">
        <f t="shared" si="337"/>
        <v>360</v>
      </c>
      <c r="O242" s="15">
        <f t="shared" si="337"/>
        <v>403</v>
      </c>
      <c r="P242" s="17">
        <f t="shared" si="338"/>
        <v>340</v>
      </c>
      <c r="Q242" s="18">
        <f t="shared" si="339"/>
        <v>403</v>
      </c>
      <c r="R242" s="4" t="s">
        <v>0</v>
      </c>
      <c r="S242" s="16" t="str">
        <f t="shared" si="340"/>
        <v>13-02</v>
      </c>
      <c r="T242" s="14">
        <f t="shared" si="341"/>
        <v>340</v>
      </c>
      <c r="U242" s="18">
        <f t="shared" si="342"/>
        <v>367</v>
      </c>
      <c r="V242" s="14">
        <f t="shared" si="279"/>
        <v>360</v>
      </c>
      <c r="W242" s="18">
        <f t="shared" si="343"/>
        <v>367</v>
      </c>
      <c r="X242" s="14">
        <f t="shared" si="280"/>
        <v>360</v>
      </c>
      <c r="Y242" s="18">
        <f t="shared" si="344"/>
        <v>347</v>
      </c>
      <c r="Z242" s="14">
        <f t="shared" si="281"/>
        <v>340</v>
      </c>
      <c r="AA242" s="18">
        <f t="shared" si="345"/>
        <v>347</v>
      </c>
      <c r="AB242" s="4" t="s">
        <v>0</v>
      </c>
    </row>
    <row r="243" spans="1:28">
      <c r="A243" s="9" t="s">
        <v>469</v>
      </c>
      <c r="B243" s="24"/>
      <c r="C243" s="26"/>
      <c r="D243" s="25">
        <f t="shared" si="316"/>
        <v>374</v>
      </c>
      <c r="E243" s="29">
        <f t="shared" ref="E243" si="355">E242</f>
        <v>383</v>
      </c>
      <c r="F243" s="25">
        <f t="shared" si="318"/>
        <v>394</v>
      </c>
      <c r="G243" s="29">
        <f t="shared" si="299"/>
        <v>403</v>
      </c>
      <c r="H243" s="4" t="s">
        <v>0</v>
      </c>
      <c r="I243" s="11" t="str">
        <f t="shared" si="331"/>
        <v>12-22</v>
      </c>
      <c r="J243" s="14">
        <f t="shared" si="334"/>
        <v>374</v>
      </c>
      <c r="K243" s="15">
        <f t="shared" si="334"/>
        <v>383</v>
      </c>
      <c r="L243" s="17">
        <f t="shared" si="335"/>
        <v>394</v>
      </c>
      <c r="M243" s="18">
        <f t="shared" si="336"/>
        <v>383</v>
      </c>
      <c r="N243" s="14">
        <f t="shared" si="337"/>
        <v>394</v>
      </c>
      <c r="O243" s="15">
        <f t="shared" si="337"/>
        <v>403</v>
      </c>
      <c r="P243" s="17">
        <f t="shared" si="338"/>
        <v>374</v>
      </c>
      <c r="Q243" s="18">
        <f t="shared" si="339"/>
        <v>403</v>
      </c>
      <c r="R243" s="4" t="s">
        <v>0</v>
      </c>
      <c r="S243" s="16" t="str">
        <f t="shared" si="340"/>
        <v>12-22</v>
      </c>
      <c r="T243" s="14">
        <f t="shared" si="341"/>
        <v>374</v>
      </c>
      <c r="U243" s="18">
        <f t="shared" si="342"/>
        <v>367</v>
      </c>
      <c r="V243" s="14">
        <f t="shared" si="279"/>
        <v>394</v>
      </c>
      <c r="W243" s="18">
        <f t="shared" si="343"/>
        <v>367</v>
      </c>
      <c r="X243" s="14">
        <f t="shared" si="280"/>
        <v>394</v>
      </c>
      <c r="Y243" s="18">
        <f t="shared" si="344"/>
        <v>347</v>
      </c>
      <c r="Z243" s="14">
        <f t="shared" si="281"/>
        <v>374</v>
      </c>
      <c r="AA243" s="18">
        <f t="shared" si="345"/>
        <v>347</v>
      </c>
      <c r="AB243" s="4" t="s">
        <v>0</v>
      </c>
    </row>
    <row r="244" spans="1:28">
      <c r="A244" s="9" t="s">
        <v>100</v>
      </c>
      <c r="B244" s="24"/>
      <c r="C244" s="26"/>
      <c r="D244" s="25">
        <f t="shared" si="316"/>
        <v>394</v>
      </c>
      <c r="E244" s="29">
        <f t="shared" ref="E244" si="356">E243</f>
        <v>383</v>
      </c>
      <c r="F244" s="25">
        <f t="shared" si="318"/>
        <v>414</v>
      </c>
      <c r="G244" s="29">
        <f t="shared" si="299"/>
        <v>403</v>
      </c>
      <c r="H244" s="4" t="s">
        <v>0</v>
      </c>
      <c r="I244" s="11" t="str">
        <f t="shared" si="331"/>
        <v>12-02</v>
      </c>
      <c r="J244" s="14">
        <f t="shared" si="334"/>
        <v>394</v>
      </c>
      <c r="K244" s="15">
        <f t="shared" si="334"/>
        <v>383</v>
      </c>
      <c r="L244" s="17">
        <f t="shared" si="335"/>
        <v>414</v>
      </c>
      <c r="M244" s="18">
        <f t="shared" si="336"/>
        <v>383</v>
      </c>
      <c r="N244" s="14">
        <f t="shared" si="337"/>
        <v>414</v>
      </c>
      <c r="O244" s="15">
        <f t="shared" si="337"/>
        <v>403</v>
      </c>
      <c r="P244" s="17">
        <f t="shared" si="338"/>
        <v>394</v>
      </c>
      <c r="Q244" s="18">
        <f t="shared" si="339"/>
        <v>403</v>
      </c>
      <c r="R244" s="4" t="s">
        <v>0</v>
      </c>
      <c r="S244" s="16" t="str">
        <f t="shared" si="340"/>
        <v>12-02</v>
      </c>
      <c r="T244" s="14">
        <f t="shared" si="341"/>
        <v>394</v>
      </c>
      <c r="U244" s="18">
        <f t="shared" si="342"/>
        <v>367</v>
      </c>
      <c r="V244" s="14">
        <f t="shared" si="279"/>
        <v>414</v>
      </c>
      <c r="W244" s="18">
        <f t="shared" si="343"/>
        <v>367</v>
      </c>
      <c r="X244" s="14">
        <f t="shared" si="280"/>
        <v>414</v>
      </c>
      <c r="Y244" s="18">
        <f t="shared" si="344"/>
        <v>347</v>
      </c>
      <c r="Z244" s="14">
        <f t="shared" si="281"/>
        <v>394</v>
      </c>
      <c r="AA244" s="18">
        <f t="shared" si="345"/>
        <v>347</v>
      </c>
      <c r="AB244" s="4" t="s">
        <v>0</v>
      </c>
    </row>
    <row r="245" spans="1:28">
      <c r="A245" s="9" t="s">
        <v>301</v>
      </c>
      <c r="B245" s="24"/>
      <c r="C245" s="26">
        <v>15</v>
      </c>
      <c r="D245" s="25">
        <f>D233</f>
        <v>104</v>
      </c>
      <c r="E245" s="28">
        <f t="shared" ref="E245" si="357">ROUND(E$11+19.5*$C245, 0)</f>
        <v>403</v>
      </c>
      <c r="F245" s="25">
        <f>F233</f>
        <v>124</v>
      </c>
      <c r="G245" s="28">
        <f t="shared" ref="G245" si="358">ROUND(G$11+19.5*$C245, 0)</f>
        <v>423</v>
      </c>
      <c r="H245" s="4" t="s">
        <v>0</v>
      </c>
      <c r="I245" s="11" t="str">
        <f t="shared" si="331"/>
        <v>18-21</v>
      </c>
      <c r="J245" s="14">
        <f t="shared" si="334"/>
        <v>104</v>
      </c>
      <c r="K245" s="15">
        <f t="shared" si="334"/>
        <v>403</v>
      </c>
      <c r="L245" s="17">
        <f t="shared" si="335"/>
        <v>124</v>
      </c>
      <c r="M245" s="18">
        <f t="shared" si="336"/>
        <v>403</v>
      </c>
      <c r="N245" s="14">
        <f t="shared" si="337"/>
        <v>124</v>
      </c>
      <c r="O245" s="15">
        <f t="shared" si="337"/>
        <v>423</v>
      </c>
      <c r="P245" s="17">
        <f t="shared" si="338"/>
        <v>104</v>
      </c>
      <c r="Q245" s="18">
        <f t="shared" si="339"/>
        <v>423</v>
      </c>
      <c r="R245" s="4" t="s">
        <v>0</v>
      </c>
      <c r="S245" s="16" t="str">
        <f t="shared" si="340"/>
        <v>18-21</v>
      </c>
      <c r="T245" s="14">
        <f t="shared" si="341"/>
        <v>104</v>
      </c>
      <c r="U245" s="18">
        <f t="shared" si="342"/>
        <v>347</v>
      </c>
      <c r="V245" s="14">
        <f t="shared" si="279"/>
        <v>124</v>
      </c>
      <c r="W245" s="18">
        <f t="shared" si="343"/>
        <v>347</v>
      </c>
      <c r="X245" s="14">
        <f t="shared" si="280"/>
        <v>124</v>
      </c>
      <c r="Y245" s="18">
        <f t="shared" si="344"/>
        <v>327</v>
      </c>
      <c r="Z245" s="14">
        <f t="shared" si="281"/>
        <v>104</v>
      </c>
      <c r="AA245" s="18">
        <f t="shared" si="345"/>
        <v>327</v>
      </c>
      <c r="AB245" s="4" t="s">
        <v>0</v>
      </c>
    </row>
    <row r="246" spans="1:28">
      <c r="A246" s="9" t="s">
        <v>285</v>
      </c>
      <c r="B246" s="24"/>
      <c r="C246" s="26"/>
      <c r="D246" s="25">
        <f t="shared" ref="D246:D256" si="359">D234</f>
        <v>124</v>
      </c>
      <c r="E246" s="29">
        <f t="shared" ref="E246" si="360">E245</f>
        <v>403</v>
      </c>
      <c r="F246" s="25">
        <f t="shared" ref="F246:F256" si="361">F234</f>
        <v>144</v>
      </c>
      <c r="G246" s="29">
        <f t="shared" si="299"/>
        <v>423</v>
      </c>
      <c r="H246" s="4" t="s">
        <v>0</v>
      </c>
      <c r="I246" s="11" t="str">
        <f t="shared" si="331"/>
        <v>18-01</v>
      </c>
      <c r="J246" s="14">
        <f t="shared" si="334"/>
        <v>124</v>
      </c>
      <c r="K246" s="15">
        <f t="shared" si="334"/>
        <v>403</v>
      </c>
      <c r="L246" s="17">
        <f t="shared" si="335"/>
        <v>144</v>
      </c>
      <c r="M246" s="18">
        <f t="shared" si="336"/>
        <v>403</v>
      </c>
      <c r="N246" s="14">
        <f t="shared" si="337"/>
        <v>144</v>
      </c>
      <c r="O246" s="15">
        <f t="shared" si="337"/>
        <v>423</v>
      </c>
      <c r="P246" s="17">
        <f t="shared" si="338"/>
        <v>124</v>
      </c>
      <c r="Q246" s="18">
        <f t="shared" si="339"/>
        <v>423</v>
      </c>
      <c r="R246" s="4" t="s">
        <v>0</v>
      </c>
      <c r="S246" s="16" t="str">
        <f t="shared" si="340"/>
        <v>18-01</v>
      </c>
      <c r="T246" s="14">
        <f t="shared" si="341"/>
        <v>124</v>
      </c>
      <c r="U246" s="18">
        <f t="shared" si="342"/>
        <v>347</v>
      </c>
      <c r="V246" s="14">
        <f t="shared" si="279"/>
        <v>144</v>
      </c>
      <c r="W246" s="18">
        <f t="shared" si="343"/>
        <v>347</v>
      </c>
      <c r="X246" s="14">
        <f t="shared" si="280"/>
        <v>144</v>
      </c>
      <c r="Y246" s="18">
        <f t="shared" si="344"/>
        <v>327</v>
      </c>
      <c r="Z246" s="14">
        <f t="shared" si="281"/>
        <v>124</v>
      </c>
      <c r="AA246" s="18">
        <f t="shared" si="345"/>
        <v>327</v>
      </c>
      <c r="AB246" s="4" t="s">
        <v>0</v>
      </c>
    </row>
    <row r="247" spans="1:28">
      <c r="A247" s="9" t="s">
        <v>280</v>
      </c>
      <c r="B247" s="24"/>
      <c r="C247" s="26"/>
      <c r="D247" s="25">
        <f t="shared" si="359"/>
        <v>158</v>
      </c>
      <c r="E247" s="29">
        <f t="shared" ref="E247" si="362">E246</f>
        <v>403</v>
      </c>
      <c r="F247" s="25">
        <f t="shared" si="361"/>
        <v>178</v>
      </c>
      <c r="G247" s="29">
        <f t="shared" si="299"/>
        <v>423</v>
      </c>
      <c r="H247" s="4" t="s">
        <v>0</v>
      </c>
      <c r="I247" s="11" t="str">
        <f t="shared" si="331"/>
        <v>17-21</v>
      </c>
      <c r="J247" s="14">
        <f t="shared" si="334"/>
        <v>158</v>
      </c>
      <c r="K247" s="15">
        <f t="shared" si="334"/>
        <v>403</v>
      </c>
      <c r="L247" s="17">
        <f t="shared" si="335"/>
        <v>178</v>
      </c>
      <c r="M247" s="18">
        <f t="shared" si="336"/>
        <v>403</v>
      </c>
      <c r="N247" s="14">
        <f t="shared" si="337"/>
        <v>178</v>
      </c>
      <c r="O247" s="15">
        <f t="shared" si="337"/>
        <v>423</v>
      </c>
      <c r="P247" s="17">
        <f t="shared" si="338"/>
        <v>158</v>
      </c>
      <c r="Q247" s="18">
        <f t="shared" si="339"/>
        <v>423</v>
      </c>
      <c r="R247" s="4" t="s">
        <v>0</v>
      </c>
      <c r="S247" s="16" t="str">
        <f t="shared" si="340"/>
        <v>17-21</v>
      </c>
      <c r="T247" s="14">
        <f t="shared" si="341"/>
        <v>158</v>
      </c>
      <c r="U247" s="18">
        <f t="shared" si="342"/>
        <v>347</v>
      </c>
      <c r="V247" s="14">
        <f t="shared" si="279"/>
        <v>178</v>
      </c>
      <c r="W247" s="18">
        <f t="shared" si="343"/>
        <v>347</v>
      </c>
      <c r="X247" s="14">
        <f t="shared" si="280"/>
        <v>178</v>
      </c>
      <c r="Y247" s="18">
        <f t="shared" si="344"/>
        <v>327</v>
      </c>
      <c r="Z247" s="14">
        <f t="shared" si="281"/>
        <v>158</v>
      </c>
      <c r="AA247" s="18">
        <f t="shared" si="345"/>
        <v>327</v>
      </c>
      <c r="AB247" s="4" t="s">
        <v>0</v>
      </c>
    </row>
    <row r="248" spans="1:28">
      <c r="A248" s="9" t="s">
        <v>264</v>
      </c>
      <c r="B248" s="24"/>
      <c r="C248" s="26"/>
      <c r="D248" s="25">
        <f t="shared" si="359"/>
        <v>178</v>
      </c>
      <c r="E248" s="29">
        <f t="shared" ref="E248" si="363">E247</f>
        <v>403</v>
      </c>
      <c r="F248" s="25">
        <f t="shared" si="361"/>
        <v>198</v>
      </c>
      <c r="G248" s="29">
        <f t="shared" si="299"/>
        <v>423</v>
      </c>
      <c r="H248" s="4" t="s">
        <v>0</v>
      </c>
      <c r="I248" s="11" t="str">
        <f t="shared" si="331"/>
        <v>17-01</v>
      </c>
      <c r="J248" s="14">
        <f t="shared" si="334"/>
        <v>178</v>
      </c>
      <c r="K248" s="15">
        <f t="shared" si="334"/>
        <v>403</v>
      </c>
      <c r="L248" s="17">
        <f t="shared" si="335"/>
        <v>198</v>
      </c>
      <c r="M248" s="18">
        <f t="shared" si="336"/>
        <v>403</v>
      </c>
      <c r="N248" s="14">
        <f t="shared" si="337"/>
        <v>198</v>
      </c>
      <c r="O248" s="15">
        <f t="shared" si="337"/>
        <v>423</v>
      </c>
      <c r="P248" s="17">
        <f t="shared" si="338"/>
        <v>178</v>
      </c>
      <c r="Q248" s="18">
        <f t="shared" si="339"/>
        <v>423</v>
      </c>
      <c r="R248" s="4" t="s">
        <v>0</v>
      </c>
      <c r="S248" s="16" t="str">
        <f t="shared" si="340"/>
        <v>17-01</v>
      </c>
      <c r="T248" s="14">
        <f t="shared" si="341"/>
        <v>178</v>
      </c>
      <c r="U248" s="18">
        <f t="shared" si="342"/>
        <v>347</v>
      </c>
      <c r="V248" s="14">
        <f t="shared" ref="V248:V256" si="364">IF(L248&lt;&gt;"",L248,"")</f>
        <v>198</v>
      </c>
      <c r="W248" s="18">
        <f t="shared" si="343"/>
        <v>347</v>
      </c>
      <c r="X248" s="14">
        <f t="shared" ref="X248:X256" si="365">IF(N248&lt;&gt;"",N248,"")</f>
        <v>198</v>
      </c>
      <c r="Y248" s="18">
        <f t="shared" si="344"/>
        <v>327</v>
      </c>
      <c r="Z248" s="14">
        <f t="shared" ref="Z248:Z256" si="366">IF(P248&lt;&gt;"",P248,"")</f>
        <v>178</v>
      </c>
      <c r="AA248" s="18">
        <f t="shared" si="345"/>
        <v>327</v>
      </c>
      <c r="AB248" s="4" t="s">
        <v>0</v>
      </c>
    </row>
    <row r="249" spans="1:28">
      <c r="A249" s="9" t="s">
        <v>259</v>
      </c>
      <c r="B249" s="24"/>
      <c r="C249" s="26"/>
      <c r="D249" s="25">
        <f t="shared" si="359"/>
        <v>212</v>
      </c>
      <c r="E249" s="29">
        <f t="shared" ref="E249" si="367">E248</f>
        <v>403</v>
      </c>
      <c r="F249" s="25">
        <f t="shared" si="361"/>
        <v>232</v>
      </c>
      <c r="G249" s="29">
        <f t="shared" si="299"/>
        <v>423</v>
      </c>
      <c r="H249" s="4" t="s">
        <v>0</v>
      </c>
      <c r="I249" s="11" t="str">
        <f t="shared" si="331"/>
        <v>16-21</v>
      </c>
      <c r="J249" s="14">
        <f t="shared" si="334"/>
        <v>212</v>
      </c>
      <c r="K249" s="15">
        <f t="shared" si="334"/>
        <v>403</v>
      </c>
      <c r="L249" s="17">
        <f t="shared" si="335"/>
        <v>232</v>
      </c>
      <c r="M249" s="18">
        <f t="shared" si="336"/>
        <v>403</v>
      </c>
      <c r="N249" s="14">
        <f t="shared" si="337"/>
        <v>232</v>
      </c>
      <c r="O249" s="15">
        <f t="shared" si="337"/>
        <v>423</v>
      </c>
      <c r="P249" s="17">
        <f t="shared" si="338"/>
        <v>212</v>
      </c>
      <c r="Q249" s="18">
        <f t="shared" si="339"/>
        <v>423</v>
      </c>
      <c r="R249" s="4" t="s">
        <v>0</v>
      </c>
      <c r="S249" s="16" t="str">
        <f t="shared" si="340"/>
        <v>16-21</v>
      </c>
      <c r="T249" s="14">
        <f t="shared" si="341"/>
        <v>212</v>
      </c>
      <c r="U249" s="18">
        <f t="shared" si="342"/>
        <v>347</v>
      </c>
      <c r="V249" s="14">
        <f t="shared" si="364"/>
        <v>232</v>
      </c>
      <c r="W249" s="18">
        <f t="shared" si="343"/>
        <v>347</v>
      </c>
      <c r="X249" s="14">
        <f t="shared" si="365"/>
        <v>232</v>
      </c>
      <c r="Y249" s="18">
        <f t="shared" si="344"/>
        <v>327</v>
      </c>
      <c r="Z249" s="14">
        <f t="shared" si="366"/>
        <v>212</v>
      </c>
      <c r="AA249" s="18">
        <f t="shared" si="345"/>
        <v>327</v>
      </c>
      <c r="AB249" s="4" t="s">
        <v>0</v>
      </c>
    </row>
    <row r="250" spans="1:28">
      <c r="A250" s="9" t="s">
        <v>243</v>
      </c>
      <c r="B250" s="24"/>
      <c r="C250" s="26"/>
      <c r="D250" s="25">
        <f t="shared" si="359"/>
        <v>232</v>
      </c>
      <c r="E250" s="29">
        <f t="shared" ref="E250" si="368">E249</f>
        <v>403</v>
      </c>
      <c r="F250" s="25">
        <f t="shared" si="361"/>
        <v>252</v>
      </c>
      <c r="G250" s="29">
        <f t="shared" si="299"/>
        <v>423</v>
      </c>
      <c r="H250" s="4" t="s">
        <v>0</v>
      </c>
      <c r="I250" s="11" t="str">
        <f t="shared" si="331"/>
        <v>16-01</v>
      </c>
      <c r="J250" s="14">
        <f t="shared" si="334"/>
        <v>232</v>
      </c>
      <c r="K250" s="15">
        <f t="shared" si="334"/>
        <v>403</v>
      </c>
      <c r="L250" s="17">
        <f t="shared" si="335"/>
        <v>252</v>
      </c>
      <c r="M250" s="18">
        <f t="shared" si="336"/>
        <v>403</v>
      </c>
      <c r="N250" s="14">
        <f t="shared" si="337"/>
        <v>252</v>
      </c>
      <c r="O250" s="15">
        <f t="shared" si="337"/>
        <v>423</v>
      </c>
      <c r="P250" s="17">
        <f t="shared" si="338"/>
        <v>232</v>
      </c>
      <c r="Q250" s="18">
        <f t="shared" si="339"/>
        <v>423</v>
      </c>
      <c r="R250" s="4" t="s">
        <v>0</v>
      </c>
      <c r="S250" s="16" t="str">
        <f t="shared" si="340"/>
        <v>16-01</v>
      </c>
      <c r="T250" s="14">
        <f t="shared" si="341"/>
        <v>232</v>
      </c>
      <c r="U250" s="18">
        <f t="shared" si="342"/>
        <v>347</v>
      </c>
      <c r="V250" s="14">
        <f t="shared" si="364"/>
        <v>252</v>
      </c>
      <c r="W250" s="18">
        <f t="shared" si="343"/>
        <v>347</v>
      </c>
      <c r="X250" s="14">
        <f t="shared" si="365"/>
        <v>252</v>
      </c>
      <c r="Y250" s="18">
        <f t="shared" si="344"/>
        <v>327</v>
      </c>
      <c r="Z250" s="14">
        <f t="shared" si="366"/>
        <v>232</v>
      </c>
      <c r="AA250" s="18">
        <f t="shared" si="345"/>
        <v>327</v>
      </c>
      <c r="AB250" s="4" t="s">
        <v>0</v>
      </c>
    </row>
    <row r="251" spans="1:28">
      <c r="A251" s="9" t="s">
        <v>240</v>
      </c>
      <c r="B251" s="24"/>
      <c r="C251" s="26"/>
      <c r="D251" s="25">
        <f t="shared" si="359"/>
        <v>266</v>
      </c>
      <c r="E251" s="29">
        <f t="shared" ref="E251" si="369">E250</f>
        <v>403</v>
      </c>
      <c r="F251" s="25">
        <f t="shared" si="361"/>
        <v>286</v>
      </c>
      <c r="G251" s="29">
        <f t="shared" si="299"/>
        <v>423</v>
      </c>
      <c r="H251" s="4" t="s">
        <v>0</v>
      </c>
      <c r="I251" s="11" t="str">
        <f t="shared" si="331"/>
        <v>15-21</v>
      </c>
      <c r="J251" s="14">
        <f t="shared" si="334"/>
        <v>266</v>
      </c>
      <c r="K251" s="15">
        <f t="shared" si="334"/>
        <v>403</v>
      </c>
      <c r="L251" s="17">
        <f t="shared" si="335"/>
        <v>286</v>
      </c>
      <c r="M251" s="18">
        <f t="shared" si="336"/>
        <v>403</v>
      </c>
      <c r="N251" s="14">
        <f t="shared" si="337"/>
        <v>286</v>
      </c>
      <c r="O251" s="15">
        <f t="shared" si="337"/>
        <v>423</v>
      </c>
      <c r="P251" s="17">
        <f t="shared" si="338"/>
        <v>266</v>
      </c>
      <c r="Q251" s="18">
        <f t="shared" si="339"/>
        <v>423</v>
      </c>
      <c r="R251" s="4" t="s">
        <v>0</v>
      </c>
      <c r="S251" s="16" t="str">
        <f t="shared" si="340"/>
        <v>15-21</v>
      </c>
      <c r="T251" s="14">
        <f t="shared" si="341"/>
        <v>266</v>
      </c>
      <c r="U251" s="18">
        <f t="shared" si="342"/>
        <v>347</v>
      </c>
      <c r="V251" s="14">
        <f t="shared" si="364"/>
        <v>286</v>
      </c>
      <c r="W251" s="18">
        <f t="shared" si="343"/>
        <v>347</v>
      </c>
      <c r="X251" s="14">
        <f t="shared" si="365"/>
        <v>286</v>
      </c>
      <c r="Y251" s="18">
        <f t="shared" si="344"/>
        <v>327</v>
      </c>
      <c r="Z251" s="14">
        <f t="shared" si="366"/>
        <v>266</v>
      </c>
      <c r="AA251" s="18">
        <f t="shared" si="345"/>
        <v>327</v>
      </c>
      <c r="AB251" s="4" t="s">
        <v>0</v>
      </c>
    </row>
    <row r="252" spans="1:28">
      <c r="A252" s="9" t="s">
        <v>224</v>
      </c>
      <c r="B252" s="24"/>
      <c r="C252" s="26"/>
      <c r="D252" s="25">
        <f t="shared" si="359"/>
        <v>286</v>
      </c>
      <c r="E252" s="29">
        <f t="shared" ref="E252" si="370">E251</f>
        <v>403</v>
      </c>
      <c r="F252" s="25">
        <f t="shared" si="361"/>
        <v>306</v>
      </c>
      <c r="G252" s="29">
        <f t="shared" si="299"/>
        <v>423</v>
      </c>
      <c r="H252" s="4" t="s">
        <v>0</v>
      </c>
      <c r="I252" s="11" t="str">
        <f t="shared" si="331"/>
        <v>15-01</v>
      </c>
      <c r="J252" s="14">
        <f t="shared" si="334"/>
        <v>286</v>
      </c>
      <c r="K252" s="15">
        <f t="shared" si="334"/>
        <v>403</v>
      </c>
      <c r="L252" s="17">
        <f t="shared" si="335"/>
        <v>306</v>
      </c>
      <c r="M252" s="18">
        <f t="shared" si="336"/>
        <v>403</v>
      </c>
      <c r="N252" s="14">
        <f t="shared" si="337"/>
        <v>306</v>
      </c>
      <c r="O252" s="15">
        <f t="shared" si="337"/>
        <v>423</v>
      </c>
      <c r="P252" s="17">
        <f t="shared" si="338"/>
        <v>286</v>
      </c>
      <c r="Q252" s="18">
        <f t="shared" si="339"/>
        <v>423</v>
      </c>
      <c r="R252" s="4" t="s">
        <v>0</v>
      </c>
      <c r="S252" s="16" t="str">
        <f t="shared" si="340"/>
        <v>15-01</v>
      </c>
      <c r="T252" s="14">
        <f t="shared" si="341"/>
        <v>286</v>
      </c>
      <c r="U252" s="18">
        <f t="shared" si="342"/>
        <v>347</v>
      </c>
      <c r="V252" s="14">
        <f t="shared" si="364"/>
        <v>306</v>
      </c>
      <c r="W252" s="18">
        <f t="shared" si="343"/>
        <v>347</v>
      </c>
      <c r="X252" s="14">
        <f t="shared" si="365"/>
        <v>306</v>
      </c>
      <c r="Y252" s="18">
        <f t="shared" si="344"/>
        <v>327</v>
      </c>
      <c r="Z252" s="14">
        <f t="shared" si="366"/>
        <v>286</v>
      </c>
      <c r="AA252" s="18">
        <f t="shared" si="345"/>
        <v>327</v>
      </c>
      <c r="AB252" s="4" t="s">
        <v>0</v>
      </c>
    </row>
    <row r="253" spans="1:28">
      <c r="A253" s="9" t="s">
        <v>223</v>
      </c>
      <c r="B253" s="24"/>
      <c r="C253" s="26"/>
      <c r="D253" s="25">
        <f t="shared" si="359"/>
        <v>320</v>
      </c>
      <c r="E253" s="29">
        <f t="shared" ref="E253" si="371">E252</f>
        <v>403</v>
      </c>
      <c r="F253" s="25">
        <f t="shared" si="361"/>
        <v>340</v>
      </c>
      <c r="G253" s="29">
        <f t="shared" si="299"/>
        <v>423</v>
      </c>
      <c r="H253" s="4" t="s">
        <v>0</v>
      </c>
      <c r="I253" s="11" t="str">
        <f t="shared" si="331"/>
        <v>13-21</v>
      </c>
      <c r="J253" s="14">
        <f t="shared" si="334"/>
        <v>320</v>
      </c>
      <c r="K253" s="15">
        <f t="shared" si="334"/>
        <v>403</v>
      </c>
      <c r="L253" s="17">
        <f t="shared" si="335"/>
        <v>340</v>
      </c>
      <c r="M253" s="18">
        <f t="shared" si="336"/>
        <v>403</v>
      </c>
      <c r="N253" s="14">
        <f t="shared" si="337"/>
        <v>340</v>
      </c>
      <c r="O253" s="15">
        <f t="shared" si="337"/>
        <v>423</v>
      </c>
      <c r="P253" s="17">
        <f t="shared" si="338"/>
        <v>320</v>
      </c>
      <c r="Q253" s="18">
        <f t="shared" si="339"/>
        <v>423</v>
      </c>
      <c r="R253" s="4" t="s">
        <v>0</v>
      </c>
      <c r="S253" s="16" t="str">
        <f t="shared" si="340"/>
        <v>13-21</v>
      </c>
      <c r="T253" s="14">
        <f t="shared" si="341"/>
        <v>320</v>
      </c>
      <c r="U253" s="18">
        <f t="shared" si="342"/>
        <v>347</v>
      </c>
      <c r="V253" s="14">
        <f t="shared" si="364"/>
        <v>340</v>
      </c>
      <c r="W253" s="18">
        <f t="shared" si="343"/>
        <v>347</v>
      </c>
      <c r="X253" s="14">
        <f t="shared" si="365"/>
        <v>340</v>
      </c>
      <c r="Y253" s="18">
        <f t="shared" si="344"/>
        <v>327</v>
      </c>
      <c r="Z253" s="14">
        <f t="shared" si="366"/>
        <v>320</v>
      </c>
      <c r="AA253" s="18">
        <f t="shared" si="345"/>
        <v>327</v>
      </c>
      <c r="AB253" s="4" t="s">
        <v>0</v>
      </c>
    </row>
    <row r="254" spans="1:28">
      <c r="A254" s="9" t="s">
        <v>207</v>
      </c>
      <c r="B254" s="24"/>
      <c r="C254" s="26"/>
      <c r="D254" s="25">
        <f t="shared" si="359"/>
        <v>340</v>
      </c>
      <c r="E254" s="29">
        <f t="shared" ref="E254" si="372">E253</f>
        <v>403</v>
      </c>
      <c r="F254" s="25">
        <f t="shared" si="361"/>
        <v>360</v>
      </c>
      <c r="G254" s="29">
        <f t="shared" si="299"/>
        <v>423</v>
      </c>
      <c r="H254" s="4" t="s">
        <v>0</v>
      </c>
      <c r="I254" s="11" t="str">
        <f t="shared" si="331"/>
        <v>13-01</v>
      </c>
      <c r="J254" s="14">
        <f t="shared" si="334"/>
        <v>340</v>
      </c>
      <c r="K254" s="15">
        <f t="shared" si="334"/>
        <v>403</v>
      </c>
      <c r="L254" s="17">
        <f t="shared" si="335"/>
        <v>360</v>
      </c>
      <c r="M254" s="18">
        <f t="shared" si="336"/>
        <v>403</v>
      </c>
      <c r="N254" s="14">
        <f t="shared" si="337"/>
        <v>360</v>
      </c>
      <c r="O254" s="15">
        <f t="shared" si="337"/>
        <v>423</v>
      </c>
      <c r="P254" s="17">
        <f t="shared" si="338"/>
        <v>340</v>
      </c>
      <c r="Q254" s="18">
        <f t="shared" si="339"/>
        <v>423</v>
      </c>
      <c r="R254" s="4" t="s">
        <v>0</v>
      </c>
      <c r="S254" s="16" t="str">
        <f t="shared" si="340"/>
        <v>13-01</v>
      </c>
      <c r="T254" s="14">
        <f t="shared" si="341"/>
        <v>340</v>
      </c>
      <c r="U254" s="18">
        <f t="shared" si="342"/>
        <v>347</v>
      </c>
      <c r="V254" s="14">
        <f t="shared" si="364"/>
        <v>360</v>
      </c>
      <c r="W254" s="18">
        <f t="shared" si="343"/>
        <v>347</v>
      </c>
      <c r="X254" s="14">
        <f t="shared" si="365"/>
        <v>360</v>
      </c>
      <c r="Y254" s="18">
        <f t="shared" si="344"/>
        <v>327</v>
      </c>
      <c r="Z254" s="14">
        <f t="shared" si="366"/>
        <v>340</v>
      </c>
      <c r="AA254" s="18">
        <f t="shared" si="345"/>
        <v>327</v>
      </c>
      <c r="AB254" s="4" t="s">
        <v>0</v>
      </c>
    </row>
    <row r="255" spans="1:28">
      <c r="A255" s="9" t="s">
        <v>206</v>
      </c>
      <c r="B255" s="24"/>
      <c r="C255" s="26"/>
      <c r="D255" s="25">
        <f t="shared" si="359"/>
        <v>374</v>
      </c>
      <c r="E255" s="29">
        <f t="shared" ref="E255" si="373">E254</f>
        <v>403</v>
      </c>
      <c r="F255" s="25">
        <f t="shared" si="361"/>
        <v>394</v>
      </c>
      <c r="G255" s="29">
        <f t="shared" si="299"/>
        <v>423</v>
      </c>
      <c r="H255" s="4" t="s">
        <v>0</v>
      </c>
      <c r="I255" s="11" t="str">
        <f t="shared" si="331"/>
        <v>12-21</v>
      </c>
      <c r="J255" s="14">
        <f t="shared" si="334"/>
        <v>374</v>
      </c>
      <c r="K255" s="15">
        <f t="shared" si="334"/>
        <v>403</v>
      </c>
      <c r="L255" s="17">
        <f t="shared" si="335"/>
        <v>394</v>
      </c>
      <c r="M255" s="18">
        <f t="shared" si="336"/>
        <v>403</v>
      </c>
      <c r="N255" s="14">
        <f t="shared" si="337"/>
        <v>394</v>
      </c>
      <c r="O255" s="15">
        <f t="shared" si="337"/>
        <v>423</v>
      </c>
      <c r="P255" s="17">
        <f t="shared" si="338"/>
        <v>374</v>
      </c>
      <c r="Q255" s="18">
        <f t="shared" si="339"/>
        <v>423</v>
      </c>
      <c r="R255" s="4" t="s">
        <v>0</v>
      </c>
      <c r="S255" s="16" t="str">
        <f t="shared" si="340"/>
        <v>12-21</v>
      </c>
      <c r="T255" s="14">
        <f t="shared" si="341"/>
        <v>374</v>
      </c>
      <c r="U255" s="18">
        <f t="shared" si="342"/>
        <v>347</v>
      </c>
      <c r="V255" s="14">
        <f t="shared" si="364"/>
        <v>394</v>
      </c>
      <c r="W255" s="18">
        <f t="shared" si="343"/>
        <v>347</v>
      </c>
      <c r="X255" s="14">
        <f t="shared" si="365"/>
        <v>394</v>
      </c>
      <c r="Y255" s="18">
        <f t="shared" si="344"/>
        <v>327</v>
      </c>
      <c r="Z255" s="14">
        <f t="shared" si="366"/>
        <v>374</v>
      </c>
      <c r="AA255" s="18">
        <f t="shared" si="345"/>
        <v>327</v>
      </c>
      <c r="AB255" s="4" t="s">
        <v>0</v>
      </c>
    </row>
    <row r="256" spans="1:28">
      <c r="A256" s="9" t="s">
        <v>99</v>
      </c>
      <c r="B256" s="24"/>
      <c r="C256" s="26"/>
      <c r="D256" s="25">
        <f t="shared" si="359"/>
        <v>394</v>
      </c>
      <c r="E256" s="29">
        <f t="shared" ref="E256" si="374">E255</f>
        <v>403</v>
      </c>
      <c r="F256" s="25">
        <f t="shared" si="361"/>
        <v>414</v>
      </c>
      <c r="G256" s="29">
        <f t="shared" si="299"/>
        <v>423</v>
      </c>
      <c r="H256" s="4" t="s">
        <v>0</v>
      </c>
      <c r="I256" s="11" t="str">
        <f t="shared" si="331"/>
        <v>12-01</v>
      </c>
      <c r="J256" s="14">
        <f t="shared" si="334"/>
        <v>394</v>
      </c>
      <c r="K256" s="15">
        <f t="shared" si="334"/>
        <v>403</v>
      </c>
      <c r="L256" s="17">
        <f t="shared" si="335"/>
        <v>414</v>
      </c>
      <c r="M256" s="18">
        <f t="shared" si="336"/>
        <v>403</v>
      </c>
      <c r="N256" s="14">
        <f t="shared" si="337"/>
        <v>414</v>
      </c>
      <c r="O256" s="15">
        <f t="shared" si="337"/>
        <v>423</v>
      </c>
      <c r="P256" s="17">
        <f t="shared" si="338"/>
        <v>394</v>
      </c>
      <c r="Q256" s="18">
        <f t="shared" si="339"/>
        <v>423</v>
      </c>
      <c r="R256" s="4" t="s">
        <v>0</v>
      </c>
      <c r="S256" s="16" t="str">
        <f t="shared" si="340"/>
        <v>12-01</v>
      </c>
      <c r="T256" s="14">
        <f t="shared" si="341"/>
        <v>394</v>
      </c>
      <c r="U256" s="18">
        <f t="shared" si="342"/>
        <v>347</v>
      </c>
      <c r="V256" s="14">
        <f t="shared" si="364"/>
        <v>414</v>
      </c>
      <c r="W256" s="18">
        <f t="shared" si="343"/>
        <v>347</v>
      </c>
      <c r="X256" s="14">
        <f t="shared" si="365"/>
        <v>414</v>
      </c>
      <c r="Y256" s="18">
        <f t="shared" si="344"/>
        <v>327</v>
      </c>
      <c r="Z256" s="14">
        <f t="shared" si="366"/>
        <v>394</v>
      </c>
      <c r="AA256" s="18">
        <f t="shared" si="345"/>
        <v>327</v>
      </c>
      <c r="AB256" s="4" t="s">
        <v>0</v>
      </c>
    </row>
  </sheetData>
  <autoFilter ref="A10:AB256" xr:uid="{00000000-0001-0000-0000-000000000000}"/>
  <mergeCells count="2">
    <mergeCell ref="D3:G3"/>
    <mergeCell ref="D4:G4"/>
  </mergeCells>
  <phoneticPr fontId="1"/>
  <hyperlinks>
    <hyperlink ref="N4" r:id="rId1" xr:uid="{A08549C7-6145-4AEA-939F-4F800187185F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58C4F-759C-44AF-AE3B-FFFD326D8A95}">
  <sheetPr codeName="Sheet24">
    <pageSetUpPr fitToPage="1"/>
  </sheetPr>
  <dimension ref="A1:AB49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SEC_11_3_釈B.json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SEC_11_3_釈B.png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546</v>
      </c>
      <c r="B11" s="30" t="s">
        <v>698</v>
      </c>
      <c r="C11" s="4" t="s">
        <v>0</v>
      </c>
      <c r="D11" s="27">
        <v>23</v>
      </c>
      <c r="E11" s="31">
        <v>228</v>
      </c>
      <c r="F11" s="31">
        <v>36</v>
      </c>
      <c r="G11" s="31">
        <v>243</v>
      </c>
      <c r="H11" s="4" t="s">
        <v>0</v>
      </c>
      <c r="I11" s="16" t="str">
        <f t="shared" ref="I11:I49" si="0">A11</f>
        <v>01-32</v>
      </c>
      <c r="J11" s="14">
        <f>IF(D11&lt;&gt;"",D11,0)</f>
        <v>23</v>
      </c>
      <c r="K11" s="15">
        <f>IF(E11&lt;&gt;"",E11,0)</f>
        <v>228</v>
      </c>
      <c r="L11" s="17">
        <f>N11</f>
        <v>36</v>
      </c>
      <c r="M11" s="18">
        <f>K11</f>
        <v>228</v>
      </c>
      <c r="N11" s="14">
        <f>IF(F11&lt;&gt;"",F11,0)</f>
        <v>36</v>
      </c>
      <c r="O11" s="15">
        <f>IF(G11&lt;&gt;"",G11,0)</f>
        <v>243</v>
      </c>
      <c r="P11" s="17">
        <f>J11</f>
        <v>23</v>
      </c>
      <c r="Q11" s="18">
        <f>O11</f>
        <v>243</v>
      </c>
      <c r="R11" s="4" t="s">
        <v>0</v>
      </c>
      <c r="S11" s="16" t="str">
        <f>I11</f>
        <v>01-32</v>
      </c>
      <c r="T11" s="14">
        <f>IF(J11&lt;&gt;"",J11,"")</f>
        <v>23</v>
      </c>
      <c r="U11" s="18">
        <f>IF(K11&lt;&gt;"",U$6-K11,"")</f>
        <v>522</v>
      </c>
      <c r="V11" s="14">
        <f t="shared" ref="V11:Z49" si="1">IF(L11&lt;&gt;"",L11,"")</f>
        <v>36</v>
      </c>
      <c r="W11" s="18">
        <f>IF(M11&lt;&gt;"",W$6-M11,"")</f>
        <v>522</v>
      </c>
      <c r="X11" s="14">
        <f t="shared" si="1"/>
        <v>36</v>
      </c>
      <c r="Y11" s="18">
        <f>IF(O11&lt;&gt;"",Y$6-O11,"")</f>
        <v>507</v>
      </c>
      <c r="Z11" s="14">
        <f t="shared" si="1"/>
        <v>23</v>
      </c>
      <c r="AA11" s="18">
        <f>IF(Q11&lt;&gt;"",AA$6-Q11,"")</f>
        <v>507</v>
      </c>
      <c r="AB11" s="4" t="s">
        <v>0</v>
      </c>
    </row>
    <row r="12" spans="1:28">
      <c r="A12" s="9" t="s">
        <v>416</v>
      </c>
      <c r="B12" s="24"/>
      <c r="C12" s="26">
        <v>1</v>
      </c>
      <c r="D12" s="28">
        <f>ROUND(D$11+13.2*$C12, 0)</f>
        <v>36</v>
      </c>
      <c r="E12" s="29">
        <f>E11</f>
        <v>228</v>
      </c>
      <c r="F12" s="28">
        <f>ROUND(F$11+13.2*$C12, 0)</f>
        <v>49</v>
      </c>
      <c r="G12" s="29">
        <f>G11</f>
        <v>243</v>
      </c>
      <c r="H12" s="4" t="s">
        <v>0</v>
      </c>
      <c r="I12" s="16" t="str">
        <f t="shared" si="0"/>
        <v>01-31</v>
      </c>
      <c r="J12" s="14">
        <f t="shared" ref="J12:K49" si="2">IF(D12&lt;&gt;"",D12,0)</f>
        <v>36</v>
      </c>
      <c r="K12" s="15">
        <f t="shared" si="2"/>
        <v>228</v>
      </c>
      <c r="L12" s="17">
        <f t="shared" ref="L12:L49" si="3">N12</f>
        <v>49</v>
      </c>
      <c r="M12" s="18">
        <f t="shared" ref="M12:M49" si="4">K12</f>
        <v>228</v>
      </c>
      <c r="N12" s="14">
        <f t="shared" ref="N12:O49" si="5">IF(F12&lt;&gt;"",F12,0)</f>
        <v>49</v>
      </c>
      <c r="O12" s="15">
        <f t="shared" si="5"/>
        <v>243</v>
      </c>
      <c r="P12" s="17">
        <f t="shared" ref="P12:P49" si="6">J12</f>
        <v>36</v>
      </c>
      <c r="Q12" s="18">
        <f t="shared" ref="Q12:Q49" si="7">O12</f>
        <v>243</v>
      </c>
      <c r="R12" s="4" t="s">
        <v>0</v>
      </c>
      <c r="S12" s="16" t="str">
        <f t="shared" ref="S12:S49" si="8">I12</f>
        <v>01-31</v>
      </c>
      <c r="T12" s="14">
        <f t="shared" ref="T12:T49" si="9">IF(J12&lt;&gt;"",J12,"")</f>
        <v>36</v>
      </c>
      <c r="U12" s="18">
        <f t="shared" ref="U12:U49" si="10">IF(K12&lt;&gt;"",U$6-K12,"")</f>
        <v>522</v>
      </c>
      <c r="V12" s="14">
        <f t="shared" si="1"/>
        <v>49</v>
      </c>
      <c r="W12" s="18">
        <f t="shared" ref="W12:W49" si="11">IF(M12&lt;&gt;"",W$6-M12,"")</f>
        <v>522</v>
      </c>
      <c r="X12" s="14">
        <f t="shared" si="1"/>
        <v>49</v>
      </c>
      <c r="Y12" s="18">
        <f t="shared" ref="Y12:Y49" si="12">IF(O12&lt;&gt;"",Y$6-O12,"")</f>
        <v>507</v>
      </c>
      <c r="Z12" s="14">
        <f t="shared" si="1"/>
        <v>36</v>
      </c>
      <c r="AA12" s="18">
        <f t="shared" ref="AA12:AA49" si="13">IF(Q12&lt;&gt;"",AA$6-Q12,"")</f>
        <v>507</v>
      </c>
      <c r="AB12" s="4" t="s">
        <v>0</v>
      </c>
    </row>
    <row r="13" spans="1:28">
      <c r="A13" s="9" t="s">
        <v>415</v>
      </c>
      <c r="B13" s="24"/>
      <c r="C13" s="26">
        <v>2</v>
      </c>
      <c r="D13" s="28">
        <f t="shared" ref="D13:D24" si="14">ROUND(D$11+13.2*$C13, 0)</f>
        <v>49</v>
      </c>
      <c r="E13" s="29">
        <f t="shared" ref="E13:G28" si="15">E12</f>
        <v>228</v>
      </c>
      <c r="F13" s="28">
        <f t="shared" ref="F13:F24" si="16">ROUND(F$11+13.2*$C13, 0)</f>
        <v>62</v>
      </c>
      <c r="G13" s="29">
        <f t="shared" si="15"/>
        <v>243</v>
      </c>
      <c r="H13" s="4" t="s">
        <v>0</v>
      </c>
      <c r="I13" s="16" t="str">
        <f t="shared" si="0"/>
        <v>01-30</v>
      </c>
      <c r="J13" s="14">
        <f t="shared" si="2"/>
        <v>49</v>
      </c>
      <c r="K13" s="15">
        <f t="shared" si="2"/>
        <v>228</v>
      </c>
      <c r="L13" s="17">
        <f t="shared" si="3"/>
        <v>62</v>
      </c>
      <c r="M13" s="18">
        <f t="shared" si="4"/>
        <v>228</v>
      </c>
      <c r="N13" s="14">
        <f t="shared" si="5"/>
        <v>62</v>
      </c>
      <c r="O13" s="15">
        <f t="shared" si="5"/>
        <v>243</v>
      </c>
      <c r="P13" s="17">
        <f t="shared" si="6"/>
        <v>49</v>
      </c>
      <c r="Q13" s="18">
        <f t="shared" si="7"/>
        <v>243</v>
      </c>
      <c r="R13" s="4" t="s">
        <v>0</v>
      </c>
      <c r="S13" s="16" t="str">
        <f t="shared" si="8"/>
        <v>01-30</v>
      </c>
      <c r="T13" s="14">
        <f t="shared" si="9"/>
        <v>49</v>
      </c>
      <c r="U13" s="18">
        <f t="shared" si="10"/>
        <v>522</v>
      </c>
      <c r="V13" s="14">
        <f t="shared" si="1"/>
        <v>62</v>
      </c>
      <c r="W13" s="18">
        <f t="shared" si="11"/>
        <v>522</v>
      </c>
      <c r="X13" s="14">
        <f t="shared" si="1"/>
        <v>62</v>
      </c>
      <c r="Y13" s="18">
        <f t="shared" si="12"/>
        <v>507</v>
      </c>
      <c r="Z13" s="14">
        <f t="shared" si="1"/>
        <v>49</v>
      </c>
      <c r="AA13" s="18">
        <f t="shared" si="13"/>
        <v>507</v>
      </c>
      <c r="AB13" s="4" t="s">
        <v>0</v>
      </c>
    </row>
    <row r="14" spans="1:28">
      <c r="A14" s="9" t="s">
        <v>414</v>
      </c>
      <c r="B14" s="24"/>
      <c r="C14" s="26">
        <v>3</v>
      </c>
      <c r="D14" s="28">
        <f t="shared" si="14"/>
        <v>63</v>
      </c>
      <c r="E14" s="29">
        <f t="shared" si="15"/>
        <v>228</v>
      </c>
      <c r="F14" s="28">
        <f t="shared" si="16"/>
        <v>76</v>
      </c>
      <c r="G14" s="29">
        <f t="shared" si="15"/>
        <v>243</v>
      </c>
      <c r="H14" s="4" t="s">
        <v>0</v>
      </c>
      <c r="I14" s="16" t="str">
        <f t="shared" si="0"/>
        <v>01-28</v>
      </c>
      <c r="J14" s="14">
        <f t="shared" si="2"/>
        <v>63</v>
      </c>
      <c r="K14" s="15">
        <f t="shared" si="2"/>
        <v>228</v>
      </c>
      <c r="L14" s="17">
        <f t="shared" si="3"/>
        <v>76</v>
      </c>
      <c r="M14" s="18">
        <f t="shared" si="4"/>
        <v>228</v>
      </c>
      <c r="N14" s="14">
        <f t="shared" si="5"/>
        <v>76</v>
      </c>
      <c r="O14" s="15">
        <f t="shared" si="5"/>
        <v>243</v>
      </c>
      <c r="P14" s="17">
        <f t="shared" si="6"/>
        <v>63</v>
      </c>
      <c r="Q14" s="18">
        <f t="shared" si="7"/>
        <v>243</v>
      </c>
      <c r="R14" s="4" t="s">
        <v>0</v>
      </c>
      <c r="S14" s="16" t="str">
        <f t="shared" si="8"/>
        <v>01-28</v>
      </c>
      <c r="T14" s="14">
        <f t="shared" si="9"/>
        <v>63</v>
      </c>
      <c r="U14" s="18">
        <f t="shared" si="10"/>
        <v>522</v>
      </c>
      <c r="V14" s="14">
        <f t="shared" si="1"/>
        <v>76</v>
      </c>
      <c r="W14" s="18">
        <f t="shared" si="11"/>
        <v>522</v>
      </c>
      <c r="X14" s="14">
        <f t="shared" si="1"/>
        <v>76</v>
      </c>
      <c r="Y14" s="18">
        <f t="shared" si="12"/>
        <v>507</v>
      </c>
      <c r="Z14" s="14">
        <f t="shared" si="1"/>
        <v>63</v>
      </c>
      <c r="AA14" s="18">
        <f t="shared" si="13"/>
        <v>507</v>
      </c>
      <c r="AB14" s="4" t="s">
        <v>0</v>
      </c>
    </row>
    <row r="15" spans="1:28">
      <c r="A15" s="9" t="s">
        <v>413</v>
      </c>
      <c r="B15" s="24"/>
      <c r="C15" s="26">
        <v>4</v>
      </c>
      <c r="D15" s="28">
        <f t="shared" si="14"/>
        <v>76</v>
      </c>
      <c r="E15" s="29">
        <f t="shared" si="15"/>
        <v>228</v>
      </c>
      <c r="F15" s="28">
        <f t="shared" si="16"/>
        <v>89</v>
      </c>
      <c r="G15" s="29">
        <f t="shared" si="15"/>
        <v>243</v>
      </c>
      <c r="H15" s="4" t="s">
        <v>0</v>
      </c>
      <c r="I15" s="16" t="str">
        <f t="shared" si="0"/>
        <v>01-27</v>
      </c>
      <c r="J15" s="14">
        <f t="shared" si="2"/>
        <v>76</v>
      </c>
      <c r="K15" s="15">
        <f t="shared" si="2"/>
        <v>228</v>
      </c>
      <c r="L15" s="17">
        <f t="shared" si="3"/>
        <v>89</v>
      </c>
      <c r="M15" s="18">
        <f t="shared" si="4"/>
        <v>228</v>
      </c>
      <c r="N15" s="14">
        <f t="shared" si="5"/>
        <v>89</v>
      </c>
      <c r="O15" s="15">
        <f t="shared" si="5"/>
        <v>243</v>
      </c>
      <c r="P15" s="17">
        <f t="shared" si="6"/>
        <v>76</v>
      </c>
      <c r="Q15" s="18">
        <f t="shared" si="7"/>
        <v>243</v>
      </c>
      <c r="R15" s="4" t="s">
        <v>0</v>
      </c>
      <c r="S15" s="16" t="str">
        <f t="shared" si="8"/>
        <v>01-27</v>
      </c>
      <c r="T15" s="14">
        <f t="shared" si="9"/>
        <v>76</v>
      </c>
      <c r="U15" s="18">
        <f t="shared" si="10"/>
        <v>522</v>
      </c>
      <c r="V15" s="14">
        <f t="shared" si="1"/>
        <v>89</v>
      </c>
      <c r="W15" s="18">
        <f t="shared" si="11"/>
        <v>522</v>
      </c>
      <c r="X15" s="14">
        <f t="shared" si="1"/>
        <v>89</v>
      </c>
      <c r="Y15" s="18">
        <f t="shared" si="12"/>
        <v>507</v>
      </c>
      <c r="Z15" s="14">
        <f t="shared" si="1"/>
        <v>76</v>
      </c>
      <c r="AA15" s="18">
        <f t="shared" si="13"/>
        <v>507</v>
      </c>
      <c r="AB15" s="4" t="s">
        <v>0</v>
      </c>
    </row>
    <row r="16" spans="1:28">
      <c r="A16" s="9" t="s">
        <v>412</v>
      </c>
      <c r="B16" s="24"/>
      <c r="C16" s="26">
        <v>5</v>
      </c>
      <c r="D16" s="28">
        <f t="shared" si="14"/>
        <v>89</v>
      </c>
      <c r="E16" s="29">
        <f t="shared" si="15"/>
        <v>228</v>
      </c>
      <c r="F16" s="28">
        <f t="shared" si="16"/>
        <v>102</v>
      </c>
      <c r="G16" s="29">
        <f t="shared" si="15"/>
        <v>243</v>
      </c>
      <c r="H16" s="4" t="s">
        <v>0</v>
      </c>
      <c r="I16" s="16" t="str">
        <f t="shared" si="0"/>
        <v>01-26</v>
      </c>
      <c r="J16" s="14">
        <f t="shared" si="2"/>
        <v>89</v>
      </c>
      <c r="K16" s="15">
        <f t="shared" si="2"/>
        <v>228</v>
      </c>
      <c r="L16" s="17">
        <f t="shared" si="3"/>
        <v>102</v>
      </c>
      <c r="M16" s="18">
        <f t="shared" si="4"/>
        <v>228</v>
      </c>
      <c r="N16" s="14">
        <f t="shared" si="5"/>
        <v>102</v>
      </c>
      <c r="O16" s="15">
        <f t="shared" si="5"/>
        <v>243</v>
      </c>
      <c r="P16" s="17">
        <f t="shared" si="6"/>
        <v>89</v>
      </c>
      <c r="Q16" s="18">
        <f t="shared" si="7"/>
        <v>243</v>
      </c>
      <c r="R16" s="4" t="s">
        <v>0</v>
      </c>
      <c r="S16" s="16" t="str">
        <f t="shared" si="8"/>
        <v>01-26</v>
      </c>
      <c r="T16" s="14">
        <f t="shared" si="9"/>
        <v>89</v>
      </c>
      <c r="U16" s="18">
        <f t="shared" si="10"/>
        <v>522</v>
      </c>
      <c r="V16" s="14">
        <f t="shared" si="1"/>
        <v>102</v>
      </c>
      <c r="W16" s="18">
        <f t="shared" si="11"/>
        <v>522</v>
      </c>
      <c r="X16" s="14">
        <f t="shared" si="1"/>
        <v>102</v>
      </c>
      <c r="Y16" s="18">
        <f t="shared" si="12"/>
        <v>507</v>
      </c>
      <c r="Z16" s="14">
        <f t="shared" si="1"/>
        <v>89</v>
      </c>
      <c r="AA16" s="18">
        <f t="shared" si="13"/>
        <v>507</v>
      </c>
      <c r="AB16" s="4" t="s">
        <v>0</v>
      </c>
    </row>
    <row r="17" spans="1:28">
      <c r="A17" s="9" t="s">
        <v>411</v>
      </c>
      <c r="B17" s="24"/>
      <c r="C17" s="26">
        <v>6</v>
      </c>
      <c r="D17" s="28">
        <f t="shared" si="14"/>
        <v>102</v>
      </c>
      <c r="E17" s="29">
        <f t="shared" si="15"/>
        <v>228</v>
      </c>
      <c r="F17" s="28">
        <f t="shared" si="16"/>
        <v>115</v>
      </c>
      <c r="G17" s="29">
        <f t="shared" si="15"/>
        <v>243</v>
      </c>
      <c r="H17" s="4" t="s">
        <v>0</v>
      </c>
      <c r="I17" s="16" t="str">
        <f t="shared" si="0"/>
        <v>01-25</v>
      </c>
      <c r="J17" s="14">
        <f t="shared" si="2"/>
        <v>102</v>
      </c>
      <c r="K17" s="15">
        <f t="shared" si="2"/>
        <v>228</v>
      </c>
      <c r="L17" s="17">
        <f t="shared" si="3"/>
        <v>115</v>
      </c>
      <c r="M17" s="18">
        <f t="shared" si="4"/>
        <v>228</v>
      </c>
      <c r="N17" s="14">
        <f t="shared" si="5"/>
        <v>115</v>
      </c>
      <c r="O17" s="15">
        <f t="shared" si="5"/>
        <v>243</v>
      </c>
      <c r="P17" s="17">
        <f t="shared" si="6"/>
        <v>102</v>
      </c>
      <c r="Q17" s="18">
        <f t="shared" si="7"/>
        <v>243</v>
      </c>
      <c r="R17" s="4" t="s">
        <v>0</v>
      </c>
      <c r="S17" s="16" t="str">
        <f t="shared" si="8"/>
        <v>01-25</v>
      </c>
      <c r="T17" s="14">
        <f t="shared" si="9"/>
        <v>102</v>
      </c>
      <c r="U17" s="18">
        <f t="shared" si="10"/>
        <v>522</v>
      </c>
      <c r="V17" s="14">
        <f t="shared" si="1"/>
        <v>115</v>
      </c>
      <c r="W17" s="18">
        <f t="shared" si="11"/>
        <v>522</v>
      </c>
      <c r="X17" s="14">
        <f t="shared" si="1"/>
        <v>115</v>
      </c>
      <c r="Y17" s="18">
        <f t="shared" si="12"/>
        <v>507</v>
      </c>
      <c r="Z17" s="14">
        <f t="shared" si="1"/>
        <v>102</v>
      </c>
      <c r="AA17" s="18">
        <f t="shared" si="13"/>
        <v>507</v>
      </c>
      <c r="AB17" s="4" t="s">
        <v>0</v>
      </c>
    </row>
    <row r="18" spans="1:28">
      <c r="A18" s="9" t="s">
        <v>410</v>
      </c>
      <c r="B18" s="24"/>
      <c r="C18" s="26">
        <v>7</v>
      </c>
      <c r="D18" s="28">
        <f t="shared" si="14"/>
        <v>115</v>
      </c>
      <c r="E18" s="29">
        <f t="shared" si="15"/>
        <v>228</v>
      </c>
      <c r="F18" s="28">
        <f t="shared" si="16"/>
        <v>128</v>
      </c>
      <c r="G18" s="29">
        <f t="shared" si="15"/>
        <v>243</v>
      </c>
      <c r="H18" s="4" t="s">
        <v>0</v>
      </c>
      <c r="I18" s="16" t="str">
        <f t="shared" si="0"/>
        <v>01-23</v>
      </c>
      <c r="J18" s="14">
        <f t="shared" si="2"/>
        <v>115</v>
      </c>
      <c r="K18" s="15">
        <f t="shared" si="2"/>
        <v>228</v>
      </c>
      <c r="L18" s="17">
        <f t="shared" si="3"/>
        <v>128</v>
      </c>
      <c r="M18" s="18">
        <f t="shared" si="4"/>
        <v>228</v>
      </c>
      <c r="N18" s="14">
        <f t="shared" si="5"/>
        <v>128</v>
      </c>
      <c r="O18" s="15">
        <f t="shared" si="5"/>
        <v>243</v>
      </c>
      <c r="P18" s="17">
        <f t="shared" si="6"/>
        <v>115</v>
      </c>
      <c r="Q18" s="18">
        <f t="shared" si="7"/>
        <v>243</v>
      </c>
      <c r="R18" s="4" t="s">
        <v>0</v>
      </c>
      <c r="S18" s="16" t="str">
        <f t="shared" si="8"/>
        <v>01-23</v>
      </c>
      <c r="T18" s="14">
        <f t="shared" si="9"/>
        <v>115</v>
      </c>
      <c r="U18" s="18">
        <f t="shared" si="10"/>
        <v>522</v>
      </c>
      <c r="V18" s="14">
        <f t="shared" si="1"/>
        <v>128</v>
      </c>
      <c r="W18" s="18">
        <f t="shared" si="11"/>
        <v>522</v>
      </c>
      <c r="X18" s="14">
        <f t="shared" si="1"/>
        <v>128</v>
      </c>
      <c r="Y18" s="18">
        <f t="shared" si="12"/>
        <v>507</v>
      </c>
      <c r="Z18" s="14">
        <f t="shared" si="1"/>
        <v>115</v>
      </c>
      <c r="AA18" s="18">
        <f t="shared" si="13"/>
        <v>507</v>
      </c>
      <c r="AB18" s="4" t="s">
        <v>0</v>
      </c>
    </row>
    <row r="19" spans="1:28">
      <c r="A19" s="9" t="s">
        <v>409</v>
      </c>
      <c r="B19" s="24"/>
      <c r="C19" s="26">
        <v>8</v>
      </c>
      <c r="D19" s="28">
        <f t="shared" si="14"/>
        <v>129</v>
      </c>
      <c r="E19" s="29">
        <f t="shared" si="15"/>
        <v>228</v>
      </c>
      <c r="F19" s="28">
        <f t="shared" si="16"/>
        <v>142</v>
      </c>
      <c r="G19" s="29">
        <f t="shared" si="15"/>
        <v>243</v>
      </c>
      <c r="H19" s="4" t="s">
        <v>0</v>
      </c>
      <c r="I19" s="16" t="str">
        <f t="shared" si="0"/>
        <v>01-22</v>
      </c>
      <c r="J19" s="14">
        <f t="shared" si="2"/>
        <v>129</v>
      </c>
      <c r="K19" s="15">
        <f t="shared" si="2"/>
        <v>228</v>
      </c>
      <c r="L19" s="17">
        <f t="shared" si="3"/>
        <v>142</v>
      </c>
      <c r="M19" s="18">
        <f t="shared" si="4"/>
        <v>228</v>
      </c>
      <c r="N19" s="14">
        <f t="shared" si="5"/>
        <v>142</v>
      </c>
      <c r="O19" s="15">
        <f t="shared" si="5"/>
        <v>243</v>
      </c>
      <c r="P19" s="17">
        <f t="shared" si="6"/>
        <v>129</v>
      </c>
      <c r="Q19" s="18">
        <f t="shared" si="7"/>
        <v>243</v>
      </c>
      <c r="R19" s="4" t="s">
        <v>0</v>
      </c>
      <c r="S19" s="16" t="str">
        <f t="shared" si="8"/>
        <v>01-22</v>
      </c>
      <c r="T19" s="14">
        <f t="shared" si="9"/>
        <v>129</v>
      </c>
      <c r="U19" s="18">
        <f t="shared" si="10"/>
        <v>522</v>
      </c>
      <c r="V19" s="14">
        <f t="shared" si="1"/>
        <v>142</v>
      </c>
      <c r="W19" s="18">
        <f t="shared" si="11"/>
        <v>522</v>
      </c>
      <c r="X19" s="14">
        <f t="shared" si="1"/>
        <v>142</v>
      </c>
      <c r="Y19" s="18">
        <f t="shared" si="12"/>
        <v>507</v>
      </c>
      <c r="Z19" s="14">
        <f t="shared" si="1"/>
        <v>129</v>
      </c>
      <c r="AA19" s="18">
        <f t="shared" si="13"/>
        <v>507</v>
      </c>
      <c r="AB19" s="4" t="s">
        <v>0</v>
      </c>
    </row>
    <row r="20" spans="1:28">
      <c r="A20" s="9" t="s">
        <v>408</v>
      </c>
      <c r="B20" s="24"/>
      <c r="C20" s="26">
        <v>9</v>
      </c>
      <c r="D20" s="28">
        <f t="shared" si="14"/>
        <v>142</v>
      </c>
      <c r="E20" s="29">
        <f t="shared" si="15"/>
        <v>228</v>
      </c>
      <c r="F20" s="28">
        <f t="shared" si="16"/>
        <v>155</v>
      </c>
      <c r="G20" s="29">
        <f t="shared" si="15"/>
        <v>243</v>
      </c>
      <c r="H20" s="4" t="s">
        <v>0</v>
      </c>
      <c r="I20" s="16" t="str">
        <f t="shared" si="0"/>
        <v>01-21</v>
      </c>
      <c r="J20" s="14">
        <f t="shared" si="2"/>
        <v>142</v>
      </c>
      <c r="K20" s="15">
        <f t="shared" si="2"/>
        <v>228</v>
      </c>
      <c r="L20" s="17">
        <f t="shared" si="3"/>
        <v>155</v>
      </c>
      <c r="M20" s="18">
        <f t="shared" si="4"/>
        <v>228</v>
      </c>
      <c r="N20" s="14">
        <f t="shared" si="5"/>
        <v>155</v>
      </c>
      <c r="O20" s="15">
        <f t="shared" si="5"/>
        <v>243</v>
      </c>
      <c r="P20" s="17">
        <f t="shared" si="6"/>
        <v>142</v>
      </c>
      <c r="Q20" s="18">
        <f t="shared" si="7"/>
        <v>243</v>
      </c>
      <c r="R20" s="4" t="s">
        <v>0</v>
      </c>
      <c r="S20" s="16" t="str">
        <f t="shared" si="8"/>
        <v>01-21</v>
      </c>
      <c r="T20" s="14">
        <f t="shared" si="9"/>
        <v>142</v>
      </c>
      <c r="U20" s="18">
        <f t="shared" si="10"/>
        <v>522</v>
      </c>
      <c r="V20" s="14">
        <f t="shared" si="1"/>
        <v>155</v>
      </c>
      <c r="W20" s="18">
        <f t="shared" si="11"/>
        <v>522</v>
      </c>
      <c r="X20" s="14">
        <f t="shared" si="1"/>
        <v>155</v>
      </c>
      <c r="Y20" s="18">
        <f t="shared" si="12"/>
        <v>507</v>
      </c>
      <c r="Z20" s="14">
        <f t="shared" si="1"/>
        <v>142</v>
      </c>
      <c r="AA20" s="18">
        <f t="shared" si="13"/>
        <v>507</v>
      </c>
      <c r="AB20" s="4" t="s">
        <v>0</v>
      </c>
    </row>
    <row r="21" spans="1:28">
      <c r="A21" s="9" t="s">
        <v>407</v>
      </c>
      <c r="B21" s="24"/>
      <c r="C21" s="26">
        <v>10</v>
      </c>
      <c r="D21" s="28">
        <f t="shared" si="14"/>
        <v>155</v>
      </c>
      <c r="E21" s="29">
        <f t="shared" si="15"/>
        <v>228</v>
      </c>
      <c r="F21" s="28">
        <f t="shared" si="16"/>
        <v>168</v>
      </c>
      <c r="G21" s="29">
        <f t="shared" si="15"/>
        <v>243</v>
      </c>
      <c r="H21" s="4" t="s">
        <v>0</v>
      </c>
      <c r="I21" s="16" t="str">
        <f t="shared" si="0"/>
        <v>01-20</v>
      </c>
      <c r="J21" s="14">
        <f t="shared" si="2"/>
        <v>155</v>
      </c>
      <c r="K21" s="15">
        <f t="shared" si="2"/>
        <v>228</v>
      </c>
      <c r="L21" s="17">
        <f t="shared" si="3"/>
        <v>168</v>
      </c>
      <c r="M21" s="18">
        <f t="shared" si="4"/>
        <v>228</v>
      </c>
      <c r="N21" s="14">
        <f t="shared" si="5"/>
        <v>168</v>
      </c>
      <c r="O21" s="15">
        <f t="shared" si="5"/>
        <v>243</v>
      </c>
      <c r="P21" s="17">
        <f t="shared" si="6"/>
        <v>155</v>
      </c>
      <c r="Q21" s="18">
        <f t="shared" si="7"/>
        <v>243</v>
      </c>
      <c r="R21" s="4" t="s">
        <v>0</v>
      </c>
      <c r="S21" s="16" t="str">
        <f t="shared" si="8"/>
        <v>01-20</v>
      </c>
      <c r="T21" s="14">
        <f t="shared" si="9"/>
        <v>155</v>
      </c>
      <c r="U21" s="18">
        <f t="shared" si="10"/>
        <v>522</v>
      </c>
      <c r="V21" s="14">
        <f t="shared" si="1"/>
        <v>168</v>
      </c>
      <c r="W21" s="18">
        <f t="shared" si="11"/>
        <v>522</v>
      </c>
      <c r="X21" s="14">
        <f t="shared" si="1"/>
        <v>168</v>
      </c>
      <c r="Y21" s="18">
        <f t="shared" si="12"/>
        <v>507</v>
      </c>
      <c r="Z21" s="14">
        <f t="shared" si="1"/>
        <v>155</v>
      </c>
      <c r="AA21" s="18">
        <f t="shared" si="13"/>
        <v>507</v>
      </c>
      <c r="AB21" s="4" t="s">
        <v>0</v>
      </c>
    </row>
    <row r="22" spans="1:28">
      <c r="A22" s="9" t="s">
        <v>147</v>
      </c>
      <c r="B22" s="24"/>
      <c r="C22" s="26">
        <v>11</v>
      </c>
      <c r="D22" s="28">
        <f t="shared" si="14"/>
        <v>168</v>
      </c>
      <c r="E22" s="29">
        <f t="shared" si="15"/>
        <v>228</v>
      </c>
      <c r="F22" s="28">
        <f t="shared" si="16"/>
        <v>181</v>
      </c>
      <c r="G22" s="29">
        <f t="shared" si="15"/>
        <v>243</v>
      </c>
      <c r="H22" s="4" t="s">
        <v>0</v>
      </c>
      <c r="I22" s="16" t="str">
        <f t="shared" si="0"/>
        <v>01-18</v>
      </c>
      <c r="J22" s="14">
        <f t="shared" si="2"/>
        <v>168</v>
      </c>
      <c r="K22" s="15">
        <f t="shared" si="2"/>
        <v>228</v>
      </c>
      <c r="L22" s="17">
        <f t="shared" si="3"/>
        <v>181</v>
      </c>
      <c r="M22" s="18">
        <f t="shared" si="4"/>
        <v>228</v>
      </c>
      <c r="N22" s="14">
        <f t="shared" si="5"/>
        <v>181</v>
      </c>
      <c r="O22" s="15">
        <f t="shared" si="5"/>
        <v>243</v>
      </c>
      <c r="P22" s="17">
        <f t="shared" si="6"/>
        <v>168</v>
      </c>
      <c r="Q22" s="18">
        <f t="shared" si="7"/>
        <v>243</v>
      </c>
      <c r="R22" s="4" t="s">
        <v>0</v>
      </c>
      <c r="S22" s="16" t="str">
        <f t="shared" si="8"/>
        <v>01-18</v>
      </c>
      <c r="T22" s="14">
        <f t="shared" si="9"/>
        <v>168</v>
      </c>
      <c r="U22" s="18">
        <f t="shared" si="10"/>
        <v>522</v>
      </c>
      <c r="V22" s="14">
        <f t="shared" si="1"/>
        <v>181</v>
      </c>
      <c r="W22" s="18">
        <f t="shared" si="11"/>
        <v>522</v>
      </c>
      <c r="X22" s="14">
        <f t="shared" si="1"/>
        <v>181</v>
      </c>
      <c r="Y22" s="18">
        <f t="shared" si="12"/>
        <v>507</v>
      </c>
      <c r="Z22" s="14">
        <f t="shared" si="1"/>
        <v>168</v>
      </c>
      <c r="AA22" s="18">
        <f t="shared" si="13"/>
        <v>507</v>
      </c>
      <c r="AB22" s="4" t="s">
        <v>0</v>
      </c>
    </row>
    <row r="23" spans="1:28">
      <c r="A23" s="9" t="s">
        <v>146</v>
      </c>
      <c r="B23" s="24"/>
      <c r="C23" s="26">
        <v>12</v>
      </c>
      <c r="D23" s="28">
        <f t="shared" si="14"/>
        <v>181</v>
      </c>
      <c r="E23" s="29">
        <f t="shared" si="15"/>
        <v>228</v>
      </c>
      <c r="F23" s="28">
        <f t="shared" si="16"/>
        <v>194</v>
      </c>
      <c r="G23" s="29">
        <f t="shared" si="15"/>
        <v>243</v>
      </c>
      <c r="H23" s="4" t="s">
        <v>0</v>
      </c>
      <c r="I23" s="16" t="str">
        <f t="shared" si="0"/>
        <v>01-17</v>
      </c>
      <c r="J23" s="14">
        <f t="shared" si="2"/>
        <v>181</v>
      </c>
      <c r="K23" s="15">
        <f t="shared" si="2"/>
        <v>228</v>
      </c>
      <c r="L23" s="17">
        <f t="shared" si="3"/>
        <v>194</v>
      </c>
      <c r="M23" s="18">
        <f t="shared" si="4"/>
        <v>228</v>
      </c>
      <c r="N23" s="14">
        <f t="shared" si="5"/>
        <v>194</v>
      </c>
      <c r="O23" s="15">
        <f t="shared" si="5"/>
        <v>243</v>
      </c>
      <c r="P23" s="17">
        <f t="shared" si="6"/>
        <v>181</v>
      </c>
      <c r="Q23" s="18">
        <f t="shared" si="7"/>
        <v>243</v>
      </c>
      <c r="R23" s="4" t="s">
        <v>0</v>
      </c>
      <c r="S23" s="16" t="str">
        <f t="shared" si="8"/>
        <v>01-17</v>
      </c>
      <c r="T23" s="14">
        <f t="shared" si="9"/>
        <v>181</v>
      </c>
      <c r="U23" s="18">
        <f t="shared" si="10"/>
        <v>522</v>
      </c>
      <c r="V23" s="14">
        <f t="shared" si="1"/>
        <v>194</v>
      </c>
      <c r="W23" s="18">
        <f t="shared" si="11"/>
        <v>522</v>
      </c>
      <c r="X23" s="14">
        <f t="shared" si="1"/>
        <v>194</v>
      </c>
      <c r="Y23" s="18">
        <f t="shared" si="12"/>
        <v>507</v>
      </c>
      <c r="Z23" s="14">
        <f t="shared" si="1"/>
        <v>181</v>
      </c>
      <c r="AA23" s="18">
        <f t="shared" si="13"/>
        <v>507</v>
      </c>
      <c r="AB23" s="4" t="s">
        <v>0</v>
      </c>
    </row>
    <row r="24" spans="1:28">
      <c r="A24" s="9" t="s">
        <v>145</v>
      </c>
      <c r="B24" s="24"/>
      <c r="C24" s="26">
        <v>13</v>
      </c>
      <c r="D24" s="28">
        <f t="shared" si="14"/>
        <v>195</v>
      </c>
      <c r="E24" s="29">
        <f t="shared" si="15"/>
        <v>228</v>
      </c>
      <c r="F24" s="28">
        <f t="shared" si="16"/>
        <v>208</v>
      </c>
      <c r="G24" s="29">
        <f t="shared" si="15"/>
        <v>243</v>
      </c>
      <c r="H24" s="4" t="s">
        <v>0</v>
      </c>
      <c r="I24" s="16" t="str">
        <f t="shared" si="0"/>
        <v>01-16</v>
      </c>
      <c r="J24" s="14">
        <f t="shared" si="2"/>
        <v>195</v>
      </c>
      <c r="K24" s="15">
        <f t="shared" si="2"/>
        <v>228</v>
      </c>
      <c r="L24" s="17">
        <f t="shared" si="3"/>
        <v>208</v>
      </c>
      <c r="M24" s="18">
        <f t="shared" si="4"/>
        <v>228</v>
      </c>
      <c r="N24" s="14">
        <f t="shared" si="5"/>
        <v>208</v>
      </c>
      <c r="O24" s="15">
        <f t="shared" si="5"/>
        <v>243</v>
      </c>
      <c r="P24" s="17">
        <f t="shared" si="6"/>
        <v>195</v>
      </c>
      <c r="Q24" s="18">
        <f t="shared" si="7"/>
        <v>243</v>
      </c>
      <c r="R24" s="4" t="s">
        <v>0</v>
      </c>
      <c r="S24" s="16" t="str">
        <f t="shared" si="8"/>
        <v>01-16</v>
      </c>
      <c r="T24" s="14">
        <f t="shared" si="9"/>
        <v>195</v>
      </c>
      <c r="U24" s="18">
        <f t="shared" si="10"/>
        <v>522</v>
      </c>
      <c r="V24" s="14">
        <f t="shared" si="1"/>
        <v>208</v>
      </c>
      <c r="W24" s="18">
        <f t="shared" si="11"/>
        <v>522</v>
      </c>
      <c r="X24" s="14">
        <f t="shared" si="1"/>
        <v>208</v>
      </c>
      <c r="Y24" s="18">
        <f t="shared" si="12"/>
        <v>507</v>
      </c>
      <c r="Z24" s="14">
        <f t="shared" si="1"/>
        <v>195</v>
      </c>
      <c r="AA24" s="18">
        <f t="shared" si="13"/>
        <v>507</v>
      </c>
      <c r="AB24" s="4" t="s">
        <v>0</v>
      </c>
    </row>
    <row r="25" spans="1:28">
      <c r="A25" s="9" t="s">
        <v>144</v>
      </c>
      <c r="B25" s="24"/>
      <c r="C25" s="4" t="s">
        <v>0</v>
      </c>
      <c r="D25" s="27">
        <v>253</v>
      </c>
      <c r="E25" s="31">
        <v>228</v>
      </c>
      <c r="F25" s="31">
        <v>266</v>
      </c>
      <c r="G25" s="31">
        <v>243</v>
      </c>
      <c r="H25" s="4" t="s">
        <v>0</v>
      </c>
      <c r="I25" s="16" t="str">
        <f t="shared" si="0"/>
        <v>01-15</v>
      </c>
      <c r="J25" s="14">
        <f t="shared" si="2"/>
        <v>253</v>
      </c>
      <c r="K25" s="15">
        <f t="shared" si="2"/>
        <v>228</v>
      </c>
      <c r="L25" s="17">
        <f t="shared" si="3"/>
        <v>266</v>
      </c>
      <c r="M25" s="18">
        <f t="shared" si="4"/>
        <v>228</v>
      </c>
      <c r="N25" s="14">
        <f t="shared" si="5"/>
        <v>266</v>
      </c>
      <c r="O25" s="15">
        <f t="shared" si="5"/>
        <v>243</v>
      </c>
      <c r="P25" s="17">
        <f t="shared" si="6"/>
        <v>253</v>
      </c>
      <c r="Q25" s="18">
        <f t="shared" si="7"/>
        <v>243</v>
      </c>
      <c r="R25" s="4" t="s">
        <v>0</v>
      </c>
      <c r="S25" s="16" t="str">
        <f t="shared" si="8"/>
        <v>01-15</v>
      </c>
      <c r="T25" s="14">
        <f t="shared" si="9"/>
        <v>253</v>
      </c>
      <c r="U25" s="18">
        <f t="shared" si="10"/>
        <v>522</v>
      </c>
      <c r="V25" s="14">
        <f t="shared" si="1"/>
        <v>266</v>
      </c>
      <c r="W25" s="18">
        <f t="shared" si="11"/>
        <v>522</v>
      </c>
      <c r="X25" s="14">
        <f t="shared" si="1"/>
        <v>266</v>
      </c>
      <c r="Y25" s="18">
        <f t="shared" si="12"/>
        <v>507</v>
      </c>
      <c r="Z25" s="14">
        <f t="shared" si="1"/>
        <v>253</v>
      </c>
      <c r="AA25" s="18">
        <f t="shared" si="13"/>
        <v>507</v>
      </c>
      <c r="AB25" s="4" t="s">
        <v>0</v>
      </c>
    </row>
    <row r="26" spans="1:28">
      <c r="A26" s="9" t="s">
        <v>143</v>
      </c>
      <c r="B26" s="24"/>
      <c r="C26" s="26">
        <v>1</v>
      </c>
      <c r="D26" s="28">
        <f>ROUND(D$25+13.3*$C26, 0)</f>
        <v>266</v>
      </c>
      <c r="E26" s="29">
        <f t="shared" si="15"/>
        <v>228</v>
      </c>
      <c r="F26" s="28">
        <f>ROUND(F$25+13.3*$C26, 0)</f>
        <v>279</v>
      </c>
      <c r="G26" s="29">
        <f t="shared" si="15"/>
        <v>243</v>
      </c>
      <c r="H26" s="4" t="s">
        <v>0</v>
      </c>
      <c r="I26" s="16" t="str">
        <f t="shared" si="0"/>
        <v>01-13</v>
      </c>
      <c r="J26" s="14">
        <f t="shared" si="2"/>
        <v>266</v>
      </c>
      <c r="K26" s="15">
        <f t="shared" si="2"/>
        <v>228</v>
      </c>
      <c r="L26" s="17">
        <f t="shared" si="3"/>
        <v>279</v>
      </c>
      <c r="M26" s="18">
        <f t="shared" si="4"/>
        <v>228</v>
      </c>
      <c r="N26" s="14">
        <f t="shared" si="5"/>
        <v>279</v>
      </c>
      <c r="O26" s="15">
        <f t="shared" si="5"/>
        <v>243</v>
      </c>
      <c r="P26" s="17">
        <f t="shared" si="6"/>
        <v>266</v>
      </c>
      <c r="Q26" s="18">
        <f t="shared" si="7"/>
        <v>243</v>
      </c>
      <c r="R26" s="4" t="s">
        <v>0</v>
      </c>
      <c r="S26" s="16" t="str">
        <f t="shared" si="8"/>
        <v>01-13</v>
      </c>
      <c r="T26" s="14">
        <f t="shared" si="9"/>
        <v>266</v>
      </c>
      <c r="U26" s="18">
        <f t="shared" si="10"/>
        <v>522</v>
      </c>
      <c r="V26" s="14">
        <f t="shared" si="1"/>
        <v>279</v>
      </c>
      <c r="W26" s="18">
        <f t="shared" si="11"/>
        <v>522</v>
      </c>
      <c r="X26" s="14">
        <f t="shared" si="1"/>
        <v>279</v>
      </c>
      <c r="Y26" s="18">
        <f t="shared" si="12"/>
        <v>507</v>
      </c>
      <c r="Z26" s="14">
        <f t="shared" si="1"/>
        <v>266</v>
      </c>
      <c r="AA26" s="18">
        <f t="shared" si="13"/>
        <v>507</v>
      </c>
      <c r="AB26" s="4" t="s">
        <v>0</v>
      </c>
    </row>
    <row r="27" spans="1:28">
      <c r="A27" s="9" t="s">
        <v>11</v>
      </c>
      <c r="B27" s="24"/>
      <c r="C27" s="26">
        <v>2</v>
      </c>
      <c r="D27" s="28">
        <f t="shared" ref="D27:D36" si="17">ROUND(D$25+13.3*$C27, 0)</f>
        <v>280</v>
      </c>
      <c r="E27" s="29">
        <f t="shared" si="15"/>
        <v>228</v>
      </c>
      <c r="F27" s="28">
        <f t="shared" ref="F27:F36" si="18">ROUND(F$25+13.3*$C27, 0)</f>
        <v>293</v>
      </c>
      <c r="G27" s="29">
        <f t="shared" si="15"/>
        <v>243</v>
      </c>
      <c r="H27" s="4" t="s">
        <v>0</v>
      </c>
      <c r="I27" s="16" t="str">
        <f t="shared" si="0"/>
        <v>01-12</v>
      </c>
      <c r="J27" s="14">
        <f t="shared" si="2"/>
        <v>280</v>
      </c>
      <c r="K27" s="15">
        <f t="shared" si="2"/>
        <v>228</v>
      </c>
      <c r="L27" s="17">
        <f t="shared" si="3"/>
        <v>293</v>
      </c>
      <c r="M27" s="18">
        <f t="shared" si="4"/>
        <v>228</v>
      </c>
      <c r="N27" s="14">
        <f t="shared" si="5"/>
        <v>293</v>
      </c>
      <c r="O27" s="15">
        <f t="shared" si="5"/>
        <v>243</v>
      </c>
      <c r="P27" s="17">
        <f t="shared" si="6"/>
        <v>280</v>
      </c>
      <c r="Q27" s="18">
        <f t="shared" si="7"/>
        <v>243</v>
      </c>
      <c r="R27" s="4" t="s">
        <v>0</v>
      </c>
      <c r="S27" s="16" t="str">
        <f t="shared" si="8"/>
        <v>01-12</v>
      </c>
      <c r="T27" s="14">
        <f t="shared" si="9"/>
        <v>280</v>
      </c>
      <c r="U27" s="18">
        <f t="shared" si="10"/>
        <v>522</v>
      </c>
      <c r="V27" s="14">
        <f t="shared" si="1"/>
        <v>293</v>
      </c>
      <c r="W27" s="18">
        <f t="shared" si="11"/>
        <v>522</v>
      </c>
      <c r="X27" s="14">
        <f t="shared" si="1"/>
        <v>293</v>
      </c>
      <c r="Y27" s="18">
        <f t="shared" si="12"/>
        <v>507</v>
      </c>
      <c r="Z27" s="14">
        <f t="shared" si="1"/>
        <v>280</v>
      </c>
      <c r="AA27" s="18">
        <f t="shared" si="13"/>
        <v>507</v>
      </c>
      <c r="AB27" s="4" t="s">
        <v>0</v>
      </c>
    </row>
    <row r="28" spans="1:28">
      <c r="A28" s="9" t="s">
        <v>10</v>
      </c>
      <c r="B28" s="24"/>
      <c r="C28" s="26">
        <v>3</v>
      </c>
      <c r="D28" s="28">
        <f t="shared" si="17"/>
        <v>293</v>
      </c>
      <c r="E28" s="29">
        <f t="shared" si="15"/>
        <v>228</v>
      </c>
      <c r="F28" s="28">
        <f t="shared" si="18"/>
        <v>306</v>
      </c>
      <c r="G28" s="29">
        <f t="shared" si="15"/>
        <v>243</v>
      </c>
      <c r="H28" s="4" t="s">
        <v>0</v>
      </c>
      <c r="I28" s="16" t="str">
        <f t="shared" si="0"/>
        <v>01-11</v>
      </c>
      <c r="J28" s="14">
        <f t="shared" si="2"/>
        <v>293</v>
      </c>
      <c r="K28" s="15">
        <f t="shared" si="2"/>
        <v>228</v>
      </c>
      <c r="L28" s="17">
        <f t="shared" si="3"/>
        <v>306</v>
      </c>
      <c r="M28" s="18">
        <f t="shared" si="4"/>
        <v>228</v>
      </c>
      <c r="N28" s="14">
        <f t="shared" si="5"/>
        <v>306</v>
      </c>
      <c r="O28" s="15">
        <f t="shared" si="5"/>
        <v>243</v>
      </c>
      <c r="P28" s="17">
        <f t="shared" si="6"/>
        <v>293</v>
      </c>
      <c r="Q28" s="18">
        <f t="shared" si="7"/>
        <v>243</v>
      </c>
      <c r="R28" s="4" t="s">
        <v>0</v>
      </c>
      <c r="S28" s="16" t="str">
        <f t="shared" si="8"/>
        <v>01-11</v>
      </c>
      <c r="T28" s="14">
        <f t="shared" si="9"/>
        <v>293</v>
      </c>
      <c r="U28" s="18">
        <f t="shared" si="10"/>
        <v>522</v>
      </c>
      <c r="V28" s="14">
        <f t="shared" si="1"/>
        <v>306</v>
      </c>
      <c r="W28" s="18">
        <f t="shared" si="11"/>
        <v>522</v>
      </c>
      <c r="X28" s="14">
        <f t="shared" si="1"/>
        <v>306</v>
      </c>
      <c r="Y28" s="18">
        <f t="shared" si="12"/>
        <v>507</v>
      </c>
      <c r="Z28" s="14">
        <f t="shared" si="1"/>
        <v>293</v>
      </c>
      <c r="AA28" s="18">
        <f t="shared" si="13"/>
        <v>507</v>
      </c>
      <c r="AB28" s="4" t="s">
        <v>0</v>
      </c>
    </row>
    <row r="29" spans="1:28">
      <c r="A29" s="9" t="s">
        <v>9</v>
      </c>
      <c r="B29" s="24"/>
      <c r="C29" s="26">
        <v>4</v>
      </c>
      <c r="D29" s="28">
        <f t="shared" si="17"/>
        <v>306</v>
      </c>
      <c r="E29" s="29">
        <f t="shared" ref="E29:G41" si="19">E28</f>
        <v>228</v>
      </c>
      <c r="F29" s="28">
        <f t="shared" si="18"/>
        <v>319</v>
      </c>
      <c r="G29" s="29">
        <f t="shared" si="19"/>
        <v>243</v>
      </c>
      <c r="H29" s="4" t="s">
        <v>0</v>
      </c>
      <c r="I29" s="16" t="str">
        <f t="shared" si="0"/>
        <v>01-10</v>
      </c>
      <c r="J29" s="14">
        <f t="shared" si="2"/>
        <v>306</v>
      </c>
      <c r="K29" s="15">
        <f t="shared" si="2"/>
        <v>228</v>
      </c>
      <c r="L29" s="17">
        <f t="shared" si="3"/>
        <v>319</v>
      </c>
      <c r="M29" s="18">
        <f t="shared" si="4"/>
        <v>228</v>
      </c>
      <c r="N29" s="14">
        <f t="shared" si="5"/>
        <v>319</v>
      </c>
      <c r="O29" s="15">
        <f t="shared" si="5"/>
        <v>243</v>
      </c>
      <c r="P29" s="17">
        <f t="shared" si="6"/>
        <v>306</v>
      </c>
      <c r="Q29" s="18">
        <f t="shared" si="7"/>
        <v>243</v>
      </c>
      <c r="R29" s="4" t="s">
        <v>0</v>
      </c>
      <c r="S29" s="16" t="str">
        <f t="shared" si="8"/>
        <v>01-10</v>
      </c>
      <c r="T29" s="14">
        <f t="shared" si="9"/>
        <v>306</v>
      </c>
      <c r="U29" s="18">
        <f t="shared" si="10"/>
        <v>522</v>
      </c>
      <c r="V29" s="14">
        <f t="shared" si="1"/>
        <v>319</v>
      </c>
      <c r="W29" s="18">
        <f t="shared" si="11"/>
        <v>522</v>
      </c>
      <c r="X29" s="14">
        <f t="shared" si="1"/>
        <v>319</v>
      </c>
      <c r="Y29" s="18">
        <f t="shared" si="12"/>
        <v>507</v>
      </c>
      <c r="Z29" s="14">
        <f t="shared" si="1"/>
        <v>306</v>
      </c>
      <c r="AA29" s="18">
        <f t="shared" si="13"/>
        <v>507</v>
      </c>
      <c r="AB29" s="4" t="s">
        <v>0</v>
      </c>
    </row>
    <row r="30" spans="1:28">
      <c r="A30" s="9" t="s">
        <v>8</v>
      </c>
      <c r="B30" s="24"/>
      <c r="C30" s="26">
        <v>5</v>
      </c>
      <c r="D30" s="28">
        <f t="shared" si="17"/>
        <v>320</v>
      </c>
      <c r="E30" s="29">
        <f t="shared" si="19"/>
        <v>228</v>
      </c>
      <c r="F30" s="28">
        <f t="shared" si="18"/>
        <v>333</v>
      </c>
      <c r="G30" s="29">
        <f t="shared" si="19"/>
        <v>243</v>
      </c>
      <c r="H30" s="4" t="s">
        <v>0</v>
      </c>
      <c r="I30" s="16" t="str">
        <f t="shared" si="0"/>
        <v>01-08</v>
      </c>
      <c r="J30" s="14">
        <f t="shared" si="2"/>
        <v>320</v>
      </c>
      <c r="K30" s="15">
        <f t="shared" si="2"/>
        <v>228</v>
      </c>
      <c r="L30" s="17">
        <f t="shared" si="3"/>
        <v>333</v>
      </c>
      <c r="M30" s="18">
        <f t="shared" si="4"/>
        <v>228</v>
      </c>
      <c r="N30" s="14">
        <f t="shared" si="5"/>
        <v>333</v>
      </c>
      <c r="O30" s="15">
        <f t="shared" si="5"/>
        <v>243</v>
      </c>
      <c r="P30" s="17">
        <f t="shared" si="6"/>
        <v>320</v>
      </c>
      <c r="Q30" s="18">
        <f t="shared" si="7"/>
        <v>243</v>
      </c>
      <c r="R30" s="4" t="s">
        <v>0</v>
      </c>
      <c r="S30" s="16" t="str">
        <f t="shared" si="8"/>
        <v>01-08</v>
      </c>
      <c r="T30" s="14">
        <f t="shared" si="9"/>
        <v>320</v>
      </c>
      <c r="U30" s="18">
        <f t="shared" si="10"/>
        <v>522</v>
      </c>
      <c r="V30" s="14">
        <f t="shared" si="1"/>
        <v>333</v>
      </c>
      <c r="W30" s="18">
        <f t="shared" si="11"/>
        <v>522</v>
      </c>
      <c r="X30" s="14">
        <f t="shared" si="1"/>
        <v>333</v>
      </c>
      <c r="Y30" s="18">
        <f t="shared" si="12"/>
        <v>507</v>
      </c>
      <c r="Z30" s="14">
        <f t="shared" si="1"/>
        <v>320</v>
      </c>
      <c r="AA30" s="18">
        <f t="shared" si="13"/>
        <v>507</v>
      </c>
      <c r="AB30" s="4" t="s">
        <v>0</v>
      </c>
    </row>
    <row r="31" spans="1:28">
      <c r="A31" s="9" t="s">
        <v>7</v>
      </c>
      <c r="B31" s="24"/>
      <c r="C31" s="26">
        <v>6</v>
      </c>
      <c r="D31" s="28">
        <f t="shared" si="17"/>
        <v>333</v>
      </c>
      <c r="E31" s="29">
        <f t="shared" si="19"/>
        <v>228</v>
      </c>
      <c r="F31" s="28">
        <f t="shared" si="18"/>
        <v>346</v>
      </c>
      <c r="G31" s="29">
        <f t="shared" si="19"/>
        <v>243</v>
      </c>
      <c r="H31" s="4" t="s">
        <v>0</v>
      </c>
      <c r="I31" s="16" t="str">
        <f t="shared" si="0"/>
        <v>01-07</v>
      </c>
      <c r="J31" s="14">
        <f t="shared" si="2"/>
        <v>333</v>
      </c>
      <c r="K31" s="15">
        <f t="shared" si="2"/>
        <v>228</v>
      </c>
      <c r="L31" s="17">
        <f t="shared" si="3"/>
        <v>346</v>
      </c>
      <c r="M31" s="18">
        <f t="shared" si="4"/>
        <v>228</v>
      </c>
      <c r="N31" s="14">
        <f t="shared" si="5"/>
        <v>346</v>
      </c>
      <c r="O31" s="15">
        <f t="shared" si="5"/>
        <v>243</v>
      </c>
      <c r="P31" s="17">
        <f t="shared" si="6"/>
        <v>333</v>
      </c>
      <c r="Q31" s="18">
        <f t="shared" si="7"/>
        <v>243</v>
      </c>
      <c r="R31" s="4" t="s">
        <v>0</v>
      </c>
      <c r="S31" s="16" t="str">
        <f t="shared" si="8"/>
        <v>01-07</v>
      </c>
      <c r="T31" s="14">
        <f t="shared" si="9"/>
        <v>333</v>
      </c>
      <c r="U31" s="18">
        <f t="shared" si="10"/>
        <v>522</v>
      </c>
      <c r="V31" s="14">
        <f t="shared" si="1"/>
        <v>346</v>
      </c>
      <c r="W31" s="18">
        <f t="shared" si="11"/>
        <v>522</v>
      </c>
      <c r="X31" s="14">
        <f t="shared" si="1"/>
        <v>346</v>
      </c>
      <c r="Y31" s="18">
        <f t="shared" si="12"/>
        <v>507</v>
      </c>
      <c r="Z31" s="14">
        <f t="shared" si="1"/>
        <v>333</v>
      </c>
      <c r="AA31" s="18">
        <f t="shared" si="13"/>
        <v>507</v>
      </c>
      <c r="AB31" s="4" t="s">
        <v>0</v>
      </c>
    </row>
    <row r="32" spans="1:28">
      <c r="A32" s="9" t="s">
        <v>6</v>
      </c>
      <c r="B32" s="24"/>
      <c r="C32" s="26">
        <v>7</v>
      </c>
      <c r="D32" s="28">
        <f t="shared" si="17"/>
        <v>346</v>
      </c>
      <c r="E32" s="29">
        <f t="shared" si="19"/>
        <v>228</v>
      </c>
      <c r="F32" s="28">
        <f t="shared" si="18"/>
        <v>359</v>
      </c>
      <c r="G32" s="29">
        <f t="shared" si="19"/>
        <v>243</v>
      </c>
      <c r="H32" s="4" t="s">
        <v>0</v>
      </c>
      <c r="I32" s="16" t="str">
        <f t="shared" si="0"/>
        <v>01-06</v>
      </c>
      <c r="J32" s="14">
        <f t="shared" si="2"/>
        <v>346</v>
      </c>
      <c r="K32" s="15">
        <f t="shared" si="2"/>
        <v>228</v>
      </c>
      <c r="L32" s="17">
        <f t="shared" si="3"/>
        <v>359</v>
      </c>
      <c r="M32" s="18">
        <f t="shared" si="4"/>
        <v>228</v>
      </c>
      <c r="N32" s="14">
        <f t="shared" si="5"/>
        <v>359</v>
      </c>
      <c r="O32" s="15">
        <f t="shared" si="5"/>
        <v>243</v>
      </c>
      <c r="P32" s="17">
        <f t="shared" si="6"/>
        <v>346</v>
      </c>
      <c r="Q32" s="18">
        <f t="shared" si="7"/>
        <v>243</v>
      </c>
      <c r="R32" s="4" t="s">
        <v>0</v>
      </c>
      <c r="S32" s="16" t="str">
        <f t="shared" si="8"/>
        <v>01-06</v>
      </c>
      <c r="T32" s="14">
        <f t="shared" si="9"/>
        <v>346</v>
      </c>
      <c r="U32" s="18">
        <f t="shared" si="10"/>
        <v>522</v>
      </c>
      <c r="V32" s="14">
        <f t="shared" si="1"/>
        <v>359</v>
      </c>
      <c r="W32" s="18">
        <f t="shared" si="11"/>
        <v>522</v>
      </c>
      <c r="X32" s="14">
        <f t="shared" si="1"/>
        <v>359</v>
      </c>
      <c r="Y32" s="18">
        <f t="shared" si="12"/>
        <v>507</v>
      </c>
      <c r="Z32" s="14">
        <f t="shared" si="1"/>
        <v>346</v>
      </c>
      <c r="AA32" s="18">
        <f t="shared" si="13"/>
        <v>507</v>
      </c>
      <c r="AB32" s="4" t="s">
        <v>0</v>
      </c>
    </row>
    <row r="33" spans="1:28">
      <c r="A33" s="9" t="s">
        <v>5</v>
      </c>
      <c r="B33" s="24"/>
      <c r="C33" s="26">
        <v>8</v>
      </c>
      <c r="D33" s="28">
        <f t="shared" si="17"/>
        <v>359</v>
      </c>
      <c r="E33" s="29">
        <f t="shared" si="19"/>
        <v>228</v>
      </c>
      <c r="F33" s="28">
        <f t="shared" si="18"/>
        <v>372</v>
      </c>
      <c r="G33" s="29">
        <f t="shared" si="19"/>
        <v>243</v>
      </c>
      <c r="H33" s="4" t="s">
        <v>0</v>
      </c>
      <c r="I33" s="16" t="str">
        <f t="shared" si="0"/>
        <v>01-05</v>
      </c>
      <c r="J33" s="14">
        <f t="shared" si="2"/>
        <v>359</v>
      </c>
      <c r="K33" s="15">
        <f t="shared" si="2"/>
        <v>228</v>
      </c>
      <c r="L33" s="17">
        <f t="shared" si="3"/>
        <v>372</v>
      </c>
      <c r="M33" s="18">
        <f t="shared" si="4"/>
        <v>228</v>
      </c>
      <c r="N33" s="14">
        <f t="shared" si="5"/>
        <v>372</v>
      </c>
      <c r="O33" s="15">
        <f t="shared" si="5"/>
        <v>243</v>
      </c>
      <c r="P33" s="17">
        <f t="shared" si="6"/>
        <v>359</v>
      </c>
      <c r="Q33" s="18">
        <f t="shared" si="7"/>
        <v>243</v>
      </c>
      <c r="R33" s="4" t="s">
        <v>0</v>
      </c>
      <c r="S33" s="16" t="str">
        <f t="shared" si="8"/>
        <v>01-05</v>
      </c>
      <c r="T33" s="14">
        <f t="shared" si="9"/>
        <v>359</v>
      </c>
      <c r="U33" s="18">
        <f t="shared" si="10"/>
        <v>522</v>
      </c>
      <c r="V33" s="14">
        <f t="shared" si="1"/>
        <v>372</v>
      </c>
      <c r="W33" s="18">
        <f t="shared" si="11"/>
        <v>522</v>
      </c>
      <c r="X33" s="14">
        <f t="shared" si="1"/>
        <v>372</v>
      </c>
      <c r="Y33" s="18">
        <f t="shared" si="12"/>
        <v>507</v>
      </c>
      <c r="Z33" s="14">
        <f t="shared" si="1"/>
        <v>359</v>
      </c>
      <c r="AA33" s="18">
        <f t="shared" si="13"/>
        <v>507</v>
      </c>
      <c r="AB33" s="4" t="s">
        <v>0</v>
      </c>
    </row>
    <row r="34" spans="1:28">
      <c r="A34" s="9" t="s">
        <v>4</v>
      </c>
      <c r="B34" s="24"/>
      <c r="C34" s="26">
        <v>9</v>
      </c>
      <c r="D34" s="28">
        <f t="shared" si="17"/>
        <v>373</v>
      </c>
      <c r="E34" s="29">
        <f t="shared" si="19"/>
        <v>228</v>
      </c>
      <c r="F34" s="28">
        <f t="shared" si="18"/>
        <v>386</v>
      </c>
      <c r="G34" s="29">
        <f t="shared" si="19"/>
        <v>243</v>
      </c>
      <c r="H34" s="4" t="s">
        <v>0</v>
      </c>
      <c r="I34" s="16" t="str">
        <f t="shared" si="0"/>
        <v>01-03</v>
      </c>
      <c r="J34" s="14">
        <f t="shared" si="2"/>
        <v>373</v>
      </c>
      <c r="K34" s="15">
        <f t="shared" si="2"/>
        <v>228</v>
      </c>
      <c r="L34" s="17">
        <f t="shared" si="3"/>
        <v>386</v>
      </c>
      <c r="M34" s="18">
        <f t="shared" si="4"/>
        <v>228</v>
      </c>
      <c r="N34" s="14">
        <f t="shared" si="5"/>
        <v>386</v>
      </c>
      <c r="O34" s="15">
        <f t="shared" si="5"/>
        <v>243</v>
      </c>
      <c r="P34" s="17">
        <f t="shared" si="6"/>
        <v>373</v>
      </c>
      <c r="Q34" s="18">
        <f t="shared" si="7"/>
        <v>243</v>
      </c>
      <c r="R34" s="4" t="s">
        <v>0</v>
      </c>
      <c r="S34" s="16" t="str">
        <f t="shared" si="8"/>
        <v>01-03</v>
      </c>
      <c r="T34" s="14">
        <f t="shared" si="9"/>
        <v>373</v>
      </c>
      <c r="U34" s="18">
        <f t="shared" si="10"/>
        <v>522</v>
      </c>
      <c r="V34" s="14">
        <f t="shared" si="1"/>
        <v>386</v>
      </c>
      <c r="W34" s="18">
        <f t="shared" si="11"/>
        <v>522</v>
      </c>
      <c r="X34" s="14">
        <f t="shared" si="1"/>
        <v>386</v>
      </c>
      <c r="Y34" s="18">
        <f t="shared" si="12"/>
        <v>507</v>
      </c>
      <c r="Z34" s="14">
        <f t="shared" si="1"/>
        <v>373</v>
      </c>
      <c r="AA34" s="18">
        <f t="shared" si="13"/>
        <v>507</v>
      </c>
      <c r="AB34" s="4" t="s">
        <v>0</v>
      </c>
    </row>
    <row r="35" spans="1:28">
      <c r="A35" s="9" t="s">
        <v>142</v>
      </c>
      <c r="B35" s="24"/>
      <c r="C35" s="26">
        <v>10</v>
      </c>
      <c r="D35" s="28">
        <f t="shared" si="17"/>
        <v>386</v>
      </c>
      <c r="E35" s="29">
        <f t="shared" si="19"/>
        <v>228</v>
      </c>
      <c r="F35" s="28">
        <f t="shared" si="18"/>
        <v>399</v>
      </c>
      <c r="G35" s="29">
        <f t="shared" si="19"/>
        <v>243</v>
      </c>
      <c r="H35" s="4" t="s">
        <v>0</v>
      </c>
      <c r="I35" s="16" t="str">
        <f t="shared" si="0"/>
        <v>01-02</v>
      </c>
      <c r="J35" s="14">
        <f t="shared" si="2"/>
        <v>386</v>
      </c>
      <c r="K35" s="15">
        <f t="shared" si="2"/>
        <v>228</v>
      </c>
      <c r="L35" s="17">
        <f t="shared" si="3"/>
        <v>399</v>
      </c>
      <c r="M35" s="18">
        <f t="shared" si="4"/>
        <v>228</v>
      </c>
      <c r="N35" s="14">
        <f t="shared" si="5"/>
        <v>399</v>
      </c>
      <c r="O35" s="15">
        <f t="shared" si="5"/>
        <v>243</v>
      </c>
      <c r="P35" s="17">
        <f t="shared" si="6"/>
        <v>386</v>
      </c>
      <c r="Q35" s="18">
        <f t="shared" si="7"/>
        <v>243</v>
      </c>
      <c r="R35" s="4" t="s">
        <v>0</v>
      </c>
      <c r="S35" s="16" t="str">
        <f t="shared" si="8"/>
        <v>01-02</v>
      </c>
      <c r="T35" s="14">
        <f t="shared" si="9"/>
        <v>386</v>
      </c>
      <c r="U35" s="18">
        <f t="shared" si="10"/>
        <v>522</v>
      </c>
      <c r="V35" s="14">
        <f t="shared" si="1"/>
        <v>399</v>
      </c>
      <c r="W35" s="18">
        <f t="shared" si="11"/>
        <v>522</v>
      </c>
      <c r="X35" s="14">
        <f t="shared" si="1"/>
        <v>399</v>
      </c>
      <c r="Y35" s="18">
        <f t="shared" si="12"/>
        <v>507</v>
      </c>
      <c r="Z35" s="14">
        <f t="shared" si="1"/>
        <v>386</v>
      </c>
      <c r="AA35" s="18">
        <f t="shared" si="13"/>
        <v>507</v>
      </c>
      <c r="AB35" s="4" t="s">
        <v>0</v>
      </c>
    </row>
    <row r="36" spans="1:28">
      <c r="A36" s="9" t="s">
        <v>141</v>
      </c>
      <c r="B36" s="24"/>
      <c r="C36" s="26">
        <v>11</v>
      </c>
      <c r="D36" s="28">
        <f t="shared" si="17"/>
        <v>399</v>
      </c>
      <c r="E36" s="29">
        <f t="shared" si="19"/>
        <v>228</v>
      </c>
      <c r="F36" s="28">
        <f t="shared" si="18"/>
        <v>412</v>
      </c>
      <c r="G36" s="29">
        <f t="shared" si="19"/>
        <v>243</v>
      </c>
      <c r="H36" s="4" t="s">
        <v>0</v>
      </c>
      <c r="I36" s="16" t="str">
        <f t="shared" si="0"/>
        <v>01-01</v>
      </c>
      <c r="J36" s="14">
        <f t="shared" si="2"/>
        <v>399</v>
      </c>
      <c r="K36" s="15">
        <f t="shared" si="2"/>
        <v>228</v>
      </c>
      <c r="L36" s="17">
        <f t="shared" si="3"/>
        <v>412</v>
      </c>
      <c r="M36" s="18">
        <f t="shared" si="4"/>
        <v>228</v>
      </c>
      <c r="N36" s="14">
        <f t="shared" si="5"/>
        <v>412</v>
      </c>
      <c r="O36" s="15">
        <f t="shared" si="5"/>
        <v>243</v>
      </c>
      <c r="P36" s="17">
        <f t="shared" si="6"/>
        <v>399</v>
      </c>
      <c r="Q36" s="18">
        <f t="shared" si="7"/>
        <v>243</v>
      </c>
      <c r="R36" s="4" t="s">
        <v>0</v>
      </c>
      <c r="S36" s="16" t="str">
        <f t="shared" si="8"/>
        <v>01-01</v>
      </c>
      <c r="T36" s="14">
        <f t="shared" si="9"/>
        <v>399</v>
      </c>
      <c r="U36" s="18">
        <f t="shared" si="10"/>
        <v>522</v>
      </c>
      <c r="V36" s="14">
        <f t="shared" si="1"/>
        <v>412</v>
      </c>
      <c r="W36" s="18">
        <f t="shared" si="11"/>
        <v>522</v>
      </c>
      <c r="X36" s="14">
        <f t="shared" si="1"/>
        <v>412</v>
      </c>
      <c r="Y36" s="18">
        <f t="shared" si="12"/>
        <v>507</v>
      </c>
      <c r="Z36" s="14">
        <f t="shared" si="1"/>
        <v>399</v>
      </c>
      <c r="AA36" s="18">
        <f t="shared" si="13"/>
        <v>507</v>
      </c>
      <c r="AB36" s="4" t="s">
        <v>0</v>
      </c>
    </row>
    <row r="37" spans="1:28">
      <c r="A37" s="9" t="s">
        <v>150</v>
      </c>
      <c r="B37" s="24"/>
      <c r="C37" s="4" t="s">
        <v>0</v>
      </c>
      <c r="D37" s="27">
        <v>255</v>
      </c>
      <c r="E37" s="31">
        <v>415</v>
      </c>
      <c r="F37" s="31">
        <v>266</v>
      </c>
      <c r="G37" s="31">
        <v>430</v>
      </c>
      <c r="H37" s="4" t="s">
        <v>0</v>
      </c>
      <c r="I37" s="16" t="str">
        <f t="shared" si="0"/>
        <v>02-16</v>
      </c>
      <c r="J37" s="14">
        <f t="shared" si="2"/>
        <v>255</v>
      </c>
      <c r="K37" s="15">
        <f t="shared" si="2"/>
        <v>415</v>
      </c>
      <c r="L37" s="17">
        <f t="shared" si="3"/>
        <v>266</v>
      </c>
      <c r="M37" s="18">
        <f t="shared" si="4"/>
        <v>415</v>
      </c>
      <c r="N37" s="14">
        <f t="shared" si="5"/>
        <v>266</v>
      </c>
      <c r="O37" s="15">
        <f t="shared" si="5"/>
        <v>430</v>
      </c>
      <c r="P37" s="17">
        <f t="shared" si="6"/>
        <v>255</v>
      </c>
      <c r="Q37" s="18">
        <f t="shared" si="7"/>
        <v>430</v>
      </c>
      <c r="R37" s="4" t="s">
        <v>0</v>
      </c>
      <c r="S37" s="16" t="str">
        <f t="shared" si="8"/>
        <v>02-16</v>
      </c>
      <c r="T37" s="14">
        <f t="shared" si="9"/>
        <v>255</v>
      </c>
      <c r="U37" s="18">
        <f t="shared" si="10"/>
        <v>335</v>
      </c>
      <c r="V37" s="14">
        <f t="shared" si="1"/>
        <v>266</v>
      </c>
      <c r="W37" s="18">
        <f t="shared" si="11"/>
        <v>335</v>
      </c>
      <c r="X37" s="14">
        <f t="shared" si="1"/>
        <v>266</v>
      </c>
      <c r="Y37" s="18">
        <f t="shared" si="12"/>
        <v>320</v>
      </c>
      <c r="Z37" s="14">
        <f t="shared" si="1"/>
        <v>255</v>
      </c>
      <c r="AA37" s="18">
        <f t="shared" si="13"/>
        <v>320</v>
      </c>
      <c r="AB37" s="4" t="s">
        <v>0</v>
      </c>
    </row>
    <row r="38" spans="1:28">
      <c r="A38" s="9" t="s">
        <v>149</v>
      </c>
      <c r="B38" s="24"/>
      <c r="C38" s="26">
        <v>1</v>
      </c>
      <c r="D38" s="28">
        <f>ROUND(D$37+11.5*$C38, 0)</f>
        <v>267</v>
      </c>
      <c r="E38" s="29">
        <f t="shared" si="19"/>
        <v>415</v>
      </c>
      <c r="F38" s="28">
        <f>ROUND(F$37+11.5*$C38, 0)</f>
        <v>278</v>
      </c>
      <c r="G38" s="29">
        <f t="shared" si="19"/>
        <v>430</v>
      </c>
      <c r="H38" s="4" t="s">
        <v>0</v>
      </c>
      <c r="I38" s="16" t="str">
        <f t="shared" si="0"/>
        <v>02-15</v>
      </c>
      <c r="J38" s="14">
        <f t="shared" si="2"/>
        <v>267</v>
      </c>
      <c r="K38" s="15">
        <f t="shared" si="2"/>
        <v>415</v>
      </c>
      <c r="L38" s="17">
        <f t="shared" si="3"/>
        <v>278</v>
      </c>
      <c r="M38" s="18">
        <f t="shared" si="4"/>
        <v>415</v>
      </c>
      <c r="N38" s="14">
        <f t="shared" si="5"/>
        <v>278</v>
      </c>
      <c r="O38" s="15">
        <f t="shared" si="5"/>
        <v>430</v>
      </c>
      <c r="P38" s="17">
        <f t="shared" si="6"/>
        <v>267</v>
      </c>
      <c r="Q38" s="18">
        <f t="shared" si="7"/>
        <v>430</v>
      </c>
      <c r="R38" s="4" t="s">
        <v>0</v>
      </c>
      <c r="S38" s="16" t="str">
        <f t="shared" si="8"/>
        <v>02-15</v>
      </c>
      <c r="T38" s="14">
        <f t="shared" si="9"/>
        <v>267</v>
      </c>
      <c r="U38" s="18">
        <f t="shared" si="10"/>
        <v>335</v>
      </c>
      <c r="V38" s="14">
        <f t="shared" si="1"/>
        <v>278</v>
      </c>
      <c r="W38" s="18">
        <f t="shared" si="11"/>
        <v>335</v>
      </c>
      <c r="X38" s="14">
        <f t="shared" si="1"/>
        <v>278</v>
      </c>
      <c r="Y38" s="18">
        <f t="shared" si="12"/>
        <v>320</v>
      </c>
      <c r="Z38" s="14">
        <f t="shared" si="1"/>
        <v>267</v>
      </c>
      <c r="AA38" s="18">
        <f t="shared" si="13"/>
        <v>320</v>
      </c>
      <c r="AB38" s="4" t="s">
        <v>0</v>
      </c>
    </row>
    <row r="39" spans="1:28">
      <c r="A39" s="9" t="s">
        <v>148</v>
      </c>
      <c r="B39" s="24"/>
      <c r="C39" s="26">
        <v>2</v>
      </c>
      <c r="D39" s="28">
        <f t="shared" ref="D39:D49" si="20">ROUND(D$37+11.5*$C39, 0)</f>
        <v>278</v>
      </c>
      <c r="E39" s="29">
        <f t="shared" ref="E39:E49" si="21">E38</f>
        <v>415</v>
      </c>
      <c r="F39" s="28">
        <f t="shared" ref="F39:F49" si="22">ROUND(F$37+11.5*$C39, 0)</f>
        <v>289</v>
      </c>
      <c r="G39" s="29">
        <f t="shared" ref="G39:G49" si="23">G38</f>
        <v>430</v>
      </c>
      <c r="H39" s="4" t="s">
        <v>0</v>
      </c>
      <c r="I39" s="16" t="str">
        <f t="shared" si="0"/>
        <v>02-13</v>
      </c>
      <c r="J39" s="14">
        <f t="shared" si="2"/>
        <v>278</v>
      </c>
      <c r="K39" s="15">
        <f t="shared" si="2"/>
        <v>415</v>
      </c>
      <c r="L39" s="17">
        <f t="shared" si="3"/>
        <v>289</v>
      </c>
      <c r="M39" s="18">
        <f t="shared" si="4"/>
        <v>415</v>
      </c>
      <c r="N39" s="14">
        <f t="shared" si="5"/>
        <v>289</v>
      </c>
      <c r="O39" s="15">
        <f t="shared" si="5"/>
        <v>430</v>
      </c>
      <c r="P39" s="17">
        <f t="shared" si="6"/>
        <v>278</v>
      </c>
      <c r="Q39" s="18">
        <f t="shared" si="7"/>
        <v>430</v>
      </c>
      <c r="R39" s="4" t="s">
        <v>0</v>
      </c>
      <c r="S39" s="16" t="str">
        <f t="shared" si="8"/>
        <v>02-13</v>
      </c>
      <c r="T39" s="14">
        <f t="shared" si="9"/>
        <v>278</v>
      </c>
      <c r="U39" s="18">
        <f t="shared" si="10"/>
        <v>335</v>
      </c>
      <c r="V39" s="14">
        <f t="shared" si="1"/>
        <v>289</v>
      </c>
      <c r="W39" s="18">
        <f t="shared" si="11"/>
        <v>335</v>
      </c>
      <c r="X39" s="14">
        <f t="shared" si="1"/>
        <v>289</v>
      </c>
      <c r="Y39" s="18">
        <f t="shared" si="12"/>
        <v>320</v>
      </c>
      <c r="Z39" s="14">
        <f t="shared" si="1"/>
        <v>278</v>
      </c>
      <c r="AA39" s="18">
        <f t="shared" si="13"/>
        <v>320</v>
      </c>
      <c r="AB39" s="4" t="s">
        <v>0</v>
      </c>
    </row>
    <row r="40" spans="1:28">
      <c r="A40" s="9" t="s">
        <v>29</v>
      </c>
      <c r="B40" s="24"/>
      <c r="C40" s="26">
        <v>3</v>
      </c>
      <c r="D40" s="28">
        <f t="shared" si="20"/>
        <v>290</v>
      </c>
      <c r="E40" s="29">
        <f t="shared" si="21"/>
        <v>415</v>
      </c>
      <c r="F40" s="28">
        <f t="shared" si="22"/>
        <v>301</v>
      </c>
      <c r="G40" s="29">
        <f t="shared" si="23"/>
        <v>430</v>
      </c>
      <c r="H40" s="4" t="s">
        <v>0</v>
      </c>
      <c r="I40" s="16" t="str">
        <f t="shared" si="0"/>
        <v>02-12</v>
      </c>
      <c r="J40" s="14">
        <f t="shared" si="2"/>
        <v>290</v>
      </c>
      <c r="K40" s="15">
        <f t="shared" si="2"/>
        <v>415</v>
      </c>
      <c r="L40" s="17">
        <f t="shared" si="3"/>
        <v>301</v>
      </c>
      <c r="M40" s="18">
        <f t="shared" si="4"/>
        <v>415</v>
      </c>
      <c r="N40" s="14">
        <f t="shared" si="5"/>
        <v>301</v>
      </c>
      <c r="O40" s="15">
        <f t="shared" si="5"/>
        <v>430</v>
      </c>
      <c r="P40" s="17">
        <f t="shared" si="6"/>
        <v>290</v>
      </c>
      <c r="Q40" s="18">
        <f t="shared" si="7"/>
        <v>430</v>
      </c>
      <c r="R40" s="4" t="s">
        <v>0</v>
      </c>
      <c r="S40" s="16" t="str">
        <f t="shared" si="8"/>
        <v>02-12</v>
      </c>
      <c r="T40" s="14">
        <f t="shared" si="9"/>
        <v>290</v>
      </c>
      <c r="U40" s="18">
        <f t="shared" si="10"/>
        <v>335</v>
      </c>
      <c r="V40" s="14">
        <f t="shared" si="1"/>
        <v>301</v>
      </c>
      <c r="W40" s="18">
        <f t="shared" si="11"/>
        <v>335</v>
      </c>
      <c r="X40" s="14">
        <f t="shared" si="1"/>
        <v>301</v>
      </c>
      <c r="Y40" s="18">
        <f t="shared" si="12"/>
        <v>320</v>
      </c>
      <c r="Z40" s="14">
        <f t="shared" si="1"/>
        <v>290</v>
      </c>
      <c r="AA40" s="18">
        <f t="shared" si="13"/>
        <v>320</v>
      </c>
      <c r="AB40" s="4" t="s">
        <v>0</v>
      </c>
    </row>
    <row r="41" spans="1:28">
      <c r="A41" s="9" t="s">
        <v>28</v>
      </c>
      <c r="B41" s="24"/>
      <c r="C41" s="26">
        <v>4</v>
      </c>
      <c r="D41" s="28">
        <f t="shared" si="20"/>
        <v>301</v>
      </c>
      <c r="E41" s="29">
        <f t="shared" si="21"/>
        <v>415</v>
      </c>
      <c r="F41" s="28">
        <f t="shared" si="22"/>
        <v>312</v>
      </c>
      <c r="G41" s="29">
        <f t="shared" si="23"/>
        <v>430</v>
      </c>
      <c r="H41" s="4" t="s">
        <v>0</v>
      </c>
      <c r="I41" s="16" t="str">
        <f t="shared" si="0"/>
        <v>02-11</v>
      </c>
      <c r="J41" s="14">
        <f t="shared" si="2"/>
        <v>301</v>
      </c>
      <c r="K41" s="15">
        <f t="shared" si="2"/>
        <v>415</v>
      </c>
      <c r="L41" s="17">
        <f t="shared" si="3"/>
        <v>312</v>
      </c>
      <c r="M41" s="18">
        <f t="shared" si="4"/>
        <v>415</v>
      </c>
      <c r="N41" s="14">
        <f t="shared" si="5"/>
        <v>312</v>
      </c>
      <c r="O41" s="15">
        <f t="shared" si="5"/>
        <v>430</v>
      </c>
      <c r="P41" s="17">
        <f t="shared" si="6"/>
        <v>301</v>
      </c>
      <c r="Q41" s="18">
        <f t="shared" si="7"/>
        <v>430</v>
      </c>
      <c r="R41" s="4" t="s">
        <v>0</v>
      </c>
      <c r="S41" s="16" t="str">
        <f t="shared" si="8"/>
        <v>02-11</v>
      </c>
      <c r="T41" s="14">
        <f t="shared" si="9"/>
        <v>301</v>
      </c>
      <c r="U41" s="18">
        <f t="shared" si="10"/>
        <v>335</v>
      </c>
      <c r="V41" s="14">
        <f t="shared" si="1"/>
        <v>312</v>
      </c>
      <c r="W41" s="18">
        <f t="shared" si="11"/>
        <v>335</v>
      </c>
      <c r="X41" s="14">
        <f t="shared" si="1"/>
        <v>312</v>
      </c>
      <c r="Y41" s="18">
        <f t="shared" si="12"/>
        <v>320</v>
      </c>
      <c r="Z41" s="14">
        <f t="shared" si="1"/>
        <v>301</v>
      </c>
      <c r="AA41" s="18">
        <f t="shared" si="13"/>
        <v>320</v>
      </c>
      <c r="AB41" s="4" t="s">
        <v>0</v>
      </c>
    </row>
    <row r="42" spans="1:28">
      <c r="A42" s="9" t="s">
        <v>27</v>
      </c>
      <c r="B42" s="24"/>
      <c r="C42" s="26">
        <v>5</v>
      </c>
      <c r="D42" s="28">
        <f t="shared" si="20"/>
        <v>313</v>
      </c>
      <c r="E42" s="29">
        <f t="shared" si="21"/>
        <v>415</v>
      </c>
      <c r="F42" s="28">
        <f t="shared" si="22"/>
        <v>324</v>
      </c>
      <c r="G42" s="29">
        <f t="shared" si="23"/>
        <v>430</v>
      </c>
      <c r="H42" s="4" t="s">
        <v>0</v>
      </c>
      <c r="I42" s="16" t="str">
        <f t="shared" si="0"/>
        <v>02-10</v>
      </c>
      <c r="J42" s="14">
        <f t="shared" si="2"/>
        <v>313</v>
      </c>
      <c r="K42" s="15">
        <f t="shared" si="2"/>
        <v>415</v>
      </c>
      <c r="L42" s="17">
        <f t="shared" si="3"/>
        <v>324</v>
      </c>
      <c r="M42" s="18">
        <f t="shared" si="4"/>
        <v>415</v>
      </c>
      <c r="N42" s="14">
        <f t="shared" si="5"/>
        <v>324</v>
      </c>
      <c r="O42" s="15">
        <f t="shared" si="5"/>
        <v>430</v>
      </c>
      <c r="P42" s="17">
        <f t="shared" si="6"/>
        <v>313</v>
      </c>
      <c r="Q42" s="18">
        <f t="shared" si="7"/>
        <v>430</v>
      </c>
      <c r="R42" s="4" t="s">
        <v>0</v>
      </c>
      <c r="S42" s="16" t="str">
        <f t="shared" si="8"/>
        <v>02-10</v>
      </c>
      <c r="T42" s="14">
        <f t="shared" si="9"/>
        <v>313</v>
      </c>
      <c r="U42" s="18">
        <f t="shared" si="10"/>
        <v>335</v>
      </c>
      <c r="V42" s="14">
        <f t="shared" si="1"/>
        <v>324</v>
      </c>
      <c r="W42" s="18">
        <f t="shared" si="11"/>
        <v>335</v>
      </c>
      <c r="X42" s="14">
        <f t="shared" si="1"/>
        <v>324</v>
      </c>
      <c r="Y42" s="18">
        <f t="shared" si="12"/>
        <v>320</v>
      </c>
      <c r="Z42" s="14">
        <f t="shared" si="1"/>
        <v>313</v>
      </c>
      <c r="AA42" s="18">
        <f t="shared" si="13"/>
        <v>320</v>
      </c>
      <c r="AB42" s="4" t="s">
        <v>0</v>
      </c>
    </row>
    <row r="43" spans="1:28">
      <c r="A43" s="9" t="s">
        <v>26</v>
      </c>
      <c r="B43" s="24"/>
      <c r="C43" s="26">
        <v>6</v>
      </c>
      <c r="D43" s="28">
        <f t="shared" si="20"/>
        <v>324</v>
      </c>
      <c r="E43" s="29">
        <f t="shared" si="21"/>
        <v>415</v>
      </c>
      <c r="F43" s="28">
        <f t="shared" si="22"/>
        <v>335</v>
      </c>
      <c r="G43" s="29">
        <f t="shared" si="23"/>
        <v>430</v>
      </c>
      <c r="H43" s="4" t="s">
        <v>0</v>
      </c>
      <c r="I43" s="16" t="str">
        <f t="shared" si="0"/>
        <v>02-08</v>
      </c>
      <c r="J43" s="14">
        <f t="shared" si="2"/>
        <v>324</v>
      </c>
      <c r="K43" s="15">
        <f t="shared" si="2"/>
        <v>415</v>
      </c>
      <c r="L43" s="17">
        <f t="shared" si="3"/>
        <v>335</v>
      </c>
      <c r="M43" s="18">
        <f t="shared" si="4"/>
        <v>415</v>
      </c>
      <c r="N43" s="14">
        <f t="shared" si="5"/>
        <v>335</v>
      </c>
      <c r="O43" s="15">
        <f t="shared" si="5"/>
        <v>430</v>
      </c>
      <c r="P43" s="17">
        <f t="shared" si="6"/>
        <v>324</v>
      </c>
      <c r="Q43" s="18">
        <f t="shared" si="7"/>
        <v>430</v>
      </c>
      <c r="R43" s="4" t="s">
        <v>0</v>
      </c>
      <c r="S43" s="16" t="str">
        <f t="shared" si="8"/>
        <v>02-08</v>
      </c>
      <c r="T43" s="14">
        <f t="shared" si="9"/>
        <v>324</v>
      </c>
      <c r="U43" s="18">
        <f t="shared" si="10"/>
        <v>335</v>
      </c>
      <c r="V43" s="14">
        <f t="shared" si="1"/>
        <v>335</v>
      </c>
      <c r="W43" s="18">
        <f t="shared" si="11"/>
        <v>335</v>
      </c>
      <c r="X43" s="14">
        <f t="shared" si="1"/>
        <v>335</v>
      </c>
      <c r="Y43" s="18">
        <f t="shared" si="12"/>
        <v>320</v>
      </c>
      <c r="Z43" s="14">
        <f t="shared" si="1"/>
        <v>324</v>
      </c>
      <c r="AA43" s="18">
        <f t="shared" si="13"/>
        <v>320</v>
      </c>
      <c r="AB43" s="4" t="s">
        <v>0</v>
      </c>
    </row>
    <row r="44" spans="1:28">
      <c r="A44" s="9" t="s">
        <v>25</v>
      </c>
      <c r="B44" s="24"/>
      <c r="C44" s="26">
        <v>7</v>
      </c>
      <c r="D44" s="28">
        <f t="shared" si="20"/>
        <v>336</v>
      </c>
      <c r="E44" s="29">
        <f t="shared" si="21"/>
        <v>415</v>
      </c>
      <c r="F44" s="28">
        <f t="shared" si="22"/>
        <v>347</v>
      </c>
      <c r="G44" s="29">
        <f t="shared" si="23"/>
        <v>430</v>
      </c>
      <c r="H44" s="4" t="s">
        <v>0</v>
      </c>
      <c r="I44" s="16" t="str">
        <f t="shared" si="0"/>
        <v>02-07</v>
      </c>
      <c r="J44" s="14">
        <f t="shared" si="2"/>
        <v>336</v>
      </c>
      <c r="K44" s="15">
        <f t="shared" si="2"/>
        <v>415</v>
      </c>
      <c r="L44" s="17">
        <f t="shared" si="3"/>
        <v>347</v>
      </c>
      <c r="M44" s="18">
        <f t="shared" si="4"/>
        <v>415</v>
      </c>
      <c r="N44" s="14">
        <f t="shared" si="5"/>
        <v>347</v>
      </c>
      <c r="O44" s="15">
        <f t="shared" si="5"/>
        <v>430</v>
      </c>
      <c r="P44" s="17">
        <f t="shared" si="6"/>
        <v>336</v>
      </c>
      <c r="Q44" s="18">
        <f t="shared" si="7"/>
        <v>430</v>
      </c>
      <c r="R44" s="4" t="s">
        <v>0</v>
      </c>
      <c r="S44" s="16" t="str">
        <f t="shared" si="8"/>
        <v>02-07</v>
      </c>
      <c r="T44" s="14">
        <f t="shared" si="9"/>
        <v>336</v>
      </c>
      <c r="U44" s="18">
        <f t="shared" si="10"/>
        <v>335</v>
      </c>
      <c r="V44" s="14">
        <f t="shared" si="1"/>
        <v>347</v>
      </c>
      <c r="W44" s="18">
        <f t="shared" si="11"/>
        <v>335</v>
      </c>
      <c r="X44" s="14">
        <f t="shared" si="1"/>
        <v>347</v>
      </c>
      <c r="Y44" s="18">
        <f t="shared" si="12"/>
        <v>320</v>
      </c>
      <c r="Z44" s="14">
        <f t="shared" si="1"/>
        <v>336</v>
      </c>
      <c r="AA44" s="18">
        <f t="shared" si="13"/>
        <v>320</v>
      </c>
      <c r="AB44" s="4" t="s">
        <v>0</v>
      </c>
    </row>
    <row r="45" spans="1:28">
      <c r="A45" s="9" t="s">
        <v>24</v>
      </c>
      <c r="B45" s="24"/>
      <c r="C45" s="26">
        <v>8</v>
      </c>
      <c r="D45" s="28">
        <f t="shared" si="20"/>
        <v>347</v>
      </c>
      <c r="E45" s="29">
        <f t="shared" si="21"/>
        <v>415</v>
      </c>
      <c r="F45" s="28">
        <f t="shared" si="22"/>
        <v>358</v>
      </c>
      <c r="G45" s="29">
        <f t="shared" si="23"/>
        <v>430</v>
      </c>
      <c r="H45" s="4" t="s">
        <v>0</v>
      </c>
      <c r="I45" s="16" t="str">
        <f t="shared" si="0"/>
        <v>02-06</v>
      </c>
      <c r="J45" s="14">
        <f t="shared" si="2"/>
        <v>347</v>
      </c>
      <c r="K45" s="15">
        <f t="shared" si="2"/>
        <v>415</v>
      </c>
      <c r="L45" s="17">
        <f t="shared" si="3"/>
        <v>358</v>
      </c>
      <c r="M45" s="18">
        <f t="shared" si="4"/>
        <v>415</v>
      </c>
      <c r="N45" s="14">
        <f t="shared" si="5"/>
        <v>358</v>
      </c>
      <c r="O45" s="15">
        <f t="shared" si="5"/>
        <v>430</v>
      </c>
      <c r="P45" s="17">
        <f t="shared" si="6"/>
        <v>347</v>
      </c>
      <c r="Q45" s="18">
        <f t="shared" si="7"/>
        <v>430</v>
      </c>
      <c r="R45" s="4" t="s">
        <v>0</v>
      </c>
      <c r="S45" s="16" t="str">
        <f t="shared" si="8"/>
        <v>02-06</v>
      </c>
      <c r="T45" s="14">
        <f t="shared" si="9"/>
        <v>347</v>
      </c>
      <c r="U45" s="18">
        <f t="shared" si="10"/>
        <v>335</v>
      </c>
      <c r="V45" s="14">
        <f t="shared" si="1"/>
        <v>358</v>
      </c>
      <c r="W45" s="18">
        <f t="shared" si="11"/>
        <v>335</v>
      </c>
      <c r="X45" s="14">
        <f t="shared" si="1"/>
        <v>358</v>
      </c>
      <c r="Y45" s="18">
        <f t="shared" si="12"/>
        <v>320</v>
      </c>
      <c r="Z45" s="14">
        <f t="shared" si="1"/>
        <v>347</v>
      </c>
      <c r="AA45" s="18">
        <f t="shared" si="13"/>
        <v>320</v>
      </c>
      <c r="AB45" s="4" t="s">
        <v>0</v>
      </c>
    </row>
    <row r="46" spans="1:28">
      <c r="A46" s="9" t="s">
        <v>23</v>
      </c>
      <c r="B46" s="24"/>
      <c r="C46" s="26">
        <v>9</v>
      </c>
      <c r="D46" s="28">
        <f t="shared" si="20"/>
        <v>359</v>
      </c>
      <c r="E46" s="29">
        <f t="shared" si="21"/>
        <v>415</v>
      </c>
      <c r="F46" s="28">
        <f t="shared" si="22"/>
        <v>370</v>
      </c>
      <c r="G46" s="29">
        <f t="shared" si="23"/>
        <v>430</v>
      </c>
      <c r="H46" s="4" t="s">
        <v>0</v>
      </c>
      <c r="I46" s="16" t="str">
        <f t="shared" si="0"/>
        <v>02-05</v>
      </c>
      <c r="J46" s="14">
        <f t="shared" si="2"/>
        <v>359</v>
      </c>
      <c r="K46" s="15">
        <f t="shared" si="2"/>
        <v>415</v>
      </c>
      <c r="L46" s="17">
        <f t="shared" si="3"/>
        <v>370</v>
      </c>
      <c r="M46" s="18">
        <f t="shared" si="4"/>
        <v>415</v>
      </c>
      <c r="N46" s="14">
        <f t="shared" si="5"/>
        <v>370</v>
      </c>
      <c r="O46" s="15">
        <f t="shared" si="5"/>
        <v>430</v>
      </c>
      <c r="P46" s="17">
        <f t="shared" si="6"/>
        <v>359</v>
      </c>
      <c r="Q46" s="18">
        <f t="shared" si="7"/>
        <v>430</v>
      </c>
      <c r="R46" s="4" t="s">
        <v>0</v>
      </c>
      <c r="S46" s="16" t="str">
        <f t="shared" si="8"/>
        <v>02-05</v>
      </c>
      <c r="T46" s="14">
        <f t="shared" si="9"/>
        <v>359</v>
      </c>
      <c r="U46" s="18">
        <f t="shared" si="10"/>
        <v>335</v>
      </c>
      <c r="V46" s="14">
        <f t="shared" si="1"/>
        <v>370</v>
      </c>
      <c r="W46" s="18">
        <f t="shared" si="11"/>
        <v>335</v>
      </c>
      <c r="X46" s="14">
        <f t="shared" si="1"/>
        <v>370</v>
      </c>
      <c r="Y46" s="18">
        <f t="shared" si="12"/>
        <v>320</v>
      </c>
      <c r="Z46" s="14">
        <f t="shared" si="1"/>
        <v>359</v>
      </c>
      <c r="AA46" s="18">
        <f t="shared" si="13"/>
        <v>320</v>
      </c>
      <c r="AB46" s="4" t="s">
        <v>0</v>
      </c>
    </row>
    <row r="47" spans="1:28">
      <c r="A47" s="9" t="s">
        <v>22</v>
      </c>
      <c r="B47" s="24"/>
      <c r="C47" s="26">
        <v>10</v>
      </c>
      <c r="D47" s="28">
        <f t="shared" si="20"/>
        <v>370</v>
      </c>
      <c r="E47" s="29">
        <f t="shared" si="21"/>
        <v>415</v>
      </c>
      <c r="F47" s="28">
        <f t="shared" si="22"/>
        <v>381</v>
      </c>
      <c r="G47" s="29">
        <f t="shared" si="23"/>
        <v>430</v>
      </c>
      <c r="H47" s="4" t="s">
        <v>0</v>
      </c>
      <c r="I47" s="16" t="str">
        <f t="shared" si="0"/>
        <v>02-03</v>
      </c>
      <c r="J47" s="14">
        <f t="shared" si="2"/>
        <v>370</v>
      </c>
      <c r="K47" s="15">
        <f t="shared" si="2"/>
        <v>415</v>
      </c>
      <c r="L47" s="17">
        <f t="shared" si="3"/>
        <v>381</v>
      </c>
      <c r="M47" s="18">
        <f t="shared" si="4"/>
        <v>415</v>
      </c>
      <c r="N47" s="14">
        <f t="shared" si="5"/>
        <v>381</v>
      </c>
      <c r="O47" s="15">
        <f t="shared" si="5"/>
        <v>430</v>
      </c>
      <c r="P47" s="17">
        <f t="shared" si="6"/>
        <v>370</v>
      </c>
      <c r="Q47" s="18">
        <f t="shared" si="7"/>
        <v>430</v>
      </c>
      <c r="R47" s="4" t="s">
        <v>0</v>
      </c>
      <c r="S47" s="16" t="str">
        <f t="shared" si="8"/>
        <v>02-03</v>
      </c>
      <c r="T47" s="14">
        <f t="shared" si="9"/>
        <v>370</v>
      </c>
      <c r="U47" s="18">
        <f t="shared" si="10"/>
        <v>335</v>
      </c>
      <c r="V47" s="14">
        <f t="shared" si="1"/>
        <v>381</v>
      </c>
      <c r="W47" s="18">
        <f t="shared" si="11"/>
        <v>335</v>
      </c>
      <c r="X47" s="14">
        <f t="shared" si="1"/>
        <v>381</v>
      </c>
      <c r="Y47" s="18">
        <f t="shared" si="12"/>
        <v>320</v>
      </c>
      <c r="Z47" s="14">
        <f t="shared" si="1"/>
        <v>370</v>
      </c>
      <c r="AA47" s="18">
        <f t="shared" si="13"/>
        <v>320</v>
      </c>
      <c r="AB47" s="4" t="s">
        <v>0</v>
      </c>
    </row>
    <row r="48" spans="1:28">
      <c r="A48" s="9" t="s">
        <v>21</v>
      </c>
      <c r="B48" s="24"/>
      <c r="C48" s="26">
        <v>11</v>
      </c>
      <c r="D48" s="28">
        <f t="shared" si="20"/>
        <v>382</v>
      </c>
      <c r="E48" s="29">
        <f t="shared" si="21"/>
        <v>415</v>
      </c>
      <c r="F48" s="28">
        <f t="shared" si="22"/>
        <v>393</v>
      </c>
      <c r="G48" s="29">
        <f t="shared" si="23"/>
        <v>430</v>
      </c>
      <c r="H48" s="4" t="s">
        <v>0</v>
      </c>
      <c r="I48" s="16" t="str">
        <f t="shared" si="0"/>
        <v>02-02</v>
      </c>
      <c r="J48" s="14">
        <f t="shared" si="2"/>
        <v>382</v>
      </c>
      <c r="K48" s="15">
        <f t="shared" si="2"/>
        <v>415</v>
      </c>
      <c r="L48" s="17">
        <f t="shared" si="3"/>
        <v>393</v>
      </c>
      <c r="M48" s="18">
        <f t="shared" si="4"/>
        <v>415</v>
      </c>
      <c r="N48" s="14">
        <f t="shared" si="5"/>
        <v>393</v>
      </c>
      <c r="O48" s="15">
        <f t="shared" si="5"/>
        <v>430</v>
      </c>
      <c r="P48" s="17">
        <f t="shared" si="6"/>
        <v>382</v>
      </c>
      <c r="Q48" s="18">
        <f t="shared" si="7"/>
        <v>430</v>
      </c>
      <c r="R48" s="4" t="s">
        <v>0</v>
      </c>
      <c r="S48" s="16" t="str">
        <f t="shared" si="8"/>
        <v>02-02</v>
      </c>
      <c r="T48" s="14">
        <f t="shared" si="9"/>
        <v>382</v>
      </c>
      <c r="U48" s="18">
        <f t="shared" si="10"/>
        <v>335</v>
      </c>
      <c r="V48" s="14">
        <f t="shared" si="1"/>
        <v>393</v>
      </c>
      <c r="W48" s="18">
        <f t="shared" si="11"/>
        <v>335</v>
      </c>
      <c r="X48" s="14">
        <f t="shared" si="1"/>
        <v>393</v>
      </c>
      <c r="Y48" s="18">
        <f t="shared" si="12"/>
        <v>320</v>
      </c>
      <c r="Z48" s="14">
        <f t="shared" si="1"/>
        <v>382</v>
      </c>
      <c r="AA48" s="18">
        <f t="shared" si="13"/>
        <v>320</v>
      </c>
      <c r="AB48" s="4" t="s">
        <v>0</v>
      </c>
    </row>
    <row r="49" spans="1:28">
      <c r="A49" s="9" t="s">
        <v>20</v>
      </c>
      <c r="B49" s="24"/>
      <c r="C49" s="26">
        <v>12</v>
      </c>
      <c r="D49" s="28">
        <f t="shared" si="20"/>
        <v>393</v>
      </c>
      <c r="E49" s="29">
        <f t="shared" si="21"/>
        <v>415</v>
      </c>
      <c r="F49" s="28">
        <f t="shared" si="22"/>
        <v>404</v>
      </c>
      <c r="G49" s="29">
        <f t="shared" si="23"/>
        <v>430</v>
      </c>
      <c r="H49" s="4" t="s">
        <v>0</v>
      </c>
      <c r="I49" s="16" t="str">
        <f t="shared" si="0"/>
        <v>02-01</v>
      </c>
      <c r="J49" s="14">
        <f t="shared" si="2"/>
        <v>393</v>
      </c>
      <c r="K49" s="15">
        <f t="shared" si="2"/>
        <v>415</v>
      </c>
      <c r="L49" s="17">
        <f t="shared" si="3"/>
        <v>404</v>
      </c>
      <c r="M49" s="18">
        <f t="shared" si="4"/>
        <v>415</v>
      </c>
      <c r="N49" s="14">
        <f t="shared" si="5"/>
        <v>404</v>
      </c>
      <c r="O49" s="15">
        <f t="shared" si="5"/>
        <v>430</v>
      </c>
      <c r="P49" s="17">
        <f t="shared" si="6"/>
        <v>393</v>
      </c>
      <c r="Q49" s="18">
        <f t="shared" si="7"/>
        <v>430</v>
      </c>
      <c r="R49" s="4" t="s">
        <v>0</v>
      </c>
      <c r="S49" s="16" t="str">
        <f t="shared" si="8"/>
        <v>02-01</v>
      </c>
      <c r="T49" s="14">
        <f t="shared" si="9"/>
        <v>393</v>
      </c>
      <c r="U49" s="18">
        <f t="shared" si="10"/>
        <v>335</v>
      </c>
      <c r="V49" s="14">
        <f t="shared" si="1"/>
        <v>404</v>
      </c>
      <c r="W49" s="18">
        <f t="shared" si="11"/>
        <v>335</v>
      </c>
      <c r="X49" s="14">
        <f t="shared" si="1"/>
        <v>404</v>
      </c>
      <c r="Y49" s="18">
        <f t="shared" si="12"/>
        <v>320</v>
      </c>
      <c r="Z49" s="14">
        <f t="shared" si="1"/>
        <v>393</v>
      </c>
      <c r="AA49" s="18">
        <f t="shared" si="13"/>
        <v>320</v>
      </c>
      <c r="AB49" s="4" t="s">
        <v>0</v>
      </c>
    </row>
  </sheetData>
  <autoFilter ref="A10:AB49" xr:uid="{00000000-0001-0000-0000-000000000000}"/>
  <mergeCells count="2">
    <mergeCell ref="D3:G3"/>
    <mergeCell ref="D4:G4"/>
  </mergeCells>
  <phoneticPr fontId="1"/>
  <hyperlinks>
    <hyperlink ref="N4" r:id="rId1" xr:uid="{4B2D44A1-DA26-41A0-AD1B-03D5FCBFC18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5AE6C-8BA6-48E6-BF45-3C6B4B994DFA}">
  <sheetPr codeName="Sheet13">
    <pageSetUpPr fitToPage="1"/>
  </sheetPr>
  <dimension ref="A1:AB183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SEC_11_3_釈C.json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SEC_11_3_釈C.png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579</v>
      </c>
      <c r="B11" s="30" t="s">
        <v>698</v>
      </c>
      <c r="C11" s="4" t="s">
        <v>0</v>
      </c>
      <c r="D11" s="27">
        <v>23</v>
      </c>
      <c r="E11" s="31">
        <v>103</v>
      </c>
      <c r="F11" s="31">
        <v>37</v>
      </c>
      <c r="G11" s="31">
        <v>118</v>
      </c>
      <c r="H11" s="4" t="s">
        <v>0</v>
      </c>
      <c r="I11" s="16" t="str">
        <f t="shared" ref="I11:I183" si="0">A11</f>
        <v>07-36</v>
      </c>
      <c r="J11" s="14">
        <f>IF(D11&lt;&gt;"",D11,0)</f>
        <v>23</v>
      </c>
      <c r="K11" s="15">
        <f>IF(E11&lt;&gt;"",E11,0)</f>
        <v>103</v>
      </c>
      <c r="L11" s="17">
        <f>N11</f>
        <v>37</v>
      </c>
      <c r="M11" s="18">
        <f>K11</f>
        <v>103</v>
      </c>
      <c r="N11" s="14">
        <f>IF(F11&lt;&gt;"",F11,0)</f>
        <v>37</v>
      </c>
      <c r="O11" s="15">
        <f>IF(G11&lt;&gt;"",G11,0)</f>
        <v>118</v>
      </c>
      <c r="P11" s="17">
        <f>J11</f>
        <v>23</v>
      </c>
      <c r="Q11" s="18">
        <f>O11</f>
        <v>118</v>
      </c>
      <c r="R11" s="4" t="s">
        <v>0</v>
      </c>
      <c r="S11" s="16" t="str">
        <f>I11</f>
        <v>07-36</v>
      </c>
      <c r="T11" s="14">
        <f>IF(J11&lt;&gt;"",J11,"")</f>
        <v>23</v>
      </c>
      <c r="U11" s="18">
        <f>IF(K11&lt;&gt;"",U$6-K11,"")</f>
        <v>647</v>
      </c>
      <c r="V11" s="14">
        <f t="shared" ref="V11:Z183" si="1">IF(L11&lt;&gt;"",L11,"")</f>
        <v>37</v>
      </c>
      <c r="W11" s="18">
        <f>IF(M11&lt;&gt;"",W$6-M11,"")</f>
        <v>647</v>
      </c>
      <c r="X11" s="14">
        <f t="shared" si="1"/>
        <v>37</v>
      </c>
      <c r="Y11" s="18">
        <f>IF(O11&lt;&gt;"",Y$6-O11,"")</f>
        <v>632</v>
      </c>
      <c r="Z11" s="14">
        <f t="shared" si="1"/>
        <v>23</v>
      </c>
      <c r="AA11" s="18">
        <f>IF(Q11&lt;&gt;"",AA$6-Q11,"")</f>
        <v>632</v>
      </c>
      <c r="AB11" s="4" t="s">
        <v>0</v>
      </c>
    </row>
    <row r="12" spans="1:28">
      <c r="A12" s="9" t="s">
        <v>578</v>
      </c>
      <c r="B12" s="24"/>
      <c r="C12" s="26">
        <v>1</v>
      </c>
      <c r="D12" s="28">
        <f>ROUND(D$11+13.7*$C12, 0)</f>
        <v>37</v>
      </c>
      <c r="E12" s="29">
        <f>E$11</f>
        <v>103</v>
      </c>
      <c r="F12" s="28">
        <f>ROUND(F$11+13.7*$C12, 0)</f>
        <v>51</v>
      </c>
      <c r="G12" s="29">
        <f>G$11</f>
        <v>118</v>
      </c>
      <c r="H12" s="4" t="s">
        <v>0</v>
      </c>
      <c r="I12" s="16" t="str">
        <f t="shared" si="0"/>
        <v>07-35</v>
      </c>
      <c r="J12" s="14">
        <f t="shared" ref="J12:K183" si="2">IF(D12&lt;&gt;"",D12,0)</f>
        <v>37</v>
      </c>
      <c r="K12" s="15">
        <f t="shared" si="2"/>
        <v>103</v>
      </c>
      <c r="L12" s="17">
        <f t="shared" ref="L12:L183" si="3">N12</f>
        <v>51</v>
      </c>
      <c r="M12" s="18">
        <f t="shared" ref="M12:M183" si="4">K12</f>
        <v>103</v>
      </c>
      <c r="N12" s="14">
        <f t="shared" ref="N12:O183" si="5">IF(F12&lt;&gt;"",F12,0)</f>
        <v>51</v>
      </c>
      <c r="O12" s="15">
        <f t="shared" si="5"/>
        <v>118</v>
      </c>
      <c r="P12" s="17">
        <f t="shared" ref="P12:P183" si="6">J12</f>
        <v>37</v>
      </c>
      <c r="Q12" s="18">
        <f t="shared" ref="Q12:Q183" si="7">O12</f>
        <v>118</v>
      </c>
      <c r="R12" s="4" t="s">
        <v>0</v>
      </c>
      <c r="S12" s="16" t="str">
        <f t="shared" ref="S12:S183" si="8">I12</f>
        <v>07-35</v>
      </c>
      <c r="T12" s="14">
        <f t="shared" ref="T12:T183" si="9">IF(J12&lt;&gt;"",J12,"")</f>
        <v>37</v>
      </c>
      <c r="U12" s="18">
        <f t="shared" ref="U12:U183" si="10">IF(K12&lt;&gt;"",U$6-K12,"")</f>
        <v>647</v>
      </c>
      <c r="V12" s="14">
        <f t="shared" si="1"/>
        <v>51</v>
      </c>
      <c r="W12" s="18">
        <f t="shared" ref="W12:W183" si="11">IF(M12&lt;&gt;"",W$6-M12,"")</f>
        <v>647</v>
      </c>
      <c r="X12" s="14">
        <f t="shared" si="1"/>
        <v>51</v>
      </c>
      <c r="Y12" s="18">
        <f t="shared" ref="Y12:Y183" si="12">IF(O12&lt;&gt;"",Y$6-O12,"")</f>
        <v>632</v>
      </c>
      <c r="Z12" s="14">
        <f t="shared" si="1"/>
        <v>37</v>
      </c>
      <c r="AA12" s="18">
        <f t="shared" ref="AA12:AA183" si="13">IF(Q12&lt;&gt;"",AA$6-Q12,"")</f>
        <v>632</v>
      </c>
      <c r="AB12" s="4" t="s">
        <v>0</v>
      </c>
    </row>
    <row r="13" spans="1:28">
      <c r="A13" s="9" t="s">
        <v>577</v>
      </c>
      <c r="B13" s="24"/>
      <c r="C13" s="26">
        <v>2</v>
      </c>
      <c r="D13" s="28">
        <f t="shared" ref="D13:D25" si="14">ROUND(D$11+13.7*$C13, 0)</f>
        <v>50</v>
      </c>
      <c r="E13" s="29">
        <f t="shared" ref="E13:E25" si="15">E$11</f>
        <v>103</v>
      </c>
      <c r="F13" s="28">
        <f t="shared" ref="F13:F25" si="16">ROUND(F$11+13.7*$C13, 0)</f>
        <v>64</v>
      </c>
      <c r="G13" s="29">
        <f t="shared" ref="G13:G25" si="17">G$11</f>
        <v>118</v>
      </c>
      <c r="H13" s="4" t="s">
        <v>0</v>
      </c>
      <c r="I13" s="16" t="str">
        <f t="shared" ref="I13:I75" si="18">A13</f>
        <v>07-33</v>
      </c>
      <c r="J13" s="14">
        <f t="shared" ref="J13:J75" si="19">IF(D13&lt;&gt;"",D13,0)</f>
        <v>50</v>
      </c>
      <c r="K13" s="15">
        <f t="shared" ref="K13:K75" si="20">IF(E13&lt;&gt;"",E13,0)</f>
        <v>103</v>
      </c>
      <c r="L13" s="17">
        <f t="shared" ref="L13:L75" si="21">N13</f>
        <v>64</v>
      </c>
      <c r="M13" s="18">
        <f t="shared" ref="M13:M75" si="22">K13</f>
        <v>103</v>
      </c>
      <c r="N13" s="14">
        <f t="shared" ref="N13:N75" si="23">IF(F13&lt;&gt;"",F13,0)</f>
        <v>64</v>
      </c>
      <c r="O13" s="15">
        <f t="shared" ref="O13:O75" si="24">IF(G13&lt;&gt;"",G13,0)</f>
        <v>118</v>
      </c>
      <c r="P13" s="17">
        <f t="shared" ref="P13:P75" si="25">J13</f>
        <v>50</v>
      </c>
      <c r="Q13" s="18">
        <f t="shared" ref="Q13:Q75" si="26">O13</f>
        <v>118</v>
      </c>
      <c r="R13" s="4" t="s">
        <v>0</v>
      </c>
      <c r="S13" s="16" t="str">
        <f t="shared" ref="S13:S75" si="27">I13</f>
        <v>07-33</v>
      </c>
      <c r="T13" s="14">
        <f t="shared" ref="T13:T75" si="28">IF(J13&lt;&gt;"",J13,"")</f>
        <v>50</v>
      </c>
      <c r="U13" s="18">
        <f t="shared" ref="U13:U75" si="29">IF(K13&lt;&gt;"",U$6-K13,"")</f>
        <v>647</v>
      </c>
      <c r="V13" s="14">
        <f t="shared" ref="V13:V75" si="30">IF(L13&lt;&gt;"",L13,"")</f>
        <v>64</v>
      </c>
      <c r="W13" s="18">
        <f t="shared" ref="W13:W75" si="31">IF(M13&lt;&gt;"",W$6-M13,"")</f>
        <v>647</v>
      </c>
      <c r="X13" s="14">
        <f t="shared" ref="X13:X75" si="32">IF(N13&lt;&gt;"",N13,"")</f>
        <v>64</v>
      </c>
      <c r="Y13" s="18">
        <f t="shared" ref="Y13:Y75" si="33">IF(O13&lt;&gt;"",Y$6-O13,"")</f>
        <v>632</v>
      </c>
      <c r="Z13" s="14">
        <f t="shared" ref="Z13:Z75" si="34">IF(P13&lt;&gt;"",P13,"")</f>
        <v>50</v>
      </c>
      <c r="AA13" s="18">
        <f t="shared" ref="AA13:AA75" si="35">IF(Q13&lt;&gt;"",AA$6-Q13,"")</f>
        <v>632</v>
      </c>
      <c r="AB13" s="4" t="s">
        <v>0</v>
      </c>
    </row>
    <row r="14" spans="1:28">
      <c r="A14" s="9" t="s">
        <v>576</v>
      </c>
      <c r="B14" s="24"/>
      <c r="C14" s="26">
        <v>3</v>
      </c>
      <c r="D14" s="28">
        <f t="shared" si="14"/>
        <v>64</v>
      </c>
      <c r="E14" s="29">
        <f t="shared" si="15"/>
        <v>103</v>
      </c>
      <c r="F14" s="28">
        <f t="shared" si="16"/>
        <v>78</v>
      </c>
      <c r="G14" s="29">
        <f t="shared" si="17"/>
        <v>118</v>
      </c>
      <c r="H14" s="4" t="s">
        <v>0</v>
      </c>
      <c r="I14" s="16" t="str">
        <f t="shared" si="18"/>
        <v>07-32</v>
      </c>
      <c r="J14" s="14">
        <f t="shared" si="19"/>
        <v>64</v>
      </c>
      <c r="K14" s="15">
        <f t="shared" si="20"/>
        <v>103</v>
      </c>
      <c r="L14" s="17">
        <f t="shared" si="21"/>
        <v>78</v>
      </c>
      <c r="M14" s="18">
        <f t="shared" si="22"/>
        <v>103</v>
      </c>
      <c r="N14" s="14">
        <f t="shared" si="23"/>
        <v>78</v>
      </c>
      <c r="O14" s="15">
        <f t="shared" si="24"/>
        <v>118</v>
      </c>
      <c r="P14" s="17">
        <f t="shared" si="25"/>
        <v>64</v>
      </c>
      <c r="Q14" s="18">
        <f t="shared" si="26"/>
        <v>118</v>
      </c>
      <c r="R14" s="4" t="s">
        <v>0</v>
      </c>
      <c r="S14" s="16" t="str">
        <f t="shared" si="27"/>
        <v>07-32</v>
      </c>
      <c r="T14" s="14">
        <f t="shared" si="28"/>
        <v>64</v>
      </c>
      <c r="U14" s="18">
        <f t="shared" si="29"/>
        <v>647</v>
      </c>
      <c r="V14" s="14">
        <f t="shared" si="30"/>
        <v>78</v>
      </c>
      <c r="W14" s="18">
        <f t="shared" si="31"/>
        <v>647</v>
      </c>
      <c r="X14" s="14">
        <f t="shared" si="32"/>
        <v>78</v>
      </c>
      <c r="Y14" s="18">
        <f t="shared" si="33"/>
        <v>632</v>
      </c>
      <c r="Z14" s="14">
        <f t="shared" si="34"/>
        <v>64</v>
      </c>
      <c r="AA14" s="18">
        <f t="shared" si="35"/>
        <v>632</v>
      </c>
      <c r="AB14" s="4" t="s">
        <v>0</v>
      </c>
    </row>
    <row r="15" spans="1:28">
      <c r="A15" s="9" t="s">
        <v>575</v>
      </c>
      <c r="B15" s="24"/>
      <c r="C15" s="26">
        <v>4</v>
      </c>
      <c r="D15" s="28">
        <f t="shared" si="14"/>
        <v>78</v>
      </c>
      <c r="E15" s="29">
        <f t="shared" si="15"/>
        <v>103</v>
      </c>
      <c r="F15" s="28">
        <f t="shared" si="16"/>
        <v>92</v>
      </c>
      <c r="G15" s="29">
        <f t="shared" si="17"/>
        <v>118</v>
      </c>
      <c r="H15" s="4" t="s">
        <v>0</v>
      </c>
      <c r="I15" s="16" t="str">
        <f t="shared" si="18"/>
        <v>07-31</v>
      </c>
      <c r="J15" s="14">
        <f t="shared" si="19"/>
        <v>78</v>
      </c>
      <c r="K15" s="15">
        <f t="shared" si="20"/>
        <v>103</v>
      </c>
      <c r="L15" s="17">
        <f t="shared" si="21"/>
        <v>92</v>
      </c>
      <c r="M15" s="18">
        <f t="shared" si="22"/>
        <v>103</v>
      </c>
      <c r="N15" s="14">
        <f t="shared" si="23"/>
        <v>92</v>
      </c>
      <c r="O15" s="15">
        <f t="shared" si="24"/>
        <v>118</v>
      </c>
      <c r="P15" s="17">
        <f t="shared" si="25"/>
        <v>78</v>
      </c>
      <c r="Q15" s="18">
        <f t="shared" si="26"/>
        <v>118</v>
      </c>
      <c r="R15" s="4" t="s">
        <v>0</v>
      </c>
      <c r="S15" s="16" t="str">
        <f t="shared" si="27"/>
        <v>07-31</v>
      </c>
      <c r="T15" s="14">
        <f t="shared" si="28"/>
        <v>78</v>
      </c>
      <c r="U15" s="18">
        <f t="shared" si="29"/>
        <v>647</v>
      </c>
      <c r="V15" s="14">
        <f t="shared" si="30"/>
        <v>92</v>
      </c>
      <c r="W15" s="18">
        <f t="shared" si="31"/>
        <v>647</v>
      </c>
      <c r="X15" s="14">
        <f t="shared" si="32"/>
        <v>92</v>
      </c>
      <c r="Y15" s="18">
        <f t="shared" si="33"/>
        <v>632</v>
      </c>
      <c r="Z15" s="14">
        <f t="shared" si="34"/>
        <v>78</v>
      </c>
      <c r="AA15" s="18">
        <f t="shared" si="35"/>
        <v>632</v>
      </c>
      <c r="AB15" s="4" t="s">
        <v>0</v>
      </c>
    </row>
    <row r="16" spans="1:28">
      <c r="A16" s="9" t="s">
        <v>574</v>
      </c>
      <c r="B16" s="24"/>
      <c r="C16" s="26">
        <v>5</v>
      </c>
      <c r="D16" s="28">
        <f t="shared" si="14"/>
        <v>92</v>
      </c>
      <c r="E16" s="29">
        <f t="shared" si="15"/>
        <v>103</v>
      </c>
      <c r="F16" s="28">
        <f t="shared" si="16"/>
        <v>106</v>
      </c>
      <c r="G16" s="29">
        <f t="shared" si="17"/>
        <v>118</v>
      </c>
      <c r="H16" s="4" t="s">
        <v>0</v>
      </c>
      <c r="I16" s="16" t="str">
        <f t="shared" si="18"/>
        <v>07-30</v>
      </c>
      <c r="J16" s="14">
        <f t="shared" si="19"/>
        <v>92</v>
      </c>
      <c r="K16" s="15">
        <f t="shared" si="20"/>
        <v>103</v>
      </c>
      <c r="L16" s="17">
        <f t="shared" si="21"/>
        <v>106</v>
      </c>
      <c r="M16" s="18">
        <f t="shared" si="22"/>
        <v>103</v>
      </c>
      <c r="N16" s="14">
        <f t="shared" si="23"/>
        <v>106</v>
      </c>
      <c r="O16" s="15">
        <f t="shared" si="24"/>
        <v>118</v>
      </c>
      <c r="P16" s="17">
        <f t="shared" si="25"/>
        <v>92</v>
      </c>
      <c r="Q16" s="18">
        <f t="shared" si="26"/>
        <v>118</v>
      </c>
      <c r="R16" s="4" t="s">
        <v>0</v>
      </c>
      <c r="S16" s="16" t="str">
        <f t="shared" si="27"/>
        <v>07-30</v>
      </c>
      <c r="T16" s="14">
        <f t="shared" si="28"/>
        <v>92</v>
      </c>
      <c r="U16" s="18">
        <f t="shared" si="29"/>
        <v>647</v>
      </c>
      <c r="V16" s="14">
        <f t="shared" si="30"/>
        <v>106</v>
      </c>
      <c r="W16" s="18">
        <f t="shared" si="31"/>
        <v>647</v>
      </c>
      <c r="X16" s="14">
        <f t="shared" si="32"/>
        <v>106</v>
      </c>
      <c r="Y16" s="18">
        <f t="shared" si="33"/>
        <v>632</v>
      </c>
      <c r="Z16" s="14">
        <f t="shared" si="34"/>
        <v>92</v>
      </c>
      <c r="AA16" s="18">
        <f t="shared" si="35"/>
        <v>632</v>
      </c>
      <c r="AB16" s="4" t="s">
        <v>0</v>
      </c>
    </row>
    <row r="17" spans="1:28">
      <c r="A17" s="9" t="s">
        <v>445</v>
      </c>
      <c r="B17" s="24"/>
      <c r="C17" s="26">
        <v>6</v>
      </c>
      <c r="D17" s="28">
        <f t="shared" si="14"/>
        <v>105</v>
      </c>
      <c r="E17" s="29">
        <f t="shared" si="15"/>
        <v>103</v>
      </c>
      <c r="F17" s="28">
        <f t="shared" si="16"/>
        <v>119</v>
      </c>
      <c r="G17" s="29">
        <f t="shared" si="17"/>
        <v>118</v>
      </c>
      <c r="H17" s="4" t="s">
        <v>0</v>
      </c>
      <c r="I17" s="16" t="str">
        <f t="shared" si="18"/>
        <v>07-28</v>
      </c>
      <c r="J17" s="14">
        <f t="shared" si="19"/>
        <v>105</v>
      </c>
      <c r="K17" s="15">
        <f t="shared" si="20"/>
        <v>103</v>
      </c>
      <c r="L17" s="17">
        <f t="shared" si="21"/>
        <v>119</v>
      </c>
      <c r="M17" s="18">
        <f t="shared" si="22"/>
        <v>103</v>
      </c>
      <c r="N17" s="14">
        <f t="shared" si="23"/>
        <v>119</v>
      </c>
      <c r="O17" s="15">
        <f t="shared" si="24"/>
        <v>118</v>
      </c>
      <c r="P17" s="17">
        <f t="shared" si="25"/>
        <v>105</v>
      </c>
      <c r="Q17" s="18">
        <f t="shared" si="26"/>
        <v>118</v>
      </c>
      <c r="R17" s="4" t="s">
        <v>0</v>
      </c>
      <c r="S17" s="16" t="str">
        <f t="shared" si="27"/>
        <v>07-28</v>
      </c>
      <c r="T17" s="14">
        <f t="shared" si="28"/>
        <v>105</v>
      </c>
      <c r="U17" s="18">
        <f t="shared" si="29"/>
        <v>647</v>
      </c>
      <c r="V17" s="14">
        <f t="shared" si="30"/>
        <v>119</v>
      </c>
      <c r="W17" s="18">
        <f t="shared" si="31"/>
        <v>647</v>
      </c>
      <c r="X17" s="14">
        <f t="shared" si="32"/>
        <v>119</v>
      </c>
      <c r="Y17" s="18">
        <f t="shared" si="33"/>
        <v>632</v>
      </c>
      <c r="Z17" s="14">
        <f t="shared" si="34"/>
        <v>105</v>
      </c>
      <c r="AA17" s="18">
        <f t="shared" si="35"/>
        <v>632</v>
      </c>
      <c r="AB17" s="4" t="s">
        <v>0</v>
      </c>
    </row>
    <row r="18" spans="1:28">
      <c r="A18" s="9" t="s">
        <v>444</v>
      </c>
      <c r="B18" s="24"/>
      <c r="C18" s="26">
        <v>7</v>
      </c>
      <c r="D18" s="28">
        <f t="shared" si="14"/>
        <v>119</v>
      </c>
      <c r="E18" s="29">
        <f t="shared" si="15"/>
        <v>103</v>
      </c>
      <c r="F18" s="28">
        <f t="shared" si="16"/>
        <v>133</v>
      </c>
      <c r="G18" s="29">
        <f t="shared" si="17"/>
        <v>118</v>
      </c>
      <c r="H18" s="4" t="s">
        <v>0</v>
      </c>
      <c r="I18" s="16" t="str">
        <f t="shared" si="18"/>
        <v>07-27</v>
      </c>
      <c r="J18" s="14">
        <f t="shared" si="19"/>
        <v>119</v>
      </c>
      <c r="K18" s="15">
        <f t="shared" si="20"/>
        <v>103</v>
      </c>
      <c r="L18" s="17">
        <f t="shared" si="21"/>
        <v>133</v>
      </c>
      <c r="M18" s="18">
        <f t="shared" si="22"/>
        <v>103</v>
      </c>
      <c r="N18" s="14">
        <f t="shared" si="23"/>
        <v>133</v>
      </c>
      <c r="O18" s="15">
        <f t="shared" si="24"/>
        <v>118</v>
      </c>
      <c r="P18" s="17">
        <f t="shared" si="25"/>
        <v>119</v>
      </c>
      <c r="Q18" s="18">
        <f t="shared" si="26"/>
        <v>118</v>
      </c>
      <c r="R18" s="4" t="s">
        <v>0</v>
      </c>
      <c r="S18" s="16" t="str">
        <f t="shared" si="27"/>
        <v>07-27</v>
      </c>
      <c r="T18" s="14">
        <f t="shared" si="28"/>
        <v>119</v>
      </c>
      <c r="U18" s="18">
        <f t="shared" si="29"/>
        <v>647</v>
      </c>
      <c r="V18" s="14">
        <f t="shared" si="30"/>
        <v>133</v>
      </c>
      <c r="W18" s="18">
        <f t="shared" si="31"/>
        <v>647</v>
      </c>
      <c r="X18" s="14">
        <f t="shared" si="32"/>
        <v>133</v>
      </c>
      <c r="Y18" s="18">
        <f t="shared" si="33"/>
        <v>632</v>
      </c>
      <c r="Z18" s="14">
        <f t="shared" si="34"/>
        <v>119</v>
      </c>
      <c r="AA18" s="18">
        <f t="shared" si="35"/>
        <v>632</v>
      </c>
      <c r="AB18" s="4" t="s">
        <v>0</v>
      </c>
    </row>
    <row r="19" spans="1:28">
      <c r="A19" s="9" t="s">
        <v>443</v>
      </c>
      <c r="B19" s="24"/>
      <c r="C19" s="26">
        <v>8</v>
      </c>
      <c r="D19" s="28">
        <f t="shared" si="14"/>
        <v>133</v>
      </c>
      <c r="E19" s="29">
        <f t="shared" si="15"/>
        <v>103</v>
      </c>
      <c r="F19" s="28">
        <f t="shared" si="16"/>
        <v>147</v>
      </c>
      <c r="G19" s="29">
        <f t="shared" si="17"/>
        <v>118</v>
      </c>
      <c r="H19" s="4" t="s">
        <v>0</v>
      </c>
      <c r="I19" s="16" t="str">
        <f t="shared" si="18"/>
        <v>07-26</v>
      </c>
      <c r="J19" s="14">
        <f t="shared" si="19"/>
        <v>133</v>
      </c>
      <c r="K19" s="15">
        <f t="shared" si="20"/>
        <v>103</v>
      </c>
      <c r="L19" s="17">
        <f t="shared" si="21"/>
        <v>147</v>
      </c>
      <c r="M19" s="18">
        <f t="shared" si="22"/>
        <v>103</v>
      </c>
      <c r="N19" s="14">
        <f t="shared" si="23"/>
        <v>147</v>
      </c>
      <c r="O19" s="15">
        <f t="shared" si="24"/>
        <v>118</v>
      </c>
      <c r="P19" s="17">
        <f t="shared" si="25"/>
        <v>133</v>
      </c>
      <c r="Q19" s="18">
        <f t="shared" si="26"/>
        <v>118</v>
      </c>
      <c r="R19" s="4" t="s">
        <v>0</v>
      </c>
      <c r="S19" s="16" t="str">
        <f t="shared" si="27"/>
        <v>07-26</v>
      </c>
      <c r="T19" s="14">
        <f t="shared" si="28"/>
        <v>133</v>
      </c>
      <c r="U19" s="18">
        <f t="shared" si="29"/>
        <v>647</v>
      </c>
      <c r="V19" s="14">
        <f t="shared" si="30"/>
        <v>147</v>
      </c>
      <c r="W19" s="18">
        <f t="shared" si="31"/>
        <v>647</v>
      </c>
      <c r="X19" s="14">
        <f t="shared" si="32"/>
        <v>147</v>
      </c>
      <c r="Y19" s="18">
        <f t="shared" si="33"/>
        <v>632</v>
      </c>
      <c r="Z19" s="14">
        <f t="shared" si="34"/>
        <v>133</v>
      </c>
      <c r="AA19" s="18">
        <f t="shared" si="35"/>
        <v>632</v>
      </c>
      <c r="AB19" s="4" t="s">
        <v>0</v>
      </c>
    </row>
    <row r="20" spans="1:28">
      <c r="A20" s="9" t="s">
        <v>442</v>
      </c>
      <c r="B20" s="24"/>
      <c r="C20" s="26">
        <v>9</v>
      </c>
      <c r="D20" s="28">
        <f t="shared" si="14"/>
        <v>146</v>
      </c>
      <c r="E20" s="29">
        <f t="shared" si="15"/>
        <v>103</v>
      </c>
      <c r="F20" s="28">
        <f t="shared" si="16"/>
        <v>160</v>
      </c>
      <c r="G20" s="29">
        <f t="shared" si="17"/>
        <v>118</v>
      </c>
      <c r="H20" s="4" t="s">
        <v>0</v>
      </c>
      <c r="I20" s="16" t="str">
        <f t="shared" si="18"/>
        <v>07-25</v>
      </c>
      <c r="J20" s="14">
        <f t="shared" si="19"/>
        <v>146</v>
      </c>
      <c r="K20" s="15">
        <f t="shared" si="20"/>
        <v>103</v>
      </c>
      <c r="L20" s="17">
        <f t="shared" si="21"/>
        <v>160</v>
      </c>
      <c r="M20" s="18">
        <f t="shared" si="22"/>
        <v>103</v>
      </c>
      <c r="N20" s="14">
        <f t="shared" si="23"/>
        <v>160</v>
      </c>
      <c r="O20" s="15">
        <f t="shared" si="24"/>
        <v>118</v>
      </c>
      <c r="P20" s="17">
        <f t="shared" si="25"/>
        <v>146</v>
      </c>
      <c r="Q20" s="18">
        <f t="shared" si="26"/>
        <v>118</v>
      </c>
      <c r="R20" s="4" t="s">
        <v>0</v>
      </c>
      <c r="S20" s="16" t="str">
        <f t="shared" si="27"/>
        <v>07-25</v>
      </c>
      <c r="T20" s="14">
        <f t="shared" si="28"/>
        <v>146</v>
      </c>
      <c r="U20" s="18">
        <f t="shared" si="29"/>
        <v>647</v>
      </c>
      <c r="V20" s="14">
        <f t="shared" si="30"/>
        <v>160</v>
      </c>
      <c r="W20" s="18">
        <f t="shared" si="31"/>
        <v>647</v>
      </c>
      <c r="X20" s="14">
        <f t="shared" si="32"/>
        <v>160</v>
      </c>
      <c r="Y20" s="18">
        <f t="shared" si="33"/>
        <v>632</v>
      </c>
      <c r="Z20" s="14">
        <f t="shared" si="34"/>
        <v>146</v>
      </c>
      <c r="AA20" s="18">
        <f t="shared" si="35"/>
        <v>632</v>
      </c>
      <c r="AB20" s="4" t="s">
        <v>0</v>
      </c>
    </row>
    <row r="21" spans="1:28">
      <c r="A21" s="9" t="s">
        <v>441</v>
      </c>
      <c r="B21" s="24"/>
      <c r="C21" s="26">
        <v>10</v>
      </c>
      <c r="D21" s="28">
        <f t="shared" si="14"/>
        <v>160</v>
      </c>
      <c r="E21" s="29">
        <f t="shared" si="15"/>
        <v>103</v>
      </c>
      <c r="F21" s="28">
        <f t="shared" si="16"/>
        <v>174</v>
      </c>
      <c r="G21" s="29">
        <f t="shared" si="17"/>
        <v>118</v>
      </c>
      <c r="H21" s="4" t="s">
        <v>0</v>
      </c>
      <c r="I21" s="16" t="str">
        <f t="shared" si="18"/>
        <v>07-23</v>
      </c>
      <c r="J21" s="14">
        <f t="shared" si="19"/>
        <v>160</v>
      </c>
      <c r="K21" s="15">
        <f t="shared" si="20"/>
        <v>103</v>
      </c>
      <c r="L21" s="17">
        <f t="shared" si="21"/>
        <v>174</v>
      </c>
      <c r="M21" s="18">
        <f t="shared" si="22"/>
        <v>103</v>
      </c>
      <c r="N21" s="14">
        <f t="shared" si="23"/>
        <v>174</v>
      </c>
      <c r="O21" s="15">
        <f t="shared" si="24"/>
        <v>118</v>
      </c>
      <c r="P21" s="17">
        <f t="shared" si="25"/>
        <v>160</v>
      </c>
      <c r="Q21" s="18">
        <f t="shared" si="26"/>
        <v>118</v>
      </c>
      <c r="R21" s="4" t="s">
        <v>0</v>
      </c>
      <c r="S21" s="16" t="str">
        <f t="shared" si="27"/>
        <v>07-23</v>
      </c>
      <c r="T21" s="14">
        <f t="shared" si="28"/>
        <v>160</v>
      </c>
      <c r="U21" s="18">
        <f t="shared" si="29"/>
        <v>647</v>
      </c>
      <c r="V21" s="14">
        <f t="shared" si="30"/>
        <v>174</v>
      </c>
      <c r="W21" s="18">
        <f t="shared" si="31"/>
        <v>647</v>
      </c>
      <c r="X21" s="14">
        <f t="shared" si="32"/>
        <v>174</v>
      </c>
      <c r="Y21" s="18">
        <f t="shared" si="33"/>
        <v>632</v>
      </c>
      <c r="Z21" s="14">
        <f t="shared" si="34"/>
        <v>160</v>
      </c>
      <c r="AA21" s="18">
        <f t="shared" si="35"/>
        <v>632</v>
      </c>
      <c r="AB21" s="4" t="s">
        <v>0</v>
      </c>
    </row>
    <row r="22" spans="1:28">
      <c r="A22" s="9" t="s">
        <v>440</v>
      </c>
      <c r="B22" s="24"/>
      <c r="C22" s="26">
        <v>11</v>
      </c>
      <c r="D22" s="28">
        <f t="shared" si="14"/>
        <v>174</v>
      </c>
      <c r="E22" s="29">
        <f t="shared" si="15"/>
        <v>103</v>
      </c>
      <c r="F22" s="28">
        <f t="shared" si="16"/>
        <v>188</v>
      </c>
      <c r="G22" s="29">
        <f t="shared" si="17"/>
        <v>118</v>
      </c>
      <c r="H22" s="4" t="s">
        <v>0</v>
      </c>
      <c r="I22" s="16" t="str">
        <f t="shared" si="18"/>
        <v>07-22</v>
      </c>
      <c r="J22" s="14">
        <f t="shared" si="19"/>
        <v>174</v>
      </c>
      <c r="K22" s="15">
        <f t="shared" si="20"/>
        <v>103</v>
      </c>
      <c r="L22" s="17">
        <f t="shared" si="21"/>
        <v>188</v>
      </c>
      <c r="M22" s="18">
        <f t="shared" si="22"/>
        <v>103</v>
      </c>
      <c r="N22" s="14">
        <f t="shared" si="23"/>
        <v>188</v>
      </c>
      <c r="O22" s="15">
        <f t="shared" si="24"/>
        <v>118</v>
      </c>
      <c r="P22" s="17">
        <f t="shared" si="25"/>
        <v>174</v>
      </c>
      <c r="Q22" s="18">
        <f t="shared" si="26"/>
        <v>118</v>
      </c>
      <c r="R22" s="4" t="s">
        <v>0</v>
      </c>
      <c r="S22" s="16" t="str">
        <f t="shared" si="27"/>
        <v>07-22</v>
      </c>
      <c r="T22" s="14">
        <f t="shared" si="28"/>
        <v>174</v>
      </c>
      <c r="U22" s="18">
        <f t="shared" si="29"/>
        <v>647</v>
      </c>
      <c r="V22" s="14">
        <f t="shared" si="30"/>
        <v>188</v>
      </c>
      <c r="W22" s="18">
        <f t="shared" si="31"/>
        <v>647</v>
      </c>
      <c r="X22" s="14">
        <f t="shared" si="32"/>
        <v>188</v>
      </c>
      <c r="Y22" s="18">
        <f t="shared" si="33"/>
        <v>632</v>
      </c>
      <c r="Z22" s="14">
        <f t="shared" si="34"/>
        <v>174</v>
      </c>
      <c r="AA22" s="18">
        <f t="shared" si="35"/>
        <v>632</v>
      </c>
      <c r="AB22" s="4" t="s">
        <v>0</v>
      </c>
    </row>
    <row r="23" spans="1:28">
      <c r="A23" s="9" t="s">
        <v>179</v>
      </c>
      <c r="B23" s="24"/>
      <c r="C23" s="26">
        <v>12</v>
      </c>
      <c r="D23" s="28">
        <f t="shared" si="14"/>
        <v>187</v>
      </c>
      <c r="E23" s="29">
        <f t="shared" si="15"/>
        <v>103</v>
      </c>
      <c r="F23" s="28">
        <f t="shared" si="16"/>
        <v>201</v>
      </c>
      <c r="G23" s="29">
        <f t="shared" si="17"/>
        <v>118</v>
      </c>
      <c r="H23" s="4" t="s">
        <v>0</v>
      </c>
      <c r="I23" s="16" t="str">
        <f t="shared" si="18"/>
        <v>07-21</v>
      </c>
      <c r="J23" s="14">
        <f t="shared" si="19"/>
        <v>187</v>
      </c>
      <c r="K23" s="15">
        <f t="shared" si="20"/>
        <v>103</v>
      </c>
      <c r="L23" s="17">
        <f t="shared" si="21"/>
        <v>201</v>
      </c>
      <c r="M23" s="18">
        <f t="shared" si="22"/>
        <v>103</v>
      </c>
      <c r="N23" s="14">
        <f t="shared" si="23"/>
        <v>201</v>
      </c>
      <c r="O23" s="15">
        <f t="shared" si="24"/>
        <v>118</v>
      </c>
      <c r="P23" s="17">
        <f t="shared" si="25"/>
        <v>187</v>
      </c>
      <c r="Q23" s="18">
        <f t="shared" si="26"/>
        <v>118</v>
      </c>
      <c r="R23" s="4" t="s">
        <v>0</v>
      </c>
      <c r="S23" s="16" t="str">
        <f t="shared" si="27"/>
        <v>07-21</v>
      </c>
      <c r="T23" s="14">
        <f t="shared" si="28"/>
        <v>187</v>
      </c>
      <c r="U23" s="18">
        <f t="shared" si="29"/>
        <v>647</v>
      </c>
      <c r="V23" s="14">
        <f t="shared" si="30"/>
        <v>201</v>
      </c>
      <c r="W23" s="18">
        <f t="shared" si="31"/>
        <v>647</v>
      </c>
      <c r="X23" s="14">
        <f t="shared" si="32"/>
        <v>201</v>
      </c>
      <c r="Y23" s="18">
        <f t="shared" si="33"/>
        <v>632</v>
      </c>
      <c r="Z23" s="14">
        <f t="shared" si="34"/>
        <v>187</v>
      </c>
      <c r="AA23" s="18">
        <f t="shared" si="35"/>
        <v>632</v>
      </c>
      <c r="AB23" s="4" t="s">
        <v>0</v>
      </c>
    </row>
    <row r="24" spans="1:28">
      <c r="A24" s="9" t="s">
        <v>178</v>
      </c>
      <c r="B24" s="24"/>
      <c r="C24" s="26">
        <v>13</v>
      </c>
      <c r="D24" s="28">
        <f t="shared" si="14"/>
        <v>201</v>
      </c>
      <c r="E24" s="29">
        <f t="shared" si="15"/>
        <v>103</v>
      </c>
      <c r="F24" s="28">
        <f t="shared" si="16"/>
        <v>215</v>
      </c>
      <c r="G24" s="29">
        <f t="shared" si="17"/>
        <v>118</v>
      </c>
      <c r="H24" s="4" t="s">
        <v>0</v>
      </c>
      <c r="I24" s="16" t="str">
        <f t="shared" si="18"/>
        <v>07-20</v>
      </c>
      <c r="J24" s="14">
        <f t="shared" si="19"/>
        <v>201</v>
      </c>
      <c r="K24" s="15">
        <f t="shared" si="20"/>
        <v>103</v>
      </c>
      <c r="L24" s="17">
        <f t="shared" si="21"/>
        <v>215</v>
      </c>
      <c r="M24" s="18">
        <f t="shared" si="22"/>
        <v>103</v>
      </c>
      <c r="N24" s="14">
        <f t="shared" si="23"/>
        <v>215</v>
      </c>
      <c r="O24" s="15">
        <f t="shared" si="24"/>
        <v>118</v>
      </c>
      <c r="P24" s="17">
        <f t="shared" si="25"/>
        <v>201</v>
      </c>
      <c r="Q24" s="18">
        <f t="shared" si="26"/>
        <v>118</v>
      </c>
      <c r="R24" s="4" t="s">
        <v>0</v>
      </c>
      <c r="S24" s="16" t="str">
        <f t="shared" si="27"/>
        <v>07-20</v>
      </c>
      <c r="T24" s="14">
        <f t="shared" si="28"/>
        <v>201</v>
      </c>
      <c r="U24" s="18">
        <f t="shared" si="29"/>
        <v>647</v>
      </c>
      <c r="V24" s="14">
        <f t="shared" si="30"/>
        <v>215</v>
      </c>
      <c r="W24" s="18">
        <f t="shared" si="31"/>
        <v>647</v>
      </c>
      <c r="X24" s="14">
        <f t="shared" si="32"/>
        <v>215</v>
      </c>
      <c r="Y24" s="18">
        <f t="shared" si="33"/>
        <v>632</v>
      </c>
      <c r="Z24" s="14">
        <f t="shared" si="34"/>
        <v>201</v>
      </c>
      <c r="AA24" s="18">
        <f t="shared" si="35"/>
        <v>632</v>
      </c>
      <c r="AB24" s="4" t="s">
        <v>0</v>
      </c>
    </row>
    <row r="25" spans="1:28">
      <c r="A25" s="9" t="s">
        <v>177</v>
      </c>
      <c r="B25" s="24"/>
      <c r="C25" s="26">
        <v>14</v>
      </c>
      <c r="D25" s="28">
        <f t="shared" si="14"/>
        <v>215</v>
      </c>
      <c r="E25" s="29">
        <f t="shared" si="15"/>
        <v>103</v>
      </c>
      <c r="F25" s="28">
        <f t="shared" si="16"/>
        <v>229</v>
      </c>
      <c r="G25" s="29">
        <f t="shared" si="17"/>
        <v>118</v>
      </c>
      <c r="H25" s="4" t="s">
        <v>0</v>
      </c>
      <c r="I25" s="16" t="str">
        <f t="shared" si="18"/>
        <v>07-18</v>
      </c>
      <c r="J25" s="14">
        <f t="shared" si="19"/>
        <v>215</v>
      </c>
      <c r="K25" s="15">
        <f t="shared" si="20"/>
        <v>103</v>
      </c>
      <c r="L25" s="17">
        <f t="shared" si="21"/>
        <v>229</v>
      </c>
      <c r="M25" s="18">
        <f t="shared" si="22"/>
        <v>103</v>
      </c>
      <c r="N25" s="14">
        <f t="shared" si="23"/>
        <v>229</v>
      </c>
      <c r="O25" s="15">
        <f t="shared" si="24"/>
        <v>118</v>
      </c>
      <c r="P25" s="17">
        <f t="shared" si="25"/>
        <v>215</v>
      </c>
      <c r="Q25" s="18">
        <f t="shared" si="26"/>
        <v>118</v>
      </c>
      <c r="R25" s="4" t="s">
        <v>0</v>
      </c>
      <c r="S25" s="16" t="str">
        <f t="shared" si="27"/>
        <v>07-18</v>
      </c>
      <c r="T25" s="14">
        <f t="shared" si="28"/>
        <v>215</v>
      </c>
      <c r="U25" s="18">
        <f t="shared" si="29"/>
        <v>647</v>
      </c>
      <c r="V25" s="14">
        <f t="shared" si="30"/>
        <v>229</v>
      </c>
      <c r="W25" s="18">
        <f t="shared" si="31"/>
        <v>647</v>
      </c>
      <c r="X25" s="14">
        <f t="shared" si="32"/>
        <v>229</v>
      </c>
      <c r="Y25" s="18">
        <f t="shared" si="33"/>
        <v>632</v>
      </c>
      <c r="Z25" s="14">
        <f t="shared" si="34"/>
        <v>215</v>
      </c>
      <c r="AA25" s="18">
        <f t="shared" si="35"/>
        <v>632</v>
      </c>
      <c r="AB25" s="4" t="s">
        <v>0</v>
      </c>
    </row>
    <row r="26" spans="1:28">
      <c r="A26" s="9" t="s">
        <v>176</v>
      </c>
      <c r="B26" s="24"/>
      <c r="C26" s="26"/>
      <c r="D26" s="27">
        <v>248</v>
      </c>
      <c r="E26" s="31">
        <v>103</v>
      </c>
      <c r="F26" s="31">
        <v>262</v>
      </c>
      <c r="G26" s="31">
        <v>118</v>
      </c>
      <c r="H26" s="4" t="s">
        <v>0</v>
      </c>
      <c r="I26" s="16" t="str">
        <f t="shared" si="18"/>
        <v>07-17</v>
      </c>
      <c r="J26" s="14">
        <f t="shared" si="19"/>
        <v>248</v>
      </c>
      <c r="K26" s="15">
        <f t="shared" si="20"/>
        <v>103</v>
      </c>
      <c r="L26" s="17">
        <f t="shared" si="21"/>
        <v>262</v>
      </c>
      <c r="M26" s="18">
        <f t="shared" si="22"/>
        <v>103</v>
      </c>
      <c r="N26" s="14">
        <f t="shared" si="23"/>
        <v>262</v>
      </c>
      <c r="O26" s="15">
        <f t="shared" si="24"/>
        <v>118</v>
      </c>
      <c r="P26" s="17">
        <f t="shared" si="25"/>
        <v>248</v>
      </c>
      <c r="Q26" s="18">
        <f t="shared" si="26"/>
        <v>118</v>
      </c>
      <c r="R26" s="4" t="s">
        <v>0</v>
      </c>
      <c r="S26" s="16" t="str">
        <f t="shared" si="27"/>
        <v>07-17</v>
      </c>
      <c r="T26" s="14">
        <f t="shared" si="28"/>
        <v>248</v>
      </c>
      <c r="U26" s="18">
        <f t="shared" si="29"/>
        <v>647</v>
      </c>
      <c r="V26" s="14">
        <f t="shared" si="30"/>
        <v>262</v>
      </c>
      <c r="W26" s="18">
        <f t="shared" si="31"/>
        <v>647</v>
      </c>
      <c r="X26" s="14">
        <f t="shared" si="32"/>
        <v>262</v>
      </c>
      <c r="Y26" s="18">
        <f t="shared" si="33"/>
        <v>632</v>
      </c>
      <c r="Z26" s="14">
        <f t="shared" si="34"/>
        <v>248</v>
      </c>
      <c r="AA26" s="18">
        <f t="shared" si="35"/>
        <v>632</v>
      </c>
      <c r="AB26" s="4" t="s">
        <v>0</v>
      </c>
    </row>
    <row r="27" spans="1:28">
      <c r="A27" s="9" t="s">
        <v>175</v>
      </c>
      <c r="B27" s="24"/>
      <c r="C27" s="26">
        <v>1</v>
      </c>
      <c r="D27" s="28">
        <f>ROUND(D$26+13.7*$C27, 0)</f>
        <v>262</v>
      </c>
      <c r="E27" s="29">
        <f>E$11</f>
        <v>103</v>
      </c>
      <c r="F27" s="28">
        <f>ROUND(F$26+13.7*$C27, 0)</f>
        <v>276</v>
      </c>
      <c r="G27" s="29">
        <f>G$11</f>
        <v>118</v>
      </c>
      <c r="H27" s="4" t="s">
        <v>0</v>
      </c>
      <c r="I27" s="16" t="str">
        <f t="shared" si="18"/>
        <v>07-16</v>
      </c>
      <c r="J27" s="14">
        <f t="shared" si="19"/>
        <v>262</v>
      </c>
      <c r="K27" s="15">
        <f t="shared" si="20"/>
        <v>103</v>
      </c>
      <c r="L27" s="17">
        <f t="shared" si="21"/>
        <v>276</v>
      </c>
      <c r="M27" s="18">
        <f t="shared" si="22"/>
        <v>103</v>
      </c>
      <c r="N27" s="14">
        <f t="shared" si="23"/>
        <v>276</v>
      </c>
      <c r="O27" s="15">
        <f t="shared" si="24"/>
        <v>118</v>
      </c>
      <c r="P27" s="17">
        <f t="shared" si="25"/>
        <v>262</v>
      </c>
      <c r="Q27" s="18">
        <f t="shared" si="26"/>
        <v>118</v>
      </c>
      <c r="R27" s="4" t="s">
        <v>0</v>
      </c>
      <c r="S27" s="16" t="str">
        <f t="shared" si="27"/>
        <v>07-16</v>
      </c>
      <c r="T27" s="14">
        <f t="shared" si="28"/>
        <v>262</v>
      </c>
      <c r="U27" s="18">
        <f t="shared" si="29"/>
        <v>647</v>
      </c>
      <c r="V27" s="14">
        <f t="shared" si="30"/>
        <v>276</v>
      </c>
      <c r="W27" s="18">
        <f t="shared" si="31"/>
        <v>647</v>
      </c>
      <c r="X27" s="14">
        <f t="shared" si="32"/>
        <v>276</v>
      </c>
      <c r="Y27" s="18">
        <f t="shared" si="33"/>
        <v>632</v>
      </c>
      <c r="Z27" s="14">
        <f t="shared" si="34"/>
        <v>262</v>
      </c>
      <c r="AA27" s="18">
        <f t="shared" si="35"/>
        <v>632</v>
      </c>
      <c r="AB27" s="4" t="s">
        <v>0</v>
      </c>
    </row>
    <row r="28" spans="1:28">
      <c r="A28" s="9" t="s">
        <v>174</v>
      </c>
      <c r="B28" s="24"/>
      <c r="C28" s="26">
        <v>2</v>
      </c>
      <c r="D28" s="28">
        <f t="shared" ref="D28:D39" si="36">ROUND(D$26+13.7*$C28, 0)</f>
        <v>275</v>
      </c>
      <c r="E28" s="29">
        <f t="shared" ref="E28:E39" si="37">E$11</f>
        <v>103</v>
      </c>
      <c r="F28" s="28">
        <f t="shared" ref="F28:F39" si="38">ROUND(F$26+13.7*$C28, 0)</f>
        <v>289</v>
      </c>
      <c r="G28" s="29">
        <f t="shared" ref="G28:G39" si="39">G$11</f>
        <v>118</v>
      </c>
      <c r="H28" s="4" t="s">
        <v>0</v>
      </c>
      <c r="I28" s="16" t="str">
        <f t="shared" si="18"/>
        <v>07-15</v>
      </c>
      <c r="J28" s="14">
        <f t="shared" si="19"/>
        <v>275</v>
      </c>
      <c r="K28" s="15">
        <f t="shared" si="20"/>
        <v>103</v>
      </c>
      <c r="L28" s="17">
        <f t="shared" si="21"/>
        <v>289</v>
      </c>
      <c r="M28" s="18">
        <f t="shared" si="22"/>
        <v>103</v>
      </c>
      <c r="N28" s="14">
        <f t="shared" si="23"/>
        <v>289</v>
      </c>
      <c r="O28" s="15">
        <f t="shared" si="24"/>
        <v>118</v>
      </c>
      <c r="P28" s="17">
        <f t="shared" si="25"/>
        <v>275</v>
      </c>
      <c r="Q28" s="18">
        <f t="shared" si="26"/>
        <v>118</v>
      </c>
      <c r="R28" s="4" t="s">
        <v>0</v>
      </c>
      <c r="S28" s="16" t="str">
        <f t="shared" si="27"/>
        <v>07-15</v>
      </c>
      <c r="T28" s="14">
        <f t="shared" si="28"/>
        <v>275</v>
      </c>
      <c r="U28" s="18">
        <f t="shared" si="29"/>
        <v>647</v>
      </c>
      <c r="V28" s="14">
        <f t="shared" si="30"/>
        <v>289</v>
      </c>
      <c r="W28" s="18">
        <f t="shared" si="31"/>
        <v>647</v>
      </c>
      <c r="X28" s="14">
        <f t="shared" si="32"/>
        <v>289</v>
      </c>
      <c r="Y28" s="18">
        <f t="shared" si="33"/>
        <v>632</v>
      </c>
      <c r="Z28" s="14">
        <f t="shared" si="34"/>
        <v>275</v>
      </c>
      <c r="AA28" s="18">
        <f t="shared" si="35"/>
        <v>632</v>
      </c>
      <c r="AB28" s="4" t="s">
        <v>0</v>
      </c>
    </row>
    <row r="29" spans="1:28">
      <c r="A29" s="9" t="s">
        <v>173</v>
      </c>
      <c r="B29" s="24"/>
      <c r="C29" s="26">
        <v>3</v>
      </c>
      <c r="D29" s="28">
        <f t="shared" si="36"/>
        <v>289</v>
      </c>
      <c r="E29" s="29">
        <f t="shared" si="37"/>
        <v>103</v>
      </c>
      <c r="F29" s="28">
        <f t="shared" si="38"/>
        <v>303</v>
      </c>
      <c r="G29" s="29">
        <f t="shared" si="39"/>
        <v>118</v>
      </c>
      <c r="H29" s="4" t="s">
        <v>0</v>
      </c>
      <c r="I29" s="16" t="str">
        <f t="shared" si="18"/>
        <v>07-13</v>
      </c>
      <c r="J29" s="14">
        <f t="shared" si="19"/>
        <v>289</v>
      </c>
      <c r="K29" s="15">
        <f t="shared" si="20"/>
        <v>103</v>
      </c>
      <c r="L29" s="17">
        <f t="shared" si="21"/>
        <v>303</v>
      </c>
      <c r="M29" s="18">
        <f t="shared" si="22"/>
        <v>103</v>
      </c>
      <c r="N29" s="14">
        <f t="shared" si="23"/>
        <v>303</v>
      </c>
      <c r="O29" s="15">
        <f t="shared" si="24"/>
        <v>118</v>
      </c>
      <c r="P29" s="17">
        <f t="shared" si="25"/>
        <v>289</v>
      </c>
      <c r="Q29" s="18">
        <f t="shared" si="26"/>
        <v>118</v>
      </c>
      <c r="R29" s="4" t="s">
        <v>0</v>
      </c>
      <c r="S29" s="16" t="str">
        <f t="shared" si="27"/>
        <v>07-13</v>
      </c>
      <c r="T29" s="14">
        <f t="shared" si="28"/>
        <v>289</v>
      </c>
      <c r="U29" s="18">
        <f t="shared" si="29"/>
        <v>647</v>
      </c>
      <c r="V29" s="14">
        <f t="shared" si="30"/>
        <v>303</v>
      </c>
      <c r="W29" s="18">
        <f t="shared" si="31"/>
        <v>647</v>
      </c>
      <c r="X29" s="14">
        <f t="shared" si="32"/>
        <v>303</v>
      </c>
      <c r="Y29" s="18">
        <f t="shared" si="33"/>
        <v>632</v>
      </c>
      <c r="Z29" s="14">
        <f t="shared" si="34"/>
        <v>289</v>
      </c>
      <c r="AA29" s="18">
        <f t="shared" si="35"/>
        <v>632</v>
      </c>
      <c r="AB29" s="4" t="s">
        <v>0</v>
      </c>
    </row>
    <row r="30" spans="1:28">
      <c r="A30" s="9" t="s">
        <v>68</v>
      </c>
      <c r="B30" s="24"/>
      <c r="C30" s="26">
        <v>4</v>
      </c>
      <c r="D30" s="28">
        <f t="shared" si="36"/>
        <v>303</v>
      </c>
      <c r="E30" s="29">
        <f t="shared" si="37"/>
        <v>103</v>
      </c>
      <c r="F30" s="28">
        <f t="shared" si="38"/>
        <v>317</v>
      </c>
      <c r="G30" s="29">
        <f t="shared" si="39"/>
        <v>118</v>
      </c>
      <c r="H30" s="4" t="s">
        <v>0</v>
      </c>
      <c r="I30" s="16" t="str">
        <f t="shared" si="18"/>
        <v>07-12</v>
      </c>
      <c r="J30" s="14">
        <f t="shared" si="19"/>
        <v>303</v>
      </c>
      <c r="K30" s="15">
        <f t="shared" si="20"/>
        <v>103</v>
      </c>
      <c r="L30" s="17">
        <f t="shared" si="21"/>
        <v>317</v>
      </c>
      <c r="M30" s="18">
        <f t="shared" si="22"/>
        <v>103</v>
      </c>
      <c r="N30" s="14">
        <f t="shared" si="23"/>
        <v>317</v>
      </c>
      <c r="O30" s="15">
        <f t="shared" si="24"/>
        <v>118</v>
      </c>
      <c r="P30" s="17">
        <f t="shared" si="25"/>
        <v>303</v>
      </c>
      <c r="Q30" s="18">
        <f t="shared" si="26"/>
        <v>118</v>
      </c>
      <c r="R30" s="4" t="s">
        <v>0</v>
      </c>
      <c r="S30" s="16" t="str">
        <f t="shared" si="27"/>
        <v>07-12</v>
      </c>
      <c r="T30" s="14">
        <f t="shared" si="28"/>
        <v>303</v>
      </c>
      <c r="U30" s="18">
        <f t="shared" si="29"/>
        <v>647</v>
      </c>
      <c r="V30" s="14">
        <f t="shared" si="30"/>
        <v>317</v>
      </c>
      <c r="W30" s="18">
        <f t="shared" si="31"/>
        <v>647</v>
      </c>
      <c r="X30" s="14">
        <f t="shared" si="32"/>
        <v>317</v>
      </c>
      <c r="Y30" s="18">
        <f t="shared" si="33"/>
        <v>632</v>
      </c>
      <c r="Z30" s="14">
        <f t="shared" si="34"/>
        <v>303</v>
      </c>
      <c r="AA30" s="18">
        <f t="shared" si="35"/>
        <v>632</v>
      </c>
      <c r="AB30" s="4" t="s">
        <v>0</v>
      </c>
    </row>
    <row r="31" spans="1:28">
      <c r="A31" s="9" t="s">
        <v>67</v>
      </c>
      <c r="B31" s="24"/>
      <c r="C31" s="26">
        <v>5</v>
      </c>
      <c r="D31" s="28">
        <f t="shared" si="36"/>
        <v>317</v>
      </c>
      <c r="E31" s="29">
        <f t="shared" si="37"/>
        <v>103</v>
      </c>
      <c r="F31" s="28">
        <f t="shared" si="38"/>
        <v>331</v>
      </c>
      <c r="G31" s="29">
        <f t="shared" si="39"/>
        <v>118</v>
      </c>
      <c r="H31" s="4" t="s">
        <v>0</v>
      </c>
      <c r="I31" s="16" t="str">
        <f t="shared" si="18"/>
        <v>07-11</v>
      </c>
      <c r="J31" s="14">
        <f t="shared" si="19"/>
        <v>317</v>
      </c>
      <c r="K31" s="15">
        <f t="shared" si="20"/>
        <v>103</v>
      </c>
      <c r="L31" s="17">
        <f t="shared" si="21"/>
        <v>331</v>
      </c>
      <c r="M31" s="18">
        <f t="shared" si="22"/>
        <v>103</v>
      </c>
      <c r="N31" s="14">
        <f t="shared" si="23"/>
        <v>331</v>
      </c>
      <c r="O31" s="15">
        <f t="shared" si="24"/>
        <v>118</v>
      </c>
      <c r="P31" s="17">
        <f t="shared" si="25"/>
        <v>317</v>
      </c>
      <c r="Q31" s="18">
        <f t="shared" si="26"/>
        <v>118</v>
      </c>
      <c r="R31" s="4" t="s">
        <v>0</v>
      </c>
      <c r="S31" s="16" t="str">
        <f t="shared" si="27"/>
        <v>07-11</v>
      </c>
      <c r="T31" s="14">
        <f t="shared" si="28"/>
        <v>317</v>
      </c>
      <c r="U31" s="18">
        <f t="shared" si="29"/>
        <v>647</v>
      </c>
      <c r="V31" s="14">
        <f t="shared" si="30"/>
        <v>331</v>
      </c>
      <c r="W31" s="18">
        <f t="shared" si="31"/>
        <v>647</v>
      </c>
      <c r="X31" s="14">
        <f t="shared" si="32"/>
        <v>331</v>
      </c>
      <c r="Y31" s="18">
        <f t="shared" si="33"/>
        <v>632</v>
      </c>
      <c r="Z31" s="14">
        <f t="shared" si="34"/>
        <v>317</v>
      </c>
      <c r="AA31" s="18">
        <f t="shared" si="35"/>
        <v>632</v>
      </c>
      <c r="AB31" s="4" t="s">
        <v>0</v>
      </c>
    </row>
    <row r="32" spans="1:28">
      <c r="A32" s="9" t="s">
        <v>66</v>
      </c>
      <c r="B32" s="24"/>
      <c r="C32" s="26">
        <v>6</v>
      </c>
      <c r="D32" s="28">
        <f t="shared" si="36"/>
        <v>330</v>
      </c>
      <c r="E32" s="29">
        <f t="shared" si="37"/>
        <v>103</v>
      </c>
      <c r="F32" s="28">
        <f t="shared" si="38"/>
        <v>344</v>
      </c>
      <c r="G32" s="29">
        <f t="shared" si="39"/>
        <v>118</v>
      </c>
      <c r="H32" s="4" t="s">
        <v>0</v>
      </c>
      <c r="I32" s="16" t="str">
        <f t="shared" si="18"/>
        <v>07-10</v>
      </c>
      <c r="J32" s="14">
        <f t="shared" si="19"/>
        <v>330</v>
      </c>
      <c r="K32" s="15">
        <f t="shared" si="20"/>
        <v>103</v>
      </c>
      <c r="L32" s="17">
        <f t="shared" si="21"/>
        <v>344</v>
      </c>
      <c r="M32" s="18">
        <f t="shared" si="22"/>
        <v>103</v>
      </c>
      <c r="N32" s="14">
        <f t="shared" si="23"/>
        <v>344</v>
      </c>
      <c r="O32" s="15">
        <f t="shared" si="24"/>
        <v>118</v>
      </c>
      <c r="P32" s="17">
        <f t="shared" si="25"/>
        <v>330</v>
      </c>
      <c r="Q32" s="18">
        <f t="shared" si="26"/>
        <v>118</v>
      </c>
      <c r="R32" s="4" t="s">
        <v>0</v>
      </c>
      <c r="S32" s="16" t="str">
        <f t="shared" si="27"/>
        <v>07-10</v>
      </c>
      <c r="T32" s="14">
        <f t="shared" si="28"/>
        <v>330</v>
      </c>
      <c r="U32" s="18">
        <f t="shared" si="29"/>
        <v>647</v>
      </c>
      <c r="V32" s="14">
        <f t="shared" si="30"/>
        <v>344</v>
      </c>
      <c r="W32" s="18">
        <f t="shared" si="31"/>
        <v>647</v>
      </c>
      <c r="X32" s="14">
        <f t="shared" si="32"/>
        <v>344</v>
      </c>
      <c r="Y32" s="18">
        <f t="shared" si="33"/>
        <v>632</v>
      </c>
      <c r="Z32" s="14">
        <f t="shared" si="34"/>
        <v>330</v>
      </c>
      <c r="AA32" s="18">
        <f t="shared" si="35"/>
        <v>632</v>
      </c>
      <c r="AB32" s="4" t="s">
        <v>0</v>
      </c>
    </row>
    <row r="33" spans="1:28">
      <c r="A33" s="9" t="s">
        <v>65</v>
      </c>
      <c r="B33" s="24"/>
      <c r="C33" s="26">
        <v>7</v>
      </c>
      <c r="D33" s="28">
        <f t="shared" si="36"/>
        <v>344</v>
      </c>
      <c r="E33" s="29">
        <f t="shared" si="37"/>
        <v>103</v>
      </c>
      <c r="F33" s="28">
        <f t="shared" si="38"/>
        <v>358</v>
      </c>
      <c r="G33" s="29">
        <f t="shared" si="39"/>
        <v>118</v>
      </c>
      <c r="H33" s="4" t="s">
        <v>0</v>
      </c>
      <c r="I33" s="16" t="str">
        <f t="shared" si="18"/>
        <v>07-08</v>
      </c>
      <c r="J33" s="14">
        <f t="shared" si="19"/>
        <v>344</v>
      </c>
      <c r="K33" s="15">
        <f t="shared" si="20"/>
        <v>103</v>
      </c>
      <c r="L33" s="17">
        <f t="shared" si="21"/>
        <v>358</v>
      </c>
      <c r="M33" s="18">
        <f t="shared" si="22"/>
        <v>103</v>
      </c>
      <c r="N33" s="14">
        <f t="shared" si="23"/>
        <v>358</v>
      </c>
      <c r="O33" s="15">
        <f t="shared" si="24"/>
        <v>118</v>
      </c>
      <c r="P33" s="17">
        <f t="shared" si="25"/>
        <v>344</v>
      </c>
      <c r="Q33" s="18">
        <f t="shared" si="26"/>
        <v>118</v>
      </c>
      <c r="R33" s="4" t="s">
        <v>0</v>
      </c>
      <c r="S33" s="16" t="str">
        <f t="shared" si="27"/>
        <v>07-08</v>
      </c>
      <c r="T33" s="14">
        <f t="shared" si="28"/>
        <v>344</v>
      </c>
      <c r="U33" s="18">
        <f t="shared" si="29"/>
        <v>647</v>
      </c>
      <c r="V33" s="14">
        <f t="shared" si="30"/>
        <v>358</v>
      </c>
      <c r="W33" s="18">
        <f t="shared" si="31"/>
        <v>647</v>
      </c>
      <c r="X33" s="14">
        <f t="shared" si="32"/>
        <v>358</v>
      </c>
      <c r="Y33" s="18">
        <f t="shared" si="33"/>
        <v>632</v>
      </c>
      <c r="Z33" s="14">
        <f t="shared" si="34"/>
        <v>344</v>
      </c>
      <c r="AA33" s="18">
        <f t="shared" si="35"/>
        <v>632</v>
      </c>
      <c r="AB33" s="4" t="s">
        <v>0</v>
      </c>
    </row>
    <row r="34" spans="1:28">
      <c r="A34" s="9" t="s">
        <v>64</v>
      </c>
      <c r="B34" s="24"/>
      <c r="C34" s="26">
        <v>8</v>
      </c>
      <c r="D34" s="28">
        <f t="shared" si="36"/>
        <v>358</v>
      </c>
      <c r="E34" s="29">
        <f t="shared" si="37"/>
        <v>103</v>
      </c>
      <c r="F34" s="28">
        <f t="shared" si="38"/>
        <v>372</v>
      </c>
      <c r="G34" s="29">
        <f t="shared" si="39"/>
        <v>118</v>
      </c>
      <c r="H34" s="4" t="s">
        <v>0</v>
      </c>
      <c r="I34" s="16" t="str">
        <f t="shared" si="18"/>
        <v>07-07</v>
      </c>
      <c r="J34" s="14">
        <f t="shared" si="19"/>
        <v>358</v>
      </c>
      <c r="K34" s="15">
        <f t="shared" si="20"/>
        <v>103</v>
      </c>
      <c r="L34" s="17">
        <f t="shared" si="21"/>
        <v>372</v>
      </c>
      <c r="M34" s="18">
        <f t="shared" si="22"/>
        <v>103</v>
      </c>
      <c r="N34" s="14">
        <f t="shared" si="23"/>
        <v>372</v>
      </c>
      <c r="O34" s="15">
        <f t="shared" si="24"/>
        <v>118</v>
      </c>
      <c r="P34" s="17">
        <f t="shared" si="25"/>
        <v>358</v>
      </c>
      <c r="Q34" s="18">
        <f t="shared" si="26"/>
        <v>118</v>
      </c>
      <c r="R34" s="4" t="s">
        <v>0</v>
      </c>
      <c r="S34" s="16" t="str">
        <f t="shared" si="27"/>
        <v>07-07</v>
      </c>
      <c r="T34" s="14">
        <f t="shared" si="28"/>
        <v>358</v>
      </c>
      <c r="U34" s="18">
        <f t="shared" si="29"/>
        <v>647</v>
      </c>
      <c r="V34" s="14">
        <f t="shared" si="30"/>
        <v>372</v>
      </c>
      <c r="W34" s="18">
        <f t="shared" si="31"/>
        <v>647</v>
      </c>
      <c r="X34" s="14">
        <f t="shared" si="32"/>
        <v>372</v>
      </c>
      <c r="Y34" s="18">
        <f t="shared" si="33"/>
        <v>632</v>
      </c>
      <c r="Z34" s="14">
        <f t="shared" si="34"/>
        <v>358</v>
      </c>
      <c r="AA34" s="18">
        <f t="shared" si="35"/>
        <v>632</v>
      </c>
      <c r="AB34" s="4" t="s">
        <v>0</v>
      </c>
    </row>
    <row r="35" spans="1:28">
      <c r="A35" s="9" t="s">
        <v>63</v>
      </c>
      <c r="B35" s="24"/>
      <c r="C35" s="26">
        <v>9</v>
      </c>
      <c r="D35" s="28">
        <f t="shared" si="36"/>
        <v>371</v>
      </c>
      <c r="E35" s="29">
        <f t="shared" si="37"/>
        <v>103</v>
      </c>
      <c r="F35" s="28">
        <f t="shared" si="38"/>
        <v>385</v>
      </c>
      <c r="G35" s="29">
        <f t="shared" si="39"/>
        <v>118</v>
      </c>
      <c r="H35" s="4" t="s">
        <v>0</v>
      </c>
      <c r="I35" s="16" t="str">
        <f t="shared" si="18"/>
        <v>07-06</v>
      </c>
      <c r="J35" s="14">
        <f t="shared" si="19"/>
        <v>371</v>
      </c>
      <c r="K35" s="15">
        <f t="shared" si="20"/>
        <v>103</v>
      </c>
      <c r="L35" s="17">
        <f t="shared" si="21"/>
        <v>385</v>
      </c>
      <c r="M35" s="18">
        <f t="shared" si="22"/>
        <v>103</v>
      </c>
      <c r="N35" s="14">
        <f t="shared" si="23"/>
        <v>385</v>
      </c>
      <c r="O35" s="15">
        <f t="shared" si="24"/>
        <v>118</v>
      </c>
      <c r="P35" s="17">
        <f t="shared" si="25"/>
        <v>371</v>
      </c>
      <c r="Q35" s="18">
        <f t="shared" si="26"/>
        <v>118</v>
      </c>
      <c r="R35" s="4" t="s">
        <v>0</v>
      </c>
      <c r="S35" s="16" t="str">
        <f t="shared" si="27"/>
        <v>07-06</v>
      </c>
      <c r="T35" s="14">
        <f t="shared" si="28"/>
        <v>371</v>
      </c>
      <c r="U35" s="18">
        <f t="shared" si="29"/>
        <v>647</v>
      </c>
      <c r="V35" s="14">
        <f t="shared" si="30"/>
        <v>385</v>
      </c>
      <c r="W35" s="18">
        <f t="shared" si="31"/>
        <v>647</v>
      </c>
      <c r="X35" s="14">
        <f t="shared" si="32"/>
        <v>385</v>
      </c>
      <c r="Y35" s="18">
        <f t="shared" si="33"/>
        <v>632</v>
      </c>
      <c r="Z35" s="14">
        <f t="shared" si="34"/>
        <v>371</v>
      </c>
      <c r="AA35" s="18">
        <f t="shared" si="35"/>
        <v>632</v>
      </c>
      <c r="AB35" s="4" t="s">
        <v>0</v>
      </c>
    </row>
    <row r="36" spans="1:28">
      <c r="A36" s="9" t="s">
        <v>62</v>
      </c>
      <c r="B36" s="24"/>
      <c r="C36" s="26">
        <v>10</v>
      </c>
      <c r="D36" s="28">
        <f t="shared" si="36"/>
        <v>385</v>
      </c>
      <c r="E36" s="29">
        <f t="shared" si="37"/>
        <v>103</v>
      </c>
      <c r="F36" s="28">
        <f t="shared" si="38"/>
        <v>399</v>
      </c>
      <c r="G36" s="29">
        <f t="shared" si="39"/>
        <v>118</v>
      </c>
      <c r="H36" s="4" t="s">
        <v>0</v>
      </c>
      <c r="I36" s="16" t="str">
        <f t="shared" si="18"/>
        <v>07-05</v>
      </c>
      <c r="J36" s="14">
        <f t="shared" si="19"/>
        <v>385</v>
      </c>
      <c r="K36" s="15">
        <f t="shared" si="20"/>
        <v>103</v>
      </c>
      <c r="L36" s="17">
        <f t="shared" si="21"/>
        <v>399</v>
      </c>
      <c r="M36" s="18">
        <f t="shared" si="22"/>
        <v>103</v>
      </c>
      <c r="N36" s="14">
        <f t="shared" si="23"/>
        <v>399</v>
      </c>
      <c r="O36" s="15">
        <f t="shared" si="24"/>
        <v>118</v>
      </c>
      <c r="P36" s="17">
        <f t="shared" si="25"/>
        <v>385</v>
      </c>
      <c r="Q36" s="18">
        <f t="shared" si="26"/>
        <v>118</v>
      </c>
      <c r="R36" s="4" t="s">
        <v>0</v>
      </c>
      <c r="S36" s="16" t="str">
        <f t="shared" si="27"/>
        <v>07-05</v>
      </c>
      <c r="T36" s="14">
        <f t="shared" si="28"/>
        <v>385</v>
      </c>
      <c r="U36" s="18">
        <f t="shared" si="29"/>
        <v>647</v>
      </c>
      <c r="V36" s="14">
        <f t="shared" si="30"/>
        <v>399</v>
      </c>
      <c r="W36" s="18">
        <f t="shared" si="31"/>
        <v>647</v>
      </c>
      <c r="X36" s="14">
        <f t="shared" si="32"/>
        <v>399</v>
      </c>
      <c r="Y36" s="18">
        <f t="shared" si="33"/>
        <v>632</v>
      </c>
      <c r="Z36" s="14">
        <f t="shared" si="34"/>
        <v>385</v>
      </c>
      <c r="AA36" s="18">
        <f t="shared" si="35"/>
        <v>632</v>
      </c>
      <c r="AB36" s="4" t="s">
        <v>0</v>
      </c>
    </row>
    <row r="37" spans="1:28">
      <c r="A37" s="9" t="s">
        <v>3</v>
      </c>
      <c r="B37" s="24"/>
      <c r="C37" s="26">
        <v>11</v>
      </c>
      <c r="D37" s="28">
        <f t="shared" si="36"/>
        <v>399</v>
      </c>
      <c r="E37" s="29">
        <f t="shared" si="37"/>
        <v>103</v>
      </c>
      <c r="F37" s="28">
        <f t="shared" si="38"/>
        <v>413</v>
      </c>
      <c r="G37" s="29">
        <f t="shared" si="39"/>
        <v>118</v>
      </c>
      <c r="H37" s="4" t="s">
        <v>0</v>
      </c>
      <c r="I37" s="16" t="str">
        <f t="shared" si="18"/>
        <v>07-03</v>
      </c>
      <c r="J37" s="14">
        <f t="shared" si="19"/>
        <v>399</v>
      </c>
      <c r="K37" s="15">
        <f t="shared" si="20"/>
        <v>103</v>
      </c>
      <c r="L37" s="17">
        <f t="shared" si="21"/>
        <v>413</v>
      </c>
      <c r="M37" s="18">
        <f t="shared" si="22"/>
        <v>103</v>
      </c>
      <c r="N37" s="14">
        <f t="shared" si="23"/>
        <v>413</v>
      </c>
      <c r="O37" s="15">
        <f t="shared" si="24"/>
        <v>118</v>
      </c>
      <c r="P37" s="17">
        <f t="shared" si="25"/>
        <v>399</v>
      </c>
      <c r="Q37" s="18">
        <f t="shared" si="26"/>
        <v>118</v>
      </c>
      <c r="R37" s="4" t="s">
        <v>0</v>
      </c>
      <c r="S37" s="16" t="str">
        <f t="shared" si="27"/>
        <v>07-03</v>
      </c>
      <c r="T37" s="14">
        <f t="shared" si="28"/>
        <v>399</v>
      </c>
      <c r="U37" s="18">
        <f t="shared" si="29"/>
        <v>647</v>
      </c>
      <c r="V37" s="14">
        <f t="shared" si="30"/>
        <v>413</v>
      </c>
      <c r="W37" s="18">
        <f t="shared" si="31"/>
        <v>647</v>
      </c>
      <c r="X37" s="14">
        <f t="shared" si="32"/>
        <v>413</v>
      </c>
      <c r="Y37" s="18">
        <f t="shared" si="33"/>
        <v>632</v>
      </c>
      <c r="Z37" s="14">
        <f t="shared" si="34"/>
        <v>399</v>
      </c>
      <c r="AA37" s="18">
        <f t="shared" si="35"/>
        <v>632</v>
      </c>
      <c r="AB37" s="4" t="s">
        <v>0</v>
      </c>
    </row>
    <row r="38" spans="1:28">
      <c r="A38" s="9" t="s">
        <v>61</v>
      </c>
      <c r="B38" s="24"/>
      <c r="C38" s="26">
        <v>12</v>
      </c>
      <c r="D38" s="28">
        <f t="shared" si="36"/>
        <v>412</v>
      </c>
      <c r="E38" s="29">
        <f t="shared" si="37"/>
        <v>103</v>
      </c>
      <c r="F38" s="28">
        <f t="shared" si="38"/>
        <v>426</v>
      </c>
      <c r="G38" s="29">
        <f t="shared" si="39"/>
        <v>118</v>
      </c>
      <c r="H38" s="4" t="s">
        <v>0</v>
      </c>
      <c r="I38" s="16" t="str">
        <f t="shared" si="18"/>
        <v>07-02</v>
      </c>
      <c r="J38" s="14">
        <f t="shared" si="19"/>
        <v>412</v>
      </c>
      <c r="K38" s="15">
        <f t="shared" si="20"/>
        <v>103</v>
      </c>
      <c r="L38" s="17">
        <f t="shared" si="21"/>
        <v>426</v>
      </c>
      <c r="M38" s="18">
        <f t="shared" si="22"/>
        <v>103</v>
      </c>
      <c r="N38" s="14">
        <f t="shared" si="23"/>
        <v>426</v>
      </c>
      <c r="O38" s="15">
        <f t="shared" si="24"/>
        <v>118</v>
      </c>
      <c r="P38" s="17">
        <f t="shared" si="25"/>
        <v>412</v>
      </c>
      <c r="Q38" s="18">
        <f t="shared" si="26"/>
        <v>118</v>
      </c>
      <c r="R38" s="4" t="s">
        <v>0</v>
      </c>
      <c r="S38" s="16" t="str">
        <f t="shared" si="27"/>
        <v>07-02</v>
      </c>
      <c r="T38" s="14">
        <f t="shared" si="28"/>
        <v>412</v>
      </c>
      <c r="U38" s="18">
        <f t="shared" si="29"/>
        <v>647</v>
      </c>
      <c r="V38" s="14">
        <f t="shared" si="30"/>
        <v>426</v>
      </c>
      <c r="W38" s="18">
        <f t="shared" si="31"/>
        <v>647</v>
      </c>
      <c r="X38" s="14">
        <f t="shared" si="32"/>
        <v>426</v>
      </c>
      <c r="Y38" s="18">
        <f t="shared" si="33"/>
        <v>632</v>
      </c>
      <c r="Z38" s="14">
        <f t="shared" si="34"/>
        <v>412</v>
      </c>
      <c r="AA38" s="18">
        <f t="shared" si="35"/>
        <v>632</v>
      </c>
      <c r="AB38" s="4" t="s">
        <v>0</v>
      </c>
    </row>
    <row r="39" spans="1:28">
      <c r="A39" s="9" t="s">
        <v>60</v>
      </c>
      <c r="B39" s="24"/>
      <c r="C39" s="26">
        <v>13</v>
      </c>
      <c r="D39" s="28">
        <f t="shared" si="36"/>
        <v>426</v>
      </c>
      <c r="E39" s="29">
        <f t="shared" si="37"/>
        <v>103</v>
      </c>
      <c r="F39" s="28">
        <f t="shared" si="38"/>
        <v>440</v>
      </c>
      <c r="G39" s="29">
        <f t="shared" si="39"/>
        <v>118</v>
      </c>
      <c r="H39" s="4" t="s">
        <v>0</v>
      </c>
      <c r="I39" s="16" t="str">
        <f t="shared" si="18"/>
        <v>07-01</v>
      </c>
      <c r="J39" s="14">
        <f t="shared" si="19"/>
        <v>426</v>
      </c>
      <c r="K39" s="15">
        <f t="shared" si="20"/>
        <v>103</v>
      </c>
      <c r="L39" s="17">
        <f t="shared" si="21"/>
        <v>440</v>
      </c>
      <c r="M39" s="18">
        <f t="shared" si="22"/>
        <v>103</v>
      </c>
      <c r="N39" s="14">
        <f t="shared" si="23"/>
        <v>440</v>
      </c>
      <c r="O39" s="15">
        <f t="shared" si="24"/>
        <v>118</v>
      </c>
      <c r="P39" s="17">
        <f t="shared" si="25"/>
        <v>426</v>
      </c>
      <c r="Q39" s="18">
        <f t="shared" si="26"/>
        <v>118</v>
      </c>
      <c r="R39" s="4" t="s">
        <v>0</v>
      </c>
      <c r="S39" s="16" t="str">
        <f t="shared" si="27"/>
        <v>07-01</v>
      </c>
      <c r="T39" s="14">
        <f t="shared" si="28"/>
        <v>426</v>
      </c>
      <c r="U39" s="18">
        <f t="shared" si="29"/>
        <v>647</v>
      </c>
      <c r="V39" s="14">
        <f t="shared" si="30"/>
        <v>440</v>
      </c>
      <c r="W39" s="18">
        <f t="shared" si="31"/>
        <v>647</v>
      </c>
      <c r="X39" s="14">
        <f t="shared" si="32"/>
        <v>440</v>
      </c>
      <c r="Y39" s="18">
        <f t="shared" si="33"/>
        <v>632</v>
      </c>
      <c r="Z39" s="14">
        <f t="shared" si="34"/>
        <v>426</v>
      </c>
      <c r="AA39" s="18">
        <f t="shared" si="35"/>
        <v>632</v>
      </c>
      <c r="AB39" s="4" t="s">
        <v>0</v>
      </c>
    </row>
    <row r="40" spans="1:28">
      <c r="A40" s="9" t="s">
        <v>573</v>
      </c>
      <c r="B40" s="24"/>
      <c r="C40" s="26">
        <v>1</v>
      </c>
      <c r="D40" s="25">
        <f>D11</f>
        <v>23</v>
      </c>
      <c r="E40" s="28">
        <f>ROUND(E$11+23.2*$C40, 0)</f>
        <v>126</v>
      </c>
      <c r="F40" s="25">
        <f t="shared" ref="F40:F103" si="40">F11</f>
        <v>37</v>
      </c>
      <c r="G40" s="28">
        <f>ROUND(G$11+23.2*$C40, 0)</f>
        <v>141</v>
      </c>
      <c r="H40" s="4" t="s">
        <v>0</v>
      </c>
      <c r="I40" s="16" t="str">
        <f t="shared" si="18"/>
        <v>06-36</v>
      </c>
      <c r="J40" s="14">
        <f t="shared" si="19"/>
        <v>23</v>
      </c>
      <c r="K40" s="15">
        <f t="shared" si="20"/>
        <v>126</v>
      </c>
      <c r="L40" s="17">
        <f t="shared" si="21"/>
        <v>37</v>
      </c>
      <c r="M40" s="18">
        <f t="shared" si="22"/>
        <v>126</v>
      </c>
      <c r="N40" s="14">
        <f t="shared" si="23"/>
        <v>37</v>
      </c>
      <c r="O40" s="15">
        <f t="shared" si="24"/>
        <v>141</v>
      </c>
      <c r="P40" s="17">
        <f t="shared" si="25"/>
        <v>23</v>
      </c>
      <c r="Q40" s="18">
        <f t="shared" si="26"/>
        <v>141</v>
      </c>
      <c r="R40" s="4" t="s">
        <v>0</v>
      </c>
      <c r="S40" s="16" t="str">
        <f t="shared" si="27"/>
        <v>06-36</v>
      </c>
      <c r="T40" s="14">
        <f t="shared" si="28"/>
        <v>23</v>
      </c>
      <c r="U40" s="18">
        <f t="shared" si="29"/>
        <v>624</v>
      </c>
      <c r="V40" s="14">
        <f t="shared" si="30"/>
        <v>37</v>
      </c>
      <c r="W40" s="18">
        <f t="shared" si="31"/>
        <v>624</v>
      </c>
      <c r="X40" s="14">
        <f t="shared" si="32"/>
        <v>37</v>
      </c>
      <c r="Y40" s="18">
        <f t="shared" si="33"/>
        <v>609</v>
      </c>
      <c r="Z40" s="14">
        <f t="shared" si="34"/>
        <v>23</v>
      </c>
      <c r="AA40" s="18">
        <f t="shared" si="35"/>
        <v>609</v>
      </c>
      <c r="AB40" s="4" t="s">
        <v>0</v>
      </c>
    </row>
    <row r="41" spans="1:28">
      <c r="A41" s="9" t="s">
        <v>572</v>
      </c>
      <c r="B41" s="24"/>
      <c r="C41" s="26"/>
      <c r="D41" s="25">
        <f>D12</f>
        <v>37</v>
      </c>
      <c r="E41" s="29">
        <f t="shared" ref="E41:G42" si="41">E40</f>
        <v>126</v>
      </c>
      <c r="F41" s="25">
        <f t="shared" si="40"/>
        <v>51</v>
      </c>
      <c r="G41" s="29">
        <f t="shared" si="41"/>
        <v>141</v>
      </c>
      <c r="H41" s="4" t="s">
        <v>0</v>
      </c>
      <c r="I41" s="16" t="str">
        <f t="shared" si="18"/>
        <v>06-35</v>
      </c>
      <c r="J41" s="14">
        <f t="shared" si="19"/>
        <v>37</v>
      </c>
      <c r="K41" s="15">
        <f t="shared" si="20"/>
        <v>126</v>
      </c>
      <c r="L41" s="17">
        <f t="shared" si="21"/>
        <v>51</v>
      </c>
      <c r="M41" s="18">
        <f t="shared" si="22"/>
        <v>126</v>
      </c>
      <c r="N41" s="14">
        <f t="shared" si="23"/>
        <v>51</v>
      </c>
      <c r="O41" s="15">
        <f t="shared" si="24"/>
        <v>141</v>
      </c>
      <c r="P41" s="17">
        <f t="shared" si="25"/>
        <v>37</v>
      </c>
      <c r="Q41" s="18">
        <f t="shared" si="26"/>
        <v>141</v>
      </c>
      <c r="R41" s="4" t="s">
        <v>0</v>
      </c>
      <c r="S41" s="16" t="str">
        <f t="shared" si="27"/>
        <v>06-35</v>
      </c>
      <c r="T41" s="14">
        <f t="shared" si="28"/>
        <v>37</v>
      </c>
      <c r="U41" s="18">
        <f t="shared" si="29"/>
        <v>624</v>
      </c>
      <c r="V41" s="14">
        <f t="shared" si="30"/>
        <v>51</v>
      </c>
      <c r="W41" s="18">
        <f t="shared" si="31"/>
        <v>624</v>
      </c>
      <c r="X41" s="14">
        <f t="shared" si="32"/>
        <v>51</v>
      </c>
      <c r="Y41" s="18">
        <f t="shared" si="33"/>
        <v>609</v>
      </c>
      <c r="Z41" s="14">
        <f t="shared" si="34"/>
        <v>37</v>
      </c>
      <c r="AA41" s="18">
        <f t="shared" si="35"/>
        <v>609</v>
      </c>
      <c r="AB41" s="4" t="s">
        <v>0</v>
      </c>
    </row>
    <row r="42" spans="1:28">
      <c r="A42" s="9" t="s">
        <v>571</v>
      </c>
      <c r="B42" s="24"/>
      <c r="C42" s="26"/>
      <c r="D42" s="25">
        <f>D13</f>
        <v>50</v>
      </c>
      <c r="E42" s="29">
        <f t="shared" si="41"/>
        <v>126</v>
      </c>
      <c r="F42" s="25">
        <f t="shared" si="40"/>
        <v>64</v>
      </c>
      <c r="G42" s="29">
        <f t="shared" si="41"/>
        <v>141</v>
      </c>
      <c r="H42" s="4" t="s">
        <v>0</v>
      </c>
      <c r="I42" s="16" t="str">
        <f t="shared" si="18"/>
        <v>06-33</v>
      </c>
      <c r="J42" s="14">
        <f t="shared" si="19"/>
        <v>50</v>
      </c>
      <c r="K42" s="15">
        <f t="shared" si="20"/>
        <v>126</v>
      </c>
      <c r="L42" s="17">
        <f t="shared" si="21"/>
        <v>64</v>
      </c>
      <c r="M42" s="18">
        <f t="shared" si="22"/>
        <v>126</v>
      </c>
      <c r="N42" s="14">
        <f t="shared" si="23"/>
        <v>64</v>
      </c>
      <c r="O42" s="15">
        <f t="shared" si="24"/>
        <v>141</v>
      </c>
      <c r="P42" s="17">
        <f t="shared" si="25"/>
        <v>50</v>
      </c>
      <c r="Q42" s="18">
        <f t="shared" si="26"/>
        <v>141</v>
      </c>
      <c r="R42" s="4" t="s">
        <v>0</v>
      </c>
      <c r="S42" s="16" t="str">
        <f t="shared" si="27"/>
        <v>06-33</v>
      </c>
      <c r="T42" s="14">
        <f t="shared" si="28"/>
        <v>50</v>
      </c>
      <c r="U42" s="18">
        <f t="shared" si="29"/>
        <v>624</v>
      </c>
      <c r="V42" s="14">
        <f t="shared" si="30"/>
        <v>64</v>
      </c>
      <c r="W42" s="18">
        <f t="shared" si="31"/>
        <v>624</v>
      </c>
      <c r="X42" s="14">
        <f t="shared" si="32"/>
        <v>64</v>
      </c>
      <c r="Y42" s="18">
        <f t="shared" si="33"/>
        <v>609</v>
      </c>
      <c r="Z42" s="14">
        <f t="shared" si="34"/>
        <v>50</v>
      </c>
      <c r="AA42" s="18">
        <f t="shared" si="35"/>
        <v>609</v>
      </c>
      <c r="AB42" s="4" t="s">
        <v>0</v>
      </c>
    </row>
    <row r="43" spans="1:28">
      <c r="A43" s="9" t="s">
        <v>570</v>
      </c>
      <c r="B43" s="24"/>
      <c r="C43" s="26"/>
      <c r="D43" s="25">
        <f t="shared" ref="D43:D106" si="42">D14</f>
        <v>64</v>
      </c>
      <c r="E43" s="29">
        <f t="shared" ref="E43" si="43">E42</f>
        <v>126</v>
      </c>
      <c r="F43" s="25">
        <f t="shared" si="40"/>
        <v>78</v>
      </c>
      <c r="G43" s="29">
        <f t="shared" ref="G43" si="44">G42</f>
        <v>141</v>
      </c>
      <c r="H43" s="4" t="s">
        <v>0</v>
      </c>
      <c r="I43" s="16" t="str">
        <f t="shared" si="18"/>
        <v>06-32</v>
      </c>
      <c r="J43" s="14">
        <f t="shared" si="19"/>
        <v>64</v>
      </c>
      <c r="K43" s="15">
        <f t="shared" si="20"/>
        <v>126</v>
      </c>
      <c r="L43" s="17">
        <f t="shared" si="21"/>
        <v>78</v>
      </c>
      <c r="M43" s="18">
        <f t="shared" si="22"/>
        <v>126</v>
      </c>
      <c r="N43" s="14">
        <f t="shared" si="23"/>
        <v>78</v>
      </c>
      <c r="O43" s="15">
        <f t="shared" si="24"/>
        <v>141</v>
      </c>
      <c r="P43" s="17">
        <f t="shared" si="25"/>
        <v>64</v>
      </c>
      <c r="Q43" s="18">
        <f t="shared" si="26"/>
        <v>141</v>
      </c>
      <c r="R43" s="4" t="s">
        <v>0</v>
      </c>
      <c r="S43" s="16" t="str">
        <f t="shared" si="27"/>
        <v>06-32</v>
      </c>
      <c r="T43" s="14">
        <f t="shared" si="28"/>
        <v>64</v>
      </c>
      <c r="U43" s="18">
        <f t="shared" si="29"/>
        <v>624</v>
      </c>
      <c r="V43" s="14">
        <f t="shared" si="30"/>
        <v>78</v>
      </c>
      <c r="W43" s="18">
        <f t="shared" si="31"/>
        <v>624</v>
      </c>
      <c r="X43" s="14">
        <f t="shared" si="32"/>
        <v>78</v>
      </c>
      <c r="Y43" s="18">
        <f t="shared" si="33"/>
        <v>609</v>
      </c>
      <c r="Z43" s="14">
        <f t="shared" si="34"/>
        <v>64</v>
      </c>
      <c r="AA43" s="18">
        <f t="shared" si="35"/>
        <v>609</v>
      </c>
      <c r="AB43" s="4" t="s">
        <v>0</v>
      </c>
    </row>
    <row r="44" spans="1:28">
      <c r="A44" s="9" t="s">
        <v>569</v>
      </c>
      <c r="B44" s="24"/>
      <c r="C44" s="26"/>
      <c r="D44" s="25">
        <f t="shared" si="42"/>
        <v>78</v>
      </c>
      <c r="E44" s="29">
        <f t="shared" ref="E44" si="45">E43</f>
        <v>126</v>
      </c>
      <c r="F44" s="25">
        <f t="shared" si="40"/>
        <v>92</v>
      </c>
      <c r="G44" s="29">
        <f t="shared" ref="G44" si="46">G43</f>
        <v>141</v>
      </c>
      <c r="H44" s="4" t="s">
        <v>0</v>
      </c>
      <c r="I44" s="16" t="str">
        <f t="shared" si="18"/>
        <v>06-31</v>
      </c>
      <c r="J44" s="14">
        <f t="shared" si="19"/>
        <v>78</v>
      </c>
      <c r="K44" s="15">
        <f t="shared" si="20"/>
        <v>126</v>
      </c>
      <c r="L44" s="17">
        <f t="shared" si="21"/>
        <v>92</v>
      </c>
      <c r="M44" s="18">
        <f t="shared" si="22"/>
        <v>126</v>
      </c>
      <c r="N44" s="14">
        <f t="shared" si="23"/>
        <v>92</v>
      </c>
      <c r="O44" s="15">
        <f t="shared" si="24"/>
        <v>141</v>
      </c>
      <c r="P44" s="17">
        <f t="shared" si="25"/>
        <v>78</v>
      </c>
      <c r="Q44" s="18">
        <f t="shared" si="26"/>
        <v>141</v>
      </c>
      <c r="R44" s="4" t="s">
        <v>0</v>
      </c>
      <c r="S44" s="16" t="str">
        <f t="shared" si="27"/>
        <v>06-31</v>
      </c>
      <c r="T44" s="14">
        <f t="shared" si="28"/>
        <v>78</v>
      </c>
      <c r="U44" s="18">
        <f t="shared" si="29"/>
        <v>624</v>
      </c>
      <c r="V44" s="14">
        <f t="shared" si="30"/>
        <v>92</v>
      </c>
      <c r="W44" s="18">
        <f t="shared" si="31"/>
        <v>624</v>
      </c>
      <c r="X44" s="14">
        <f t="shared" si="32"/>
        <v>92</v>
      </c>
      <c r="Y44" s="18">
        <f t="shared" si="33"/>
        <v>609</v>
      </c>
      <c r="Z44" s="14">
        <f t="shared" si="34"/>
        <v>78</v>
      </c>
      <c r="AA44" s="18">
        <f t="shared" si="35"/>
        <v>609</v>
      </c>
      <c r="AB44" s="4" t="s">
        <v>0</v>
      </c>
    </row>
    <row r="45" spans="1:28">
      <c r="A45" s="9" t="s">
        <v>568</v>
      </c>
      <c r="B45" s="24"/>
      <c r="C45" s="26"/>
      <c r="D45" s="25">
        <f t="shared" si="42"/>
        <v>92</v>
      </c>
      <c r="E45" s="29">
        <f t="shared" ref="E45" si="47">E44</f>
        <v>126</v>
      </c>
      <c r="F45" s="25">
        <f t="shared" si="40"/>
        <v>106</v>
      </c>
      <c r="G45" s="29">
        <f t="shared" ref="G45" si="48">G44</f>
        <v>141</v>
      </c>
      <c r="H45" s="4" t="s">
        <v>0</v>
      </c>
      <c r="I45" s="16" t="str">
        <f t="shared" si="18"/>
        <v>06-30</v>
      </c>
      <c r="J45" s="14">
        <f t="shared" si="19"/>
        <v>92</v>
      </c>
      <c r="K45" s="15">
        <f t="shared" si="20"/>
        <v>126</v>
      </c>
      <c r="L45" s="17">
        <f t="shared" si="21"/>
        <v>106</v>
      </c>
      <c r="M45" s="18">
        <f t="shared" si="22"/>
        <v>126</v>
      </c>
      <c r="N45" s="14">
        <f t="shared" si="23"/>
        <v>106</v>
      </c>
      <c r="O45" s="15">
        <f t="shared" si="24"/>
        <v>141</v>
      </c>
      <c r="P45" s="17">
        <f t="shared" si="25"/>
        <v>92</v>
      </c>
      <c r="Q45" s="18">
        <f t="shared" si="26"/>
        <v>141</v>
      </c>
      <c r="R45" s="4" t="s">
        <v>0</v>
      </c>
      <c r="S45" s="16" t="str">
        <f t="shared" si="27"/>
        <v>06-30</v>
      </c>
      <c r="T45" s="14">
        <f t="shared" si="28"/>
        <v>92</v>
      </c>
      <c r="U45" s="18">
        <f t="shared" si="29"/>
        <v>624</v>
      </c>
      <c r="V45" s="14">
        <f t="shared" si="30"/>
        <v>106</v>
      </c>
      <c r="W45" s="18">
        <f t="shared" si="31"/>
        <v>624</v>
      </c>
      <c r="X45" s="14">
        <f t="shared" si="32"/>
        <v>106</v>
      </c>
      <c r="Y45" s="18">
        <f t="shared" si="33"/>
        <v>609</v>
      </c>
      <c r="Z45" s="14">
        <f t="shared" si="34"/>
        <v>92</v>
      </c>
      <c r="AA45" s="18">
        <f t="shared" si="35"/>
        <v>609</v>
      </c>
      <c r="AB45" s="4" t="s">
        <v>0</v>
      </c>
    </row>
    <row r="46" spans="1:28">
      <c r="A46" s="9" t="s">
        <v>567</v>
      </c>
      <c r="B46" s="24"/>
      <c r="C46" s="26"/>
      <c r="D46" s="25">
        <f t="shared" si="42"/>
        <v>105</v>
      </c>
      <c r="E46" s="29">
        <f t="shared" ref="E46" si="49">E45</f>
        <v>126</v>
      </c>
      <c r="F46" s="25">
        <f t="shared" si="40"/>
        <v>119</v>
      </c>
      <c r="G46" s="29">
        <f t="shared" ref="G46" si="50">G45</f>
        <v>141</v>
      </c>
      <c r="H46" s="4" t="s">
        <v>0</v>
      </c>
      <c r="I46" s="16" t="str">
        <f t="shared" si="18"/>
        <v>06-28</v>
      </c>
      <c r="J46" s="14">
        <f t="shared" si="19"/>
        <v>105</v>
      </c>
      <c r="K46" s="15">
        <f t="shared" si="20"/>
        <v>126</v>
      </c>
      <c r="L46" s="17">
        <f t="shared" si="21"/>
        <v>119</v>
      </c>
      <c r="M46" s="18">
        <f t="shared" si="22"/>
        <v>126</v>
      </c>
      <c r="N46" s="14">
        <f t="shared" si="23"/>
        <v>119</v>
      </c>
      <c r="O46" s="15">
        <f t="shared" si="24"/>
        <v>141</v>
      </c>
      <c r="P46" s="17">
        <f t="shared" si="25"/>
        <v>105</v>
      </c>
      <c r="Q46" s="18">
        <f t="shared" si="26"/>
        <v>141</v>
      </c>
      <c r="R46" s="4" t="s">
        <v>0</v>
      </c>
      <c r="S46" s="16" t="str">
        <f t="shared" si="27"/>
        <v>06-28</v>
      </c>
      <c r="T46" s="14">
        <f t="shared" si="28"/>
        <v>105</v>
      </c>
      <c r="U46" s="18">
        <f t="shared" si="29"/>
        <v>624</v>
      </c>
      <c r="V46" s="14">
        <f t="shared" si="30"/>
        <v>119</v>
      </c>
      <c r="W46" s="18">
        <f t="shared" si="31"/>
        <v>624</v>
      </c>
      <c r="X46" s="14">
        <f t="shared" si="32"/>
        <v>119</v>
      </c>
      <c r="Y46" s="18">
        <f t="shared" si="33"/>
        <v>609</v>
      </c>
      <c r="Z46" s="14">
        <f t="shared" si="34"/>
        <v>105</v>
      </c>
      <c r="AA46" s="18">
        <f t="shared" si="35"/>
        <v>609</v>
      </c>
      <c r="AB46" s="4" t="s">
        <v>0</v>
      </c>
    </row>
    <row r="47" spans="1:28">
      <c r="A47" s="9" t="s">
        <v>566</v>
      </c>
      <c r="B47" s="24"/>
      <c r="C47" s="26"/>
      <c r="D47" s="25">
        <f t="shared" si="42"/>
        <v>119</v>
      </c>
      <c r="E47" s="29">
        <f t="shared" ref="E47" si="51">E46</f>
        <v>126</v>
      </c>
      <c r="F47" s="25">
        <f t="shared" si="40"/>
        <v>133</v>
      </c>
      <c r="G47" s="29">
        <f t="shared" ref="G47" si="52">G46</f>
        <v>141</v>
      </c>
      <c r="H47" s="4" t="s">
        <v>0</v>
      </c>
      <c r="I47" s="16" t="str">
        <f t="shared" si="18"/>
        <v>06-27</v>
      </c>
      <c r="J47" s="14">
        <f t="shared" si="19"/>
        <v>119</v>
      </c>
      <c r="K47" s="15">
        <f t="shared" si="20"/>
        <v>126</v>
      </c>
      <c r="L47" s="17">
        <f t="shared" si="21"/>
        <v>133</v>
      </c>
      <c r="M47" s="18">
        <f t="shared" si="22"/>
        <v>126</v>
      </c>
      <c r="N47" s="14">
        <f t="shared" si="23"/>
        <v>133</v>
      </c>
      <c r="O47" s="15">
        <f t="shared" si="24"/>
        <v>141</v>
      </c>
      <c r="P47" s="17">
        <f t="shared" si="25"/>
        <v>119</v>
      </c>
      <c r="Q47" s="18">
        <f t="shared" si="26"/>
        <v>141</v>
      </c>
      <c r="R47" s="4" t="s">
        <v>0</v>
      </c>
      <c r="S47" s="16" t="str">
        <f t="shared" si="27"/>
        <v>06-27</v>
      </c>
      <c r="T47" s="14">
        <f t="shared" si="28"/>
        <v>119</v>
      </c>
      <c r="U47" s="18">
        <f t="shared" si="29"/>
        <v>624</v>
      </c>
      <c r="V47" s="14">
        <f t="shared" si="30"/>
        <v>133</v>
      </c>
      <c r="W47" s="18">
        <f t="shared" si="31"/>
        <v>624</v>
      </c>
      <c r="X47" s="14">
        <f t="shared" si="32"/>
        <v>133</v>
      </c>
      <c r="Y47" s="18">
        <f t="shared" si="33"/>
        <v>609</v>
      </c>
      <c r="Z47" s="14">
        <f t="shared" si="34"/>
        <v>119</v>
      </c>
      <c r="AA47" s="18">
        <f t="shared" si="35"/>
        <v>609</v>
      </c>
      <c r="AB47" s="4" t="s">
        <v>0</v>
      </c>
    </row>
    <row r="48" spans="1:28">
      <c r="A48" s="9" t="s">
        <v>565</v>
      </c>
      <c r="B48" s="24"/>
      <c r="C48" s="26"/>
      <c r="D48" s="25">
        <f t="shared" si="42"/>
        <v>133</v>
      </c>
      <c r="E48" s="29">
        <f t="shared" ref="E48" si="53">E47</f>
        <v>126</v>
      </c>
      <c r="F48" s="25">
        <f t="shared" si="40"/>
        <v>147</v>
      </c>
      <c r="G48" s="29">
        <f t="shared" ref="G48" si="54">G47</f>
        <v>141</v>
      </c>
      <c r="H48" s="4" t="s">
        <v>0</v>
      </c>
      <c r="I48" s="16" t="str">
        <f t="shared" si="18"/>
        <v>06-26</v>
      </c>
      <c r="J48" s="14">
        <f t="shared" si="19"/>
        <v>133</v>
      </c>
      <c r="K48" s="15">
        <f t="shared" si="20"/>
        <v>126</v>
      </c>
      <c r="L48" s="17">
        <f t="shared" si="21"/>
        <v>147</v>
      </c>
      <c r="M48" s="18">
        <f t="shared" si="22"/>
        <v>126</v>
      </c>
      <c r="N48" s="14">
        <f t="shared" si="23"/>
        <v>147</v>
      </c>
      <c r="O48" s="15">
        <f t="shared" si="24"/>
        <v>141</v>
      </c>
      <c r="P48" s="17">
        <f t="shared" si="25"/>
        <v>133</v>
      </c>
      <c r="Q48" s="18">
        <f t="shared" si="26"/>
        <v>141</v>
      </c>
      <c r="R48" s="4" t="s">
        <v>0</v>
      </c>
      <c r="S48" s="16" t="str">
        <f t="shared" si="27"/>
        <v>06-26</v>
      </c>
      <c r="T48" s="14">
        <f t="shared" si="28"/>
        <v>133</v>
      </c>
      <c r="U48" s="18">
        <f t="shared" si="29"/>
        <v>624</v>
      </c>
      <c r="V48" s="14">
        <f t="shared" si="30"/>
        <v>147</v>
      </c>
      <c r="W48" s="18">
        <f t="shared" si="31"/>
        <v>624</v>
      </c>
      <c r="X48" s="14">
        <f t="shared" si="32"/>
        <v>147</v>
      </c>
      <c r="Y48" s="18">
        <f t="shared" si="33"/>
        <v>609</v>
      </c>
      <c r="Z48" s="14">
        <f t="shared" si="34"/>
        <v>133</v>
      </c>
      <c r="AA48" s="18">
        <f t="shared" si="35"/>
        <v>609</v>
      </c>
      <c r="AB48" s="4" t="s">
        <v>0</v>
      </c>
    </row>
    <row r="49" spans="1:28">
      <c r="A49" s="9" t="s">
        <v>439</v>
      </c>
      <c r="B49" s="24"/>
      <c r="C49" s="26"/>
      <c r="D49" s="25">
        <f t="shared" si="42"/>
        <v>146</v>
      </c>
      <c r="E49" s="29">
        <f t="shared" ref="E49" si="55">E48</f>
        <v>126</v>
      </c>
      <c r="F49" s="25">
        <f t="shared" si="40"/>
        <v>160</v>
      </c>
      <c r="G49" s="29">
        <f t="shared" ref="G49" si="56">G48</f>
        <v>141</v>
      </c>
      <c r="H49" s="4" t="s">
        <v>0</v>
      </c>
      <c r="I49" s="16" t="str">
        <f t="shared" si="18"/>
        <v>06-25</v>
      </c>
      <c r="J49" s="14">
        <f t="shared" si="19"/>
        <v>146</v>
      </c>
      <c r="K49" s="15">
        <f t="shared" si="20"/>
        <v>126</v>
      </c>
      <c r="L49" s="17">
        <f t="shared" si="21"/>
        <v>160</v>
      </c>
      <c r="M49" s="18">
        <f t="shared" si="22"/>
        <v>126</v>
      </c>
      <c r="N49" s="14">
        <f t="shared" si="23"/>
        <v>160</v>
      </c>
      <c r="O49" s="15">
        <f t="shared" si="24"/>
        <v>141</v>
      </c>
      <c r="P49" s="17">
        <f t="shared" si="25"/>
        <v>146</v>
      </c>
      <c r="Q49" s="18">
        <f t="shared" si="26"/>
        <v>141</v>
      </c>
      <c r="R49" s="4" t="s">
        <v>0</v>
      </c>
      <c r="S49" s="16" t="str">
        <f t="shared" si="27"/>
        <v>06-25</v>
      </c>
      <c r="T49" s="14">
        <f t="shared" si="28"/>
        <v>146</v>
      </c>
      <c r="U49" s="18">
        <f t="shared" si="29"/>
        <v>624</v>
      </c>
      <c r="V49" s="14">
        <f t="shared" si="30"/>
        <v>160</v>
      </c>
      <c r="W49" s="18">
        <f t="shared" si="31"/>
        <v>624</v>
      </c>
      <c r="X49" s="14">
        <f t="shared" si="32"/>
        <v>160</v>
      </c>
      <c r="Y49" s="18">
        <f t="shared" si="33"/>
        <v>609</v>
      </c>
      <c r="Z49" s="14">
        <f t="shared" si="34"/>
        <v>146</v>
      </c>
      <c r="AA49" s="18">
        <f t="shared" si="35"/>
        <v>609</v>
      </c>
      <c r="AB49" s="4" t="s">
        <v>0</v>
      </c>
    </row>
    <row r="50" spans="1:28">
      <c r="A50" s="9" t="s">
        <v>438</v>
      </c>
      <c r="B50" s="24"/>
      <c r="C50" s="26"/>
      <c r="D50" s="25">
        <f t="shared" si="42"/>
        <v>160</v>
      </c>
      <c r="E50" s="29">
        <f t="shared" ref="E50" si="57">E49</f>
        <v>126</v>
      </c>
      <c r="F50" s="25">
        <f t="shared" si="40"/>
        <v>174</v>
      </c>
      <c r="G50" s="29">
        <f t="shared" ref="G50" si="58">G49</f>
        <v>141</v>
      </c>
      <c r="H50" s="4" t="s">
        <v>0</v>
      </c>
      <c r="I50" s="16" t="str">
        <f t="shared" si="18"/>
        <v>06-23</v>
      </c>
      <c r="J50" s="14">
        <f t="shared" si="19"/>
        <v>160</v>
      </c>
      <c r="K50" s="15">
        <f t="shared" si="20"/>
        <v>126</v>
      </c>
      <c r="L50" s="17">
        <f t="shared" si="21"/>
        <v>174</v>
      </c>
      <c r="M50" s="18">
        <f t="shared" si="22"/>
        <v>126</v>
      </c>
      <c r="N50" s="14">
        <f t="shared" si="23"/>
        <v>174</v>
      </c>
      <c r="O50" s="15">
        <f t="shared" si="24"/>
        <v>141</v>
      </c>
      <c r="P50" s="17">
        <f t="shared" si="25"/>
        <v>160</v>
      </c>
      <c r="Q50" s="18">
        <f t="shared" si="26"/>
        <v>141</v>
      </c>
      <c r="R50" s="4" t="s">
        <v>0</v>
      </c>
      <c r="S50" s="16" t="str">
        <f t="shared" si="27"/>
        <v>06-23</v>
      </c>
      <c r="T50" s="14">
        <f t="shared" si="28"/>
        <v>160</v>
      </c>
      <c r="U50" s="18">
        <f t="shared" si="29"/>
        <v>624</v>
      </c>
      <c r="V50" s="14">
        <f t="shared" si="30"/>
        <v>174</v>
      </c>
      <c r="W50" s="18">
        <f t="shared" si="31"/>
        <v>624</v>
      </c>
      <c r="X50" s="14">
        <f t="shared" si="32"/>
        <v>174</v>
      </c>
      <c r="Y50" s="18">
        <f t="shared" si="33"/>
        <v>609</v>
      </c>
      <c r="Z50" s="14">
        <f t="shared" si="34"/>
        <v>160</v>
      </c>
      <c r="AA50" s="18">
        <f t="shared" si="35"/>
        <v>609</v>
      </c>
      <c r="AB50" s="4" t="s">
        <v>0</v>
      </c>
    </row>
    <row r="51" spans="1:28">
      <c r="A51" s="9" t="s">
        <v>437</v>
      </c>
      <c r="B51" s="24"/>
      <c r="C51" s="26"/>
      <c r="D51" s="25">
        <f t="shared" si="42"/>
        <v>174</v>
      </c>
      <c r="E51" s="29">
        <f t="shared" ref="E51" si="59">E50</f>
        <v>126</v>
      </c>
      <c r="F51" s="25">
        <f t="shared" si="40"/>
        <v>188</v>
      </c>
      <c r="G51" s="29">
        <f t="shared" ref="G51" si="60">G50</f>
        <v>141</v>
      </c>
      <c r="H51" s="4" t="s">
        <v>0</v>
      </c>
      <c r="I51" s="16" t="str">
        <f t="shared" si="18"/>
        <v>06-22</v>
      </c>
      <c r="J51" s="14">
        <f t="shared" si="19"/>
        <v>174</v>
      </c>
      <c r="K51" s="15">
        <f t="shared" si="20"/>
        <v>126</v>
      </c>
      <c r="L51" s="17">
        <f t="shared" si="21"/>
        <v>188</v>
      </c>
      <c r="M51" s="18">
        <f t="shared" si="22"/>
        <v>126</v>
      </c>
      <c r="N51" s="14">
        <f t="shared" si="23"/>
        <v>188</v>
      </c>
      <c r="O51" s="15">
        <f t="shared" si="24"/>
        <v>141</v>
      </c>
      <c r="P51" s="17">
        <f t="shared" si="25"/>
        <v>174</v>
      </c>
      <c r="Q51" s="18">
        <f t="shared" si="26"/>
        <v>141</v>
      </c>
      <c r="R51" s="4" t="s">
        <v>0</v>
      </c>
      <c r="S51" s="16" t="str">
        <f t="shared" si="27"/>
        <v>06-22</v>
      </c>
      <c r="T51" s="14">
        <f t="shared" si="28"/>
        <v>174</v>
      </c>
      <c r="U51" s="18">
        <f t="shared" si="29"/>
        <v>624</v>
      </c>
      <c r="V51" s="14">
        <f t="shared" si="30"/>
        <v>188</v>
      </c>
      <c r="W51" s="18">
        <f t="shared" si="31"/>
        <v>624</v>
      </c>
      <c r="X51" s="14">
        <f t="shared" si="32"/>
        <v>188</v>
      </c>
      <c r="Y51" s="18">
        <f t="shared" si="33"/>
        <v>609</v>
      </c>
      <c r="Z51" s="14">
        <f t="shared" si="34"/>
        <v>174</v>
      </c>
      <c r="AA51" s="18">
        <f t="shared" si="35"/>
        <v>609</v>
      </c>
      <c r="AB51" s="4" t="s">
        <v>0</v>
      </c>
    </row>
    <row r="52" spans="1:28">
      <c r="A52" s="9" t="s">
        <v>172</v>
      </c>
      <c r="B52" s="24"/>
      <c r="C52" s="26"/>
      <c r="D52" s="25">
        <f t="shared" si="42"/>
        <v>187</v>
      </c>
      <c r="E52" s="29">
        <f t="shared" ref="E52" si="61">E51</f>
        <v>126</v>
      </c>
      <c r="F52" s="25">
        <f t="shared" si="40"/>
        <v>201</v>
      </c>
      <c r="G52" s="29">
        <f t="shared" ref="G52" si="62">G51</f>
        <v>141</v>
      </c>
      <c r="H52" s="4" t="s">
        <v>0</v>
      </c>
      <c r="I52" s="16" t="str">
        <f t="shared" si="18"/>
        <v>06-21</v>
      </c>
      <c r="J52" s="14">
        <f t="shared" si="19"/>
        <v>187</v>
      </c>
      <c r="K52" s="15">
        <f t="shared" si="20"/>
        <v>126</v>
      </c>
      <c r="L52" s="17">
        <f t="shared" si="21"/>
        <v>201</v>
      </c>
      <c r="M52" s="18">
        <f t="shared" si="22"/>
        <v>126</v>
      </c>
      <c r="N52" s="14">
        <f t="shared" si="23"/>
        <v>201</v>
      </c>
      <c r="O52" s="15">
        <f t="shared" si="24"/>
        <v>141</v>
      </c>
      <c r="P52" s="17">
        <f t="shared" si="25"/>
        <v>187</v>
      </c>
      <c r="Q52" s="18">
        <f t="shared" si="26"/>
        <v>141</v>
      </c>
      <c r="R52" s="4" t="s">
        <v>0</v>
      </c>
      <c r="S52" s="16" t="str">
        <f t="shared" si="27"/>
        <v>06-21</v>
      </c>
      <c r="T52" s="14">
        <f t="shared" si="28"/>
        <v>187</v>
      </c>
      <c r="U52" s="18">
        <f t="shared" si="29"/>
        <v>624</v>
      </c>
      <c r="V52" s="14">
        <f t="shared" si="30"/>
        <v>201</v>
      </c>
      <c r="W52" s="18">
        <f t="shared" si="31"/>
        <v>624</v>
      </c>
      <c r="X52" s="14">
        <f t="shared" si="32"/>
        <v>201</v>
      </c>
      <c r="Y52" s="18">
        <f t="shared" si="33"/>
        <v>609</v>
      </c>
      <c r="Z52" s="14">
        <f t="shared" si="34"/>
        <v>187</v>
      </c>
      <c r="AA52" s="18">
        <f t="shared" si="35"/>
        <v>609</v>
      </c>
      <c r="AB52" s="4" t="s">
        <v>0</v>
      </c>
    </row>
    <row r="53" spans="1:28">
      <c r="A53" s="9" t="s">
        <v>171</v>
      </c>
      <c r="B53" s="24"/>
      <c r="C53" s="26"/>
      <c r="D53" s="25">
        <f t="shared" si="42"/>
        <v>201</v>
      </c>
      <c r="E53" s="29">
        <f t="shared" ref="E53" si="63">E52</f>
        <v>126</v>
      </c>
      <c r="F53" s="25">
        <f t="shared" si="40"/>
        <v>215</v>
      </c>
      <c r="G53" s="29">
        <f t="shared" ref="G53" si="64">G52</f>
        <v>141</v>
      </c>
      <c r="H53" s="4" t="s">
        <v>0</v>
      </c>
      <c r="I53" s="16" t="str">
        <f t="shared" si="18"/>
        <v>06-20</v>
      </c>
      <c r="J53" s="14">
        <f t="shared" si="19"/>
        <v>201</v>
      </c>
      <c r="K53" s="15">
        <f t="shared" si="20"/>
        <v>126</v>
      </c>
      <c r="L53" s="17">
        <f t="shared" si="21"/>
        <v>215</v>
      </c>
      <c r="M53" s="18">
        <f t="shared" si="22"/>
        <v>126</v>
      </c>
      <c r="N53" s="14">
        <f t="shared" si="23"/>
        <v>215</v>
      </c>
      <c r="O53" s="15">
        <f t="shared" si="24"/>
        <v>141</v>
      </c>
      <c r="P53" s="17">
        <f t="shared" si="25"/>
        <v>201</v>
      </c>
      <c r="Q53" s="18">
        <f t="shared" si="26"/>
        <v>141</v>
      </c>
      <c r="R53" s="4" t="s">
        <v>0</v>
      </c>
      <c r="S53" s="16" t="str">
        <f t="shared" si="27"/>
        <v>06-20</v>
      </c>
      <c r="T53" s="14">
        <f t="shared" si="28"/>
        <v>201</v>
      </c>
      <c r="U53" s="18">
        <f t="shared" si="29"/>
        <v>624</v>
      </c>
      <c r="V53" s="14">
        <f t="shared" si="30"/>
        <v>215</v>
      </c>
      <c r="W53" s="18">
        <f t="shared" si="31"/>
        <v>624</v>
      </c>
      <c r="X53" s="14">
        <f t="shared" si="32"/>
        <v>215</v>
      </c>
      <c r="Y53" s="18">
        <f t="shared" si="33"/>
        <v>609</v>
      </c>
      <c r="Z53" s="14">
        <f t="shared" si="34"/>
        <v>201</v>
      </c>
      <c r="AA53" s="18">
        <f t="shared" si="35"/>
        <v>609</v>
      </c>
      <c r="AB53" s="4" t="s">
        <v>0</v>
      </c>
    </row>
    <row r="54" spans="1:28">
      <c r="A54" s="9" t="s">
        <v>170</v>
      </c>
      <c r="B54" s="24"/>
      <c r="C54" s="26"/>
      <c r="D54" s="25">
        <f t="shared" si="42"/>
        <v>215</v>
      </c>
      <c r="E54" s="29">
        <f t="shared" ref="E54" si="65">E53</f>
        <v>126</v>
      </c>
      <c r="F54" s="25">
        <f t="shared" si="40"/>
        <v>229</v>
      </c>
      <c r="G54" s="29">
        <f t="shared" ref="G54" si="66">G53</f>
        <v>141</v>
      </c>
      <c r="H54" s="4" t="s">
        <v>0</v>
      </c>
      <c r="I54" s="16" t="str">
        <f t="shared" si="18"/>
        <v>06-18</v>
      </c>
      <c r="J54" s="14">
        <f t="shared" si="19"/>
        <v>215</v>
      </c>
      <c r="K54" s="15">
        <f t="shared" si="20"/>
        <v>126</v>
      </c>
      <c r="L54" s="17">
        <f t="shared" si="21"/>
        <v>229</v>
      </c>
      <c r="M54" s="18">
        <f t="shared" si="22"/>
        <v>126</v>
      </c>
      <c r="N54" s="14">
        <f t="shared" si="23"/>
        <v>229</v>
      </c>
      <c r="O54" s="15">
        <f t="shared" si="24"/>
        <v>141</v>
      </c>
      <c r="P54" s="17">
        <f t="shared" si="25"/>
        <v>215</v>
      </c>
      <c r="Q54" s="18">
        <f t="shared" si="26"/>
        <v>141</v>
      </c>
      <c r="R54" s="4" t="s">
        <v>0</v>
      </c>
      <c r="S54" s="16" t="str">
        <f t="shared" si="27"/>
        <v>06-18</v>
      </c>
      <c r="T54" s="14">
        <f t="shared" si="28"/>
        <v>215</v>
      </c>
      <c r="U54" s="18">
        <f t="shared" si="29"/>
        <v>624</v>
      </c>
      <c r="V54" s="14">
        <f t="shared" si="30"/>
        <v>229</v>
      </c>
      <c r="W54" s="18">
        <f t="shared" si="31"/>
        <v>624</v>
      </c>
      <c r="X54" s="14">
        <f t="shared" si="32"/>
        <v>229</v>
      </c>
      <c r="Y54" s="18">
        <f t="shared" si="33"/>
        <v>609</v>
      </c>
      <c r="Z54" s="14">
        <f t="shared" si="34"/>
        <v>215</v>
      </c>
      <c r="AA54" s="18">
        <f t="shared" si="35"/>
        <v>609</v>
      </c>
      <c r="AB54" s="4" t="s">
        <v>0</v>
      </c>
    </row>
    <row r="55" spans="1:28">
      <c r="A55" s="9" t="s">
        <v>137</v>
      </c>
      <c r="B55" s="24"/>
      <c r="C55" s="26"/>
      <c r="D55" s="25">
        <f t="shared" si="42"/>
        <v>248</v>
      </c>
      <c r="E55" s="29">
        <f t="shared" ref="E55" si="67">E54</f>
        <v>126</v>
      </c>
      <c r="F55" s="25">
        <f t="shared" si="40"/>
        <v>262</v>
      </c>
      <c r="G55" s="29">
        <f t="shared" ref="G55" si="68">G54</f>
        <v>141</v>
      </c>
      <c r="H55" s="4" t="s">
        <v>0</v>
      </c>
      <c r="I55" s="16" t="str">
        <f t="shared" si="18"/>
        <v>06-17</v>
      </c>
      <c r="J55" s="14">
        <f t="shared" si="19"/>
        <v>248</v>
      </c>
      <c r="K55" s="15">
        <f t="shared" si="20"/>
        <v>126</v>
      </c>
      <c r="L55" s="17">
        <f t="shared" si="21"/>
        <v>262</v>
      </c>
      <c r="M55" s="18">
        <f t="shared" si="22"/>
        <v>126</v>
      </c>
      <c r="N55" s="14">
        <f t="shared" si="23"/>
        <v>262</v>
      </c>
      <c r="O55" s="15">
        <f t="shared" si="24"/>
        <v>141</v>
      </c>
      <c r="P55" s="17">
        <f t="shared" si="25"/>
        <v>248</v>
      </c>
      <c r="Q55" s="18">
        <f t="shared" si="26"/>
        <v>141</v>
      </c>
      <c r="R55" s="4" t="s">
        <v>0</v>
      </c>
      <c r="S55" s="16" t="str">
        <f t="shared" si="27"/>
        <v>06-17</v>
      </c>
      <c r="T55" s="14">
        <f t="shared" si="28"/>
        <v>248</v>
      </c>
      <c r="U55" s="18">
        <f t="shared" si="29"/>
        <v>624</v>
      </c>
      <c r="V55" s="14">
        <f t="shared" si="30"/>
        <v>262</v>
      </c>
      <c r="W55" s="18">
        <f t="shared" si="31"/>
        <v>624</v>
      </c>
      <c r="X55" s="14">
        <f t="shared" si="32"/>
        <v>262</v>
      </c>
      <c r="Y55" s="18">
        <f t="shared" si="33"/>
        <v>609</v>
      </c>
      <c r="Z55" s="14">
        <f t="shared" si="34"/>
        <v>248</v>
      </c>
      <c r="AA55" s="18">
        <f t="shared" si="35"/>
        <v>609</v>
      </c>
      <c r="AB55" s="4" t="s">
        <v>0</v>
      </c>
    </row>
    <row r="56" spans="1:28">
      <c r="A56" s="9" t="s">
        <v>169</v>
      </c>
      <c r="B56" s="24"/>
      <c r="C56" s="26"/>
      <c r="D56" s="25">
        <f t="shared" si="42"/>
        <v>262</v>
      </c>
      <c r="E56" s="29">
        <f t="shared" ref="E56" si="69">E55</f>
        <v>126</v>
      </c>
      <c r="F56" s="25">
        <f t="shared" si="40"/>
        <v>276</v>
      </c>
      <c r="G56" s="29">
        <f t="shared" ref="G56" si="70">G55</f>
        <v>141</v>
      </c>
      <c r="H56" s="4" t="s">
        <v>0</v>
      </c>
      <c r="I56" s="16" t="str">
        <f t="shared" si="18"/>
        <v>06-16</v>
      </c>
      <c r="J56" s="14">
        <f t="shared" si="19"/>
        <v>262</v>
      </c>
      <c r="K56" s="15">
        <f t="shared" si="20"/>
        <v>126</v>
      </c>
      <c r="L56" s="17">
        <f t="shared" si="21"/>
        <v>276</v>
      </c>
      <c r="M56" s="18">
        <f t="shared" si="22"/>
        <v>126</v>
      </c>
      <c r="N56" s="14">
        <f t="shared" si="23"/>
        <v>276</v>
      </c>
      <c r="O56" s="15">
        <f t="shared" si="24"/>
        <v>141</v>
      </c>
      <c r="P56" s="17">
        <f t="shared" si="25"/>
        <v>262</v>
      </c>
      <c r="Q56" s="18">
        <f t="shared" si="26"/>
        <v>141</v>
      </c>
      <c r="R56" s="4" t="s">
        <v>0</v>
      </c>
      <c r="S56" s="16" t="str">
        <f t="shared" si="27"/>
        <v>06-16</v>
      </c>
      <c r="T56" s="14">
        <f t="shared" si="28"/>
        <v>262</v>
      </c>
      <c r="U56" s="18">
        <f t="shared" si="29"/>
        <v>624</v>
      </c>
      <c r="V56" s="14">
        <f t="shared" si="30"/>
        <v>276</v>
      </c>
      <c r="W56" s="18">
        <f t="shared" si="31"/>
        <v>624</v>
      </c>
      <c r="X56" s="14">
        <f t="shared" si="32"/>
        <v>276</v>
      </c>
      <c r="Y56" s="18">
        <f t="shared" si="33"/>
        <v>609</v>
      </c>
      <c r="Z56" s="14">
        <f t="shared" si="34"/>
        <v>262</v>
      </c>
      <c r="AA56" s="18">
        <f t="shared" si="35"/>
        <v>609</v>
      </c>
      <c r="AB56" s="4" t="s">
        <v>0</v>
      </c>
    </row>
    <row r="57" spans="1:28">
      <c r="A57" s="9" t="s">
        <v>168</v>
      </c>
      <c r="B57" s="24"/>
      <c r="C57" s="26"/>
      <c r="D57" s="25">
        <f t="shared" si="42"/>
        <v>275</v>
      </c>
      <c r="E57" s="29">
        <f t="shared" ref="E57" si="71">E56</f>
        <v>126</v>
      </c>
      <c r="F57" s="25">
        <f t="shared" si="40"/>
        <v>289</v>
      </c>
      <c r="G57" s="29">
        <f t="shared" ref="G57" si="72">G56</f>
        <v>141</v>
      </c>
      <c r="H57" s="4" t="s">
        <v>0</v>
      </c>
      <c r="I57" s="16" t="str">
        <f t="shared" si="18"/>
        <v>06-15</v>
      </c>
      <c r="J57" s="14">
        <f t="shared" si="19"/>
        <v>275</v>
      </c>
      <c r="K57" s="15">
        <f t="shared" si="20"/>
        <v>126</v>
      </c>
      <c r="L57" s="17">
        <f t="shared" si="21"/>
        <v>289</v>
      </c>
      <c r="M57" s="18">
        <f t="shared" si="22"/>
        <v>126</v>
      </c>
      <c r="N57" s="14">
        <f t="shared" si="23"/>
        <v>289</v>
      </c>
      <c r="O57" s="15">
        <f t="shared" si="24"/>
        <v>141</v>
      </c>
      <c r="P57" s="17">
        <f t="shared" si="25"/>
        <v>275</v>
      </c>
      <c r="Q57" s="18">
        <f t="shared" si="26"/>
        <v>141</v>
      </c>
      <c r="R57" s="4" t="s">
        <v>0</v>
      </c>
      <c r="S57" s="16" t="str">
        <f t="shared" si="27"/>
        <v>06-15</v>
      </c>
      <c r="T57" s="14">
        <f t="shared" si="28"/>
        <v>275</v>
      </c>
      <c r="U57" s="18">
        <f t="shared" si="29"/>
        <v>624</v>
      </c>
      <c r="V57" s="14">
        <f t="shared" si="30"/>
        <v>289</v>
      </c>
      <c r="W57" s="18">
        <f t="shared" si="31"/>
        <v>624</v>
      </c>
      <c r="X57" s="14">
        <f t="shared" si="32"/>
        <v>289</v>
      </c>
      <c r="Y57" s="18">
        <f t="shared" si="33"/>
        <v>609</v>
      </c>
      <c r="Z57" s="14">
        <f t="shared" si="34"/>
        <v>275</v>
      </c>
      <c r="AA57" s="18">
        <f t="shared" si="35"/>
        <v>609</v>
      </c>
      <c r="AB57" s="4" t="s">
        <v>0</v>
      </c>
    </row>
    <row r="58" spans="1:28">
      <c r="A58" s="9" t="s">
        <v>167</v>
      </c>
      <c r="B58" s="24"/>
      <c r="C58" s="26"/>
      <c r="D58" s="25">
        <f t="shared" si="42"/>
        <v>289</v>
      </c>
      <c r="E58" s="29">
        <f t="shared" ref="E58" si="73">E57</f>
        <v>126</v>
      </c>
      <c r="F58" s="25">
        <f t="shared" si="40"/>
        <v>303</v>
      </c>
      <c r="G58" s="29">
        <f t="shared" ref="G58" si="74">G57</f>
        <v>141</v>
      </c>
      <c r="H58" s="4" t="s">
        <v>0</v>
      </c>
      <c r="I58" s="16" t="str">
        <f t="shared" si="18"/>
        <v>06-13</v>
      </c>
      <c r="J58" s="14">
        <f t="shared" si="19"/>
        <v>289</v>
      </c>
      <c r="K58" s="15">
        <f t="shared" si="20"/>
        <v>126</v>
      </c>
      <c r="L58" s="17">
        <f t="shared" si="21"/>
        <v>303</v>
      </c>
      <c r="M58" s="18">
        <f t="shared" si="22"/>
        <v>126</v>
      </c>
      <c r="N58" s="14">
        <f t="shared" si="23"/>
        <v>303</v>
      </c>
      <c r="O58" s="15">
        <f t="shared" si="24"/>
        <v>141</v>
      </c>
      <c r="P58" s="17">
        <f t="shared" si="25"/>
        <v>289</v>
      </c>
      <c r="Q58" s="18">
        <f t="shared" si="26"/>
        <v>141</v>
      </c>
      <c r="R58" s="4" t="s">
        <v>0</v>
      </c>
      <c r="S58" s="16" t="str">
        <f t="shared" si="27"/>
        <v>06-13</v>
      </c>
      <c r="T58" s="14">
        <f t="shared" si="28"/>
        <v>289</v>
      </c>
      <c r="U58" s="18">
        <f t="shared" si="29"/>
        <v>624</v>
      </c>
      <c r="V58" s="14">
        <f t="shared" si="30"/>
        <v>303</v>
      </c>
      <c r="W58" s="18">
        <f t="shared" si="31"/>
        <v>624</v>
      </c>
      <c r="X58" s="14">
        <f t="shared" si="32"/>
        <v>303</v>
      </c>
      <c r="Y58" s="18">
        <f t="shared" si="33"/>
        <v>609</v>
      </c>
      <c r="Z58" s="14">
        <f t="shared" si="34"/>
        <v>289</v>
      </c>
      <c r="AA58" s="18">
        <f t="shared" si="35"/>
        <v>609</v>
      </c>
      <c r="AB58" s="4" t="s">
        <v>0</v>
      </c>
    </row>
    <row r="59" spans="1:28">
      <c r="A59" s="9" t="s">
        <v>59</v>
      </c>
      <c r="B59" s="24"/>
      <c r="C59" s="26"/>
      <c r="D59" s="25">
        <f t="shared" si="42"/>
        <v>303</v>
      </c>
      <c r="E59" s="29">
        <f t="shared" ref="E59" si="75">E58</f>
        <v>126</v>
      </c>
      <c r="F59" s="25">
        <f t="shared" si="40"/>
        <v>317</v>
      </c>
      <c r="G59" s="29">
        <f t="shared" ref="G59" si="76">G58</f>
        <v>141</v>
      </c>
      <c r="H59" s="4" t="s">
        <v>0</v>
      </c>
      <c r="I59" s="16" t="str">
        <f t="shared" si="18"/>
        <v>06-12</v>
      </c>
      <c r="J59" s="14">
        <f t="shared" si="19"/>
        <v>303</v>
      </c>
      <c r="K59" s="15">
        <f t="shared" si="20"/>
        <v>126</v>
      </c>
      <c r="L59" s="17">
        <f t="shared" si="21"/>
        <v>317</v>
      </c>
      <c r="M59" s="18">
        <f t="shared" si="22"/>
        <v>126</v>
      </c>
      <c r="N59" s="14">
        <f t="shared" si="23"/>
        <v>317</v>
      </c>
      <c r="O59" s="15">
        <f t="shared" si="24"/>
        <v>141</v>
      </c>
      <c r="P59" s="17">
        <f t="shared" si="25"/>
        <v>303</v>
      </c>
      <c r="Q59" s="18">
        <f t="shared" si="26"/>
        <v>141</v>
      </c>
      <c r="R59" s="4" t="s">
        <v>0</v>
      </c>
      <c r="S59" s="16" t="str">
        <f t="shared" si="27"/>
        <v>06-12</v>
      </c>
      <c r="T59" s="14">
        <f t="shared" si="28"/>
        <v>303</v>
      </c>
      <c r="U59" s="18">
        <f t="shared" si="29"/>
        <v>624</v>
      </c>
      <c r="V59" s="14">
        <f t="shared" si="30"/>
        <v>317</v>
      </c>
      <c r="W59" s="18">
        <f t="shared" si="31"/>
        <v>624</v>
      </c>
      <c r="X59" s="14">
        <f t="shared" si="32"/>
        <v>317</v>
      </c>
      <c r="Y59" s="18">
        <f t="shared" si="33"/>
        <v>609</v>
      </c>
      <c r="Z59" s="14">
        <f t="shared" si="34"/>
        <v>303</v>
      </c>
      <c r="AA59" s="18">
        <f t="shared" si="35"/>
        <v>609</v>
      </c>
      <c r="AB59" s="4" t="s">
        <v>0</v>
      </c>
    </row>
    <row r="60" spans="1:28">
      <c r="A60" s="9" t="s">
        <v>58</v>
      </c>
      <c r="B60" s="24"/>
      <c r="C60" s="26"/>
      <c r="D60" s="25">
        <f t="shared" si="42"/>
        <v>317</v>
      </c>
      <c r="E60" s="29">
        <f t="shared" ref="E60" si="77">E59</f>
        <v>126</v>
      </c>
      <c r="F60" s="25">
        <f t="shared" si="40"/>
        <v>331</v>
      </c>
      <c r="G60" s="29">
        <f t="shared" ref="G60" si="78">G59</f>
        <v>141</v>
      </c>
      <c r="H60" s="4" t="s">
        <v>0</v>
      </c>
      <c r="I60" s="16" t="str">
        <f t="shared" si="18"/>
        <v>06-11</v>
      </c>
      <c r="J60" s="14">
        <f t="shared" si="19"/>
        <v>317</v>
      </c>
      <c r="K60" s="15">
        <f t="shared" si="20"/>
        <v>126</v>
      </c>
      <c r="L60" s="17">
        <f t="shared" si="21"/>
        <v>331</v>
      </c>
      <c r="M60" s="18">
        <f t="shared" si="22"/>
        <v>126</v>
      </c>
      <c r="N60" s="14">
        <f t="shared" si="23"/>
        <v>331</v>
      </c>
      <c r="O60" s="15">
        <f t="shared" si="24"/>
        <v>141</v>
      </c>
      <c r="P60" s="17">
        <f t="shared" si="25"/>
        <v>317</v>
      </c>
      <c r="Q60" s="18">
        <f t="shared" si="26"/>
        <v>141</v>
      </c>
      <c r="R60" s="4" t="s">
        <v>0</v>
      </c>
      <c r="S60" s="16" t="str">
        <f t="shared" si="27"/>
        <v>06-11</v>
      </c>
      <c r="T60" s="14">
        <f t="shared" si="28"/>
        <v>317</v>
      </c>
      <c r="U60" s="18">
        <f t="shared" si="29"/>
        <v>624</v>
      </c>
      <c r="V60" s="14">
        <f t="shared" si="30"/>
        <v>331</v>
      </c>
      <c r="W60" s="18">
        <f t="shared" si="31"/>
        <v>624</v>
      </c>
      <c r="X60" s="14">
        <f t="shared" si="32"/>
        <v>331</v>
      </c>
      <c r="Y60" s="18">
        <f t="shared" si="33"/>
        <v>609</v>
      </c>
      <c r="Z60" s="14">
        <f t="shared" si="34"/>
        <v>317</v>
      </c>
      <c r="AA60" s="18">
        <f t="shared" si="35"/>
        <v>609</v>
      </c>
      <c r="AB60" s="4" t="s">
        <v>0</v>
      </c>
    </row>
    <row r="61" spans="1:28">
      <c r="A61" s="9" t="s">
        <v>57</v>
      </c>
      <c r="B61" s="24"/>
      <c r="C61" s="26"/>
      <c r="D61" s="25">
        <f t="shared" si="42"/>
        <v>330</v>
      </c>
      <c r="E61" s="29">
        <f t="shared" ref="E61" si="79">E60</f>
        <v>126</v>
      </c>
      <c r="F61" s="25">
        <f t="shared" si="40"/>
        <v>344</v>
      </c>
      <c r="G61" s="29">
        <f t="shared" ref="G61" si="80">G60</f>
        <v>141</v>
      </c>
      <c r="H61" s="4" t="s">
        <v>0</v>
      </c>
      <c r="I61" s="16" t="str">
        <f t="shared" si="18"/>
        <v>06-10</v>
      </c>
      <c r="J61" s="14">
        <f t="shared" si="19"/>
        <v>330</v>
      </c>
      <c r="K61" s="15">
        <f t="shared" si="20"/>
        <v>126</v>
      </c>
      <c r="L61" s="17">
        <f t="shared" si="21"/>
        <v>344</v>
      </c>
      <c r="M61" s="18">
        <f t="shared" si="22"/>
        <v>126</v>
      </c>
      <c r="N61" s="14">
        <f t="shared" si="23"/>
        <v>344</v>
      </c>
      <c r="O61" s="15">
        <f t="shared" si="24"/>
        <v>141</v>
      </c>
      <c r="P61" s="17">
        <f t="shared" si="25"/>
        <v>330</v>
      </c>
      <c r="Q61" s="18">
        <f t="shared" si="26"/>
        <v>141</v>
      </c>
      <c r="R61" s="4" t="s">
        <v>0</v>
      </c>
      <c r="S61" s="16" t="str">
        <f t="shared" si="27"/>
        <v>06-10</v>
      </c>
      <c r="T61" s="14">
        <f t="shared" si="28"/>
        <v>330</v>
      </c>
      <c r="U61" s="18">
        <f t="shared" si="29"/>
        <v>624</v>
      </c>
      <c r="V61" s="14">
        <f t="shared" si="30"/>
        <v>344</v>
      </c>
      <c r="W61" s="18">
        <f t="shared" si="31"/>
        <v>624</v>
      </c>
      <c r="X61" s="14">
        <f t="shared" si="32"/>
        <v>344</v>
      </c>
      <c r="Y61" s="18">
        <f t="shared" si="33"/>
        <v>609</v>
      </c>
      <c r="Z61" s="14">
        <f t="shared" si="34"/>
        <v>330</v>
      </c>
      <c r="AA61" s="18">
        <f t="shared" si="35"/>
        <v>609</v>
      </c>
      <c r="AB61" s="4" t="s">
        <v>0</v>
      </c>
    </row>
    <row r="62" spans="1:28">
      <c r="A62" s="9" t="s">
        <v>56</v>
      </c>
      <c r="B62" s="24"/>
      <c r="C62" s="26"/>
      <c r="D62" s="25">
        <f t="shared" si="42"/>
        <v>344</v>
      </c>
      <c r="E62" s="29">
        <f t="shared" ref="E62" si="81">E61</f>
        <v>126</v>
      </c>
      <c r="F62" s="25">
        <f t="shared" si="40"/>
        <v>358</v>
      </c>
      <c r="G62" s="29">
        <f t="shared" ref="G62" si="82">G61</f>
        <v>141</v>
      </c>
      <c r="H62" s="4" t="s">
        <v>0</v>
      </c>
      <c r="I62" s="16" t="str">
        <f t="shared" si="18"/>
        <v>06-08</v>
      </c>
      <c r="J62" s="14">
        <f t="shared" si="19"/>
        <v>344</v>
      </c>
      <c r="K62" s="15">
        <f t="shared" si="20"/>
        <v>126</v>
      </c>
      <c r="L62" s="17">
        <f t="shared" si="21"/>
        <v>358</v>
      </c>
      <c r="M62" s="18">
        <f t="shared" si="22"/>
        <v>126</v>
      </c>
      <c r="N62" s="14">
        <f t="shared" si="23"/>
        <v>358</v>
      </c>
      <c r="O62" s="15">
        <f t="shared" si="24"/>
        <v>141</v>
      </c>
      <c r="P62" s="17">
        <f t="shared" si="25"/>
        <v>344</v>
      </c>
      <c r="Q62" s="18">
        <f t="shared" si="26"/>
        <v>141</v>
      </c>
      <c r="R62" s="4" t="s">
        <v>0</v>
      </c>
      <c r="S62" s="16" t="str">
        <f t="shared" si="27"/>
        <v>06-08</v>
      </c>
      <c r="T62" s="14">
        <f t="shared" si="28"/>
        <v>344</v>
      </c>
      <c r="U62" s="18">
        <f t="shared" si="29"/>
        <v>624</v>
      </c>
      <c r="V62" s="14">
        <f t="shared" si="30"/>
        <v>358</v>
      </c>
      <c r="W62" s="18">
        <f t="shared" si="31"/>
        <v>624</v>
      </c>
      <c r="X62" s="14">
        <f t="shared" si="32"/>
        <v>358</v>
      </c>
      <c r="Y62" s="18">
        <f t="shared" si="33"/>
        <v>609</v>
      </c>
      <c r="Z62" s="14">
        <f t="shared" si="34"/>
        <v>344</v>
      </c>
      <c r="AA62" s="18">
        <f t="shared" si="35"/>
        <v>609</v>
      </c>
      <c r="AB62" s="4" t="s">
        <v>0</v>
      </c>
    </row>
    <row r="63" spans="1:28">
      <c r="A63" s="9" t="s">
        <v>55</v>
      </c>
      <c r="B63" s="24"/>
      <c r="C63" s="26"/>
      <c r="D63" s="25">
        <f t="shared" si="42"/>
        <v>358</v>
      </c>
      <c r="E63" s="29">
        <f t="shared" ref="E63" si="83">E62</f>
        <v>126</v>
      </c>
      <c r="F63" s="25">
        <f t="shared" si="40"/>
        <v>372</v>
      </c>
      <c r="G63" s="29">
        <f t="shared" ref="G63" si="84">G62</f>
        <v>141</v>
      </c>
      <c r="H63" s="4" t="s">
        <v>0</v>
      </c>
      <c r="I63" s="16" t="str">
        <f t="shared" si="18"/>
        <v>06-07</v>
      </c>
      <c r="J63" s="14">
        <f t="shared" si="19"/>
        <v>358</v>
      </c>
      <c r="K63" s="15">
        <f t="shared" si="20"/>
        <v>126</v>
      </c>
      <c r="L63" s="17">
        <f t="shared" si="21"/>
        <v>372</v>
      </c>
      <c r="M63" s="18">
        <f t="shared" si="22"/>
        <v>126</v>
      </c>
      <c r="N63" s="14">
        <f t="shared" si="23"/>
        <v>372</v>
      </c>
      <c r="O63" s="15">
        <f t="shared" si="24"/>
        <v>141</v>
      </c>
      <c r="P63" s="17">
        <f t="shared" si="25"/>
        <v>358</v>
      </c>
      <c r="Q63" s="18">
        <f t="shared" si="26"/>
        <v>141</v>
      </c>
      <c r="R63" s="4" t="s">
        <v>0</v>
      </c>
      <c r="S63" s="16" t="str">
        <f t="shared" si="27"/>
        <v>06-07</v>
      </c>
      <c r="T63" s="14">
        <f t="shared" si="28"/>
        <v>358</v>
      </c>
      <c r="U63" s="18">
        <f t="shared" si="29"/>
        <v>624</v>
      </c>
      <c r="V63" s="14">
        <f t="shared" si="30"/>
        <v>372</v>
      </c>
      <c r="W63" s="18">
        <f t="shared" si="31"/>
        <v>624</v>
      </c>
      <c r="X63" s="14">
        <f t="shared" si="32"/>
        <v>372</v>
      </c>
      <c r="Y63" s="18">
        <f t="shared" si="33"/>
        <v>609</v>
      </c>
      <c r="Z63" s="14">
        <f t="shared" si="34"/>
        <v>358</v>
      </c>
      <c r="AA63" s="18">
        <f t="shared" si="35"/>
        <v>609</v>
      </c>
      <c r="AB63" s="4" t="s">
        <v>0</v>
      </c>
    </row>
    <row r="64" spans="1:28">
      <c r="A64" s="9" t="s">
        <v>54</v>
      </c>
      <c r="B64" s="24"/>
      <c r="C64" s="26"/>
      <c r="D64" s="25">
        <f t="shared" si="42"/>
        <v>371</v>
      </c>
      <c r="E64" s="29">
        <f t="shared" ref="E64" si="85">E63</f>
        <v>126</v>
      </c>
      <c r="F64" s="25">
        <f t="shared" si="40"/>
        <v>385</v>
      </c>
      <c r="G64" s="29">
        <f t="shared" ref="G64" si="86">G63</f>
        <v>141</v>
      </c>
      <c r="H64" s="4" t="s">
        <v>0</v>
      </c>
      <c r="I64" s="16" t="str">
        <f t="shared" si="18"/>
        <v>06-06</v>
      </c>
      <c r="J64" s="14">
        <f t="shared" si="19"/>
        <v>371</v>
      </c>
      <c r="K64" s="15">
        <f t="shared" si="20"/>
        <v>126</v>
      </c>
      <c r="L64" s="17">
        <f t="shared" si="21"/>
        <v>385</v>
      </c>
      <c r="M64" s="18">
        <f t="shared" si="22"/>
        <v>126</v>
      </c>
      <c r="N64" s="14">
        <f t="shared" si="23"/>
        <v>385</v>
      </c>
      <c r="O64" s="15">
        <f t="shared" si="24"/>
        <v>141</v>
      </c>
      <c r="P64" s="17">
        <f t="shared" si="25"/>
        <v>371</v>
      </c>
      <c r="Q64" s="18">
        <f t="shared" si="26"/>
        <v>141</v>
      </c>
      <c r="R64" s="4" t="s">
        <v>0</v>
      </c>
      <c r="S64" s="16" t="str">
        <f t="shared" si="27"/>
        <v>06-06</v>
      </c>
      <c r="T64" s="14">
        <f t="shared" si="28"/>
        <v>371</v>
      </c>
      <c r="U64" s="18">
        <f t="shared" si="29"/>
        <v>624</v>
      </c>
      <c r="V64" s="14">
        <f t="shared" si="30"/>
        <v>385</v>
      </c>
      <c r="W64" s="18">
        <f t="shared" si="31"/>
        <v>624</v>
      </c>
      <c r="X64" s="14">
        <f t="shared" si="32"/>
        <v>385</v>
      </c>
      <c r="Y64" s="18">
        <f t="shared" si="33"/>
        <v>609</v>
      </c>
      <c r="Z64" s="14">
        <f t="shared" si="34"/>
        <v>371</v>
      </c>
      <c r="AA64" s="18">
        <f t="shared" si="35"/>
        <v>609</v>
      </c>
      <c r="AB64" s="4" t="s">
        <v>0</v>
      </c>
    </row>
    <row r="65" spans="1:28">
      <c r="A65" s="9" t="s">
        <v>53</v>
      </c>
      <c r="B65" s="24"/>
      <c r="C65" s="26"/>
      <c r="D65" s="25">
        <f t="shared" si="42"/>
        <v>385</v>
      </c>
      <c r="E65" s="29">
        <f t="shared" ref="E65" si="87">E64</f>
        <v>126</v>
      </c>
      <c r="F65" s="25">
        <f t="shared" si="40"/>
        <v>399</v>
      </c>
      <c r="G65" s="29">
        <f t="shared" ref="G65" si="88">G64</f>
        <v>141</v>
      </c>
      <c r="H65" s="4" t="s">
        <v>0</v>
      </c>
      <c r="I65" s="16" t="str">
        <f t="shared" si="18"/>
        <v>06-05</v>
      </c>
      <c r="J65" s="14">
        <f t="shared" si="19"/>
        <v>385</v>
      </c>
      <c r="K65" s="15">
        <f t="shared" si="20"/>
        <v>126</v>
      </c>
      <c r="L65" s="17">
        <f t="shared" si="21"/>
        <v>399</v>
      </c>
      <c r="M65" s="18">
        <f t="shared" si="22"/>
        <v>126</v>
      </c>
      <c r="N65" s="14">
        <f t="shared" si="23"/>
        <v>399</v>
      </c>
      <c r="O65" s="15">
        <f t="shared" si="24"/>
        <v>141</v>
      </c>
      <c r="P65" s="17">
        <f t="shared" si="25"/>
        <v>385</v>
      </c>
      <c r="Q65" s="18">
        <f t="shared" si="26"/>
        <v>141</v>
      </c>
      <c r="R65" s="4" t="s">
        <v>0</v>
      </c>
      <c r="S65" s="16" t="str">
        <f t="shared" si="27"/>
        <v>06-05</v>
      </c>
      <c r="T65" s="14">
        <f t="shared" si="28"/>
        <v>385</v>
      </c>
      <c r="U65" s="18">
        <f t="shared" si="29"/>
        <v>624</v>
      </c>
      <c r="V65" s="14">
        <f t="shared" si="30"/>
        <v>399</v>
      </c>
      <c r="W65" s="18">
        <f t="shared" si="31"/>
        <v>624</v>
      </c>
      <c r="X65" s="14">
        <f t="shared" si="32"/>
        <v>399</v>
      </c>
      <c r="Y65" s="18">
        <f t="shared" si="33"/>
        <v>609</v>
      </c>
      <c r="Z65" s="14">
        <f t="shared" si="34"/>
        <v>385</v>
      </c>
      <c r="AA65" s="18">
        <f t="shared" si="35"/>
        <v>609</v>
      </c>
      <c r="AB65" s="4" t="s">
        <v>0</v>
      </c>
    </row>
    <row r="66" spans="1:28">
      <c r="A66" s="9" t="s">
        <v>52</v>
      </c>
      <c r="B66" s="24"/>
      <c r="C66" s="26"/>
      <c r="D66" s="25">
        <f t="shared" si="42"/>
        <v>399</v>
      </c>
      <c r="E66" s="29">
        <f t="shared" ref="E66" si="89">E65</f>
        <v>126</v>
      </c>
      <c r="F66" s="25">
        <f t="shared" si="40"/>
        <v>413</v>
      </c>
      <c r="G66" s="29">
        <f t="shared" ref="G66" si="90">G65</f>
        <v>141</v>
      </c>
      <c r="H66" s="4" t="s">
        <v>0</v>
      </c>
      <c r="I66" s="16" t="str">
        <f t="shared" si="18"/>
        <v>06-03</v>
      </c>
      <c r="J66" s="14">
        <f t="shared" si="19"/>
        <v>399</v>
      </c>
      <c r="K66" s="15">
        <f t="shared" si="20"/>
        <v>126</v>
      </c>
      <c r="L66" s="17">
        <f t="shared" si="21"/>
        <v>413</v>
      </c>
      <c r="M66" s="18">
        <f t="shared" si="22"/>
        <v>126</v>
      </c>
      <c r="N66" s="14">
        <f t="shared" si="23"/>
        <v>413</v>
      </c>
      <c r="O66" s="15">
        <f t="shared" si="24"/>
        <v>141</v>
      </c>
      <c r="P66" s="17">
        <f t="shared" si="25"/>
        <v>399</v>
      </c>
      <c r="Q66" s="18">
        <f t="shared" si="26"/>
        <v>141</v>
      </c>
      <c r="R66" s="4" t="s">
        <v>0</v>
      </c>
      <c r="S66" s="16" t="str">
        <f t="shared" si="27"/>
        <v>06-03</v>
      </c>
      <c r="T66" s="14">
        <f t="shared" si="28"/>
        <v>399</v>
      </c>
      <c r="U66" s="18">
        <f t="shared" si="29"/>
        <v>624</v>
      </c>
      <c r="V66" s="14">
        <f t="shared" si="30"/>
        <v>413</v>
      </c>
      <c r="W66" s="18">
        <f t="shared" si="31"/>
        <v>624</v>
      </c>
      <c r="X66" s="14">
        <f t="shared" si="32"/>
        <v>413</v>
      </c>
      <c r="Y66" s="18">
        <f t="shared" si="33"/>
        <v>609</v>
      </c>
      <c r="Z66" s="14">
        <f t="shared" si="34"/>
        <v>399</v>
      </c>
      <c r="AA66" s="18">
        <f t="shared" si="35"/>
        <v>609</v>
      </c>
      <c r="AB66" s="4" t="s">
        <v>0</v>
      </c>
    </row>
    <row r="67" spans="1:28">
      <c r="A67" s="9" t="s">
        <v>51</v>
      </c>
      <c r="B67" s="24"/>
      <c r="C67" s="26"/>
      <c r="D67" s="25">
        <f t="shared" si="42"/>
        <v>412</v>
      </c>
      <c r="E67" s="29">
        <f t="shared" ref="E67" si="91">E66</f>
        <v>126</v>
      </c>
      <c r="F67" s="25">
        <f t="shared" si="40"/>
        <v>426</v>
      </c>
      <c r="G67" s="29">
        <f t="shared" ref="G67" si="92">G66</f>
        <v>141</v>
      </c>
      <c r="H67" s="4" t="s">
        <v>0</v>
      </c>
      <c r="I67" s="16" t="str">
        <f t="shared" si="18"/>
        <v>06-02</v>
      </c>
      <c r="J67" s="14">
        <f t="shared" si="19"/>
        <v>412</v>
      </c>
      <c r="K67" s="15">
        <f t="shared" si="20"/>
        <v>126</v>
      </c>
      <c r="L67" s="17">
        <f t="shared" si="21"/>
        <v>426</v>
      </c>
      <c r="M67" s="18">
        <f t="shared" si="22"/>
        <v>126</v>
      </c>
      <c r="N67" s="14">
        <f t="shared" si="23"/>
        <v>426</v>
      </c>
      <c r="O67" s="15">
        <f t="shared" si="24"/>
        <v>141</v>
      </c>
      <c r="P67" s="17">
        <f t="shared" si="25"/>
        <v>412</v>
      </c>
      <c r="Q67" s="18">
        <f t="shared" si="26"/>
        <v>141</v>
      </c>
      <c r="R67" s="4" t="s">
        <v>0</v>
      </c>
      <c r="S67" s="16" t="str">
        <f t="shared" si="27"/>
        <v>06-02</v>
      </c>
      <c r="T67" s="14">
        <f t="shared" si="28"/>
        <v>412</v>
      </c>
      <c r="U67" s="18">
        <f t="shared" si="29"/>
        <v>624</v>
      </c>
      <c r="V67" s="14">
        <f t="shared" si="30"/>
        <v>426</v>
      </c>
      <c r="W67" s="18">
        <f t="shared" si="31"/>
        <v>624</v>
      </c>
      <c r="X67" s="14">
        <f t="shared" si="32"/>
        <v>426</v>
      </c>
      <c r="Y67" s="18">
        <f t="shared" si="33"/>
        <v>609</v>
      </c>
      <c r="Z67" s="14">
        <f t="shared" si="34"/>
        <v>412</v>
      </c>
      <c r="AA67" s="18">
        <f t="shared" si="35"/>
        <v>609</v>
      </c>
      <c r="AB67" s="4" t="s">
        <v>0</v>
      </c>
    </row>
    <row r="68" spans="1:28">
      <c r="A68" s="9" t="s">
        <v>50</v>
      </c>
      <c r="B68" s="24"/>
      <c r="C68" s="26"/>
      <c r="D68" s="25">
        <f t="shared" si="42"/>
        <v>426</v>
      </c>
      <c r="E68" s="29">
        <f t="shared" ref="E68" si="93">E67</f>
        <v>126</v>
      </c>
      <c r="F68" s="25">
        <f t="shared" si="40"/>
        <v>440</v>
      </c>
      <c r="G68" s="29">
        <f t="shared" ref="G68" si="94">G67</f>
        <v>141</v>
      </c>
      <c r="H68" s="4" t="s">
        <v>0</v>
      </c>
      <c r="I68" s="16" t="str">
        <f t="shared" si="18"/>
        <v>06-01</v>
      </c>
      <c r="J68" s="14">
        <f t="shared" si="19"/>
        <v>426</v>
      </c>
      <c r="K68" s="15">
        <f t="shared" si="20"/>
        <v>126</v>
      </c>
      <c r="L68" s="17">
        <f t="shared" si="21"/>
        <v>440</v>
      </c>
      <c r="M68" s="18">
        <f t="shared" si="22"/>
        <v>126</v>
      </c>
      <c r="N68" s="14">
        <f t="shared" si="23"/>
        <v>440</v>
      </c>
      <c r="O68" s="15">
        <f t="shared" si="24"/>
        <v>141</v>
      </c>
      <c r="P68" s="17">
        <f t="shared" si="25"/>
        <v>426</v>
      </c>
      <c r="Q68" s="18">
        <f t="shared" si="26"/>
        <v>141</v>
      </c>
      <c r="R68" s="4" t="s">
        <v>0</v>
      </c>
      <c r="S68" s="16" t="str">
        <f t="shared" si="27"/>
        <v>06-01</v>
      </c>
      <c r="T68" s="14">
        <f t="shared" si="28"/>
        <v>426</v>
      </c>
      <c r="U68" s="18">
        <f t="shared" si="29"/>
        <v>624</v>
      </c>
      <c r="V68" s="14">
        <f t="shared" si="30"/>
        <v>440</v>
      </c>
      <c r="W68" s="18">
        <f t="shared" si="31"/>
        <v>624</v>
      </c>
      <c r="X68" s="14">
        <f t="shared" si="32"/>
        <v>440</v>
      </c>
      <c r="Y68" s="18">
        <f t="shared" si="33"/>
        <v>609</v>
      </c>
      <c r="Z68" s="14">
        <f t="shared" si="34"/>
        <v>426</v>
      </c>
      <c r="AA68" s="18">
        <f t="shared" si="35"/>
        <v>609</v>
      </c>
      <c r="AB68" s="4" t="s">
        <v>0</v>
      </c>
    </row>
    <row r="69" spans="1:28">
      <c r="A69" s="9" t="s">
        <v>564</v>
      </c>
      <c r="B69" s="24"/>
      <c r="C69" s="26">
        <v>2</v>
      </c>
      <c r="D69" s="25">
        <f t="shared" si="42"/>
        <v>23</v>
      </c>
      <c r="E69" s="28">
        <f t="shared" ref="E69" si="95">ROUND(E$11+23.2*$C69, 0)</f>
        <v>149</v>
      </c>
      <c r="F69" s="25">
        <f t="shared" si="40"/>
        <v>37</v>
      </c>
      <c r="G69" s="28">
        <f t="shared" ref="G69" si="96">ROUND(G$11+23.2*$C69, 0)</f>
        <v>164</v>
      </c>
      <c r="H69" s="4" t="s">
        <v>0</v>
      </c>
      <c r="I69" s="16" t="str">
        <f t="shared" si="18"/>
        <v>05-36</v>
      </c>
      <c r="J69" s="14">
        <f t="shared" si="19"/>
        <v>23</v>
      </c>
      <c r="K69" s="15">
        <f t="shared" si="20"/>
        <v>149</v>
      </c>
      <c r="L69" s="17">
        <f t="shared" si="21"/>
        <v>37</v>
      </c>
      <c r="M69" s="18">
        <f t="shared" si="22"/>
        <v>149</v>
      </c>
      <c r="N69" s="14">
        <f t="shared" si="23"/>
        <v>37</v>
      </c>
      <c r="O69" s="15">
        <f t="shared" si="24"/>
        <v>164</v>
      </c>
      <c r="P69" s="17">
        <f t="shared" si="25"/>
        <v>23</v>
      </c>
      <c r="Q69" s="18">
        <f t="shared" si="26"/>
        <v>164</v>
      </c>
      <c r="R69" s="4" t="s">
        <v>0</v>
      </c>
      <c r="S69" s="16" t="str">
        <f t="shared" si="27"/>
        <v>05-36</v>
      </c>
      <c r="T69" s="14">
        <f t="shared" si="28"/>
        <v>23</v>
      </c>
      <c r="U69" s="18">
        <f t="shared" si="29"/>
        <v>601</v>
      </c>
      <c r="V69" s="14">
        <f t="shared" si="30"/>
        <v>37</v>
      </c>
      <c r="W69" s="18">
        <f t="shared" si="31"/>
        <v>601</v>
      </c>
      <c r="X69" s="14">
        <f t="shared" si="32"/>
        <v>37</v>
      </c>
      <c r="Y69" s="18">
        <f t="shared" si="33"/>
        <v>586</v>
      </c>
      <c r="Z69" s="14">
        <f t="shared" si="34"/>
        <v>23</v>
      </c>
      <c r="AA69" s="18">
        <f t="shared" si="35"/>
        <v>586</v>
      </c>
      <c r="AB69" s="4" t="s">
        <v>0</v>
      </c>
    </row>
    <row r="70" spans="1:28">
      <c r="A70" s="9" t="s">
        <v>563</v>
      </c>
      <c r="B70" s="24"/>
      <c r="C70" s="26"/>
      <c r="D70" s="25">
        <f t="shared" si="42"/>
        <v>37</v>
      </c>
      <c r="E70" s="29">
        <f t="shared" ref="E70" si="97">E69</f>
        <v>149</v>
      </c>
      <c r="F70" s="25">
        <f t="shared" si="40"/>
        <v>51</v>
      </c>
      <c r="G70" s="29">
        <f t="shared" ref="G70" si="98">G69</f>
        <v>164</v>
      </c>
      <c r="H70" s="4" t="s">
        <v>0</v>
      </c>
      <c r="I70" s="16" t="str">
        <f t="shared" si="18"/>
        <v>05-35</v>
      </c>
      <c r="J70" s="14">
        <f t="shared" si="19"/>
        <v>37</v>
      </c>
      <c r="K70" s="15">
        <f t="shared" si="20"/>
        <v>149</v>
      </c>
      <c r="L70" s="17">
        <f t="shared" si="21"/>
        <v>51</v>
      </c>
      <c r="M70" s="18">
        <f t="shared" si="22"/>
        <v>149</v>
      </c>
      <c r="N70" s="14">
        <f t="shared" si="23"/>
        <v>51</v>
      </c>
      <c r="O70" s="15">
        <f t="shared" si="24"/>
        <v>164</v>
      </c>
      <c r="P70" s="17">
        <f t="shared" si="25"/>
        <v>37</v>
      </c>
      <c r="Q70" s="18">
        <f t="shared" si="26"/>
        <v>164</v>
      </c>
      <c r="R70" s="4" t="s">
        <v>0</v>
      </c>
      <c r="S70" s="16" t="str">
        <f t="shared" si="27"/>
        <v>05-35</v>
      </c>
      <c r="T70" s="14">
        <f t="shared" si="28"/>
        <v>37</v>
      </c>
      <c r="U70" s="18">
        <f t="shared" si="29"/>
        <v>601</v>
      </c>
      <c r="V70" s="14">
        <f t="shared" si="30"/>
        <v>51</v>
      </c>
      <c r="W70" s="18">
        <f t="shared" si="31"/>
        <v>601</v>
      </c>
      <c r="X70" s="14">
        <f t="shared" si="32"/>
        <v>51</v>
      </c>
      <c r="Y70" s="18">
        <f t="shared" si="33"/>
        <v>586</v>
      </c>
      <c r="Z70" s="14">
        <f t="shared" si="34"/>
        <v>37</v>
      </c>
      <c r="AA70" s="18">
        <f t="shared" si="35"/>
        <v>586</v>
      </c>
      <c r="AB70" s="4" t="s">
        <v>0</v>
      </c>
    </row>
    <row r="71" spans="1:28">
      <c r="A71" s="9" t="s">
        <v>562</v>
      </c>
      <c r="B71" s="24"/>
      <c r="C71" s="26"/>
      <c r="D71" s="25">
        <f t="shared" si="42"/>
        <v>50</v>
      </c>
      <c r="E71" s="29">
        <f t="shared" ref="E71" si="99">E70</f>
        <v>149</v>
      </c>
      <c r="F71" s="25">
        <f t="shared" si="40"/>
        <v>64</v>
      </c>
      <c r="G71" s="29">
        <f t="shared" ref="G71:G134" si="100">G70</f>
        <v>164</v>
      </c>
      <c r="H71" s="4" t="s">
        <v>0</v>
      </c>
      <c r="I71" s="16" t="str">
        <f t="shared" si="18"/>
        <v>05-33</v>
      </c>
      <c r="J71" s="14">
        <f t="shared" si="19"/>
        <v>50</v>
      </c>
      <c r="K71" s="15">
        <f t="shared" si="20"/>
        <v>149</v>
      </c>
      <c r="L71" s="17">
        <f t="shared" si="21"/>
        <v>64</v>
      </c>
      <c r="M71" s="18">
        <f t="shared" si="22"/>
        <v>149</v>
      </c>
      <c r="N71" s="14">
        <f t="shared" si="23"/>
        <v>64</v>
      </c>
      <c r="O71" s="15">
        <f t="shared" si="24"/>
        <v>164</v>
      </c>
      <c r="P71" s="17">
        <f t="shared" si="25"/>
        <v>50</v>
      </c>
      <c r="Q71" s="18">
        <f t="shared" si="26"/>
        <v>164</v>
      </c>
      <c r="R71" s="4" t="s">
        <v>0</v>
      </c>
      <c r="S71" s="16" t="str">
        <f t="shared" si="27"/>
        <v>05-33</v>
      </c>
      <c r="T71" s="14">
        <f t="shared" si="28"/>
        <v>50</v>
      </c>
      <c r="U71" s="18">
        <f t="shared" si="29"/>
        <v>601</v>
      </c>
      <c r="V71" s="14">
        <f t="shared" si="30"/>
        <v>64</v>
      </c>
      <c r="W71" s="18">
        <f t="shared" si="31"/>
        <v>601</v>
      </c>
      <c r="X71" s="14">
        <f t="shared" si="32"/>
        <v>64</v>
      </c>
      <c r="Y71" s="18">
        <f t="shared" si="33"/>
        <v>586</v>
      </c>
      <c r="Z71" s="14">
        <f t="shared" si="34"/>
        <v>50</v>
      </c>
      <c r="AA71" s="18">
        <f t="shared" si="35"/>
        <v>586</v>
      </c>
      <c r="AB71" s="4" t="s">
        <v>0</v>
      </c>
    </row>
    <row r="72" spans="1:28">
      <c r="A72" s="9" t="s">
        <v>561</v>
      </c>
      <c r="B72" s="24"/>
      <c r="C72" s="26"/>
      <c r="D72" s="25">
        <f t="shared" si="42"/>
        <v>64</v>
      </c>
      <c r="E72" s="29">
        <f t="shared" ref="E72" si="101">E71</f>
        <v>149</v>
      </c>
      <c r="F72" s="25">
        <f t="shared" si="40"/>
        <v>78</v>
      </c>
      <c r="G72" s="29">
        <f t="shared" si="100"/>
        <v>164</v>
      </c>
      <c r="H72" s="4" t="s">
        <v>0</v>
      </c>
      <c r="I72" s="16" t="str">
        <f t="shared" si="18"/>
        <v>05-32</v>
      </c>
      <c r="J72" s="14">
        <f t="shared" si="19"/>
        <v>64</v>
      </c>
      <c r="K72" s="15">
        <f t="shared" si="20"/>
        <v>149</v>
      </c>
      <c r="L72" s="17">
        <f t="shared" si="21"/>
        <v>78</v>
      </c>
      <c r="M72" s="18">
        <f t="shared" si="22"/>
        <v>149</v>
      </c>
      <c r="N72" s="14">
        <f t="shared" si="23"/>
        <v>78</v>
      </c>
      <c r="O72" s="15">
        <f t="shared" si="24"/>
        <v>164</v>
      </c>
      <c r="P72" s="17">
        <f t="shared" si="25"/>
        <v>64</v>
      </c>
      <c r="Q72" s="18">
        <f t="shared" si="26"/>
        <v>164</v>
      </c>
      <c r="R72" s="4" t="s">
        <v>0</v>
      </c>
      <c r="S72" s="16" t="str">
        <f t="shared" si="27"/>
        <v>05-32</v>
      </c>
      <c r="T72" s="14">
        <f t="shared" si="28"/>
        <v>64</v>
      </c>
      <c r="U72" s="18">
        <f t="shared" si="29"/>
        <v>601</v>
      </c>
      <c r="V72" s="14">
        <f t="shared" si="30"/>
        <v>78</v>
      </c>
      <c r="W72" s="18">
        <f t="shared" si="31"/>
        <v>601</v>
      </c>
      <c r="X72" s="14">
        <f t="shared" si="32"/>
        <v>78</v>
      </c>
      <c r="Y72" s="18">
        <f t="shared" si="33"/>
        <v>586</v>
      </c>
      <c r="Z72" s="14">
        <f t="shared" si="34"/>
        <v>64</v>
      </c>
      <c r="AA72" s="18">
        <f t="shared" si="35"/>
        <v>586</v>
      </c>
      <c r="AB72" s="4" t="s">
        <v>0</v>
      </c>
    </row>
    <row r="73" spans="1:28">
      <c r="A73" s="9" t="s">
        <v>560</v>
      </c>
      <c r="B73" s="24"/>
      <c r="C73" s="26"/>
      <c r="D73" s="25">
        <f t="shared" si="42"/>
        <v>78</v>
      </c>
      <c r="E73" s="29">
        <f t="shared" ref="E73" si="102">E72</f>
        <v>149</v>
      </c>
      <c r="F73" s="25">
        <f t="shared" si="40"/>
        <v>92</v>
      </c>
      <c r="G73" s="29">
        <f t="shared" si="100"/>
        <v>164</v>
      </c>
      <c r="H73" s="4" t="s">
        <v>0</v>
      </c>
      <c r="I73" s="16" t="str">
        <f t="shared" si="18"/>
        <v>05-31</v>
      </c>
      <c r="J73" s="14">
        <f t="shared" si="19"/>
        <v>78</v>
      </c>
      <c r="K73" s="15">
        <f t="shared" si="20"/>
        <v>149</v>
      </c>
      <c r="L73" s="17">
        <f t="shared" si="21"/>
        <v>92</v>
      </c>
      <c r="M73" s="18">
        <f t="shared" si="22"/>
        <v>149</v>
      </c>
      <c r="N73" s="14">
        <f t="shared" si="23"/>
        <v>92</v>
      </c>
      <c r="O73" s="15">
        <f t="shared" si="24"/>
        <v>164</v>
      </c>
      <c r="P73" s="17">
        <f t="shared" si="25"/>
        <v>78</v>
      </c>
      <c r="Q73" s="18">
        <f t="shared" si="26"/>
        <v>164</v>
      </c>
      <c r="R73" s="4" t="s">
        <v>0</v>
      </c>
      <c r="S73" s="16" t="str">
        <f t="shared" si="27"/>
        <v>05-31</v>
      </c>
      <c r="T73" s="14">
        <f t="shared" si="28"/>
        <v>78</v>
      </c>
      <c r="U73" s="18">
        <f t="shared" si="29"/>
        <v>601</v>
      </c>
      <c r="V73" s="14">
        <f t="shared" si="30"/>
        <v>92</v>
      </c>
      <c r="W73" s="18">
        <f t="shared" si="31"/>
        <v>601</v>
      </c>
      <c r="X73" s="14">
        <f t="shared" si="32"/>
        <v>92</v>
      </c>
      <c r="Y73" s="18">
        <f t="shared" si="33"/>
        <v>586</v>
      </c>
      <c r="Z73" s="14">
        <f t="shared" si="34"/>
        <v>78</v>
      </c>
      <c r="AA73" s="18">
        <f t="shared" si="35"/>
        <v>586</v>
      </c>
      <c r="AB73" s="4" t="s">
        <v>0</v>
      </c>
    </row>
    <row r="74" spans="1:28">
      <c r="A74" s="9" t="s">
        <v>559</v>
      </c>
      <c r="B74" s="24"/>
      <c r="C74" s="26"/>
      <c r="D74" s="25">
        <f t="shared" si="42"/>
        <v>92</v>
      </c>
      <c r="E74" s="29">
        <f t="shared" ref="E74" si="103">E73</f>
        <v>149</v>
      </c>
      <c r="F74" s="25">
        <f t="shared" si="40"/>
        <v>106</v>
      </c>
      <c r="G74" s="29">
        <f t="shared" si="100"/>
        <v>164</v>
      </c>
      <c r="H74" s="4" t="s">
        <v>0</v>
      </c>
      <c r="I74" s="16" t="str">
        <f t="shared" si="18"/>
        <v>05-30</v>
      </c>
      <c r="J74" s="14">
        <f t="shared" si="19"/>
        <v>92</v>
      </c>
      <c r="K74" s="15">
        <f t="shared" si="20"/>
        <v>149</v>
      </c>
      <c r="L74" s="17">
        <f t="shared" si="21"/>
        <v>106</v>
      </c>
      <c r="M74" s="18">
        <f t="shared" si="22"/>
        <v>149</v>
      </c>
      <c r="N74" s="14">
        <f t="shared" si="23"/>
        <v>106</v>
      </c>
      <c r="O74" s="15">
        <f t="shared" si="24"/>
        <v>164</v>
      </c>
      <c r="P74" s="17">
        <f t="shared" si="25"/>
        <v>92</v>
      </c>
      <c r="Q74" s="18">
        <f t="shared" si="26"/>
        <v>164</v>
      </c>
      <c r="R74" s="4" t="s">
        <v>0</v>
      </c>
      <c r="S74" s="16" t="str">
        <f t="shared" si="27"/>
        <v>05-30</v>
      </c>
      <c r="T74" s="14">
        <f t="shared" si="28"/>
        <v>92</v>
      </c>
      <c r="U74" s="18">
        <f t="shared" si="29"/>
        <v>601</v>
      </c>
      <c r="V74" s="14">
        <f t="shared" si="30"/>
        <v>106</v>
      </c>
      <c r="W74" s="18">
        <f t="shared" si="31"/>
        <v>601</v>
      </c>
      <c r="X74" s="14">
        <f t="shared" si="32"/>
        <v>106</v>
      </c>
      <c r="Y74" s="18">
        <f t="shared" si="33"/>
        <v>586</v>
      </c>
      <c r="Z74" s="14">
        <f t="shared" si="34"/>
        <v>92</v>
      </c>
      <c r="AA74" s="18">
        <f t="shared" si="35"/>
        <v>586</v>
      </c>
      <c r="AB74" s="4" t="s">
        <v>0</v>
      </c>
    </row>
    <row r="75" spans="1:28">
      <c r="A75" s="9" t="s">
        <v>436</v>
      </c>
      <c r="B75" s="24"/>
      <c r="C75" s="26"/>
      <c r="D75" s="25">
        <f t="shared" si="42"/>
        <v>105</v>
      </c>
      <c r="E75" s="29">
        <f t="shared" ref="E75" si="104">E74</f>
        <v>149</v>
      </c>
      <c r="F75" s="25">
        <f t="shared" si="40"/>
        <v>119</v>
      </c>
      <c r="G75" s="29">
        <f t="shared" si="100"/>
        <v>164</v>
      </c>
      <c r="H75" s="4" t="s">
        <v>0</v>
      </c>
      <c r="I75" s="16" t="str">
        <f t="shared" si="18"/>
        <v>05-28</v>
      </c>
      <c r="J75" s="14">
        <f t="shared" si="19"/>
        <v>105</v>
      </c>
      <c r="K75" s="15">
        <f t="shared" si="20"/>
        <v>149</v>
      </c>
      <c r="L75" s="17">
        <f t="shared" si="21"/>
        <v>119</v>
      </c>
      <c r="M75" s="18">
        <f t="shared" si="22"/>
        <v>149</v>
      </c>
      <c r="N75" s="14">
        <f t="shared" si="23"/>
        <v>119</v>
      </c>
      <c r="O75" s="15">
        <f t="shared" si="24"/>
        <v>164</v>
      </c>
      <c r="P75" s="17">
        <f t="shared" si="25"/>
        <v>105</v>
      </c>
      <c r="Q75" s="18">
        <f t="shared" si="26"/>
        <v>164</v>
      </c>
      <c r="R75" s="4" t="s">
        <v>0</v>
      </c>
      <c r="S75" s="16" t="str">
        <f t="shared" si="27"/>
        <v>05-28</v>
      </c>
      <c r="T75" s="14">
        <f t="shared" si="28"/>
        <v>105</v>
      </c>
      <c r="U75" s="18">
        <f t="shared" si="29"/>
        <v>601</v>
      </c>
      <c r="V75" s="14">
        <f t="shared" si="30"/>
        <v>119</v>
      </c>
      <c r="W75" s="18">
        <f t="shared" si="31"/>
        <v>601</v>
      </c>
      <c r="X75" s="14">
        <f t="shared" si="32"/>
        <v>119</v>
      </c>
      <c r="Y75" s="18">
        <f t="shared" si="33"/>
        <v>586</v>
      </c>
      <c r="Z75" s="14">
        <f t="shared" si="34"/>
        <v>105</v>
      </c>
      <c r="AA75" s="18">
        <f t="shared" si="35"/>
        <v>586</v>
      </c>
      <c r="AB75" s="4" t="s">
        <v>0</v>
      </c>
    </row>
    <row r="76" spans="1:28">
      <c r="A76" s="9" t="s">
        <v>435</v>
      </c>
      <c r="B76" s="24"/>
      <c r="C76" s="26"/>
      <c r="D76" s="25">
        <f t="shared" si="42"/>
        <v>119</v>
      </c>
      <c r="E76" s="29">
        <f t="shared" ref="E76" si="105">E75</f>
        <v>149</v>
      </c>
      <c r="F76" s="25">
        <f t="shared" si="40"/>
        <v>133</v>
      </c>
      <c r="G76" s="29">
        <f t="shared" si="100"/>
        <v>164</v>
      </c>
      <c r="H76" s="4" t="s">
        <v>0</v>
      </c>
      <c r="I76" s="16" t="str">
        <f t="shared" ref="I76:I139" si="106">A76</f>
        <v>05-27</v>
      </c>
      <c r="J76" s="14">
        <f t="shared" ref="J76:J139" si="107">IF(D76&lt;&gt;"",D76,0)</f>
        <v>119</v>
      </c>
      <c r="K76" s="15">
        <f t="shared" ref="K76:K139" si="108">IF(E76&lt;&gt;"",E76,0)</f>
        <v>149</v>
      </c>
      <c r="L76" s="17">
        <f t="shared" ref="L76:L139" si="109">N76</f>
        <v>133</v>
      </c>
      <c r="M76" s="18">
        <f t="shared" ref="M76:M139" si="110">K76</f>
        <v>149</v>
      </c>
      <c r="N76" s="14">
        <f t="shared" ref="N76:N139" si="111">IF(F76&lt;&gt;"",F76,0)</f>
        <v>133</v>
      </c>
      <c r="O76" s="15">
        <f t="shared" ref="O76:O139" si="112">IF(G76&lt;&gt;"",G76,0)</f>
        <v>164</v>
      </c>
      <c r="P76" s="17">
        <f t="shared" ref="P76:P139" si="113">J76</f>
        <v>119</v>
      </c>
      <c r="Q76" s="18">
        <f t="shared" ref="Q76:Q139" si="114">O76</f>
        <v>164</v>
      </c>
      <c r="R76" s="4" t="s">
        <v>0</v>
      </c>
      <c r="S76" s="16" t="str">
        <f t="shared" ref="S76:S139" si="115">I76</f>
        <v>05-27</v>
      </c>
      <c r="T76" s="14">
        <f t="shared" ref="T76:T139" si="116">IF(J76&lt;&gt;"",J76,"")</f>
        <v>119</v>
      </c>
      <c r="U76" s="18">
        <f t="shared" ref="U76:U139" si="117">IF(K76&lt;&gt;"",U$6-K76,"")</f>
        <v>601</v>
      </c>
      <c r="V76" s="14">
        <f t="shared" ref="V76:V139" si="118">IF(L76&lt;&gt;"",L76,"")</f>
        <v>133</v>
      </c>
      <c r="W76" s="18">
        <f t="shared" ref="W76:W139" si="119">IF(M76&lt;&gt;"",W$6-M76,"")</f>
        <v>601</v>
      </c>
      <c r="X76" s="14">
        <f t="shared" ref="X76:X139" si="120">IF(N76&lt;&gt;"",N76,"")</f>
        <v>133</v>
      </c>
      <c r="Y76" s="18">
        <f t="shared" ref="Y76:Y139" si="121">IF(O76&lt;&gt;"",Y$6-O76,"")</f>
        <v>586</v>
      </c>
      <c r="Z76" s="14">
        <f t="shared" ref="Z76:Z139" si="122">IF(P76&lt;&gt;"",P76,"")</f>
        <v>119</v>
      </c>
      <c r="AA76" s="18">
        <f t="shared" ref="AA76:AA139" si="123">IF(Q76&lt;&gt;"",AA$6-Q76,"")</f>
        <v>586</v>
      </c>
      <c r="AB76" s="4" t="s">
        <v>0</v>
      </c>
    </row>
    <row r="77" spans="1:28">
      <c r="A77" s="9" t="s">
        <v>434</v>
      </c>
      <c r="B77" s="24"/>
      <c r="C77" s="26"/>
      <c r="D77" s="25">
        <f t="shared" si="42"/>
        <v>133</v>
      </c>
      <c r="E77" s="29">
        <f t="shared" ref="E77" si="124">E76</f>
        <v>149</v>
      </c>
      <c r="F77" s="25">
        <f t="shared" si="40"/>
        <v>147</v>
      </c>
      <c r="G77" s="29">
        <f t="shared" si="100"/>
        <v>164</v>
      </c>
      <c r="H77" s="4" t="s">
        <v>0</v>
      </c>
      <c r="I77" s="16" t="str">
        <f t="shared" si="106"/>
        <v>05-26</v>
      </c>
      <c r="J77" s="14">
        <f t="shared" si="107"/>
        <v>133</v>
      </c>
      <c r="K77" s="15">
        <f t="shared" si="108"/>
        <v>149</v>
      </c>
      <c r="L77" s="17">
        <f t="shared" si="109"/>
        <v>147</v>
      </c>
      <c r="M77" s="18">
        <f t="shared" si="110"/>
        <v>149</v>
      </c>
      <c r="N77" s="14">
        <f t="shared" si="111"/>
        <v>147</v>
      </c>
      <c r="O77" s="15">
        <f t="shared" si="112"/>
        <v>164</v>
      </c>
      <c r="P77" s="17">
        <f t="shared" si="113"/>
        <v>133</v>
      </c>
      <c r="Q77" s="18">
        <f t="shared" si="114"/>
        <v>164</v>
      </c>
      <c r="R77" s="4" t="s">
        <v>0</v>
      </c>
      <c r="S77" s="16" t="str">
        <f t="shared" si="115"/>
        <v>05-26</v>
      </c>
      <c r="T77" s="14">
        <f t="shared" si="116"/>
        <v>133</v>
      </c>
      <c r="U77" s="18">
        <f t="shared" si="117"/>
        <v>601</v>
      </c>
      <c r="V77" s="14">
        <f t="shared" si="118"/>
        <v>147</v>
      </c>
      <c r="W77" s="18">
        <f t="shared" si="119"/>
        <v>601</v>
      </c>
      <c r="X77" s="14">
        <f t="shared" si="120"/>
        <v>147</v>
      </c>
      <c r="Y77" s="18">
        <f t="shared" si="121"/>
        <v>586</v>
      </c>
      <c r="Z77" s="14">
        <f t="shared" si="122"/>
        <v>133</v>
      </c>
      <c r="AA77" s="18">
        <f t="shared" si="123"/>
        <v>586</v>
      </c>
      <c r="AB77" s="4" t="s">
        <v>0</v>
      </c>
    </row>
    <row r="78" spans="1:28">
      <c r="A78" s="9" t="s">
        <v>433</v>
      </c>
      <c r="B78" s="24"/>
      <c r="C78" s="26"/>
      <c r="D78" s="25">
        <f t="shared" si="42"/>
        <v>146</v>
      </c>
      <c r="E78" s="29">
        <f t="shared" ref="E78" si="125">E77</f>
        <v>149</v>
      </c>
      <c r="F78" s="25">
        <f t="shared" si="40"/>
        <v>160</v>
      </c>
      <c r="G78" s="29">
        <f t="shared" si="100"/>
        <v>164</v>
      </c>
      <c r="H78" s="4" t="s">
        <v>0</v>
      </c>
      <c r="I78" s="16" t="str">
        <f t="shared" si="106"/>
        <v>05-25</v>
      </c>
      <c r="J78" s="14">
        <f t="shared" si="107"/>
        <v>146</v>
      </c>
      <c r="K78" s="15">
        <f t="shared" si="108"/>
        <v>149</v>
      </c>
      <c r="L78" s="17">
        <f t="shared" si="109"/>
        <v>160</v>
      </c>
      <c r="M78" s="18">
        <f t="shared" si="110"/>
        <v>149</v>
      </c>
      <c r="N78" s="14">
        <f t="shared" si="111"/>
        <v>160</v>
      </c>
      <c r="O78" s="15">
        <f t="shared" si="112"/>
        <v>164</v>
      </c>
      <c r="P78" s="17">
        <f t="shared" si="113"/>
        <v>146</v>
      </c>
      <c r="Q78" s="18">
        <f t="shared" si="114"/>
        <v>164</v>
      </c>
      <c r="R78" s="4" t="s">
        <v>0</v>
      </c>
      <c r="S78" s="16" t="str">
        <f t="shared" si="115"/>
        <v>05-25</v>
      </c>
      <c r="T78" s="14">
        <f t="shared" si="116"/>
        <v>146</v>
      </c>
      <c r="U78" s="18">
        <f t="shared" si="117"/>
        <v>601</v>
      </c>
      <c r="V78" s="14">
        <f t="shared" si="118"/>
        <v>160</v>
      </c>
      <c r="W78" s="18">
        <f t="shared" si="119"/>
        <v>601</v>
      </c>
      <c r="X78" s="14">
        <f t="shared" si="120"/>
        <v>160</v>
      </c>
      <c r="Y78" s="18">
        <f t="shared" si="121"/>
        <v>586</v>
      </c>
      <c r="Z78" s="14">
        <f t="shared" si="122"/>
        <v>146</v>
      </c>
      <c r="AA78" s="18">
        <f t="shared" si="123"/>
        <v>586</v>
      </c>
      <c r="AB78" s="4" t="s">
        <v>0</v>
      </c>
    </row>
    <row r="79" spans="1:28">
      <c r="A79" s="9" t="s">
        <v>432</v>
      </c>
      <c r="B79" s="24"/>
      <c r="C79" s="26"/>
      <c r="D79" s="25">
        <f t="shared" si="42"/>
        <v>160</v>
      </c>
      <c r="E79" s="29">
        <f t="shared" ref="E79" si="126">E78</f>
        <v>149</v>
      </c>
      <c r="F79" s="25">
        <f t="shared" si="40"/>
        <v>174</v>
      </c>
      <c r="G79" s="29">
        <f t="shared" si="100"/>
        <v>164</v>
      </c>
      <c r="H79" s="4" t="s">
        <v>0</v>
      </c>
      <c r="I79" s="16" t="str">
        <f t="shared" si="106"/>
        <v>05-23</v>
      </c>
      <c r="J79" s="14">
        <f t="shared" si="107"/>
        <v>160</v>
      </c>
      <c r="K79" s="15">
        <f t="shared" si="108"/>
        <v>149</v>
      </c>
      <c r="L79" s="17">
        <f t="shared" si="109"/>
        <v>174</v>
      </c>
      <c r="M79" s="18">
        <f t="shared" si="110"/>
        <v>149</v>
      </c>
      <c r="N79" s="14">
        <f t="shared" si="111"/>
        <v>174</v>
      </c>
      <c r="O79" s="15">
        <f t="shared" si="112"/>
        <v>164</v>
      </c>
      <c r="P79" s="17">
        <f t="shared" si="113"/>
        <v>160</v>
      </c>
      <c r="Q79" s="18">
        <f t="shared" si="114"/>
        <v>164</v>
      </c>
      <c r="R79" s="4" t="s">
        <v>0</v>
      </c>
      <c r="S79" s="16" t="str">
        <f t="shared" si="115"/>
        <v>05-23</v>
      </c>
      <c r="T79" s="14">
        <f t="shared" si="116"/>
        <v>160</v>
      </c>
      <c r="U79" s="18">
        <f t="shared" si="117"/>
        <v>601</v>
      </c>
      <c r="V79" s="14">
        <f t="shared" si="118"/>
        <v>174</v>
      </c>
      <c r="W79" s="18">
        <f t="shared" si="119"/>
        <v>601</v>
      </c>
      <c r="X79" s="14">
        <f t="shared" si="120"/>
        <v>174</v>
      </c>
      <c r="Y79" s="18">
        <f t="shared" si="121"/>
        <v>586</v>
      </c>
      <c r="Z79" s="14">
        <f t="shared" si="122"/>
        <v>160</v>
      </c>
      <c r="AA79" s="18">
        <f t="shared" si="123"/>
        <v>586</v>
      </c>
      <c r="AB79" s="4" t="s">
        <v>0</v>
      </c>
    </row>
    <row r="80" spans="1:28">
      <c r="A80" s="9" t="s">
        <v>431</v>
      </c>
      <c r="B80" s="24"/>
      <c r="C80" s="26"/>
      <c r="D80" s="25">
        <f t="shared" si="42"/>
        <v>174</v>
      </c>
      <c r="E80" s="29">
        <f t="shared" ref="E80" si="127">E79</f>
        <v>149</v>
      </c>
      <c r="F80" s="25">
        <f t="shared" si="40"/>
        <v>188</v>
      </c>
      <c r="G80" s="29">
        <f t="shared" si="100"/>
        <v>164</v>
      </c>
      <c r="H80" s="4" t="s">
        <v>0</v>
      </c>
      <c r="I80" s="16" t="str">
        <f t="shared" si="106"/>
        <v>05-22</v>
      </c>
      <c r="J80" s="14">
        <f t="shared" si="107"/>
        <v>174</v>
      </c>
      <c r="K80" s="15">
        <f t="shared" si="108"/>
        <v>149</v>
      </c>
      <c r="L80" s="17">
        <f t="shared" si="109"/>
        <v>188</v>
      </c>
      <c r="M80" s="18">
        <f t="shared" si="110"/>
        <v>149</v>
      </c>
      <c r="N80" s="14">
        <f t="shared" si="111"/>
        <v>188</v>
      </c>
      <c r="O80" s="15">
        <f t="shared" si="112"/>
        <v>164</v>
      </c>
      <c r="P80" s="17">
        <f t="shared" si="113"/>
        <v>174</v>
      </c>
      <c r="Q80" s="18">
        <f t="shared" si="114"/>
        <v>164</v>
      </c>
      <c r="R80" s="4" t="s">
        <v>0</v>
      </c>
      <c r="S80" s="16" t="str">
        <f t="shared" si="115"/>
        <v>05-22</v>
      </c>
      <c r="T80" s="14">
        <f t="shared" si="116"/>
        <v>174</v>
      </c>
      <c r="U80" s="18">
        <f t="shared" si="117"/>
        <v>601</v>
      </c>
      <c r="V80" s="14">
        <f t="shared" si="118"/>
        <v>188</v>
      </c>
      <c r="W80" s="18">
        <f t="shared" si="119"/>
        <v>601</v>
      </c>
      <c r="X80" s="14">
        <f t="shared" si="120"/>
        <v>188</v>
      </c>
      <c r="Y80" s="18">
        <f t="shared" si="121"/>
        <v>586</v>
      </c>
      <c r="Z80" s="14">
        <f t="shared" si="122"/>
        <v>174</v>
      </c>
      <c r="AA80" s="18">
        <f t="shared" si="123"/>
        <v>586</v>
      </c>
      <c r="AB80" s="4" t="s">
        <v>0</v>
      </c>
    </row>
    <row r="81" spans="1:28">
      <c r="A81" s="9" t="s">
        <v>166</v>
      </c>
      <c r="B81" s="24"/>
      <c r="C81" s="26"/>
      <c r="D81" s="25">
        <f t="shared" si="42"/>
        <v>187</v>
      </c>
      <c r="E81" s="29">
        <f t="shared" ref="E81" si="128">E80</f>
        <v>149</v>
      </c>
      <c r="F81" s="25">
        <f t="shared" si="40"/>
        <v>201</v>
      </c>
      <c r="G81" s="29">
        <f t="shared" si="100"/>
        <v>164</v>
      </c>
      <c r="H81" s="4" t="s">
        <v>0</v>
      </c>
      <c r="I81" s="16" t="str">
        <f t="shared" si="106"/>
        <v>05-21</v>
      </c>
      <c r="J81" s="14">
        <f t="shared" si="107"/>
        <v>187</v>
      </c>
      <c r="K81" s="15">
        <f t="shared" si="108"/>
        <v>149</v>
      </c>
      <c r="L81" s="17">
        <f t="shared" si="109"/>
        <v>201</v>
      </c>
      <c r="M81" s="18">
        <f t="shared" si="110"/>
        <v>149</v>
      </c>
      <c r="N81" s="14">
        <f t="shared" si="111"/>
        <v>201</v>
      </c>
      <c r="O81" s="15">
        <f t="shared" si="112"/>
        <v>164</v>
      </c>
      <c r="P81" s="17">
        <f t="shared" si="113"/>
        <v>187</v>
      </c>
      <c r="Q81" s="18">
        <f t="shared" si="114"/>
        <v>164</v>
      </c>
      <c r="R81" s="4" t="s">
        <v>0</v>
      </c>
      <c r="S81" s="16" t="str">
        <f t="shared" si="115"/>
        <v>05-21</v>
      </c>
      <c r="T81" s="14">
        <f t="shared" si="116"/>
        <v>187</v>
      </c>
      <c r="U81" s="18">
        <f t="shared" si="117"/>
        <v>601</v>
      </c>
      <c r="V81" s="14">
        <f t="shared" si="118"/>
        <v>201</v>
      </c>
      <c r="W81" s="18">
        <f t="shared" si="119"/>
        <v>601</v>
      </c>
      <c r="X81" s="14">
        <f t="shared" si="120"/>
        <v>201</v>
      </c>
      <c r="Y81" s="18">
        <f t="shared" si="121"/>
        <v>586</v>
      </c>
      <c r="Z81" s="14">
        <f t="shared" si="122"/>
        <v>187</v>
      </c>
      <c r="AA81" s="18">
        <f t="shared" si="123"/>
        <v>586</v>
      </c>
      <c r="AB81" s="4" t="s">
        <v>0</v>
      </c>
    </row>
    <row r="82" spans="1:28">
      <c r="A82" s="9" t="s">
        <v>165</v>
      </c>
      <c r="B82" s="24"/>
      <c r="C82" s="26"/>
      <c r="D82" s="25">
        <f t="shared" si="42"/>
        <v>201</v>
      </c>
      <c r="E82" s="29">
        <f t="shared" ref="E82" si="129">E81</f>
        <v>149</v>
      </c>
      <c r="F82" s="25">
        <f t="shared" si="40"/>
        <v>215</v>
      </c>
      <c r="G82" s="29">
        <f t="shared" si="100"/>
        <v>164</v>
      </c>
      <c r="H82" s="4" t="s">
        <v>0</v>
      </c>
      <c r="I82" s="16" t="str">
        <f t="shared" si="106"/>
        <v>05-20</v>
      </c>
      <c r="J82" s="14">
        <f t="shared" si="107"/>
        <v>201</v>
      </c>
      <c r="K82" s="15">
        <f t="shared" si="108"/>
        <v>149</v>
      </c>
      <c r="L82" s="17">
        <f t="shared" si="109"/>
        <v>215</v>
      </c>
      <c r="M82" s="18">
        <f t="shared" si="110"/>
        <v>149</v>
      </c>
      <c r="N82" s="14">
        <f t="shared" si="111"/>
        <v>215</v>
      </c>
      <c r="O82" s="15">
        <f t="shared" si="112"/>
        <v>164</v>
      </c>
      <c r="P82" s="17">
        <f t="shared" si="113"/>
        <v>201</v>
      </c>
      <c r="Q82" s="18">
        <f t="shared" si="114"/>
        <v>164</v>
      </c>
      <c r="R82" s="4" t="s">
        <v>0</v>
      </c>
      <c r="S82" s="16" t="str">
        <f t="shared" si="115"/>
        <v>05-20</v>
      </c>
      <c r="T82" s="14">
        <f t="shared" si="116"/>
        <v>201</v>
      </c>
      <c r="U82" s="18">
        <f t="shared" si="117"/>
        <v>601</v>
      </c>
      <c r="V82" s="14">
        <f t="shared" si="118"/>
        <v>215</v>
      </c>
      <c r="W82" s="18">
        <f t="shared" si="119"/>
        <v>601</v>
      </c>
      <c r="X82" s="14">
        <f t="shared" si="120"/>
        <v>215</v>
      </c>
      <c r="Y82" s="18">
        <f t="shared" si="121"/>
        <v>586</v>
      </c>
      <c r="Z82" s="14">
        <f t="shared" si="122"/>
        <v>201</v>
      </c>
      <c r="AA82" s="18">
        <f t="shared" si="123"/>
        <v>586</v>
      </c>
      <c r="AB82" s="4" t="s">
        <v>0</v>
      </c>
    </row>
    <row r="83" spans="1:28">
      <c r="A83" s="9" t="s">
        <v>164</v>
      </c>
      <c r="B83" s="24"/>
      <c r="C83" s="26"/>
      <c r="D83" s="25">
        <f t="shared" si="42"/>
        <v>215</v>
      </c>
      <c r="E83" s="29">
        <f t="shared" ref="E83" si="130">E82</f>
        <v>149</v>
      </c>
      <c r="F83" s="25">
        <f t="shared" si="40"/>
        <v>229</v>
      </c>
      <c r="G83" s="29">
        <f t="shared" si="100"/>
        <v>164</v>
      </c>
      <c r="H83" s="4" t="s">
        <v>0</v>
      </c>
      <c r="I83" s="16" t="str">
        <f t="shared" si="106"/>
        <v>05-18</v>
      </c>
      <c r="J83" s="14">
        <f t="shared" si="107"/>
        <v>215</v>
      </c>
      <c r="K83" s="15">
        <f t="shared" si="108"/>
        <v>149</v>
      </c>
      <c r="L83" s="17">
        <f t="shared" si="109"/>
        <v>229</v>
      </c>
      <c r="M83" s="18">
        <f t="shared" si="110"/>
        <v>149</v>
      </c>
      <c r="N83" s="14">
        <f t="shared" si="111"/>
        <v>229</v>
      </c>
      <c r="O83" s="15">
        <f t="shared" si="112"/>
        <v>164</v>
      </c>
      <c r="P83" s="17">
        <f t="shared" si="113"/>
        <v>215</v>
      </c>
      <c r="Q83" s="18">
        <f t="shared" si="114"/>
        <v>164</v>
      </c>
      <c r="R83" s="4" t="s">
        <v>0</v>
      </c>
      <c r="S83" s="16" t="str">
        <f t="shared" si="115"/>
        <v>05-18</v>
      </c>
      <c r="T83" s="14">
        <f t="shared" si="116"/>
        <v>215</v>
      </c>
      <c r="U83" s="18">
        <f t="shared" si="117"/>
        <v>601</v>
      </c>
      <c r="V83" s="14">
        <f t="shared" si="118"/>
        <v>229</v>
      </c>
      <c r="W83" s="18">
        <f t="shared" si="119"/>
        <v>601</v>
      </c>
      <c r="X83" s="14">
        <f t="shared" si="120"/>
        <v>229</v>
      </c>
      <c r="Y83" s="18">
        <f t="shared" si="121"/>
        <v>586</v>
      </c>
      <c r="Z83" s="14">
        <f t="shared" si="122"/>
        <v>215</v>
      </c>
      <c r="AA83" s="18">
        <f t="shared" si="123"/>
        <v>586</v>
      </c>
      <c r="AB83" s="4" t="s">
        <v>0</v>
      </c>
    </row>
    <row r="84" spans="1:28">
      <c r="A84" s="9" t="s">
        <v>135</v>
      </c>
      <c r="B84" s="24"/>
      <c r="C84" s="26"/>
      <c r="D84" s="25">
        <f t="shared" si="42"/>
        <v>248</v>
      </c>
      <c r="E84" s="29">
        <f t="shared" ref="E84" si="131">E83</f>
        <v>149</v>
      </c>
      <c r="F84" s="25">
        <f t="shared" si="40"/>
        <v>262</v>
      </c>
      <c r="G84" s="29">
        <f t="shared" si="100"/>
        <v>164</v>
      </c>
      <c r="H84" s="4" t="s">
        <v>0</v>
      </c>
      <c r="I84" s="16" t="str">
        <f t="shared" si="106"/>
        <v>05-17</v>
      </c>
      <c r="J84" s="14">
        <f t="shared" si="107"/>
        <v>248</v>
      </c>
      <c r="K84" s="15">
        <f t="shared" si="108"/>
        <v>149</v>
      </c>
      <c r="L84" s="17">
        <f t="shared" si="109"/>
        <v>262</v>
      </c>
      <c r="M84" s="18">
        <f t="shared" si="110"/>
        <v>149</v>
      </c>
      <c r="N84" s="14">
        <f t="shared" si="111"/>
        <v>262</v>
      </c>
      <c r="O84" s="15">
        <f t="shared" si="112"/>
        <v>164</v>
      </c>
      <c r="P84" s="17">
        <f t="shared" si="113"/>
        <v>248</v>
      </c>
      <c r="Q84" s="18">
        <f t="shared" si="114"/>
        <v>164</v>
      </c>
      <c r="R84" s="4" t="s">
        <v>0</v>
      </c>
      <c r="S84" s="16" t="str">
        <f t="shared" si="115"/>
        <v>05-17</v>
      </c>
      <c r="T84" s="14">
        <f t="shared" si="116"/>
        <v>248</v>
      </c>
      <c r="U84" s="18">
        <f t="shared" si="117"/>
        <v>601</v>
      </c>
      <c r="V84" s="14">
        <f t="shared" si="118"/>
        <v>262</v>
      </c>
      <c r="W84" s="18">
        <f t="shared" si="119"/>
        <v>601</v>
      </c>
      <c r="X84" s="14">
        <f t="shared" si="120"/>
        <v>262</v>
      </c>
      <c r="Y84" s="18">
        <f t="shared" si="121"/>
        <v>586</v>
      </c>
      <c r="Z84" s="14">
        <f t="shared" si="122"/>
        <v>248</v>
      </c>
      <c r="AA84" s="18">
        <f t="shared" si="123"/>
        <v>586</v>
      </c>
      <c r="AB84" s="4" t="s">
        <v>0</v>
      </c>
    </row>
    <row r="85" spans="1:28">
      <c r="A85" s="9" t="s">
        <v>163</v>
      </c>
      <c r="B85" s="24"/>
      <c r="C85" s="26"/>
      <c r="D85" s="25">
        <f t="shared" si="42"/>
        <v>262</v>
      </c>
      <c r="E85" s="29">
        <f t="shared" ref="E85" si="132">E84</f>
        <v>149</v>
      </c>
      <c r="F85" s="25">
        <f t="shared" si="40"/>
        <v>276</v>
      </c>
      <c r="G85" s="29">
        <f t="shared" si="100"/>
        <v>164</v>
      </c>
      <c r="H85" s="4" t="s">
        <v>0</v>
      </c>
      <c r="I85" s="16" t="str">
        <f t="shared" si="106"/>
        <v>05-16</v>
      </c>
      <c r="J85" s="14">
        <f t="shared" si="107"/>
        <v>262</v>
      </c>
      <c r="K85" s="15">
        <f t="shared" si="108"/>
        <v>149</v>
      </c>
      <c r="L85" s="17">
        <f t="shared" si="109"/>
        <v>276</v>
      </c>
      <c r="M85" s="18">
        <f t="shared" si="110"/>
        <v>149</v>
      </c>
      <c r="N85" s="14">
        <f t="shared" si="111"/>
        <v>276</v>
      </c>
      <c r="O85" s="15">
        <f t="shared" si="112"/>
        <v>164</v>
      </c>
      <c r="P85" s="17">
        <f t="shared" si="113"/>
        <v>262</v>
      </c>
      <c r="Q85" s="18">
        <f t="shared" si="114"/>
        <v>164</v>
      </c>
      <c r="R85" s="4" t="s">
        <v>0</v>
      </c>
      <c r="S85" s="16" t="str">
        <f t="shared" si="115"/>
        <v>05-16</v>
      </c>
      <c r="T85" s="14">
        <f t="shared" si="116"/>
        <v>262</v>
      </c>
      <c r="U85" s="18">
        <f t="shared" si="117"/>
        <v>601</v>
      </c>
      <c r="V85" s="14">
        <f t="shared" si="118"/>
        <v>276</v>
      </c>
      <c r="W85" s="18">
        <f t="shared" si="119"/>
        <v>601</v>
      </c>
      <c r="X85" s="14">
        <f t="shared" si="120"/>
        <v>276</v>
      </c>
      <c r="Y85" s="18">
        <f t="shared" si="121"/>
        <v>586</v>
      </c>
      <c r="Z85" s="14">
        <f t="shared" si="122"/>
        <v>262</v>
      </c>
      <c r="AA85" s="18">
        <f t="shared" si="123"/>
        <v>586</v>
      </c>
      <c r="AB85" s="4" t="s">
        <v>0</v>
      </c>
    </row>
    <row r="86" spans="1:28">
      <c r="A86" s="9" t="s">
        <v>162</v>
      </c>
      <c r="B86" s="24"/>
      <c r="C86" s="26"/>
      <c r="D86" s="25">
        <f t="shared" si="42"/>
        <v>275</v>
      </c>
      <c r="E86" s="29">
        <f t="shared" ref="E86" si="133">E85</f>
        <v>149</v>
      </c>
      <c r="F86" s="25">
        <f t="shared" si="40"/>
        <v>289</v>
      </c>
      <c r="G86" s="29">
        <f t="shared" si="100"/>
        <v>164</v>
      </c>
      <c r="H86" s="4" t="s">
        <v>0</v>
      </c>
      <c r="I86" s="16" t="str">
        <f t="shared" si="106"/>
        <v>05-15</v>
      </c>
      <c r="J86" s="14">
        <f t="shared" si="107"/>
        <v>275</v>
      </c>
      <c r="K86" s="15">
        <f t="shared" si="108"/>
        <v>149</v>
      </c>
      <c r="L86" s="17">
        <f t="shared" si="109"/>
        <v>289</v>
      </c>
      <c r="M86" s="18">
        <f t="shared" si="110"/>
        <v>149</v>
      </c>
      <c r="N86" s="14">
        <f t="shared" si="111"/>
        <v>289</v>
      </c>
      <c r="O86" s="15">
        <f t="shared" si="112"/>
        <v>164</v>
      </c>
      <c r="P86" s="17">
        <f t="shared" si="113"/>
        <v>275</v>
      </c>
      <c r="Q86" s="18">
        <f t="shared" si="114"/>
        <v>164</v>
      </c>
      <c r="R86" s="4" t="s">
        <v>0</v>
      </c>
      <c r="S86" s="16" t="str">
        <f t="shared" si="115"/>
        <v>05-15</v>
      </c>
      <c r="T86" s="14">
        <f t="shared" si="116"/>
        <v>275</v>
      </c>
      <c r="U86" s="18">
        <f t="shared" si="117"/>
        <v>601</v>
      </c>
      <c r="V86" s="14">
        <f t="shared" si="118"/>
        <v>289</v>
      </c>
      <c r="W86" s="18">
        <f t="shared" si="119"/>
        <v>601</v>
      </c>
      <c r="X86" s="14">
        <f t="shared" si="120"/>
        <v>289</v>
      </c>
      <c r="Y86" s="18">
        <f t="shared" si="121"/>
        <v>586</v>
      </c>
      <c r="Z86" s="14">
        <f t="shared" si="122"/>
        <v>275</v>
      </c>
      <c r="AA86" s="18">
        <f t="shared" si="123"/>
        <v>586</v>
      </c>
      <c r="AB86" s="4" t="s">
        <v>0</v>
      </c>
    </row>
    <row r="87" spans="1:28">
      <c r="A87" s="9" t="s">
        <v>161</v>
      </c>
      <c r="B87" s="24"/>
      <c r="C87" s="26"/>
      <c r="D87" s="25">
        <f t="shared" si="42"/>
        <v>289</v>
      </c>
      <c r="E87" s="29">
        <f t="shared" ref="E87" si="134">E86</f>
        <v>149</v>
      </c>
      <c r="F87" s="25">
        <f t="shared" si="40"/>
        <v>303</v>
      </c>
      <c r="G87" s="29">
        <f t="shared" si="100"/>
        <v>164</v>
      </c>
      <c r="H87" s="4" t="s">
        <v>0</v>
      </c>
      <c r="I87" s="16" t="str">
        <f t="shared" si="106"/>
        <v>05-13</v>
      </c>
      <c r="J87" s="14">
        <f t="shared" si="107"/>
        <v>289</v>
      </c>
      <c r="K87" s="15">
        <f t="shared" si="108"/>
        <v>149</v>
      </c>
      <c r="L87" s="17">
        <f t="shared" si="109"/>
        <v>303</v>
      </c>
      <c r="M87" s="18">
        <f t="shared" si="110"/>
        <v>149</v>
      </c>
      <c r="N87" s="14">
        <f t="shared" si="111"/>
        <v>303</v>
      </c>
      <c r="O87" s="15">
        <f t="shared" si="112"/>
        <v>164</v>
      </c>
      <c r="P87" s="17">
        <f t="shared" si="113"/>
        <v>289</v>
      </c>
      <c r="Q87" s="18">
        <f t="shared" si="114"/>
        <v>164</v>
      </c>
      <c r="R87" s="4" t="s">
        <v>0</v>
      </c>
      <c r="S87" s="16" t="str">
        <f t="shared" si="115"/>
        <v>05-13</v>
      </c>
      <c r="T87" s="14">
        <f t="shared" si="116"/>
        <v>289</v>
      </c>
      <c r="U87" s="18">
        <f t="shared" si="117"/>
        <v>601</v>
      </c>
      <c r="V87" s="14">
        <f t="shared" si="118"/>
        <v>303</v>
      </c>
      <c r="W87" s="18">
        <f t="shared" si="119"/>
        <v>601</v>
      </c>
      <c r="X87" s="14">
        <f t="shared" si="120"/>
        <v>303</v>
      </c>
      <c r="Y87" s="18">
        <f t="shared" si="121"/>
        <v>586</v>
      </c>
      <c r="Z87" s="14">
        <f t="shared" si="122"/>
        <v>289</v>
      </c>
      <c r="AA87" s="18">
        <f t="shared" si="123"/>
        <v>586</v>
      </c>
      <c r="AB87" s="4" t="s">
        <v>0</v>
      </c>
    </row>
    <row r="88" spans="1:28">
      <c r="A88" s="9" t="s">
        <v>49</v>
      </c>
      <c r="B88" s="24"/>
      <c r="C88" s="26"/>
      <c r="D88" s="25">
        <f t="shared" si="42"/>
        <v>303</v>
      </c>
      <c r="E88" s="29">
        <f t="shared" ref="E88" si="135">E87</f>
        <v>149</v>
      </c>
      <c r="F88" s="25">
        <f t="shared" si="40"/>
        <v>317</v>
      </c>
      <c r="G88" s="29">
        <f t="shared" si="100"/>
        <v>164</v>
      </c>
      <c r="H88" s="4" t="s">
        <v>0</v>
      </c>
      <c r="I88" s="16" t="str">
        <f t="shared" si="106"/>
        <v>05-12</v>
      </c>
      <c r="J88" s="14">
        <f t="shared" si="107"/>
        <v>303</v>
      </c>
      <c r="K88" s="15">
        <f t="shared" si="108"/>
        <v>149</v>
      </c>
      <c r="L88" s="17">
        <f t="shared" si="109"/>
        <v>317</v>
      </c>
      <c r="M88" s="18">
        <f t="shared" si="110"/>
        <v>149</v>
      </c>
      <c r="N88" s="14">
        <f t="shared" si="111"/>
        <v>317</v>
      </c>
      <c r="O88" s="15">
        <f t="shared" si="112"/>
        <v>164</v>
      </c>
      <c r="P88" s="17">
        <f t="shared" si="113"/>
        <v>303</v>
      </c>
      <c r="Q88" s="18">
        <f t="shared" si="114"/>
        <v>164</v>
      </c>
      <c r="R88" s="4" t="s">
        <v>0</v>
      </c>
      <c r="S88" s="16" t="str">
        <f t="shared" si="115"/>
        <v>05-12</v>
      </c>
      <c r="T88" s="14">
        <f t="shared" si="116"/>
        <v>303</v>
      </c>
      <c r="U88" s="18">
        <f t="shared" si="117"/>
        <v>601</v>
      </c>
      <c r="V88" s="14">
        <f t="shared" si="118"/>
        <v>317</v>
      </c>
      <c r="W88" s="18">
        <f t="shared" si="119"/>
        <v>601</v>
      </c>
      <c r="X88" s="14">
        <f t="shared" si="120"/>
        <v>317</v>
      </c>
      <c r="Y88" s="18">
        <f t="shared" si="121"/>
        <v>586</v>
      </c>
      <c r="Z88" s="14">
        <f t="shared" si="122"/>
        <v>303</v>
      </c>
      <c r="AA88" s="18">
        <f t="shared" si="123"/>
        <v>586</v>
      </c>
      <c r="AB88" s="4" t="s">
        <v>0</v>
      </c>
    </row>
    <row r="89" spans="1:28">
      <c r="A89" s="9" t="s">
        <v>48</v>
      </c>
      <c r="B89" s="24"/>
      <c r="C89" s="26"/>
      <c r="D89" s="25">
        <f t="shared" si="42"/>
        <v>317</v>
      </c>
      <c r="E89" s="29">
        <f t="shared" ref="E89" si="136">E88</f>
        <v>149</v>
      </c>
      <c r="F89" s="25">
        <f t="shared" si="40"/>
        <v>331</v>
      </c>
      <c r="G89" s="29">
        <f t="shared" si="100"/>
        <v>164</v>
      </c>
      <c r="H89" s="4" t="s">
        <v>0</v>
      </c>
      <c r="I89" s="16" t="str">
        <f t="shared" si="106"/>
        <v>05-11</v>
      </c>
      <c r="J89" s="14">
        <f t="shared" si="107"/>
        <v>317</v>
      </c>
      <c r="K89" s="15">
        <f t="shared" si="108"/>
        <v>149</v>
      </c>
      <c r="L89" s="17">
        <f t="shared" si="109"/>
        <v>331</v>
      </c>
      <c r="M89" s="18">
        <f t="shared" si="110"/>
        <v>149</v>
      </c>
      <c r="N89" s="14">
        <f t="shared" si="111"/>
        <v>331</v>
      </c>
      <c r="O89" s="15">
        <f t="shared" si="112"/>
        <v>164</v>
      </c>
      <c r="P89" s="17">
        <f t="shared" si="113"/>
        <v>317</v>
      </c>
      <c r="Q89" s="18">
        <f t="shared" si="114"/>
        <v>164</v>
      </c>
      <c r="R89" s="4" t="s">
        <v>0</v>
      </c>
      <c r="S89" s="16" t="str">
        <f t="shared" si="115"/>
        <v>05-11</v>
      </c>
      <c r="T89" s="14">
        <f t="shared" si="116"/>
        <v>317</v>
      </c>
      <c r="U89" s="18">
        <f t="shared" si="117"/>
        <v>601</v>
      </c>
      <c r="V89" s="14">
        <f t="shared" si="118"/>
        <v>331</v>
      </c>
      <c r="W89" s="18">
        <f t="shared" si="119"/>
        <v>601</v>
      </c>
      <c r="X89" s="14">
        <f t="shared" si="120"/>
        <v>331</v>
      </c>
      <c r="Y89" s="18">
        <f t="shared" si="121"/>
        <v>586</v>
      </c>
      <c r="Z89" s="14">
        <f t="shared" si="122"/>
        <v>317</v>
      </c>
      <c r="AA89" s="18">
        <f t="shared" si="123"/>
        <v>586</v>
      </c>
      <c r="AB89" s="4" t="s">
        <v>0</v>
      </c>
    </row>
    <row r="90" spans="1:28">
      <c r="A90" s="9" t="s">
        <v>47</v>
      </c>
      <c r="B90" s="24"/>
      <c r="C90" s="26"/>
      <c r="D90" s="25">
        <f t="shared" si="42"/>
        <v>330</v>
      </c>
      <c r="E90" s="29">
        <f t="shared" ref="E90" si="137">E89</f>
        <v>149</v>
      </c>
      <c r="F90" s="25">
        <f t="shared" si="40"/>
        <v>344</v>
      </c>
      <c r="G90" s="29">
        <f t="shared" si="100"/>
        <v>164</v>
      </c>
      <c r="H90" s="4" t="s">
        <v>0</v>
      </c>
      <c r="I90" s="16" t="str">
        <f t="shared" si="106"/>
        <v>05-10</v>
      </c>
      <c r="J90" s="14">
        <f t="shared" si="107"/>
        <v>330</v>
      </c>
      <c r="K90" s="15">
        <f t="shared" si="108"/>
        <v>149</v>
      </c>
      <c r="L90" s="17">
        <f t="shared" si="109"/>
        <v>344</v>
      </c>
      <c r="M90" s="18">
        <f t="shared" si="110"/>
        <v>149</v>
      </c>
      <c r="N90" s="14">
        <f t="shared" si="111"/>
        <v>344</v>
      </c>
      <c r="O90" s="15">
        <f t="shared" si="112"/>
        <v>164</v>
      </c>
      <c r="P90" s="17">
        <f t="shared" si="113"/>
        <v>330</v>
      </c>
      <c r="Q90" s="18">
        <f t="shared" si="114"/>
        <v>164</v>
      </c>
      <c r="R90" s="4" t="s">
        <v>0</v>
      </c>
      <c r="S90" s="16" t="str">
        <f t="shared" si="115"/>
        <v>05-10</v>
      </c>
      <c r="T90" s="14">
        <f t="shared" si="116"/>
        <v>330</v>
      </c>
      <c r="U90" s="18">
        <f t="shared" si="117"/>
        <v>601</v>
      </c>
      <c r="V90" s="14">
        <f t="shared" si="118"/>
        <v>344</v>
      </c>
      <c r="W90" s="18">
        <f t="shared" si="119"/>
        <v>601</v>
      </c>
      <c r="X90" s="14">
        <f t="shared" si="120"/>
        <v>344</v>
      </c>
      <c r="Y90" s="18">
        <f t="shared" si="121"/>
        <v>586</v>
      </c>
      <c r="Z90" s="14">
        <f t="shared" si="122"/>
        <v>330</v>
      </c>
      <c r="AA90" s="18">
        <f t="shared" si="123"/>
        <v>586</v>
      </c>
      <c r="AB90" s="4" t="s">
        <v>0</v>
      </c>
    </row>
    <row r="91" spans="1:28">
      <c r="A91" s="9" t="s">
        <v>46</v>
      </c>
      <c r="B91" s="24"/>
      <c r="C91" s="26"/>
      <c r="D91" s="25">
        <f t="shared" si="42"/>
        <v>344</v>
      </c>
      <c r="E91" s="29">
        <f t="shared" ref="E91" si="138">E90</f>
        <v>149</v>
      </c>
      <c r="F91" s="25">
        <f t="shared" si="40"/>
        <v>358</v>
      </c>
      <c r="G91" s="29">
        <f t="shared" si="100"/>
        <v>164</v>
      </c>
      <c r="H91" s="4" t="s">
        <v>0</v>
      </c>
      <c r="I91" s="16" t="str">
        <f t="shared" si="106"/>
        <v>05-08</v>
      </c>
      <c r="J91" s="14">
        <f t="shared" si="107"/>
        <v>344</v>
      </c>
      <c r="K91" s="15">
        <f t="shared" si="108"/>
        <v>149</v>
      </c>
      <c r="L91" s="17">
        <f t="shared" si="109"/>
        <v>358</v>
      </c>
      <c r="M91" s="18">
        <f t="shared" si="110"/>
        <v>149</v>
      </c>
      <c r="N91" s="14">
        <f t="shared" si="111"/>
        <v>358</v>
      </c>
      <c r="O91" s="15">
        <f t="shared" si="112"/>
        <v>164</v>
      </c>
      <c r="P91" s="17">
        <f t="shared" si="113"/>
        <v>344</v>
      </c>
      <c r="Q91" s="18">
        <f t="shared" si="114"/>
        <v>164</v>
      </c>
      <c r="R91" s="4" t="s">
        <v>0</v>
      </c>
      <c r="S91" s="16" t="str">
        <f t="shared" si="115"/>
        <v>05-08</v>
      </c>
      <c r="T91" s="14">
        <f t="shared" si="116"/>
        <v>344</v>
      </c>
      <c r="U91" s="18">
        <f t="shared" si="117"/>
        <v>601</v>
      </c>
      <c r="V91" s="14">
        <f t="shared" si="118"/>
        <v>358</v>
      </c>
      <c r="W91" s="18">
        <f t="shared" si="119"/>
        <v>601</v>
      </c>
      <c r="X91" s="14">
        <f t="shared" si="120"/>
        <v>358</v>
      </c>
      <c r="Y91" s="18">
        <f t="shared" si="121"/>
        <v>586</v>
      </c>
      <c r="Z91" s="14">
        <f t="shared" si="122"/>
        <v>344</v>
      </c>
      <c r="AA91" s="18">
        <f t="shared" si="123"/>
        <v>586</v>
      </c>
      <c r="AB91" s="4" t="s">
        <v>0</v>
      </c>
    </row>
    <row r="92" spans="1:28">
      <c r="A92" s="9" t="s">
        <v>45</v>
      </c>
      <c r="B92" s="24"/>
      <c r="C92" s="26"/>
      <c r="D92" s="25">
        <f t="shared" si="42"/>
        <v>358</v>
      </c>
      <c r="E92" s="29">
        <f t="shared" ref="E92" si="139">E91</f>
        <v>149</v>
      </c>
      <c r="F92" s="25">
        <f t="shared" si="40"/>
        <v>372</v>
      </c>
      <c r="G92" s="29">
        <f t="shared" si="100"/>
        <v>164</v>
      </c>
      <c r="H92" s="4" t="s">
        <v>0</v>
      </c>
      <c r="I92" s="16" t="str">
        <f t="shared" si="106"/>
        <v>05-07</v>
      </c>
      <c r="J92" s="14">
        <f t="shared" si="107"/>
        <v>358</v>
      </c>
      <c r="K92" s="15">
        <f t="shared" si="108"/>
        <v>149</v>
      </c>
      <c r="L92" s="17">
        <f t="shared" si="109"/>
        <v>372</v>
      </c>
      <c r="M92" s="18">
        <f t="shared" si="110"/>
        <v>149</v>
      </c>
      <c r="N92" s="14">
        <f t="shared" si="111"/>
        <v>372</v>
      </c>
      <c r="O92" s="15">
        <f t="shared" si="112"/>
        <v>164</v>
      </c>
      <c r="P92" s="17">
        <f t="shared" si="113"/>
        <v>358</v>
      </c>
      <c r="Q92" s="18">
        <f t="shared" si="114"/>
        <v>164</v>
      </c>
      <c r="R92" s="4" t="s">
        <v>0</v>
      </c>
      <c r="S92" s="16" t="str">
        <f t="shared" si="115"/>
        <v>05-07</v>
      </c>
      <c r="T92" s="14">
        <f t="shared" si="116"/>
        <v>358</v>
      </c>
      <c r="U92" s="18">
        <f t="shared" si="117"/>
        <v>601</v>
      </c>
      <c r="V92" s="14">
        <f t="shared" si="118"/>
        <v>372</v>
      </c>
      <c r="W92" s="18">
        <f t="shared" si="119"/>
        <v>601</v>
      </c>
      <c r="X92" s="14">
        <f t="shared" si="120"/>
        <v>372</v>
      </c>
      <c r="Y92" s="18">
        <f t="shared" si="121"/>
        <v>586</v>
      </c>
      <c r="Z92" s="14">
        <f t="shared" si="122"/>
        <v>358</v>
      </c>
      <c r="AA92" s="18">
        <f t="shared" si="123"/>
        <v>586</v>
      </c>
      <c r="AB92" s="4" t="s">
        <v>0</v>
      </c>
    </row>
    <row r="93" spans="1:28">
      <c r="A93" s="9" t="s">
        <v>44</v>
      </c>
      <c r="B93" s="24"/>
      <c r="C93" s="26"/>
      <c r="D93" s="25">
        <f t="shared" si="42"/>
        <v>371</v>
      </c>
      <c r="E93" s="29">
        <f t="shared" ref="E93" si="140">E92</f>
        <v>149</v>
      </c>
      <c r="F93" s="25">
        <f t="shared" si="40"/>
        <v>385</v>
      </c>
      <c r="G93" s="29">
        <f t="shared" si="100"/>
        <v>164</v>
      </c>
      <c r="H93" s="4" t="s">
        <v>0</v>
      </c>
      <c r="I93" s="16" t="str">
        <f t="shared" si="106"/>
        <v>05-06</v>
      </c>
      <c r="J93" s="14">
        <f t="shared" si="107"/>
        <v>371</v>
      </c>
      <c r="K93" s="15">
        <f t="shared" si="108"/>
        <v>149</v>
      </c>
      <c r="L93" s="17">
        <f t="shared" si="109"/>
        <v>385</v>
      </c>
      <c r="M93" s="18">
        <f t="shared" si="110"/>
        <v>149</v>
      </c>
      <c r="N93" s="14">
        <f t="shared" si="111"/>
        <v>385</v>
      </c>
      <c r="O93" s="15">
        <f t="shared" si="112"/>
        <v>164</v>
      </c>
      <c r="P93" s="17">
        <f t="shared" si="113"/>
        <v>371</v>
      </c>
      <c r="Q93" s="18">
        <f t="shared" si="114"/>
        <v>164</v>
      </c>
      <c r="R93" s="4" t="s">
        <v>0</v>
      </c>
      <c r="S93" s="16" t="str">
        <f t="shared" si="115"/>
        <v>05-06</v>
      </c>
      <c r="T93" s="14">
        <f t="shared" si="116"/>
        <v>371</v>
      </c>
      <c r="U93" s="18">
        <f t="shared" si="117"/>
        <v>601</v>
      </c>
      <c r="V93" s="14">
        <f t="shared" si="118"/>
        <v>385</v>
      </c>
      <c r="W93" s="18">
        <f t="shared" si="119"/>
        <v>601</v>
      </c>
      <c r="X93" s="14">
        <f t="shared" si="120"/>
        <v>385</v>
      </c>
      <c r="Y93" s="18">
        <f t="shared" si="121"/>
        <v>586</v>
      </c>
      <c r="Z93" s="14">
        <f t="shared" si="122"/>
        <v>371</v>
      </c>
      <c r="AA93" s="18">
        <f t="shared" si="123"/>
        <v>586</v>
      </c>
      <c r="AB93" s="4" t="s">
        <v>0</v>
      </c>
    </row>
    <row r="94" spans="1:28">
      <c r="A94" s="9" t="s">
        <v>43</v>
      </c>
      <c r="B94" s="24"/>
      <c r="C94" s="26"/>
      <c r="D94" s="25">
        <f t="shared" si="42"/>
        <v>385</v>
      </c>
      <c r="E94" s="29">
        <f t="shared" ref="E94" si="141">E93</f>
        <v>149</v>
      </c>
      <c r="F94" s="25">
        <f t="shared" si="40"/>
        <v>399</v>
      </c>
      <c r="G94" s="29">
        <f t="shared" si="100"/>
        <v>164</v>
      </c>
      <c r="H94" s="4" t="s">
        <v>0</v>
      </c>
      <c r="I94" s="16" t="str">
        <f t="shared" si="106"/>
        <v>05-05</v>
      </c>
      <c r="J94" s="14">
        <f t="shared" si="107"/>
        <v>385</v>
      </c>
      <c r="K94" s="15">
        <f t="shared" si="108"/>
        <v>149</v>
      </c>
      <c r="L94" s="17">
        <f t="shared" si="109"/>
        <v>399</v>
      </c>
      <c r="M94" s="18">
        <f t="shared" si="110"/>
        <v>149</v>
      </c>
      <c r="N94" s="14">
        <f t="shared" si="111"/>
        <v>399</v>
      </c>
      <c r="O94" s="15">
        <f t="shared" si="112"/>
        <v>164</v>
      </c>
      <c r="P94" s="17">
        <f t="shared" si="113"/>
        <v>385</v>
      </c>
      <c r="Q94" s="18">
        <f t="shared" si="114"/>
        <v>164</v>
      </c>
      <c r="R94" s="4" t="s">
        <v>0</v>
      </c>
      <c r="S94" s="16" t="str">
        <f t="shared" si="115"/>
        <v>05-05</v>
      </c>
      <c r="T94" s="14">
        <f t="shared" si="116"/>
        <v>385</v>
      </c>
      <c r="U94" s="18">
        <f t="shared" si="117"/>
        <v>601</v>
      </c>
      <c r="V94" s="14">
        <f t="shared" si="118"/>
        <v>399</v>
      </c>
      <c r="W94" s="18">
        <f t="shared" si="119"/>
        <v>601</v>
      </c>
      <c r="X94" s="14">
        <f t="shared" si="120"/>
        <v>399</v>
      </c>
      <c r="Y94" s="18">
        <f t="shared" si="121"/>
        <v>586</v>
      </c>
      <c r="Z94" s="14">
        <f t="shared" si="122"/>
        <v>385</v>
      </c>
      <c r="AA94" s="18">
        <f t="shared" si="123"/>
        <v>586</v>
      </c>
      <c r="AB94" s="4" t="s">
        <v>0</v>
      </c>
    </row>
    <row r="95" spans="1:28">
      <c r="A95" s="9" t="s">
        <v>42</v>
      </c>
      <c r="B95" s="24"/>
      <c r="C95" s="26"/>
      <c r="D95" s="25">
        <f t="shared" si="42"/>
        <v>399</v>
      </c>
      <c r="E95" s="29">
        <f t="shared" ref="E95" si="142">E94</f>
        <v>149</v>
      </c>
      <c r="F95" s="25">
        <f t="shared" si="40"/>
        <v>413</v>
      </c>
      <c r="G95" s="29">
        <f t="shared" si="100"/>
        <v>164</v>
      </c>
      <c r="H95" s="4" t="s">
        <v>0</v>
      </c>
      <c r="I95" s="16" t="str">
        <f t="shared" si="106"/>
        <v>05-03</v>
      </c>
      <c r="J95" s="14">
        <f t="shared" si="107"/>
        <v>399</v>
      </c>
      <c r="K95" s="15">
        <f t="shared" si="108"/>
        <v>149</v>
      </c>
      <c r="L95" s="17">
        <f t="shared" si="109"/>
        <v>413</v>
      </c>
      <c r="M95" s="18">
        <f t="shared" si="110"/>
        <v>149</v>
      </c>
      <c r="N95" s="14">
        <f t="shared" si="111"/>
        <v>413</v>
      </c>
      <c r="O95" s="15">
        <f t="shared" si="112"/>
        <v>164</v>
      </c>
      <c r="P95" s="17">
        <f t="shared" si="113"/>
        <v>399</v>
      </c>
      <c r="Q95" s="18">
        <f t="shared" si="114"/>
        <v>164</v>
      </c>
      <c r="R95" s="4" t="s">
        <v>0</v>
      </c>
      <c r="S95" s="16" t="str">
        <f t="shared" si="115"/>
        <v>05-03</v>
      </c>
      <c r="T95" s="14">
        <f t="shared" si="116"/>
        <v>399</v>
      </c>
      <c r="U95" s="18">
        <f t="shared" si="117"/>
        <v>601</v>
      </c>
      <c r="V95" s="14">
        <f t="shared" si="118"/>
        <v>413</v>
      </c>
      <c r="W95" s="18">
        <f t="shared" si="119"/>
        <v>601</v>
      </c>
      <c r="X95" s="14">
        <f t="shared" si="120"/>
        <v>413</v>
      </c>
      <c r="Y95" s="18">
        <f t="shared" si="121"/>
        <v>586</v>
      </c>
      <c r="Z95" s="14">
        <f t="shared" si="122"/>
        <v>399</v>
      </c>
      <c r="AA95" s="18">
        <f t="shared" si="123"/>
        <v>586</v>
      </c>
      <c r="AB95" s="4" t="s">
        <v>0</v>
      </c>
    </row>
    <row r="96" spans="1:28">
      <c r="A96" s="9" t="s">
        <v>41</v>
      </c>
      <c r="B96" s="24"/>
      <c r="C96" s="26"/>
      <c r="D96" s="25">
        <f t="shared" si="42"/>
        <v>412</v>
      </c>
      <c r="E96" s="29">
        <f t="shared" ref="E96" si="143">E95</f>
        <v>149</v>
      </c>
      <c r="F96" s="25">
        <f t="shared" si="40"/>
        <v>426</v>
      </c>
      <c r="G96" s="29">
        <f t="shared" si="100"/>
        <v>164</v>
      </c>
      <c r="H96" s="4" t="s">
        <v>0</v>
      </c>
      <c r="I96" s="16" t="str">
        <f t="shared" si="106"/>
        <v>05-02</v>
      </c>
      <c r="J96" s="14">
        <f t="shared" si="107"/>
        <v>412</v>
      </c>
      <c r="K96" s="15">
        <f t="shared" si="108"/>
        <v>149</v>
      </c>
      <c r="L96" s="17">
        <f t="shared" si="109"/>
        <v>426</v>
      </c>
      <c r="M96" s="18">
        <f t="shared" si="110"/>
        <v>149</v>
      </c>
      <c r="N96" s="14">
        <f t="shared" si="111"/>
        <v>426</v>
      </c>
      <c r="O96" s="15">
        <f t="shared" si="112"/>
        <v>164</v>
      </c>
      <c r="P96" s="17">
        <f t="shared" si="113"/>
        <v>412</v>
      </c>
      <c r="Q96" s="18">
        <f t="shared" si="114"/>
        <v>164</v>
      </c>
      <c r="R96" s="4" t="s">
        <v>0</v>
      </c>
      <c r="S96" s="16" t="str">
        <f t="shared" si="115"/>
        <v>05-02</v>
      </c>
      <c r="T96" s="14">
        <f t="shared" si="116"/>
        <v>412</v>
      </c>
      <c r="U96" s="18">
        <f t="shared" si="117"/>
        <v>601</v>
      </c>
      <c r="V96" s="14">
        <f t="shared" si="118"/>
        <v>426</v>
      </c>
      <c r="W96" s="18">
        <f t="shared" si="119"/>
        <v>601</v>
      </c>
      <c r="X96" s="14">
        <f t="shared" si="120"/>
        <v>426</v>
      </c>
      <c r="Y96" s="18">
        <f t="shared" si="121"/>
        <v>586</v>
      </c>
      <c r="Z96" s="14">
        <f t="shared" si="122"/>
        <v>412</v>
      </c>
      <c r="AA96" s="18">
        <f t="shared" si="123"/>
        <v>586</v>
      </c>
      <c r="AB96" s="4" t="s">
        <v>0</v>
      </c>
    </row>
    <row r="97" spans="1:28">
      <c r="A97" s="9" t="s">
        <v>40</v>
      </c>
      <c r="B97" s="24"/>
      <c r="C97" s="26"/>
      <c r="D97" s="25">
        <f t="shared" si="42"/>
        <v>426</v>
      </c>
      <c r="E97" s="29">
        <f t="shared" ref="E97" si="144">E96</f>
        <v>149</v>
      </c>
      <c r="F97" s="25">
        <f t="shared" si="40"/>
        <v>440</v>
      </c>
      <c r="G97" s="29">
        <f t="shared" si="100"/>
        <v>164</v>
      </c>
      <c r="H97" s="4" t="s">
        <v>0</v>
      </c>
      <c r="I97" s="16" t="str">
        <f t="shared" si="106"/>
        <v>05-01</v>
      </c>
      <c r="J97" s="14">
        <f t="shared" si="107"/>
        <v>426</v>
      </c>
      <c r="K97" s="15">
        <f t="shared" si="108"/>
        <v>149</v>
      </c>
      <c r="L97" s="17">
        <f t="shared" si="109"/>
        <v>440</v>
      </c>
      <c r="M97" s="18">
        <f t="shared" si="110"/>
        <v>149</v>
      </c>
      <c r="N97" s="14">
        <f t="shared" si="111"/>
        <v>440</v>
      </c>
      <c r="O97" s="15">
        <f t="shared" si="112"/>
        <v>164</v>
      </c>
      <c r="P97" s="17">
        <f t="shared" si="113"/>
        <v>426</v>
      </c>
      <c r="Q97" s="18">
        <f t="shared" si="114"/>
        <v>164</v>
      </c>
      <c r="R97" s="4" t="s">
        <v>0</v>
      </c>
      <c r="S97" s="16" t="str">
        <f t="shared" si="115"/>
        <v>05-01</v>
      </c>
      <c r="T97" s="14">
        <f t="shared" si="116"/>
        <v>426</v>
      </c>
      <c r="U97" s="18">
        <f t="shared" si="117"/>
        <v>601</v>
      </c>
      <c r="V97" s="14">
        <f t="shared" si="118"/>
        <v>440</v>
      </c>
      <c r="W97" s="18">
        <f t="shared" si="119"/>
        <v>601</v>
      </c>
      <c r="X97" s="14">
        <f t="shared" si="120"/>
        <v>440</v>
      </c>
      <c r="Y97" s="18">
        <f t="shared" si="121"/>
        <v>586</v>
      </c>
      <c r="Z97" s="14">
        <f t="shared" si="122"/>
        <v>426</v>
      </c>
      <c r="AA97" s="18">
        <f t="shared" si="123"/>
        <v>586</v>
      </c>
      <c r="AB97" s="4" t="s">
        <v>0</v>
      </c>
    </row>
    <row r="98" spans="1:28">
      <c r="A98" s="9" t="s">
        <v>558</v>
      </c>
      <c r="B98" s="24"/>
      <c r="C98" s="26">
        <v>3</v>
      </c>
      <c r="D98" s="25">
        <f t="shared" si="42"/>
        <v>23</v>
      </c>
      <c r="E98" s="28">
        <f t="shared" ref="E98" si="145">ROUND(E$11+23.2*$C98, 0)</f>
        <v>173</v>
      </c>
      <c r="F98" s="25">
        <f t="shared" si="40"/>
        <v>37</v>
      </c>
      <c r="G98" s="28">
        <f t="shared" ref="G98" si="146">ROUND(G$11+23.2*$C98, 0)</f>
        <v>188</v>
      </c>
      <c r="H98" s="4" t="s">
        <v>0</v>
      </c>
      <c r="I98" s="16" t="str">
        <f t="shared" si="106"/>
        <v>03-36</v>
      </c>
      <c r="J98" s="14">
        <f t="shared" si="107"/>
        <v>23</v>
      </c>
      <c r="K98" s="15">
        <f t="shared" si="108"/>
        <v>173</v>
      </c>
      <c r="L98" s="17">
        <f t="shared" si="109"/>
        <v>37</v>
      </c>
      <c r="M98" s="18">
        <f t="shared" si="110"/>
        <v>173</v>
      </c>
      <c r="N98" s="14">
        <f t="shared" si="111"/>
        <v>37</v>
      </c>
      <c r="O98" s="15">
        <f t="shared" si="112"/>
        <v>188</v>
      </c>
      <c r="P98" s="17">
        <f t="shared" si="113"/>
        <v>23</v>
      </c>
      <c r="Q98" s="18">
        <f t="shared" si="114"/>
        <v>188</v>
      </c>
      <c r="R98" s="4" t="s">
        <v>0</v>
      </c>
      <c r="S98" s="16" t="str">
        <f t="shared" si="115"/>
        <v>03-36</v>
      </c>
      <c r="T98" s="14">
        <f t="shared" si="116"/>
        <v>23</v>
      </c>
      <c r="U98" s="18">
        <f t="shared" si="117"/>
        <v>577</v>
      </c>
      <c r="V98" s="14">
        <f t="shared" si="118"/>
        <v>37</v>
      </c>
      <c r="W98" s="18">
        <f t="shared" si="119"/>
        <v>577</v>
      </c>
      <c r="X98" s="14">
        <f t="shared" si="120"/>
        <v>37</v>
      </c>
      <c r="Y98" s="18">
        <f t="shared" si="121"/>
        <v>562</v>
      </c>
      <c r="Z98" s="14">
        <f t="shared" si="122"/>
        <v>23</v>
      </c>
      <c r="AA98" s="18">
        <f t="shared" si="123"/>
        <v>562</v>
      </c>
      <c r="AB98" s="4" t="s">
        <v>0</v>
      </c>
    </row>
    <row r="99" spans="1:28">
      <c r="A99" s="9" t="s">
        <v>557</v>
      </c>
      <c r="B99" s="24"/>
      <c r="C99" s="26"/>
      <c r="D99" s="25">
        <f t="shared" si="42"/>
        <v>37</v>
      </c>
      <c r="E99" s="29">
        <f t="shared" ref="E99" si="147">E98</f>
        <v>173</v>
      </c>
      <c r="F99" s="25">
        <f t="shared" si="40"/>
        <v>51</v>
      </c>
      <c r="G99" s="29">
        <f t="shared" ref="G99" si="148">G98</f>
        <v>188</v>
      </c>
      <c r="H99" s="4" t="s">
        <v>0</v>
      </c>
      <c r="I99" s="16" t="str">
        <f t="shared" si="106"/>
        <v>03-35</v>
      </c>
      <c r="J99" s="14">
        <f t="shared" si="107"/>
        <v>37</v>
      </c>
      <c r="K99" s="15">
        <f t="shared" si="108"/>
        <v>173</v>
      </c>
      <c r="L99" s="17">
        <f t="shared" si="109"/>
        <v>51</v>
      </c>
      <c r="M99" s="18">
        <f t="shared" si="110"/>
        <v>173</v>
      </c>
      <c r="N99" s="14">
        <f t="shared" si="111"/>
        <v>51</v>
      </c>
      <c r="O99" s="15">
        <f t="shared" si="112"/>
        <v>188</v>
      </c>
      <c r="P99" s="17">
        <f t="shared" si="113"/>
        <v>37</v>
      </c>
      <c r="Q99" s="18">
        <f t="shared" si="114"/>
        <v>188</v>
      </c>
      <c r="R99" s="4" t="s">
        <v>0</v>
      </c>
      <c r="S99" s="16" t="str">
        <f t="shared" si="115"/>
        <v>03-35</v>
      </c>
      <c r="T99" s="14">
        <f t="shared" si="116"/>
        <v>37</v>
      </c>
      <c r="U99" s="18">
        <f t="shared" si="117"/>
        <v>577</v>
      </c>
      <c r="V99" s="14">
        <f t="shared" si="118"/>
        <v>51</v>
      </c>
      <c r="W99" s="18">
        <f t="shared" si="119"/>
        <v>577</v>
      </c>
      <c r="X99" s="14">
        <f t="shared" si="120"/>
        <v>51</v>
      </c>
      <c r="Y99" s="18">
        <f t="shared" si="121"/>
        <v>562</v>
      </c>
      <c r="Z99" s="14">
        <f t="shared" si="122"/>
        <v>37</v>
      </c>
      <c r="AA99" s="18">
        <f t="shared" si="123"/>
        <v>562</v>
      </c>
      <c r="AB99" s="4" t="s">
        <v>0</v>
      </c>
    </row>
    <row r="100" spans="1:28">
      <c r="A100" s="9" t="s">
        <v>556</v>
      </c>
      <c r="B100" s="24"/>
      <c r="C100" s="26"/>
      <c r="D100" s="25">
        <f t="shared" si="42"/>
        <v>50</v>
      </c>
      <c r="E100" s="29">
        <f t="shared" ref="E100" si="149">E99</f>
        <v>173</v>
      </c>
      <c r="F100" s="25">
        <f t="shared" si="40"/>
        <v>64</v>
      </c>
      <c r="G100" s="29">
        <f t="shared" ref="G100" si="150">G99</f>
        <v>188</v>
      </c>
      <c r="H100" s="4" t="s">
        <v>0</v>
      </c>
      <c r="I100" s="16" t="str">
        <f t="shared" si="106"/>
        <v>03-33</v>
      </c>
      <c r="J100" s="14">
        <f t="shared" si="107"/>
        <v>50</v>
      </c>
      <c r="K100" s="15">
        <f t="shared" si="108"/>
        <v>173</v>
      </c>
      <c r="L100" s="17">
        <f t="shared" si="109"/>
        <v>64</v>
      </c>
      <c r="M100" s="18">
        <f t="shared" si="110"/>
        <v>173</v>
      </c>
      <c r="N100" s="14">
        <f t="shared" si="111"/>
        <v>64</v>
      </c>
      <c r="O100" s="15">
        <f t="shared" si="112"/>
        <v>188</v>
      </c>
      <c r="P100" s="17">
        <f t="shared" si="113"/>
        <v>50</v>
      </c>
      <c r="Q100" s="18">
        <f t="shared" si="114"/>
        <v>188</v>
      </c>
      <c r="R100" s="4" t="s">
        <v>0</v>
      </c>
      <c r="S100" s="16" t="str">
        <f t="shared" si="115"/>
        <v>03-33</v>
      </c>
      <c r="T100" s="14">
        <f t="shared" si="116"/>
        <v>50</v>
      </c>
      <c r="U100" s="18">
        <f t="shared" si="117"/>
        <v>577</v>
      </c>
      <c r="V100" s="14">
        <f t="shared" si="118"/>
        <v>64</v>
      </c>
      <c r="W100" s="18">
        <f t="shared" si="119"/>
        <v>577</v>
      </c>
      <c r="X100" s="14">
        <f t="shared" si="120"/>
        <v>64</v>
      </c>
      <c r="Y100" s="18">
        <f t="shared" si="121"/>
        <v>562</v>
      </c>
      <c r="Z100" s="14">
        <f t="shared" si="122"/>
        <v>50</v>
      </c>
      <c r="AA100" s="18">
        <f t="shared" si="123"/>
        <v>562</v>
      </c>
      <c r="AB100" s="4" t="s">
        <v>0</v>
      </c>
    </row>
    <row r="101" spans="1:28">
      <c r="A101" s="9" t="s">
        <v>555</v>
      </c>
      <c r="B101" s="24"/>
      <c r="C101" s="26"/>
      <c r="D101" s="25">
        <f t="shared" si="42"/>
        <v>64</v>
      </c>
      <c r="E101" s="29">
        <f t="shared" ref="E101" si="151">E100</f>
        <v>173</v>
      </c>
      <c r="F101" s="25">
        <f t="shared" si="40"/>
        <v>78</v>
      </c>
      <c r="G101" s="29">
        <f t="shared" si="100"/>
        <v>188</v>
      </c>
      <c r="H101" s="4" t="s">
        <v>0</v>
      </c>
      <c r="I101" s="16" t="str">
        <f t="shared" si="106"/>
        <v>03-32</v>
      </c>
      <c r="J101" s="14">
        <f t="shared" si="107"/>
        <v>64</v>
      </c>
      <c r="K101" s="15">
        <f t="shared" si="108"/>
        <v>173</v>
      </c>
      <c r="L101" s="17">
        <f t="shared" si="109"/>
        <v>78</v>
      </c>
      <c r="M101" s="18">
        <f t="shared" si="110"/>
        <v>173</v>
      </c>
      <c r="N101" s="14">
        <f t="shared" si="111"/>
        <v>78</v>
      </c>
      <c r="O101" s="15">
        <f t="shared" si="112"/>
        <v>188</v>
      </c>
      <c r="P101" s="17">
        <f t="shared" si="113"/>
        <v>64</v>
      </c>
      <c r="Q101" s="18">
        <f t="shared" si="114"/>
        <v>188</v>
      </c>
      <c r="R101" s="4" t="s">
        <v>0</v>
      </c>
      <c r="S101" s="16" t="str">
        <f t="shared" si="115"/>
        <v>03-32</v>
      </c>
      <c r="T101" s="14">
        <f t="shared" si="116"/>
        <v>64</v>
      </c>
      <c r="U101" s="18">
        <f t="shared" si="117"/>
        <v>577</v>
      </c>
      <c r="V101" s="14">
        <f t="shared" si="118"/>
        <v>78</v>
      </c>
      <c r="W101" s="18">
        <f t="shared" si="119"/>
        <v>577</v>
      </c>
      <c r="X101" s="14">
        <f t="shared" si="120"/>
        <v>78</v>
      </c>
      <c r="Y101" s="18">
        <f t="shared" si="121"/>
        <v>562</v>
      </c>
      <c r="Z101" s="14">
        <f t="shared" si="122"/>
        <v>64</v>
      </c>
      <c r="AA101" s="18">
        <f t="shared" si="123"/>
        <v>562</v>
      </c>
      <c r="AB101" s="4" t="s">
        <v>0</v>
      </c>
    </row>
    <row r="102" spans="1:28">
      <c r="A102" s="9" t="s">
        <v>554</v>
      </c>
      <c r="B102" s="24"/>
      <c r="C102" s="26"/>
      <c r="D102" s="25">
        <f t="shared" si="42"/>
        <v>78</v>
      </c>
      <c r="E102" s="29">
        <f t="shared" ref="E102" si="152">E101</f>
        <v>173</v>
      </c>
      <c r="F102" s="25">
        <f t="shared" si="40"/>
        <v>92</v>
      </c>
      <c r="G102" s="29">
        <f t="shared" si="100"/>
        <v>188</v>
      </c>
      <c r="H102" s="4" t="s">
        <v>0</v>
      </c>
      <c r="I102" s="16" t="str">
        <f t="shared" si="106"/>
        <v>03-31</v>
      </c>
      <c r="J102" s="14">
        <f t="shared" si="107"/>
        <v>78</v>
      </c>
      <c r="K102" s="15">
        <f t="shared" si="108"/>
        <v>173</v>
      </c>
      <c r="L102" s="17">
        <f t="shared" si="109"/>
        <v>92</v>
      </c>
      <c r="M102" s="18">
        <f t="shared" si="110"/>
        <v>173</v>
      </c>
      <c r="N102" s="14">
        <f t="shared" si="111"/>
        <v>92</v>
      </c>
      <c r="O102" s="15">
        <f t="shared" si="112"/>
        <v>188</v>
      </c>
      <c r="P102" s="17">
        <f t="shared" si="113"/>
        <v>78</v>
      </c>
      <c r="Q102" s="18">
        <f t="shared" si="114"/>
        <v>188</v>
      </c>
      <c r="R102" s="4" t="s">
        <v>0</v>
      </c>
      <c r="S102" s="16" t="str">
        <f t="shared" si="115"/>
        <v>03-31</v>
      </c>
      <c r="T102" s="14">
        <f t="shared" si="116"/>
        <v>78</v>
      </c>
      <c r="U102" s="18">
        <f t="shared" si="117"/>
        <v>577</v>
      </c>
      <c r="V102" s="14">
        <f t="shared" si="118"/>
        <v>92</v>
      </c>
      <c r="W102" s="18">
        <f t="shared" si="119"/>
        <v>577</v>
      </c>
      <c r="X102" s="14">
        <f t="shared" si="120"/>
        <v>92</v>
      </c>
      <c r="Y102" s="18">
        <f t="shared" si="121"/>
        <v>562</v>
      </c>
      <c r="Z102" s="14">
        <f t="shared" si="122"/>
        <v>78</v>
      </c>
      <c r="AA102" s="18">
        <f t="shared" si="123"/>
        <v>562</v>
      </c>
      <c r="AB102" s="4" t="s">
        <v>0</v>
      </c>
    </row>
    <row r="103" spans="1:28">
      <c r="A103" s="9" t="s">
        <v>430</v>
      </c>
      <c r="B103" s="24"/>
      <c r="C103" s="26"/>
      <c r="D103" s="25">
        <f t="shared" si="42"/>
        <v>92</v>
      </c>
      <c r="E103" s="29">
        <f t="shared" ref="E103" si="153">E102</f>
        <v>173</v>
      </c>
      <c r="F103" s="25">
        <f t="shared" si="40"/>
        <v>106</v>
      </c>
      <c r="G103" s="29">
        <f t="shared" si="100"/>
        <v>188</v>
      </c>
      <c r="H103" s="4" t="s">
        <v>0</v>
      </c>
      <c r="I103" s="16" t="str">
        <f t="shared" si="106"/>
        <v>03-30</v>
      </c>
      <c r="J103" s="14">
        <f t="shared" si="107"/>
        <v>92</v>
      </c>
      <c r="K103" s="15">
        <f t="shared" si="108"/>
        <v>173</v>
      </c>
      <c r="L103" s="17">
        <f t="shared" si="109"/>
        <v>106</v>
      </c>
      <c r="M103" s="18">
        <f t="shared" si="110"/>
        <v>173</v>
      </c>
      <c r="N103" s="14">
        <f t="shared" si="111"/>
        <v>106</v>
      </c>
      <c r="O103" s="15">
        <f t="shared" si="112"/>
        <v>188</v>
      </c>
      <c r="P103" s="17">
        <f t="shared" si="113"/>
        <v>92</v>
      </c>
      <c r="Q103" s="18">
        <f t="shared" si="114"/>
        <v>188</v>
      </c>
      <c r="R103" s="4" t="s">
        <v>0</v>
      </c>
      <c r="S103" s="16" t="str">
        <f t="shared" si="115"/>
        <v>03-30</v>
      </c>
      <c r="T103" s="14">
        <f t="shared" si="116"/>
        <v>92</v>
      </c>
      <c r="U103" s="18">
        <f t="shared" si="117"/>
        <v>577</v>
      </c>
      <c r="V103" s="14">
        <f t="shared" si="118"/>
        <v>106</v>
      </c>
      <c r="W103" s="18">
        <f t="shared" si="119"/>
        <v>577</v>
      </c>
      <c r="X103" s="14">
        <f t="shared" si="120"/>
        <v>106</v>
      </c>
      <c r="Y103" s="18">
        <f t="shared" si="121"/>
        <v>562</v>
      </c>
      <c r="Z103" s="14">
        <f t="shared" si="122"/>
        <v>92</v>
      </c>
      <c r="AA103" s="18">
        <f t="shared" si="123"/>
        <v>562</v>
      </c>
      <c r="AB103" s="4" t="s">
        <v>0</v>
      </c>
    </row>
    <row r="104" spans="1:28">
      <c r="A104" s="9" t="s">
        <v>429</v>
      </c>
      <c r="B104" s="24"/>
      <c r="C104" s="26"/>
      <c r="D104" s="25">
        <f t="shared" si="42"/>
        <v>105</v>
      </c>
      <c r="E104" s="29">
        <f t="shared" ref="E104" si="154">E103</f>
        <v>173</v>
      </c>
      <c r="F104" s="25">
        <f t="shared" ref="F104:F167" si="155">F75</f>
        <v>119</v>
      </c>
      <c r="G104" s="29">
        <f t="shared" si="100"/>
        <v>188</v>
      </c>
      <c r="H104" s="4" t="s">
        <v>0</v>
      </c>
      <c r="I104" s="16" t="str">
        <f t="shared" si="106"/>
        <v>03-28</v>
      </c>
      <c r="J104" s="14">
        <f t="shared" si="107"/>
        <v>105</v>
      </c>
      <c r="K104" s="15">
        <f t="shared" si="108"/>
        <v>173</v>
      </c>
      <c r="L104" s="17">
        <f t="shared" si="109"/>
        <v>119</v>
      </c>
      <c r="M104" s="18">
        <f t="shared" si="110"/>
        <v>173</v>
      </c>
      <c r="N104" s="14">
        <f t="shared" si="111"/>
        <v>119</v>
      </c>
      <c r="O104" s="15">
        <f t="shared" si="112"/>
        <v>188</v>
      </c>
      <c r="P104" s="17">
        <f t="shared" si="113"/>
        <v>105</v>
      </c>
      <c r="Q104" s="18">
        <f t="shared" si="114"/>
        <v>188</v>
      </c>
      <c r="R104" s="4" t="s">
        <v>0</v>
      </c>
      <c r="S104" s="16" t="str">
        <f t="shared" si="115"/>
        <v>03-28</v>
      </c>
      <c r="T104" s="14">
        <f t="shared" si="116"/>
        <v>105</v>
      </c>
      <c r="U104" s="18">
        <f t="shared" si="117"/>
        <v>577</v>
      </c>
      <c r="V104" s="14">
        <f t="shared" si="118"/>
        <v>119</v>
      </c>
      <c r="W104" s="18">
        <f t="shared" si="119"/>
        <v>577</v>
      </c>
      <c r="X104" s="14">
        <f t="shared" si="120"/>
        <v>119</v>
      </c>
      <c r="Y104" s="18">
        <f t="shared" si="121"/>
        <v>562</v>
      </c>
      <c r="Z104" s="14">
        <f t="shared" si="122"/>
        <v>105</v>
      </c>
      <c r="AA104" s="18">
        <f t="shared" si="123"/>
        <v>562</v>
      </c>
      <c r="AB104" s="4" t="s">
        <v>0</v>
      </c>
    </row>
    <row r="105" spans="1:28">
      <c r="A105" s="9" t="s">
        <v>428</v>
      </c>
      <c r="B105" s="24"/>
      <c r="C105" s="26"/>
      <c r="D105" s="25">
        <f t="shared" si="42"/>
        <v>119</v>
      </c>
      <c r="E105" s="29">
        <f t="shared" ref="E105" si="156">E104</f>
        <v>173</v>
      </c>
      <c r="F105" s="25">
        <f t="shared" si="155"/>
        <v>133</v>
      </c>
      <c r="G105" s="29">
        <f t="shared" si="100"/>
        <v>188</v>
      </c>
      <c r="H105" s="4" t="s">
        <v>0</v>
      </c>
      <c r="I105" s="16" t="str">
        <f t="shared" si="106"/>
        <v>03-27</v>
      </c>
      <c r="J105" s="14">
        <f t="shared" si="107"/>
        <v>119</v>
      </c>
      <c r="K105" s="15">
        <f t="shared" si="108"/>
        <v>173</v>
      </c>
      <c r="L105" s="17">
        <f t="shared" si="109"/>
        <v>133</v>
      </c>
      <c r="M105" s="18">
        <f t="shared" si="110"/>
        <v>173</v>
      </c>
      <c r="N105" s="14">
        <f t="shared" si="111"/>
        <v>133</v>
      </c>
      <c r="O105" s="15">
        <f t="shared" si="112"/>
        <v>188</v>
      </c>
      <c r="P105" s="17">
        <f t="shared" si="113"/>
        <v>119</v>
      </c>
      <c r="Q105" s="18">
        <f t="shared" si="114"/>
        <v>188</v>
      </c>
      <c r="R105" s="4" t="s">
        <v>0</v>
      </c>
      <c r="S105" s="16" t="str">
        <f t="shared" si="115"/>
        <v>03-27</v>
      </c>
      <c r="T105" s="14">
        <f t="shared" si="116"/>
        <v>119</v>
      </c>
      <c r="U105" s="18">
        <f t="shared" si="117"/>
        <v>577</v>
      </c>
      <c r="V105" s="14">
        <f t="shared" si="118"/>
        <v>133</v>
      </c>
      <c r="W105" s="18">
        <f t="shared" si="119"/>
        <v>577</v>
      </c>
      <c r="X105" s="14">
        <f t="shared" si="120"/>
        <v>133</v>
      </c>
      <c r="Y105" s="18">
        <f t="shared" si="121"/>
        <v>562</v>
      </c>
      <c r="Z105" s="14">
        <f t="shared" si="122"/>
        <v>119</v>
      </c>
      <c r="AA105" s="18">
        <f t="shared" si="123"/>
        <v>562</v>
      </c>
      <c r="AB105" s="4" t="s">
        <v>0</v>
      </c>
    </row>
    <row r="106" spans="1:28">
      <c r="A106" s="9" t="s">
        <v>427</v>
      </c>
      <c r="B106" s="24"/>
      <c r="C106" s="26"/>
      <c r="D106" s="25">
        <f t="shared" si="42"/>
        <v>133</v>
      </c>
      <c r="E106" s="29">
        <f t="shared" ref="E106" si="157">E105</f>
        <v>173</v>
      </c>
      <c r="F106" s="25">
        <f t="shared" si="155"/>
        <v>147</v>
      </c>
      <c r="G106" s="29">
        <f t="shared" si="100"/>
        <v>188</v>
      </c>
      <c r="H106" s="4" t="s">
        <v>0</v>
      </c>
      <c r="I106" s="16" t="str">
        <f t="shared" si="106"/>
        <v>03-26</v>
      </c>
      <c r="J106" s="14">
        <f t="shared" si="107"/>
        <v>133</v>
      </c>
      <c r="K106" s="15">
        <f t="shared" si="108"/>
        <v>173</v>
      </c>
      <c r="L106" s="17">
        <f t="shared" si="109"/>
        <v>147</v>
      </c>
      <c r="M106" s="18">
        <f t="shared" si="110"/>
        <v>173</v>
      </c>
      <c r="N106" s="14">
        <f t="shared" si="111"/>
        <v>147</v>
      </c>
      <c r="O106" s="15">
        <f t="shared" si="112"/>
        <v>188</v>
      </c>
      <c r="P106" s="17">
        <f t="shared" si="113"/>
        <v>133</v>
      </c>
      <c r="Q106" s="18">
        <f t="shared" si="114"/>
        <v>188</v>
      </c>
      <c r="R106" s="4" t="s">
        <v>0</v>
      </c>
      <c r="S106" s="16" t="str">
        <f t="shared" si="115"/>
        <v>03-26</v>
      </c>
      <c r="T106" s="14">
        <f t="shared" si="116"/>
        <v>133</v>
      </c>
      <c r="U106" s="18">
        <f t="shared" si="117"/>
        <v>577</v>
      </c>
      <c r="V106" s="14">
        <f t="shared" si="118"/>
        <v>147</v>
      </c>
      <c r="W106" s="18">
        <f t="shared" si="119"/>
        <v>577</v>
      </c>
      <c r="X106" s="14">
        <f t="shared" si="120"/>
        <v>147</v>
      </c>
      <c r="Y106" s="18">
        <f t="shared" si="121"/>
        <v>562</v>
      </c>
      <c r="Z106" s="14">
        <f t="shared" si="122"/>
        <v>133</v>
      </c>
      <c r="AA106" s="18">
        <f t="shared" si="123"/>
        <v>562</v>
      </c>
      <c r="AB106" s="4" t="s">
        <v>0</v>
      </c>
    </row>
    <row r="107" spans="1:28">
      <c r="A107" s="9" t="s">
        <v>426</v>
      </c>
      <c r="B107" s="24"/>
      <c r="C107" s="26"/>
      <c r="D107" s="25">
        <f t="shared" ref="D107:D170" si="158">D78</f>
        <v>146</v>
      </c>
      <c r="E107" s="29">
        <f t="shared" ref="E107" si="159">E106</f>
        <v>173</v>
      </c>
      <c r="F107" s="25">
        <f t="shared" si="155"/>
        <v>160</v>
      </c>
      <c r="G107" s="29">
        <f t="shared" si="100"/>
        <v>188</v>
      </c>
      <c r="H107" s="4" t="s">
        <v>0</v>
      </c>
      <c r="I107" s="16" t="str">
        <f t="shared" si="106"/>
        <v>03-25</v>
      </c>
      <c r="J107" s="14">
        <f t="shared" si="107"/>
        <v>146</v>
      </c>
      <c r="K107" s="15">
        <f t="shared" si="108"/>
        <v>173</v>
      </c>
      <c r="L107" s="17">
        <f t="shared" si="109"/>
        <v>160</v>
      </c>
      <c r="M107" s="18">
        <f t="shared" si="110"/>
        <v>173</v>
      </c>
      <c r="N107" s="14">
        <f t="shared" si="111"/>
        <v>160</v>
      </c>
      <c r="O107" s="15">
        <f t="shared" si="112"/>
        <v>188</v>
      </c>
      <c r="P107" s="17">
        <f t="shared" si="113"/>
        <v>146</v>
      </c>
      <c r="Q107" s="18">
        <f t="shared" si="114"/>
        <v>188</v>
      </c>
      <c r="R107" s="4" t="s">
        <v>0</v>
      </c>
      <c r="S107" s="16" t="str">
        <f t="shared" si="115"/>
        <v>03-25</v>
      </c>
      <c r="T107" s="14">
        <f t="shared" si="116"/>
        <v>146</v>
      </c>
      <c r="U107" s="18">
        <f t="shared" si="117"/>
        <v>577</v>
      </c>
      <c r="V107" s="14">
        <f t="shared" si="118"/>
        <v>160</v>
      </c>
      <c r="W107" s="18">
        <f t="shared" si="119"/>
        <v>577</v>
      </c>
      <c r="X107" s="14">
        <f t="shared" si="120"/>
        <v>160</v>
      </c>
      <c r="Y107" s="18">
        <f t="shared" si="121"/>
        <v>562</v>
      </c>
      <c r="Z107" s="14">
        <f t="shared" si="122"/>
        <v>146</v>
      </c>
      <c r="AA107" s="18">
        <f t="shared" si="123"/>
        <v>562</v>
      </c>
      <c r="AB107" s="4" t="s">
        <v>0</v>
      </c>
    </row>
    <row r="108" spans="1:28">
      <c r="A108" s="9" t="s">
        <v>425</v>
      </c>
      <c r="B108" s="24"/>
      <c r="C108" s="26"/>
      <c r="D108" s="25">
        <f t="shared" si="158"/>
        <v>160</v>
      </c>
      <c r="E108" s="29">
        <f t="shared" ref="E108" si="160">E107</f>
        <v>173</v>
      </c>
      <c r="F108" s="25">
        <f t="shared" si="155"/>
        <v>174</v>
      </c>
      <c r="G108" s="29">
        <f t="shared" si="100"/>
        <v>188</v>
      </c>
      <c r="H108" s="4" t="s">
        <v>0</v>
      </c>
      <c r="I108" s="16" t="str">
        <f t="shared" si="106"/>
        <v>03-23</v>
      </c>
      <c r="J108" s="14">
        <f t="shared" si="107"/>
        <v>160</v>
      </c>
      <c r="K108" s="15">
        <f t="shared" si="108"/>
        <v>173</v>
      </c>
      <c r="L108" s="17">
        <f t="shared" si="109"/>
        <v>174</v>
      </c>
      <c r="M108" s="18">
        <f t="shared" si="110"/>
        <v>173</v>
      </c>
      <c r="N108" s="14">
        <f t="shared" si="111"/>
        <v>174</v>
      </c>
      <c r="O108" s="15">
        <f t="shared" si="112"/>
        <v>188</v>
      </c>
      <c r="P108" s="17">
        <f t="shared" si="113"/>
        <v>160</v>
      </c>
      <c r="Q108" s="18">
        <f t="shared" si="114"/>
        <v>188</v>
      </c>
      <c r="R108" s="4" t="s">
        <v>0</v>
      </c>
      <c r="S108" s="16" t="str">
        <f t="shared" si="115"/>
        <v>03-23</v>
      </c>
      <c r="T108" s="14">
        <f t="shared" si="116"/>
        <v>160</v>
      </c>
      <c r="U108" s="18">
        <f t="shared" si="117"/>
        <v>577</v>
      </c>
      <c r="V108" s="14">
        <f t="shared" si="118"/>
        <v>174</v>
      </c>
      <c r="W108" s="18">
        <f t="shared" si="119"/>
        <v>577</v>
      </c>
      <c r="X108" s="14">
        <f t="shared" si="120"/>
        <v>174</v>
      </c>
      <c r="Y108" s="18">
        <f t="shared" si="121"/>
        <v>562</v>
      </c>
      <c r="Z108" s="14">
        <f t="shared" si="122"/>
        <v>160</v>
      </c>
      <c r="AA108" s="18">
        <f t="shared" si="123"/>
        <v>562</v>
      </c>
      <c r="AB108" s="4" t="s">
        <v>0</v>
      </c>
    </row>
    <row r="109" spans="1:28">
      <c r="A109" s="9" t="s">
        <v>424</v>
      </c>
      <c r="B109" s="24"/>
      <c r="C109" s="26"/>
      <c r="D109" s="25">
        <f t="shared" si="158"/>
        <v>174</v>
      </c>
      <c r="E109" s="29">
        <f t="shared" ref="E109" si="161">E108</f>
        <v>173</v>
      </c>
      <c r="F109" s="25">
        <f t="shared" si="155"/>
        <v>188</v>
      </c>
      <c r="G109" s="29">
        <f t="shared" si="100"/>
        <v>188</v>
      </c>
      <c r="H109" s="4" t="s">
        <v>0</v>
      </c>
      <c r="I109" s="16" t="str">
        <f t="shared" si="106"/>
        <v>03-22</v>
      </c>
      <c r="J109" s="14">
        <f t="shared" si="107"/>
        <v>174</v>
      </c>
      <c r="K109" s="15">
        <f t="shared" si="108"/>
        <v>173</v>
      </c>
      <c r="L109" s="17">
        <f t="shared" si="109"/>
        <v>188</v>
      </c>
      <c r="M109" s="18">
        <f t="shared" si="110"/>
        <v>173</v>
      </c>
      <c r="N109" s="14">
        <f t="shared" si="111"/>
        <v>188</v>
      </c>
      <c r="O109" s="15">
        <f t="shared" si="112"/>
        <v>188</v>
      </c>
      <c r="P109" s="17">
        <f t="shared" si="113"/>
        <v>174</v>
      </c>
      <c r="Q109" s="18">
        <f t="shared" si="114"/>
        <v>188</v>
      </c>
      <c r="R109" s="4" t="s">
        <v>0</v>
      </c>
      <c r="S109" s="16" t="str">
        <f t="shared" si="115"/>
        <v>03-22</v>
      </c>
      <c r="T109" s="14">
        <f t="shared" si="116"/>
        <v>174</v>
      </c>
      <c r="U109" s="18">
        <f t="shared" si="117"/>
        <v>577</v>
      </c>
      <c r="V109" s="14">
        <f t="shared" si="118"/>
        <v>188</v>
      </c>
      <c r="W109" s="18">
        <f t="shared" si="119"/>
        <v>577</v>
      </c>
      <c r="X109" s="14">
        <f t="shared" si="120"/>
        <v>188</v>
      </c>
      <c r="Y109" s="18">
        <f t="shared" si="121"/>
        <v>562</v>
      </c>
      <c r="Z109" s="14">
        <f t="shared" si="122"/>
        <v>174</v>
      </c>
      <c r="AA109" s="18">
        <f t="shared" si="123"/>
        <v>562</v>
      </c>
      <c r="AB109" s="4" t="s">
        <v>0</v>
      </c>
    </row>
    <row r="110" spans="1:28">
      <c r="A110" s="9" t="s">
        <v>160</v>
      </c>
      <c r="B110" s="24"/>
      <c r="C110" s="26"/>
      <c r="D110" s="25">
        <f t="shared" si="158"/>
        <v>187</v>
      </c>
      <c r="E110" s="29">
        <f t="shared" ref="E110" si="162">E109</f>
        <v>173</v>
      </c>
      <c r="F110" s="25">
        <f t="shared" si="155"/>
        <v>201</v>
      </c>
      <c r="G110" s="29">
        <f t="shared" si="100"/>
        <v>188</v>
      </c>
      <c r="H110" s="4" t="s">
        <v>0</v>
      </c>
      <c r="I110" s="16" t="str">
        <f t="shared" si="106"/>
        <v>03-21</v>
      </c>
      <c r="J110" s="14">
        <f t="shared" si="107"/>
        <v>187</v>
      </c>
      <c r="K110" s="15">
        <f t="shared" si="108"/>
        <v>173</v>
      </c>
      <c r="L110" s="17">
        <f t="shared" si="109"/>
        <v>201</v>
      </c>
      <c r="M110" s="18">
        <f t="shared" si="110"/>
        <v>173</v>
      </c>
      <c r="N110" s="14">
        <f t="shared" si="111"/>
        <v>201</v>
      </c>
      <c r="O110" s="15">
        <f t="shared" si="112"/>
        <v>188</v>
      </c>
      <c r="P110" s="17">
        <f t="shared" si="113"/>
        <v>187</v>
      </c>
      <c r="Q110" s="18">
        <f t="shared" si="114"/>
        <v>188</v>
      </c>
      <c r="R110" s="4" t="s">
        <v>0</v>
      </c>
      <c r="S110" s="16" t="str">
        <f t="shared" si="115"/>
        <v>03-21</v>
      </c>
      <c r="T110" s="14">
        <f t="shared" si="116"/>
        <v>187</v>
      </c>
      <c r="U110" s="18">
        <f t="shared" si="117"/>
        <v>577</v>
      </c>
      <c r="V110" s="14">
        <f t="shared" si="118"/>
        <v>201</v>
      </c>
      <c r="W110" s="18">
        <f t="shared" si="119"/>
        <v>577</v>
      </c>
      <c r="X110" s="14">
        <f t="shared" si="120"/>
        <v>201</v>
      </c>
      <c r="Y110" s="18">
        <f t="shared" si="121"/>
        <v>562</v>
      </c>
      <c r="Z110" s="14">
        <f t="shared" si="122"/>
        <v>187</v>
      </c>
      <c r="AA110" s="18">
        <f t="shared" si="123"/>
        <v>562</v>
      </c>
      <c r="AB110" s="4" t="s">
        <v>0</v>
      </c>
    </row>
    <row r="111" spans="1:28">
      <c r="A111" s="9" t="s">
        <v>159</v>
      </c>
      <c r="B111" s="24"/>
      <c r="C111" s="26"/>
      <c r="D111" s="25">
        <f t="shared" si="158"/>
        <v>201</v>
      </c>
      <c r="E111" s="29">
        <f t="shared" ref="E111" si="163">E110</f>
        <v>173</v>
      </c>
      <c r="F111" s="25">
        <f t="shared" si="155"/>
        <v>215</v>
      </c>
      <c r="G111" s="29">
        <f t="shared" si="100"/>
        <v>188</v>
      </c>
      <c r="H111" s="4" t="s">
        <v>0</v>
      </c>
      <c r="I111" s="16" t="str">
        <f t="shared" si="106"/>
        <v>03-20</v>
      </c>
      <c r="J111" s="14">
        <f t="shared" si="107"/>
        <v>201</v>
      </c>
      <c r="K111" s="15">
        <f t="shared" si="108"/>
        <v>173</v>
      </c>
      <c r="L111" s="17">
        <f t="shared" si="109"/>
        <v>215</v>
      </c>
      <c r="M111" s="18">
        <f t="shared" si="110"/>
        <v>173</v>
      </c>
      <c r="N111" s="14">
        <f t="shared" si="111"/>
        <v>215</v>
      </c>
      <c r="O111" s="15">
        <f t="shared" si="112"/>
        <v>188</v>
      </c>
      <c r="P111" s="17">
        <f t="shared" si="113"/>
        <v>201</v>
      </c>
      <c r="Q111" s="18">
        <f t="shared" si="114"/>
        <v>188</v>
      </c>
      <c r="R111" s="4" t="s">
        <v>0</v>
      </c>
      <c r="S111" s="16" t="str">
        <f t="shared" si="115"/>
        <v>03-20</v>
      </c>
      <c r="T111" s="14">
        <f t="shared" si="116"/>
        <v>201</v>
      </c>
      <c r="U111" s="18">
        <f t="shared" si="117"/>
        <v>577</v>
      </c>
      <c r="V111" s="14">
        <f t="shared" si="118"/>
        <v>215</v>
      </c>
      <c r="W111" s="18">
        <f t="shared" si="119"/>
        <v>577</v>
      </c>
      <c r="X111" s="14">
        <f t="shared" si="120"/>
        <v>215</v>
      </c>
      <c r="Y111" s="18">
        <f t="shared" si="121"/>
        <v>562</v>
      </c>
      <c r="Z111" s="14">
        <f t="shared" si="122"/>
        <v>201</v>
      </c>
      <c r="AA111" s="18">
        <f t="shared" si="123"/>
        <v>562</v>
      </c>
      <c r="AB111" s="4" t="s">
        <v>0</v>
      </c>
    </row>
    <row r="112" spans="1:28">
      <c r="A112" s="9" t="s">
        <v>158</v>
      </c>
      <c r="B112" s="24"/>
      <c r="C112" s="26"/>
      <c r="D112" s="25">
        <f t="shared" si="158"/>
        <v>215</v>
      </c>
      <c r="E112" s="29">
        <f t="shared" ref="E112" si="164">E111</f>
        <v>173</v>
      </c>
      <c r="F112" s="25">
        <f t="shared" si="155"/>
        <v>229</v>
      </c>
      <c r="G112" s="29">
        <f t="shared" si="100"/>
        <v>188</v>
      </c>
      <c r="H112" s="4" t="s">
        <v>0</v>
      </c>
      <c r="I112" s="16" t="str">
        <f t="shared" si="106"/>
        <v>03-18</v>
      </c>
      <c r="J112" s="14">
        <f t="shared" si="107"/>
        <v>215</v>
      </c>
      <c r="K112" s="15">
        <f t="shared" si="108"/>
        <v>173</v>
      </c>
      <c r="L112" s="17">
        <f t="shared" si="109"/>
        <v>229</v>
      </c>
      <c r="M112" s="18">
        <f t="shared" si="110"/>
        <v>173</v>
      </c>
      <c r="N112" s="14">
        <f t="shared" si="111"/>
        <v>229</v>
      </c>
      <c r="O112" s="15">
        <f t="shared" si="112"/>
        <v>188</v>
      </c>
      <c r="P112" s="17">
        <f t="shared" si="113"/>
        <v>215</v>
      </c>
      <c r="Q112" s="18">
        <f t="shared" si="114"/>
        <v>188</v>
      </c>
      <c r="R112" s="4" t="s">
        <v>0</v>
      </c>
      <c r="S112" s="16" t="str">
        <f t="shared" si="115"/>
        <v>03-18</v>
      </c>
      <c r="T112" s="14">
        <f t="shared" si="116"/>
        <v>215</v>
      </c>
      <c r="U112" s="18">
        <f t="shared" si="117"/>
        <v>577</v>
      </c>
      <c r="V112" s="14">
        <f t="shared" si="118"/>
        <v>229</v>
      </c>
      <c r="W112" s="18">
        <f t="shared" si="119"/>
        <v>577</v>
      </c>
      <c r="X112" s="14">
        <f t="shared" si="120"/>
        <v>229</v>
      </c>
      <c r="Y112" s="18">
        <f t="shared" si="121"/>
        <v>562</v>
      </c>
      <c r="Z112" s="14">
        <f t="shared" si="122"/>
        <v>215</v>
      </c>
      <c r="AA112" s="18">
        <f t="shared" si="123"/>
        <v>562</v>
      </c>
      <c r="AB112" s="4" t="s">
        <v>0</v>
      </c>
    </row>
    <row r="113" spans="1:28">
      <c r="A113" s="9" t="s">
        <v>157</v>
      </c>
      <c r="B113" s="24"/>
      <c r="C113" s="26"/>
      <c r="D113" s="25">
        <f t="shared" si="158"/>
        <v>248</v>
      </c>
      <c r="E113" s="29">
        <f t="shared" ref="E113" si="165">E112</f>
        <v>173</v>
      </c>
      <c r="F113" s="25">
        <f t="shared" si="155"/>
        <v>262</v>
      </c>
      <c r="G113" s="29">
        <f t="shared" si="100"/>
        <v>188</v>
      </c>
      <c r="H113" s="4" t="s">
        <v>0</v>
      </c>
      <c r="I113" s="16" t="str">
        <f t="shared" si="106"/>
        <v>03-17</v>
      </c>
      <c r="J113" s="14">
        <f t="shared" si="107"/>
        <v>248</v>
      </c>
      <c r="K113" s="15">
        <f t="shared" si="108"/>
        <v>173</v>
      </c>
      <c r="L113" s="17">
        <f t="shared" si="109"/>
        <v>262</v>
      </c>
      <c r="M113" s="18">
        <f t="shared" si="110"/>
        <v>173</v>
      </c>
      <c r="N113" s="14">
        <f t="shared" si="111"/>
        <v>262</v>
      </c>
      <c r="O113" s="15">
        <f t="shared" si="112"/>
        <v>188</v>
      </c>
      <c r="P113" s="17">
        <f t="shared" si="113"/>
        <v>248</v>
      </c>
      <c r="Q113" s="18">
        <f t="shared" si="114"/>
        <v>188</v>
      </c>
      <c r="R113" s="4" t="s">
        <v>0</v>
      </c>
      <c r="S113" s="16" t="str">
        <f t="shared" si="115"/>
        <v>03-17</v>
      </c>
      <c r="T113" s="14">
        <f t="shared" si="116"/>
        <v>248</v>
      </c>
      <c r="U113" s="18">
        <f t="shared" si="117"/>
        <v>577</v>
      </c>
      <c r="V113" s="14">
        <f t="shared" si="118"/>
        <v>262</v>
      </c>
      <c r="W113" s="18">
        <f t="shared" si="119"/>
        <v>577</v>
      </c>
      <c r="X113" s="14">
        <f t="shared" si="120"/>
        <v>262</v>
      </c>
      <c r="Y113" s="18">
        <f t="shared" si="121"/>
        <v>562</v>
      </c>
      <c r="Z113" s="14">
        <f t="shared" si="122"/>
        <v>248</v>
      </c>
      <c r="AA113" s="18">
        <f t="shared" si="123"/>
        <v>562</v>
      </c>
      <c r="AB113" s="4" t="s">
        <v>0</v>
      </c>
    </row>
    <row r="114" spans="1:28">
      <c r="A114" s="9" t="s">
        <v>156</v>
      </c>
      <c r="B114" s="24"/>
      <c r="C114" s="26"/>
      <c r="D114" s="25">
        <f t="shared" si="158"/>
        <v>262</v>
      </c>
      <c r="E114" s="29">
        <f t="shared" ref="E114" si="166">E113</f>
        <v>173</v>
      </c>
      <c r="F114" s="25">
        <f t="shared" si="155"/>
        <v>276</v>
      </c>
      <c r="G114" s="29">
        <f t="shared" si="100"/>
        <v>188</v>
      </c>
      <c r="H114" s="4" t="s">
        <v>0</v>
      </c>
      <c r="I114" s="16" t="str">
        <f t="shared" si="106"/>
        <v>03-16</v>
      </c>
      <c r="J114" s="14">
        <f t="shared" si="107"/>
        <v>262</v>
      </c>
      <c r="K114" s="15">
        <f t="shared" si="108"/>
        <v>173</v>
      </c>
      <c r="L114" s="17">
        <f t="shared" si="109"/>
        <v>276</v>
      </c>
      <c r="M114" s="18">
        <f t="shared" si="110"/>
        <v>173</v>
      </c>
      <c r="N114" s="14">
        <f t="shared" si="111"/>
        <v>276</v>
      </c>
      <c r="O114" s="15">
        <f t="shared" si="112"/>
        <v>188</v>
      </c>
      <c r="P114" s="17">
        <f t="shared" si="113"/>
        <v>262</v>
      </c>
      <c r="Q114" s="18">
        <f t="shared" si="114"/>
        <v>188</v>
      </c>
      <c r="R114" s="4" t="s">
        <v>0</v>
      </c>
      <c r="S114" s="16" t="str">
        <f t="shared" si="115"/>
        <v>03-16</v>
      </c>
      <c r="T114" s="14">
        <f t="shared" si="116"/>
        <v>262</v>
      </c>
      <c r="U114" s="18">
        <f t="shared" si="117"/>
        <v>577</v>
      </c>
      <c r="V114" s="14">
        <f t="shared" si="118"/>
        <v>276</v>
      </c>
      <c r="W114" s="18">
        <f t="shared" si="119"/>
        <v>577</v>
      </c>
      <c r="X114" s="14">
        <f t="shared" si="120"/>
        <v>276</v>
      </c>
      <c r="Y114" s="18">
        <f t="shared" si="121"/>
        <v>562</v>
      </c>
      <c r="Z114" s="14">
        <f t="shared" si="122"/>
        <v>262</v>
      </c>
      <c r="AA114" s="18">
        <f t="shared" si="123"/>
        <v>562</v>
      </c>
      <c r="AB114" s="4" t="s">
        <v>0</v>
      </c>
    </row>
    <row r="115" spans="1:28">
      <c r="A115" s="9" t="s">
        <v>155</v>
      </c>
      <c r="B115" s="24"/>
      <c r="C115" s="26"/>
      <c r="D115" s="25">
        <f t="shared" si="158"/>
        <v>275</v>
      </c>
      <c r="E115" s="29">
        <f t="shared" ref="E115" si="167">E114</f>
        <v>173</v>
      </c>
      <c r="F115" s="25">
        <f t="shared" si="155"/>
        <v>289</v>
      </c>
      <c r="G115" s="29">
        <f t="shared" si="100"/>
        <v>188</v>
      </c>
      <c r="H115" s="4" t="s">
        <v>0</v>
      </c>
      <c r="I115" s="16" t="str">
        <f t="shared" si="106"/>
        <v>03-15</v>
      </c>
      <c r="J115" s="14">
        <f t="shared" si="107"/>
        <v>275</v>
      </c>
      <c r="K115" s="15">
        <f t="shared" si="108"/>
        <v>173</v>
      </c>
      <c r="L115" s="17">
        <f t="shared" si="109"/>
        <v>289</v>
      </c>
      <c r="M115" s="18">
        <f t="shared" si="110"/>
        <v>173</v>
      </c>
      <c r="N115" s="14">
        <f t="shared" si="111"/>
        <v>289</v>
      </c>
      <c r="O115" s="15">
        <f t="shared" si="112"/>
        <v>188</v>
      </c>
      <c r="P115" s="17">
        <f t="shared" si="113"/>
        <v>275</v>
      </c>
      <c r="Q115" s="18">
        <f t="shared" si="114"/>
        <v>188</v>
      </c>
      <c r="R115" s="4" t="s">
        <v>0</v>
      </c>
      <c r="S115" s="16" t="str">
        <f t="shared" si="115"/>
        <v>03-15</v>
      </c>
      <c r="T115" s="14">
        <f t="shared" si="116"/>
        <v>275</v>
      </c>
      <c r="U115" s="18">
        <f t="shared" si="117"/>
        <v>577</v>
      </c>
      <c r="V115" s="14">
        <f t="shared" si="118"/>
        <v>289</v>
      </c>
      <c r="W115" s="18">
        <f t="shared" si="119"/>
        <v>577</v>
      </c>
      <c r="X115" s="14">
        <f t="shared" si="120"/>
        <v>289</v>
      </c>
      <c r="Y115" s="18">
        <f t="shared" si="121"/>
        <v>562</v>
      </c>
      <c r="Z115" s="14">
        <f t="shared" si="122"/>
        <v>275</v>
      </c>
      <c r="AA115" s="18">
        <f t="shared" si="123"/>
        <v>562</v>
      </c>
      <c r="AB115" s="4" t="s">
        <v>0</v>
      </c>
    </row>
    <row r="116" spans="1:28">
      <c r="A116" s="9" t="s">
        <v>154</v>
      </c>
      <c r="B116" s="24"/>
      <c r="C116" s="26"/>
      <c r="D116" s="25">
        <f t="shared" si="158"/>
        <v>289</v>
      </c>
      <c r="E116" s="29">
        <f t="shared" ref="E116" si="168">E115</f>
        <v>173</v>
      </c>
      <c r="F116" s="25">
        <f t="shared" si="155"/>
        <v>303</v>
      </c>
      <c r="G116" s="29">
        <f t="shared" si="100"/>
        <v>188</v>
      </c>
      <c r="H116" s="4" t="s">
        <v>0</v>
      </c>
      <c r="I116" s="16" t="str">
        <f t="shared" si="106"/>
        <v>03-13</v>
      </c>
      <c r="J116" s="14">
        <f t="shared" si="107"/>
        <v>289</v>
      </c>
      <c r="K116" s="15">
        <f t="shared" si="108"/>
        <v>173</v>
      </c>
      <c r="L116" s="17">
        <f t="shared" si="109"/>
        <v>303</v>
      </c>
      <c r="M116" s="18">
        <f t="shared" si="110"/>
        <v>173</v>
      </c>
      <c r="N116" s="14">
        <f t="shared" si="111"/>
        <v>303</v>
      </c>
      <c r="O116" s="15">
        <f t="shared" si="112"/>
        <v>188</v>
      </c>
      <c r="P116" s="17">
        <f t="shared" si="113"/>
        <v>289</v>
      </c>
      <c r="Q116" s="18">
        <f t="shared" si="114"/>
        <v>188</v>
      </c>
      <c r="R116" s="4" t="s">
        <v>0</v>
      </c>
      <c r="S116" s="16" t="str">
        <f t="shared" si="115"/>
        <v>03-13</v>
      </c>
      <c r="T116" s="14">
        <f t="shared" si="116"/>
        <v>289</v>
      </c>
      <c r="U116" s="18">
        <f t="shared" si="117"/>
        <v>577</v>
      </c>
      <c r="V116" s="14">
        <f t="shared" si="118"/>
        <v>303</v>
      </c>
      <c r="W116" s="18">
        <f t="shared" si="119"/>
        <v>577</v>
      </c>
      <c r="X116" s="14">
        <f t="shared" si="120"/>
        <v>303</v>
      </c>
      <c r="Y116" s="18">
        <f t="shared" si="121"/>
        <v>562</v>
      </c>
      <c r="Z116" s="14">
        <f t="shared" si="122"/>
        <v>289</v>
      </c>
      <c r="AA116" s="18">
        <f t="shared" si="123"/>
        <v>562</v>
      </c>
      <c r="AB116" s="4" t="s">
        <v>0</v>
      </c>
    </row>
    <row r="117" spans="1:28">
      <c r="A117" s="9" t="s">
        <v>39</v>
      </c>
      <c r="B117" s="24"/>
      <c r="C117" s="26"/>
      <c r="D117" s="25">
        <f t="shared" si="158"/>
        <v>303</v>
      </c>
      <c r="E117" s="29">
        <f t="shared" ref="E117" si="169">E116</f>
        <v>173</v>
      </c>
      <c r="F117" s="25">
        <f t="shared" si="155"/>
        <v>317</v>
      </c>
      <c r="G117" s="29">
        <f t="shared" si="100"/>
        <v>188</v>
      </c>
      <c r="H117" s="4" t="s">
        <v>0</v>
      </c>
      <c r="I117" s="16" t="str">
        <f t="shared" si="106"/>
        <v>03-12</v>
      </c>
      <c r="J117" s="14">
        <f t="shared" si="107"/>
        <v>303</v>
      </c>
      <c r="K117" s="15">
        <f t="shared" si="108"/>
        <v>173</v>
      </c>
      <c r="L117" s="17">
        <f t="shared" si="109"/>
        <v>317</v>
      </c>
      <c r="M117" s="18">
        <f t="shared" si="110"/>
        <v>173</v>
      </c>
      <c r="N117" s="14">
        <f t="shared" si="111"/>
        <v>317</v>
      </c>
      <c r="O117" s="15">
        <f t="shared" si="112"/>
        <v>188</v>
      </c>
      <c r="P117" s="17">
        <f t="shared" si="113"/>
        <v>303</v>
      </c>
      <c r="Q117" s="18">
        <f t="shared" si="114"/>
        <v>188</v>
      </c>
      <c r="R117" s="4" t="s">
        <v>0</v>
      </c>
      <c r="S117" s="16" t="str">
        <f t="shared" si="115"/>
        <v>03-12</v>
      </c>
      <c r="T117" s="14">
        <f t="shared" si="116"/>
        <v>303</v>
      </c>
      <c r="U117" s="18">
        <f t="shared" si="117"/>
        <v>577</v>
      </c>
      <c r="V117" s="14">
        <f t="shared" si="118"/>
        <v>317</v>
      </c>
      <c r="W117" s="18">
        <f t="shared" si="119"/>
        <v>577</v>
      </c>
      <c r="X117" s="14">
        <f t="shared" si="120"/>
        <v>317</v>
      </c>
      <c r="Y117" s="18">
        <f t="shared" si="121"/>
        <v>562</v>
      </c>
      <c r="Z117" s="14">
        <f t="shared" si="122"/>
        <v>303</v>
      </c>
      <c r="AA117" s="18">
        <f t="shared" si="123"/>
        <v>562</v>
      </c>
      <c r="AB117" s="4" t="s">
        <v>0</v>
      </c>
    </row>
    <row r="118" spans="1:28">
      <c r="A118" s="9" t="s">
        <v>38</v>
      </c>
      <c r="B118" s="24"/>
      <c r="C118" s="26"/>
      <c r="D118" s="25">
        <f t="shared" si="158"/>
        <v>317</v>
      </c>
      <c r="E118" s="29">
        <f t="shared" ref="E118" si="170">E117</f>
        <v>173</v>
      </c>
      <c r="F118" s="25">
        <f t="shared" si="155"/>
        <v>331</v>
      </c>
      <c r="G118" s="29">
        <f t="shared" si="100"/>
        <v>188</v>
      </c>
      <c r="H118" s="4" t="s">
        <v>0</v>
      </c>
      <c r="I118" s="16" t="str">
        <f t="shared" si="106"/>
        <v>03-11</v>
      </c>
      <c r="J118" s="14">
        <f t="shared" si="107"/>
        <v>317</v>
      </c>
      <c r="K118" s="15">
        <f t="shared" si="108"/>
        <v>173</v>
      </c>
      <c r="L118" s="17">
        <f t="shared" si="109"/>
        <v>331</v>
      </c>
      <c r="M118" s="18">
        <f t="shared" si="110"/>
        <v>173</v>
      </c>
      <c r="N118" s="14">
        <f t="shared" si="111"/>
        <v>331</v>
      </c>
      <c r="O118" s="15">
        <f t="shared" si="112"/>
        <v>188</v>
      </c>
      <c r="P118" s="17">
        <f t="shared" si="113"/>
        <v>317</v>
      </c>
      <c r="Q118" s="18">
        <f t="shared" si="114"/>
        <v>188</v>
      </c>
      <c r="R118" s="4" t="s">
        <v>0</v>
      </c>
      <c r="S118" s="16" t="str">
        <f t="shared" si="115"/>
        <v>03-11</v>
      </c>
      <c r="T118" s="14">
        <f t="shared" si="116"/>
        <v>317</v>
      </c>
      <c r="U118" s="18">
        <f t="shared" si="117"/>
        <v>577</v>
      </c>
      <c r="V118" s="14">
        <f t="shared" si="118"/>
        <v>331</v>
      </c>
      <c r="W118" s="18">
        <f t="shared" si="119"/>
        <v>577</v>
      </c>
      <c r="X118" s="14">
        <f t="shared" si="120"/>
        <v>331</v>
      </c>
      <c r="Y118" s="18">
        <f t="shared" si="121"/>
        <v>562</v>
      </c>
      <c r="Z118" s="14">
        <f t="shared" si="122"/>
        <v>317</v>
      </c>
      <c r="AA118" s="18">
        <f t="shared" si="123"/>
        <v>562</v>
      </c>
      <c r="AB118" s="4" t="s">
        <v>0</v>
      </c>
    </row>
    <row r="119" spans="1:28">
      <c r="A119" s="9" t="s">
        <v>37</v>
      </c>
      <c r="B119" s="24"/>
      <c r="C119" s="26"/>
      <c r="D119" s="25">
        <f t="shared" si="158"/>
        <v>330</v>
      </c>
      <c r="E119" s="29">
        <f t="shared" ref="E119" si="171">E118</f>
        <v>173</v>
      </c>
      <c r="F119" s="25">
        <f t="shared" si="155"/>
        <v>344</v>
      </c>
      <c r="G119" s="29">
        <f t="shared" si="100"/>
        <v>188</v>
      </c>
      <c r="H119" s="4" t="s">
        <v>0</v>
      </c>
      <c r="I119" s="16" t="str">
        <f t="shared" si="106"/>
        <v>03-10</v>
      </c>
      <c r="J119" s="14">
        <f t="shared" si="107"/>
        <v>330</v>
      </c>
      <c r="K119" s="15">
        <f t="shared" si="108"/>
        <v>173</v>
      </c>
      <c r="L119" s="17">
        <f t="shared" si="109"/>
        <v>344</v>
      </c>
      <c r="M119" s="18">
        <f t="shared" si="110"/>
        <v>173</v>
      </c>
      <c r="N119" s="14">
        <f t="shared" si="111"/>
        <v>344</v>
      </c>
      <c r="O119" s="15">
        <f t="shared" si="112"/>
        <v>188</v>
      </c>
      <c r="P119" s="17">
        <f t="shared" si="113"/>
        <v>330</v>
      </c>
      <c r="Q119" s="18">
        <f t="shared" si="114"/>
        <v>188</v>
      </c>
      <c r="R119" s="4" t="s">
        <v>0</v>
      </c>
      <c r="S119" s="16" t="str">
        <f t="shared" si="115"/>
        <v>03-10</v>
      </c>
      <c r="T119" s="14">
        <f t="shared" si="116"/>
        <v>330</v>
      </c>
      <c r="U119" s="18">
        <f t="shared" si="117"/>
        <v>577</v>
      </c>
      <c r="V119" s="14">
        <f t="shared" si="118"/>
        <v>344</v>
      </c>
      <c r="W119" s="18">
        <f t="shared" si="119"/>
        <v>577</v>
      </c>
      <c r="X119" s="14">
        <f t="shared" si="120"/>
        <v>344</v>
      </c>
      <c r="Y119" s="18">
        <f t="shared" si="121"/>
        <v>562</v>
      </c>
      <c r="Z119" s="14">
        <f t="shared" si="122"/>
        <v>330</v>
      </c>
      <c r="AA119" s="18">
        <f t="shared" si="123"/>
        <v>562</v>
      </c>
      <c r="AB119" s="4" t="s">
        <v>0</v>
      </c>
    </row>
    <row r="120" spans="1:28">
      <c r="A120" s="9" t="s">
        <v>36</v>
      </c>
      <c r="B120" s="24"/>
      <c r="C120" s="26"/>
      <c r="D120" s="25">
        <f t="shared" si="158"/>
        <v>344</v>
      </c>
      <c r="E120" s="29">
        <f t="shared" ref="E120" si="172">E119</f>
        <v>173</v>
      </c>
      <c r="F120" s="25">
        <f t="shared" si="155"/>
        <v>358</v>
      </c>
      <c r="G120" s="29">
        <f t="shared" si="100"/>
        <v>188</v>
      </c>
      <c r="H120" s="4" t="s">
        <v>0</v>
      </c>
      <c r="I120" s="16" t="str">
        <f t="shared" si="106"/>
        <v>03-08</v>
      </c>
      <c r="J120" s="14">
        <f t="shared" si="107"/>
        <v>344</v>
      </c>
      <c r="K120" s="15">
        <f t="shared" si="108"/>
        <v>173</v>
      </c>
      <c r="L120" s="17">
        <f t="shared" si="109"/>
        <v>358</v>
      </c>
      <c r="M120" s="18">
        <f t="shared" si="110"/>
        <v>173</v>
      </c>
      <c r="N120" s="14">
        <f t="shared" si="111"/>
        <v>358</v>
      </c>
      <c r="O120" s="15">
        <f t="shared" si="112"/>
        <v>188</v>
      </c>
      <c r="P120" s="17">
        <f t="shared" si="113"/>
        <v>344</v>
      </c>
      <c r="Q120" s="18">
        <f t="shared" si="114"/>
        <v>188</v>
      </c>
      <c r="R120" s="4" t="s">
        <v>0</v>
      </c>
      <c r="S120" s="16" t="str">
        <f t="shared" si="115"/>
        <v>03-08</v>
      </c>
      <c r="T120" s="14">
        <f t="shared" si="116"/>
        <v>344</v>
      </c>
      <c r="U120" s="18">
        <f t="shared" si="117"/>
        <v>577</v>
      </c>
      <c r="V120" s="14">
        <f t="shared" si="118"/>
        <v>358</v>
      </c>
      <c r="W120" s="18">
        <f t="shared" si="119"/>
        <v>577</v>
      </c>
      <c r="X120" s="14">
        <f t="shared" si="120"/>
        <v>358</v>
      </c>
      <c r="Y120" s="18">
        <f t="shared" si="121"/>
        <v>562</v>
      </c>
      <c r="Z120" s="14">
        <f t="shared" si="122"/>
        <v>344</v>
      </c>
      <c r="AA120" s="18">
        <f t="shared" si="123"/>
        <v>562</v>
      </c>
      <c r="AB120" s="4" t="s">
        <v>0</v>
      </c>
    </row>
    <row r="121" spans="1:28">
      <c r="A121" s="9" t="s">
        <v>35</v>
      </c>
      <c r="B121" s="24"/>
      <c r="C121" s="26"/>
      <c r="D121" s="25">
        <f t="shared" si="158"/>
        <v>358</v>
      </c>
      <c r="E121" s="29">
        <f t="shared" ref="E121" si="173">E120</f>
        <v>173</v>
      </c>
      <c r="F121" s="25">
        <f t="shared" si="155"/>
        <v>372</v>
      </c>
      <c r="G121" s="29">
        <f t="shared" si="100"/>
        <v>188</v>
      </c>
      <c r="H121" s="4" t="s">
        <v>0</v>
      </c>
      <c r="I121" s="16" t="str">
        <f t="shared" si="106"/>
        <v>03-07</v>
      </c>
      <c r="J121" s="14">
        <f t="shared" si="107"/>
        <v>358</v>
      </c>
      <c r="K121" s="15">
        <f t="shared" si="108"/>
        <v>173</v>
      </c>
      <c r="L121" s="17">
        <f t="shared" si="109"/>
        <v>372</v>
      </c>
      <c r="M121" s="18">
        <f t="shared" si="110"/>
        <v>173</v>
      </c>
      <c r="N121" s="14">
        <f t="shared" si="111"/>
        <v>372</v>
      </c>
      <c r="O121" s="15">
        <f t="shared" si="112"/>
        <v>188</v>
      </c>
      <c r="P121" s="17">
        <f t="shared" si="113"/>
        <v>358</v>
      </c>
      <c r="Q121" s="18">
        <f t="shared" si="114"/>
        <v>188</v>
      </c>
      <c r="R121" s="4" t="s">
        <v>0</v>
      </c>
      <c r="S121" s="16" t="str">
        <f t="shared" si="115"/>
        <v>03-07</v>
      </c>
      <c r="T121" s="14">
        <f t="shared" si="116"/>
        <v>358</v>
      </c>
      <c r="U121" s="18">
        <f t="shared" si="117"/>
        <v>577</v>
      </c>
      <c r="V121" s="14">
        <f t="shared" si="118"/>
        <v>372</v>
      </c>
      <c r="W121" s="18">
        <f t="shared" si="119"/>
        <v>577</v>
      </c>
      <c r="X121" s="14">
        <f t="shared" si="120"/>
        <v>372</v>
      </c>
      <c r="Y121" s="18">
        <f t="shared" si="121"/>
        <v>562</v>
      </c>
      <c r="Z121" s="14">
        <f t="shared" si="122"/>
        <v>358</v>
      </c>
      <c r="AA121" s="18">
        <f t="shared" si="123"/>
        <v>562</v>
      </c>
      <c r="AB121" s="4" t="s">
        <v>0</v>
      </c>
    </row>
    <row r="122" spans="1:28">
      <c r="A122" s="9" t="s">
        <v>34</v>
      </c>
      <c r="B122" s="24"/>
      <c r="C122" s="26"/>
      <c r="D122" s="25">
        <f t="shared" si="158"/>
        <v>371</v>
      </c>
      <c r="E122" s="29">
        <f t="shared" ref="E122" si="174">E121</f>
        <v>173</v>
      </c>
      <c r="F122" s="25">
        <f t="shared" si="155"/>
        <v>385</v>
      </c>
      <c r="G122" s="29">
        <f t="shared" si="100"/>
        <v>188</v>
      </c>
      <c r="H122" s="4" t="s">
        <v>0</v>
      </c>
      <c r="I122" s="16" t="str">
        <f t="shared" si="106"/>
        <v>03-06</v>
      </c>
      <c r="J122" s="14">
        <f t="shared" si="107"/>
        <v>371</v>
      </c>
      <c r="K122" s="15">
        <f t="shared" si="108"/>
        <v>173</v>
      </c>
      <c r="L122" s="17">
        <f t="shared" si="109"/>
        <v>385</v>
      </c>
      <c r="M122" s="18">
        <f t="shared" si="110"/>
        <v>173</v>
      </c>
      <c r="N122" s="14">
        <f t="shared" si="111"/>
        <v>385</v>
      </c>
      <c r="O122" s="15">
        <f t="shared" si="112"/>
        <v>188</v>
      </c>
      <c r="P122" s="17">
        <f t="shared" si="113"/>
        <v>371</v>
      </c>
      <c r="Q122" s="18">
        <f t="shared" si="114"/>
        <v>188</v>
      </c>
      <c r="R122" s="4" t="s">
        <v>0</v>
      </c>
      <c r="S122" s="16" t="str">
        <f t="shared" si="115"/>
        <v>03-06</v>
      </c>
      <c r="T122" s="14">
        <f t="shared" si="116"/>
        <v>371</v>
      </c>
      <c r="U122" s="18">
        <f t="shared" si="117"/>
        <v>577</v>
      </c>
      <c r="V122" s="14">
        <f t="shared" si="118"/>
        <v>385</v>
      </c>
      <c r="W122" s="18">
        <f t="shared" si="119"/>
        <v>577</v>
      </c>
      <c r="X122" s="14">
        <f t="shared" si="120"/>
        <v>385</v>
      </c>
      <c r="Y122" s="18">
        <f t="shared" si="121"/>
        <v>562</v>
      </c>
      <c r="Z122" s="14">
        <f t="shared" si="122"/>
        <v>371</v>
      </c>
      <c r="AA122" s="18">
        <f t="shared" si="123"/>
        <v>562</v>
      </c>
      <c r="AB122" s="4" t="s">
        <v>0</v>
      </c>
    </row>
    <row r="123" spans="1:28">
      <c r="A123" s="9" t="s">
        <v>33</v>
      </c>
      <c r="B123" s="24"/>
      <c r="C123" s="26"/>
      <c r="D123" s="25">
        <f t="shared" si="158"/>
        <v>385</v>
      </c>
      <c r="E123" s="29">
        <f t="shared" ref="E123" si="175">E122</f>
        <v>173</v>
      </c>
      <c r="F123" s="25">
        <f t="shared" si="155"/>
        <v>399</v>
      </c>
      <c r="G123" s="29">
        <f t="shared" si="100"/>
        <v>188</v>
      </c>
      <c r="H123" s="4" t="s">
        <v>0</v>
      </c>
      <c r="I123" s="16" t="str">
        <f t="shared" si="106"/>
        <v>03-05</v>
      </c>
      <c r="J123" s="14">
        <f t="shared" si="107"/>
        <v>385</v>
      </c>
      <c r="K123" s="15">
        <f t="shared" si="108"/>
        <v>173</v>
      </c>
      <c r="L123" s="17">
        <f t="shared" si="109"/>
        <v>399</v>
      </c>
      <c r="M123" s="18">
        <f t="shared" si="110"/>
        <v>173</v>
      </c>
      <c r="N123" s="14">
        <f t="shared" si="111"/>
        <v>399</v>
      </c>
      <c r="O123" s="15">
        <f t="shared" si="112"/>
        <v>188</v>
      </c>
      <c r="P123" s="17">
        <f t="shared" si="113"/>
        <v>385</v>
      </c>
      <c r="Q123" s="18">
        <f t="shared" si="114"/>
        <v>188</v>
      </c>
      <c r="R123" s="4" t="s">
        <v>0</v>
      </c>
      <c r="S123" s="16" t="str">
        <f t="shared" si="115"/>
        <v>03-05</v>
      </c>
      <c r="T123" s="14">
        <f t="shared" si="116"/>
        <v>385</v>
      </c>
      <c r="U123" s="18">
        <f t="shared" si="117"/>
        <v>577</v>
      </c>
      <c r="V123" s="14">
        <f t="shared" si="118"/>
        <v>399</v>
      </c>
      <c r="W123" s="18">
        <f t="shared" si="119"/>
        <v>577</v>
      </c>
      <c r="X123" s="14">
        <f t="shared" si="120"/>
        <v>399</v>
      </c>
      <c r="Y123" s="18">
        <f t="shared" si="121"/>
        <v>562</v>
      </c>
      <c r="Z123" s="14">
        <f t="shared" si="122"/>
        <v>385</v>
      </c>
      <c r="AA123" s="18">
        <f t="shared" si="123"/>
        <v>562</v>
      </c>
      <c r="AB123" s="4" t="s">
        <v>0</v>
      </c>
    </row>
    <row r="124" spans="1:28">
      <c r="A124" s="9" t="s">
        <v>32</v>
      </c>
      <c r="B124" s="24"/>
      <c r="C124" s="26"/>
      <c r="D124" s="25">
        <f t="shared" si="158"/>
        <v>399</v>
      </c>
      <c r="E124" s="29">
        <f t="shared" ref="E124" si="176">E123</f>
        <v>173</v>
      </c>
      <c r="F124" s="25">
        <f t="shared" si="155"/>
        <v>413</v>
      </c>
      <c r="G124" s="29">
        <f t="shared" si="100"/>
        <v>188</v>
      </c>
      <c r="H124" s="4" t="s">
        <v>0</v>
      </c>
      <c r="I124" s="16" t="str">
        <f t="shared" si="106"/>
        <v>03-03</v>
      </c>
      <c r="J124" s="14">
        <f t="shared" si="107"/>
        <v>399</v>
      </c>
      <c r="K124" s="15">
        <f t="shared" si="108"/>
        <v>173</v>
      </c>
      <c r="L124" s="17">
        <f t="shared" si="109"/>
        <v>413</v>
      </c>
      <c r="M124" s="18">
        <f t="shared" si="110"/>
        <v>173</v>
      </c>
      <c r="N124" s="14">
        <f t="shared" si="111"/>
        <v>413</v>
      </c>
      <c r="O124" s="15">
        <f t="shared" si="112"/>
        <v>188</v>
      </c>
      <c r="P124" s="17">
        <f t="shared" si="113"/>
        <v>399</v>
      </c>
      <c r="Q124" s="18">
        <f t="shared" si="114"/>
        <v>188</v>
      </c>
      <c r="R124" s="4" t="s">
        <v>0</v>
      </c>
      <c r="S124" s="16" t="str">
        <f t="shared" si="115"/>
        <v>03-03</v>
      </c>
      <c r="T124" s="14">
        <f t="shared" si="116"/>
        <v>399</v>
      </c>
      <c r="U124" s="18">
        <f t="shared" si="117"/>
        <v>577</v>
      </c>
      <c r="V124" s="14">
        <f t="shared" si="118"/>
        <v>413</v>
      </c>
      <c r="W124" s="18">
        <f t="shared" si="119"/>
        <v>577</v>
      </c>
      <c r="X124" s="14">
        <f t="shared" si="120"/>
        <v>413</v>
      </c>
      <c r="Y124" s="18">
        <f t="shared" si="121"/>
        <v>562</v>
      </c>
      <c r="Z124" s="14">
        <f t="shared" si="122"/>
        <v>399</v>
      </c>
      <c r="AA124" s="18">
        <f t="shared" si="123"/>
        <v>562</v>
      </c>
      <c r="AB124" s="4" t="s">
        <v>0</v>
      </c>
    </row>
    <row r="125" spans="1:28">
      <c r="A125" s="9" t="s">
        <v>31</v>
      </c>
      <c r="B125" s="24"/>
      <c r="C125" s="26"/>
      <c r="D125" s="25">
        <f t="shared" si="158"/>
        <v>412</v>
      </c>
      <c r="E125" s="29">
        <f t="shared" ref="E125" si="177">E124</f>
        <v>173</v>
      </c>
      <c r="F125" s="25">
        <f t="shared" si="155"/>
        <v>426</v>
      </c>
      <c r="G125" s="29">
        <f t="shared" si="100"/>
        <v>188</v>
      </c>
      <c r="H125" s="4" t="s">
        <v>0</v>
      </c>
      <c r="I125" s="16" t="str">
        <f t="shared" si="106"/>
        <v>03-02</v>
      </c>
      <c r="J125" s="14">
        <f t="shared" si="107"/>
        <v>412</v>
      </c>
      <c r="K125" s="15">
        <f t="shared" si="108"/>
        <v>173</v>
      </c>
      <c r="L125" s="17">
        <f t="shared" si="109"/>
        <v>426</v>
      </c>
      <c r="M125" s="18">
        <f t="shared" si="110"/>
        <v>173</v>
      </c>
      <c r="N125" s="14">
        <f t="shared" si="111"/>
        <v>426</v>
      </c>
      <c r="O125" s="15">
        <f t="shared" si="112"/>
        <v>188</v>
      </c>
      <c r="P125" s="17">
        <f t="shared" si="113"/>
        <v>412</v>
      </c>
      <c r="Q125" s="18">
        <f t="shared" si="114"/>
        <v>188</v>
      </c>
      <c r="R125" s="4" t="s">
        <v>0</v>
      </c>
      <c r="S125" s="16" t="str">
        <f t="shared" si="115"/>
        <v>03-02</v>
      </c>
      <c r="T125" s="14">
        <f t="shared" si="116"/>
        <v>412</v>
      </c>
      <c r="U125" s="18">
        <f t="shared" si="117"/>
        <v>577</v>
      </c>
      <c r="V125" s="14">
        <f t="shared" si="118"/>
        <v>426</v>
      </c>
      <c r="W125" s="18">
        <f t="shared" si="119"/>
        <v>577</v>
      </c>
      <c r="X125" s="14">
        <f t="shared" si="120"/>
        <v>426</v>
      </c>
      <c r="Y125" s="18">
        <f t="shared" si="121"/>
        <v>562</v>
      </c>
      <c r="Z125" s="14">
        <f t="shared" si="122"/>
        <v>412</v>
      </c>
      <c r="AA125" s="18">
        <f t="shared" si="123"/>
        <v>562</v>
      </c>
      <c r="AB125" s="4" t="s">
        <v>0</v>
      </c>
    </row>
    <row r="126" spans="1:28">
      <c r="A126" s="9" t="s">
        <v>30</v>
      </c>
      <c r="B126" s="24"/>
      <c r="C126" s="26"/>
      <c r="D126" s="25">
        <f t="shared" si="158"/>
        <v>426</v>
      </c>
      <c r="E126" s="29">
        <f t="shared" ref="E126" si="178">E125</f>
        <v>173</v>
      </c>
      <c r="F126" s="25">
        <f t="shared" si="155"/>
        <v>440</v>
      </c>
      <c r="G126" s="29">
        <f t="shared" si="100"/>
        <v>188</v>
      </c>
      <c r="H126" s="4" t="s">
        <v>0</v>
      </c>
      <c r="I126" s="16" t="str">
        <f t="shared" si="106"/>
        <v>03-01</v>
      </c>
      <c r="J126" s="14">
        <f t="shared" si="107"/>
        <v>426</v>
      </c>
      <c r="K126" s="15">
        <f t="shared" si="108"/>
        <v>173</v>
      </c>
      <c r="L126" s="17">
        <f t="shared" si="109"/>
        <v>440</v>
      </c>
      <c r="M126" s="18">
        <f t="shared" si="110"/>
        <v>173</v>
      </c>
      <c r="N126" s="14">
        <f t="shared" si="111"/>
        <v>440</v>
      </c>
      <c r="O126" s="15">
        <f t="shared" si="112"/>
        <v>188</v>
      </c>
      <c r="P126" s="17">
        <f t="shared" si="113"/>
        <v>426</v>
      </c>
      <c r="Q126" s="18">
        <f t="shared" si="114"/>
        <v>188</v>
      </c>
      <c r="R126" s="4" t="s">
        <v>0</v>
      </c>
      <c r="S126" s="16" t="str">
        <f t="shared" si="115"/>
        <v>03-01</v>
      </c>
      <c r="T126" s="14">
        <f t="shared" si="116"/>
        <v>426</v>
      </c>
      <c r="U126" s="18">
        <f t="shared" si="117"/>
        <v>577</v>
      </c>
      <c r="V126" s="14">
        <f t="shared" si="118"/>
        <v>440</v>
      </c>
      <c r="W126" s="18">
        <f t="shared" si="119"/>
        <v>577</v>
      </c>
      <c r="X126" s="14">
        <f t="shared" si="120"/>
        <v>440</v>
      </c>
      <c r="Y126" s="18">
        <f t="shared" si="121"/>
        <v>562</v>
      </c>
      <c r="Z126" s="14">
        <f t="shared" si="122"/>
        <v>426</v>
      </c>
      <c r="AA126" s="18">
        <f t="shared" si="123"/>
        <v>562</v>
      </c>
      <c r="AB126" s="4" t="s">
        <v>0</v>
      </c>
    </row>
    <row r="127" spans="1:28">
      <c r="A127" s="9" t="s">
        <v>553</v>
      </c>
      <c r="B127" s="24"/>
      <c r="C127" s="26">
        <v>4</v>
      </c>
      <c r="D127" s="25">
        <f t="shared" si="158"/>
        <v>23</v>
      </c>
      <c r="E127" s="28">
        <f t="shared" ref="E127:E156" si="179">ROUND(E$11+23.2*$C127, 0)</f>
        <v>196</v>
      </c>
      <c r="F127" s="25">
        <f t="shared" si="155"/>
        <v>37</v>
      </c>
      <c r="G127" s="28">
        <f t="shared" ref="G127:G156" si="180">ROUND(G$11+23.2*$C127, 0)</f>
        <v>211</v>
      </c>
      <c r="H127" s="4" t="s">
        <v>0</v>
      </c>
      <c r="I127" s="16" t="str">
        <f t="shared" si="106"/>
        <v>02-36</v>
      </c>
      <c r="J127" s="14">
        <f t="shared" si="107"/>
        <v>23</v>
      </c>
      <c r="K127" s="15">
        <f t="shared" si="108"/>
        <v>196</v>
      </c>
      <c r="L127" s="17">
        <f t="shared" si="109"/>
        <v>37</v>
      </c>
      <c r="M127" s="18">
        <f t="shared" si="110"/>
        <v>196</v>
      </c>
      <c r="N127" s="14">
        <f t="shared" si="111"/>
        <v>37</v>
      </c>
      <c r="O127" s="15">
        <f t="shared" si="112"/>
        <v>211</v>
      </c>
      <c r="P127" s="17">
        <f t="shared" si="113"/>
        <v>23</v>
      </c>
      <c r="Q127" s="18">
        <f t="shared" si="114"/>
        <v>211</v>
      </c>
      <c r="R127" s="4" t="s">
        <v>0</v>
      </c>
      <c r="S127" s="16" t="str">
        <f t="shared" si="115"/>
        <v>02-36</v>
      </c>
      <c r="T127" s="14">
        <f t="shared" si="116"/>
        <v>23</v>
      </c>
      <c r="U127" s="18">
        <f t="shared" si="117"/>
        <v>554</v>
      </c>
      <c r="V127" s="14">
        <f t="shared" si="118"/>
        <v>37</v>
      </c>
      <c r="W127" s="18">
        <f t="shared" si="119"/>
        <v>554</v>
      </c>
      <c r="X127" s="14">
        <f t="shared" si="120"/>
        <v>37</v>
      </c>
      <c r="Y127" s="18">
        <f t="shared" si="121"/>
        <v>539</v>
      </c>
      <c r="Z127" s="14">
        <f t="shared" si="122"/>
        <v>23</v>
      </c>
      <c r="AA127" s="18">
        <f t="shared" si="123"/>
        <v>539</v>
      </c>
      <c r="AB127" s="4" t="s">
        <v>0</v>
      </c>
    </row>
    <row r="128" spans="1:28">
      <c r="A128" s="9" t="s">
        <v>552</v>
      </c>
      <c r="B128" s="24"/>
      <c r="C128" s="26"/>
      <c r="D128" s="25">
        <f t="shared" si="158"/>
        <v>37</v>
      </c>
      <c r="E128" s="29">
        <f t="shared" ref="E128" si="181">E127</f>
        <v>196</v>
      </c>
      <c r="F128" s="25">
        <f t="shared" si="155"/>
        <v>51</v>
      </c>
      <c r="G128" s="29">
        <f t="shared" ref="G128" si="182">G127</f>
        <v>211</v>
      </c>
      <c r="H128" s="4" t="s">
        <v>0</v>
      </c>
      <c r="I128" s="16" t="str">
        <f t="shared" si="106"/>
        <v>02-35</v>
      </c>
      <c r="J128" s="14">
        <f t="shared" si="107"/>
        <v>37</v>
      </c>
      <c r="K128" s="15">
        <f t="shared" si="108"/>
        <v>196</v>
      </c>
      <c r="L128" s="17">
        <f t="shared" si="109"/>
        <v>51</v>
      </c>
      <c r="M128" s="18">
        <f t="shared" si="110"/>
        <v>196</v>
      </c>
      <c r="N128" s="14">
        <f t="shared" si="111"/>
        <v>51</v>
      </c>
      <c r="O128" s="15">
        <f t="shared" si="112"/>
        <v>211</v>
      </c>
      <c r="P128" s="17">
        <f t="shared" si="113"/>
        <v>37</v>
      </c>
      <c r="Q128" s="18">
        <f t="shared" si="114"/>
        <v>211</v>
      </c>
      <c r="R128" s="4" t="s">
        <v>0</v>
      </c>
      <c r="S128" s="16" t="str">
        <f t="shared" si="115"/>
        <v>02-35</v>
      </c>
      <c r="T128" s="14">
        <f t="shared" si="116"/>
        <v>37</v>
      </c>
      <c r="U128" s="18">
        <f t="shared" si="117"/>
        <v>554</v>
      </c>
      <c r="V128" s="14">
        <f t="shared" si="118"/>
        <v>51</v>
      </c>
      <c r="W128" s="18">
        <f t="shared" si="119"/>
        <v>554</v>
      </c>
      <c r="X128" s="14">
        <f t="shared" si="120"/>
        <v>51</v>
      </c>
      <c r="Y128" s="18">
        <f t="shared" si="121"/>
        <v>539</v>
      </c>
      <c r="Z128" s="14">
        <f t="shared" si="122"/>
        <v>37</v>
      </c>
      <c r="AA128" s="18">
        <f t="shared" si="123"/>
        <v>539</v>
      </c>
      <c r="AB128" s="4" t="s">
        <v>0</v>
      </c>
    </row>
    <row r="129" spans="1:28">
      <c r="A129" s="9" t="s">
        <v>551</v>
      </c>
      <c r="B129" s="24"/>
      <c r="C129" s="26"/>
      <c r="D129" s="25">
        <f t="shared" si="158"/>
        <v>50</v>
      </c>
      <c r="E129" s="29">
        <f t="shared" ref="E129" si="183">E128</f>
        <v>196</v>
      </c>
      <c r="F129" s="25">
        <f t="shared" si="155"/>
        <v>64</v>
      </c>
      <c r="G129" s="29">
        <f t="shared" ref="G129" si="184">G128</f>
        <v>211</v>
      </c>
      <c r="H129" s="4" t="s">
        <v>0</v>
      </c>
      <c r="I129" s="16" t="str">
        <f t="shared" si="106"/>
        <v>02-33</v>
      </c>
      <c r="J129" s="14">
        <f t="shared" si="107"/>
        <v>50</v>
      </c>
      <c r="K129" s="15">
        <f t="shared" si="108"/>
        <v>196</v>
      </c>
      <c r="L129" s="17">
        <f t="shared" si="109"/>
        <v>64</v>
      </c>
      <c r="M129" s="18">
        <f t="shared" si="110"/>
        <v>196</v>
      </c>
      <c r="N129" s="14">
        <f t="shared" si="111"/>
        <v>64</v>
      </c>
      <c r="O129" s="15">
        <f t="shared" si="112"/>
        <v>211</v>
      </c>
      <c r="P129" s="17">
        <f t="shared" si="113"/>
        <v>50</v>
      </c>
      <c r="Q129" s="18">
        <f t="shared" si="114"/>
        <v>211</v>
      </c>
      <c r="R129" s="4" t="s">
        <v>0</v>
      </c>
      <c r="S129" s="16" t="str">
        <f t="shared" si="115"/>
        <v>02-33</v>
      </c>
      <c r="T129" s="14">
        <f t="shared" si="116"/>
        <v>50</v>
      </c>
      <c r="U129" s="18">
        <f t="shared" si="117"/>
        <v>554</v>
      </c>
      <c r="V129" s="14">
        <f t="shared" si="118"/>
        <v>64</v>
      </c>
      <c r="W129" s="18">
        <f t="shared" si="119"/>
        <v>554</v>
      </c>
      <c r="X129" s="14">
        <f t="shared" si="120"/>
        <v>64</v>
      </c>
      <c r="Y129" s="18">
        <f t="shared" si="121"/>
        <v>539</v>
      </c>
      <c r="Z129" s="14">
        <f t="shared" si="122"/>
        <v>50</v>
      </c>
      <c r="AA129" s="18">
        <f t="shared" si="123"/>
        <v>539</v>
      </c>
      <c r="AB129" s="4" t="s">
        <v>0</v>
      </c>
    </row>
    <row r="130" spans="1:28">
      <c r="A130" s="9" t="s">
        <v>550</v>
      </c>
      <c r="B130" s="24"/>
      <c r="C130" s="26"/>
      <c r="D130" s="25">
        <f t="shared" si="158"/>
        <v>64</v>
      </c>
      <c r="E130" s="29">
        <f t="shared" ref="E130" si="185">E129</f>
        <v>196</v>
      </c>
      <c r="F130" s="25">
        <f t="shared" si="155"/>
        <v>78</v>
      </c>
      <c r="G130" s="29">
        <f t="shared" si="100"/>
        <v>211</v>
      </c>
      <c r="H130" s="4" t="s">
        <v>0</v>
      </c>
      <c r="I130" s="16" t="str">
        <f t="shared" si="106"/>
        <v>02-32</v>
      </c>
      <c r="J130" s="14">
        <f t="shared" si="107"/>
        <v>64</v>
      </c>
      <c r="K130" s="15">
        <f t="shared" si="108"/>
        <v>196</v>
      </c>
      <c r="L130" s="17">
        <f t="shared" si="109"/>
        <v>78</v>
      </c>
      <c r="M130" s="18">
        <f t="shared" si="110"/>
        <v>196</v>
      </c>
      <c r="N130" s="14">
        <f t="shared" si="111"/>
        <v>78</v>
      </c>
      <c r="O130" s="15">
        <f t="shared" si="112"/>
        <v>211</v>
      </c>
      <c r="P130" s="17">
        <f t="shared" si="113"/>
        <v>64</v>
      </c>
      <c r="Q130" s="18">
        <f t="shared" si="114"/>
        <v>211</v>
      </c>
      <c r="R130" s="4" t="s">
        <v>0</v>
      </c>
      <c r="S130" s="16" t="str">
        <f t="shared" si="115"/>
        <v>02-32</v>
      </c>
      <c r="T130" s="14">
        <f t="shared" si="116"/>
        <v>64</v>
      </c>
      <c r="U130" s="18">
        <f t="shared" si="117"/>
        <v>554</v>
      </c>
      <c r="V130" s="14">
        <f t="shared" si="118"/>
        <v>78</v>
      </c>
      <c r="W130" s="18">
        <f t="shared" si="119"/>
        <v>554</v>
      </c>
      <c r="X130" s="14">
        <f t="shared" si="120"/>
        <v>78</v>
      </c>
      <c r="Y130" s="18">
        <f t="shared" si="121"/>
        <v>539</v>
      </c>
      <c r="Z130" s="14">
        <f t="shared" si="122"/>
        <v>64</v>
      </c>
      <c r="AA130" s="18">
        <f t="shared" si="123"/>
        <v>539</v>
      </c>
      <c r="AB130" s="4" t="s">
        <v>0</v>
      </c>
    </row>
    <row r="131" spans="1:28">
      <c r="A131" s="9" t="s">
        <v>549</v>
      </c>
      <c r="B131" s="24"/>
      <c r="C131" s="26"/>
      <c r="D131" s="25">
        <f t="shared" si="158"/>
        <v>78</v>
      </c>
      <c r="E131" s="29">
        <f t="shared" ref="E131" si="186">E130</f>
        <v>196</v>
      </c>
      <c r="F131" s="25">
        <f t="shared" si="155"/>
        <v>92</v>
      </c>
      <c r="G131" s="29">
        <f t="shared" si="100"/>
        <v>211</v>
      </c>
      <c r="H131" s="4" t="s">
        <v>0</v>
      </c>
      <c r="I131" s="16" t="str">
        <f t="shared" si="106"/>
        <v>02-31</v>
      </c>
      <c r="J131" s="14">
        <f t="shared" si="107"/>
        <v>78</v>
      </c>
      <c r="K131" s="15">
        <f t="shared" si="108"/>
        <v>196</v>
      </c>
      <c r="L131" s="17">
        <f t="shared" si="109"/>
        <v>92</v>
      </c>
      <c r="M131" s="18">
        <f t="shared" si="110"/>
        <v>196</v>
      </c>
      <c r="N131" s="14">
        <f t="shared" si="111"/>
        <v>92</v>
      </c>
      <c r="O131" s="15">
        <f t="shared" si="112"/>
        <v>211</v>
      </c>
      <c r="P131" s="17">
        <f t="shared" si="113"/>
        <v>78</v>
      </c>
      <c r="Q131" s="18">
        <f t="shared" si="114"/>
        <v>211</v>
      </c>
      <c r="R131" s="4" t="s">
        <v>0</v>
      </c>
      <c r="S131" s="16" t="str">
        <f t="shared" si="115"/>
        <v>02-31</v>
      </c>
      <c r="T131" s="14">
        <f t="shared" si="116"/>
        <v>78</v>
      </c>
      <c r="U131" s="18">
        <f t="shared" si="117"/>
        <v>554</v>
      </c>
      <c r="V131" s="14">
        <f t="shared" si="118"/>
        <v>92</v>
      </c>
      <c r="W131" s="18">
        <f t="shared" si="119"/>
        <v>554</v>
      </c>
      <c r="X131" s="14">
        <f t="shared" si="120"/>
        <v>92</v>
      </c>
      <c r="Y131" s="18">
        <f t="shared" si="121"/>
        <v>539</v>
      </c>
      <c r="Z131" s="14">
        <f t="shared" si="122"/>
        <v>78</v>
      </c>
      <c r="AA131" s="18">
        <f t="shared" si="123"/>
        <v>539</v>
      </c>
      <c r="AB131" s="4" t="s">
        <v>0</v>
      </c>
    </row>
    <row r="132" spans="1:28">
      <c r="A132" s="9" t="s">
        <v>423</v>
      </c>
      <c r="B132" s="24"/>
      <c r="C132" s="26"/>
      <c r="D132" s="25">
        <f t="shared" si="158"/>
        <v>92</v>
      </c>
      <c r="E132" s="29">
        <f t="shared" ref="E132" si="187">E131</f>
        <v>196</v>
      </c>
      <c r="F132" s="25">
        <f t="shared" si="155"/>
        <v>106</v>
      </c>
      <c r="G132" s="29">
        <f t="shared" si="100"/>
        <v>211</v>
      </c>
      <c r="H132" s="4" t="s">
        <v>0</v>
      </c>
      <c r="I132" s="16" t="str">
        <f t="shared" si="106"/>
        <v>02-30</v>
      </c>
      <c r="J132" s="14">
        <f t="shared" si="107"/>
        <v>92</v>
      </c>
      <c r="K132" s="15">
        <f t="shared" si="108"/>
        <v>196</v>
      </c>
      <c r="L132" s="17">
        <f t="shared" si="109"/>
        <v>106</v>
      </c>
      <c r="M132" s="18">
        <f t="shared" si="110"/>
        <v>196</v>
      </c>
      <c r="N132" s="14">
        <f t="shared" si="111"/>
        <v>106</v>
      </c>
      <c r="O132" s="15">
        <f t="shared" si="112"/>
        <v>211</v>
      </c>
      <c r="P132" s="17">
        <f t="shared" si="113"/>
        <v>92</v>
      </c>
      <c r="Q132" s="18">
        <f t="shared" si="114"/>
        <v>211</v>
      </c>
      <c r="R132" s="4" t="s">
        <v>0</v>
      </c>
      <c r="S132" s="16" t="str">
        <f t="shared" si="115"/>
        <v>02-30</v>
      </c>
      <c r="T132" s="14">
        <f t="shared" si="116"/>
        <v>92</v>
      </c>
      <c r="U132" s="18">
        <f t="shared" si="117"/>
        <v>554</v>
      </c>
      <c r="V132" s="14">
        <f t="shared" si="118"/>
        <v>106</v>
      </c>
      <c r="W132" s="18">
        <f t="shared" si="119"/>
        <v>554</v>
      </c>
      <c r="X132" s="14">
        <f t="shared" si="120"/>
        <v>106</v>
      </c>
      <c r="Y132" s="18">
        <f t="shared" si="121"/>
        <v>539</v>
      </c>
      <c r="Z132" s="14">
        <f t="shared" si="122"/>
        <v>92</v>
      </c>
      <c r="AA132" s="18">
        <f t="shared" si="123"/>
        <v>539</v>
      </c>
      <c r="AB132" s="4" t="s">
        <v>0</v>
      </c>
    </row>
    <row r="133" spans="1:28">
      <c r="A133" s="9" t="s">
        <v>422</v>
      </c>
      <c r="B133" s="24"/>
      <c r="C133" s="26"/>
      <c r="D133" s="25">
        <f t="shared" si="158"/>
        <v>105</v>
      </c>
      <c r="E133" s="29">
        <f t="shared" ref="E133" si="188">E132</f>
        <v>196</v>
      </c>
      <c r="F133" s="25">
        <f t="shared" si="155"/>
        <v>119</v>
      </c>
      <c r="G133" s="29">
        <f t="shared" si="100"/>
        <v>211</v>
      </c>
      <c r="H133" s="4" t="s">
        <v>0</v>
      </c>
      <c r="I133" s="16" t="str">
        <f t="shared" si="106"/>
        <v>02-28</v>
      </c>
      <c r="J133" s="14">
        <f t="shared" si="107"/>
        <v>105</v>
      </c>
      <c r="K133" s="15">
        <f t="shared" si="108"/>
        <v>196</v>
      </c>
      <c r="L133" s="17">
        <f t="shared" si="109"/>
        <v>119</v>
      </c>
      <c r="M133" s="18">
        <f t="shared" si="110"/>
        <v>196</v>
      </c>
      <c r="N133" s="14">
        <f t="shared" si="111"/>
        <v>119</v>
      </c>
      <c r="O133" s="15">
        <f t="shared" si="112"/>
        <v>211</v>
      </c>
      <c r="P133" s="17">
        <f t="shared" si="113"/>
        <v>105</v>
      </c>
      <c r="Q133" s="18">
        <f t="shared" si="114"/>
        <v>211</v>
      </c>
      <c r="R133" s="4" t="s">
        <v>0</v>
      </c>
      <c r="S133" s="16" t="str">
        <f t="shared" si="115"/>
        <v>02-28</v>
      </c>
      <c r="T133" s="14">
        <f t="shared" si="116"/>
        <v>105</v>
      </c>
      <c r="U133" s="18">
        <f t="shared" si="117"/>
        <v>554</v>
      </c>
      <c r="V133" s="14">
        <f t="shared" si="118"/>
        <v>119</v>
      </c>
      <c r="W133" s="18">
        <f t="shared" si="119"/>
        <v>554</v>
      </c>
      <c r="X133" s="14">
        <f t="shared" si="120"/>
        <v>119</v>
      </c>
      <c r="Y133" s="18">
        <f t="shared" si="121"/>
        <v>539</v>
      </c>
      <c r="Z133" s="14">
        <f t="shared" si="122"/>
        <v>105</v>
      </c>
      <c r="AA133" s="18">
        <f t="shared" si="123"/>
        <v>539</v>
      </c>
      <c r="AB133" s="4" t="s">
        <v>0</v>
      </c>
    </row>
    <row r="134" spans="1:28">
      <c r="A134" s="9" t="s">
        <v>421</v>
      </c>
      <c r="B134" s="24"/>
      <c r="C134" s="26"/>
      <c r="D134" s="25">
        <f t="shared" si="158"/>
        <v>119</v>
      </c>
      <c r="E134" s="29">
        <f t="shared" ref="E134" si="189">E133</f>
        <v>196</v>
      </c>
      <c r="F134" s="25">
        <f t="shared" si="155"/>
        <v>133</v>
      </c>
      <c r="G134" s="29">
        <f t="shared" si="100"/>
        <v>211</v>
      </c>
      <c r="H134" s="4" t="s">
        <v>0</v>
      </c>
      <c r="I134" s="16" t="str">
        <f t="shared" si="106"/>
        <v>02-27</v>
      </c>
      <c r="J134" s="14">
        <f t="shared" si="107"/>
        <v>119</v>
      </c>
      <c r="K134" s="15">
        <f t="shared" si="108"/>
        <v>196</v>
      </c>
      <c r="L134" s="17">
        <f t="shared" si="109"/>
        <v>133</v>
      </c>
      <c r="M134" s="18">
        <f t="shared" si="110"/>
        <v>196</v>
      </c>
      <c r="N134" s="14">
        <f t="shared" si="111"/>
        <v>133</v>
      </c>
      <c r="O134" s="15">
        <f t="shared" si="112"/>
        <v>211</v>
      </c>
      <c r="P134" s="17">
        <f t="shared" si="113"/>
        <v>119</v>
      </c>
      <c r="Q134" s="18">
        <f t="shared" si="114"/>
        <v>211</v>
      </c>
      <c r="R134" s="4" t="s">
        <v>0</v>
      </c>
      <c r="S134" s="16" t="str">
        <f t="shared" si="115"/>
        <v>02-27</v>
      </c>
      <c r="T134" s="14">
        <f t="shared" si="116"/>
        <v>119</v>
      </c>
      <c r="U134" s="18">
        <f t="shared" si="117"/>
        <v>554</v>
      </c>
      <c r="V134" s="14">
        <f t="shared" si="118"/>
        <v>133</v>
      </c>
      <c r="W134" s="18">
        <f t="shared" si="119"/>
        <v>554</v>
      </c>
      <c r="X134" s="14">
        <f t="shared" si="120"/>
        <v>133</v>
      </c>
      <c r="Y134" s="18">
        <f t="shared" si="121"/>
        <v>539</v>
      </c>
      <c r="Z134" s="14">
        <f t="shared" si="122"/>
        <v>119</v>
      </c>
      <c r="AA134" s="18">
        <f t="shared" si="123"/>
        <v>539</v>
      </c>
      <c r="AB134" s="4" t="s">
        <v>0</v>
      </c>
    </row>
    <row r="135" spans="1:28">
      <c r="A135" s="9" t="s">
        <v>420</v>
      </c>
      <c r="B135" s="24"/>
      <c r="C135" s="26"/>
      <c r="D135" s="25">
        <f t="shared" si="158"/>
        <v>133</v>
      </c>
      <c r="E135" s="29">
        <f t="shared" ref="E135" si="190">E134</f>
        <v>196</v>
      </c>
      <c r="F135" s="25">
        <f t="shared" si="155"/>
        <v>147</v>
      </c>
      <c r="G135" s="29">
        <f t="shared" ref="G135:G155" si="191">G134</f>
        <v>211</v>
      </c>
      <c r="H135" s="4" t="s">
        <v>0</v>
      </c>
      <c r="I135" s="16" t="str">
        <f t="shared" si="106"/>
        <v>02-26</v>
      </c>
      <c r="J135" s="14">
        <f t="shared" si="107"/>
        <v>133</v>
      </c>
      <c r="K135" s="15">
        <f t="shared" si="108"/>
        <v>196</v>
      </c>
      <c r="L135" s="17">
        <f t="shared" si="109"/>
        <v>147</v>
      </c>
      <c r="M135" s="18">
        <f t="shared" si="110"/>
        <v>196</v>
      </c>
      <c r="N135" s="14">
        <f t="shared" si="111"/>
        <v>147</v>
      </c>
      <c r="O135" s="15">
        <f t="shared" si="112"/>
        <v>211</v>
      </c>
      <c r="P135" s="17">
        <f t="shared" si="113"/>
        <v>133</v>
      </c>
      <c r="Q135" s="18">
        <f t="shared" si="114"/>
        <v>211</v>
      </c>
      <c r="R135" s="4" t="s">
        <v>0</v>
      </c>
      <c r="S135" s="16" t="str">
        <f t="shared" si="115"/>
        <v>02-26</v>
      </c>
      <c r="T135" s="14">
        <f t="shared" si="116"/>
        <v>133</v>
      </c>
      <c r="U135" s="18">
        <f t="shared" si="117"/>
        <v>554</v>
      </c>
      <c r="V135" s="14">
        <f t="shared" si="118"/>
        <v>147</v>
      </c>
      <c r="W135" s="18">
        <f t="shared" si="119"/>
        <v>554</v>
      </c>
      <c r="X135" s="14">
        <f t="shared" si="120"/>
        <v>147</v>
      </c>
      <c r="Y135" s="18">
        <f t="shared" si="121"/>
        <v>539</v>
      </c>
      <c r="Z135" s="14">
        <f t="shared" si="122"/>
        <v>133</v>
      </c>
      <c r="AA135" s="18">
        <f t="shared" si="123"/>
        <v>539</v>
      </c>
      <c r="AB135" s="4" t="s">
        <v>0</v>
      </c>
    </row>
    <row r="136" spans="1:28">
      <c r="A136" s="9" t="s">
        <v>419</v>
      </c>
      <c r="B136" s="24"/>
      <c r="C136" s="26"/>
      <c r="D136" s="25">
        <f t="shared" si="158"/>
        <v>146</v>
      </c>
      <c r="E136" s="29">
        <f t="shared" ref="E136" si="192">E135</f>
        <v>196</v>
      </c>
      <c r="F136" s="25">
        <f t="shared" si="155"/>
        <v>160</v>
      </c>
      <c r="G136" s="29">
        <f t="shared" si="191"/>
        <v>211</v>
      </c>
      <c r="H136" s="4" t="s">
        <v>0</v>
      </c>
      <c r="I136" s="16" t="str">
        <f t="shared" si="106"/>
        <v>02-25</v>
      </c>
      <c r="J136" s="14">
        <f t="shared" si="107"/>
        <v>146</v>
      </c>
      <c r="K136" s="15">
        <f t="shared" si="108"/>
        <v>196</v>
      </c>
      <c r="L136" s="17">
        <f t="shared" si="109"/>
        <v>160</v>
      </c>
      <c r="M136" s="18">
        <f t="shared" si="110"/>
        <v>196</v>
      </c>
      <c r="N136" s="14">
        <f t="shared" si="111"/>
        <v>160</v>
      </c>
      <c r="O136" s="15">
        <f t="shared" si="112"/>
        <v>211</v>
      </c>
      <c r="P136" s="17">
        <f t="shared" si="113"/>
        <v>146</v>
      </c>
      <c r="Q136" s="18">
        <f t="shared" si="114"/>
        <v>211</v>
      </c>
      <c r="R136" s="4" t="s">
        <v>0</v>
      </c>
      <c r="S136" s="16" t="str">
        <f t="shared" si="115"/>
        <v>02-25</v>
      </c>
      <c r="T136" s="14">
        <f t="shared" si="116"/>
        <v>146</v>
      </c>
      <c r="U136" s="18">
        <f t="shared" si="117"/>
        <v>554</v>
      </c>
      <c r="V136" s="14">
        <f t="shared" si="118"/>
        <v>160</v>
      </c>
      <c r="W136" s="18">
        <f t="shared" si="119"/>
        <v>554</v>
      </c>
      <c r="X136" s="14">
        <f t="shared" si="120"/>
        <v>160</v>
      </c>
      <c r="Y136" s="18">
        <f t="shared" si="121"/>
        <v>539</v>
      </c>
      <c r="Z136" s="14">
        <f t="shared" si="122"/>
        <v>146</v>
      </c>
      <c r="AA136" s="18">
        <f t="shared" si="123"/>
        <v>539</v>
      </c>
      <c r="AB136" s="4" t="s">
        <v>0</v>
      </c>
    </row>
    <row r="137" spans="1:28">
      <c r="A137" s="9" t="s">
        <v>418</v>
      </c>
      <c r="B137" s="24"/>
      <c r="C137" s="26"/>
      <c r="D137" s="25">
        <f t="shared" si="158"/>
        <v>160</v>
      </c>
      <c r="E137" s="29">
        <f t="shared" ref="E137" si="193">E136</f>
        <v>196</v>
      </c>
      <c r="F137" s="25">
        <f t="shared" si="155"/>
        <v>174</v>
      </c>
      <c r="G137" s="29">
        <f t="shared" si="191"/>
        <v>211</v>
      </c>
      <c r="H137" s="4" t="s">
        <v>0</v>
      </c>
      <c r="I137" s="16" t="str">
        <f t="shared" si="106"/>
        <v>02-23</v>
      </c>
      <c r="J137" s="14">
        <f t="shared" si="107"/>
        <v>160</v>
      </c>
      <c r="K137" s="15">
        <f t="shared" si="108"/>
        <v>196</v>
      </c>
      <c r="L137" s="17">
        <f t="shared" si="109"/>
        <v>174</v>
      </c>
      <c r="M137" s="18">
        <f t="shared" si="110"/>
        <v>196</v>
      </c>
      <c r="N137" s="14">
        <f t="shared" si="111"/>
        <v>174</v>
      </c>
      <c r="O137" s="15">
        <f t="shared" si="112"/>
        <v>211</v>
      </c>
      <c r="P137" s="17">
        <f t="shared" si="113"/>
        <v>160</v>
      </c>
      <c r="Q137" s="18">
        <f t="shared" si="114"/>
        <v>211</v>
      </c>
      <c r="R137" s="4" t="s">
        <v>0</v>
      </c>
      <c r="S137" s="16" t="str">
        <f t="shared" si="115"/>
        <v>02-23</v>
      </c>
      <c r="T137" s="14">
        <f t="shared" si="116"/>
        <v>160</v>
      </c>
      <c r="U137" s="18">
        <f t="shared" si="117"/>
        <v>554</v>
      </c>
      <c r="V137" s="14">
        <f t="shared" si="118"/>
        <v>174</v>
      </c>
      <c r="W137" s="18">
        <f t="shared" si="119"/>
        <v>554</v>
      </c>
      <c r="X137" s="14">
        <f t="shared" si="120"/>
        <v>174</v>
      </c>
      <c r="Y137" s="18">
        <f t="shared" si="121"/>
        <v>539</v>
      </c>
      <c r="Z137" s="14">
        <f t="shared" si="122"/>
        <v>160</v>
      </c>
      <c r="AA137" s="18">
        <f t="shared" si="123"/>
        <v>539</v>
      </c>
      <c r="AB137" s="4" t="s">
        <v>0</v>
      </c>
    </row>
    <row r="138" spans="1:28">
      <c r="A138" s="9" t="s">
        <v>417</v>
      </c>
      <c r="B138" s="24"/>
      <c r="C138" s="26"/>
      <c r="D138" s="25">
        <f t="shared" si="158"/>
        <v>174</v>
      </c>
      <c r="E138" s="29">
        <f t="shared" ref="E138" si="194">E137</f>
        <v>196</v>
      </c>
      <c r="F138" s="25">
        <f t="shared" si="155"/>
        <v>188</v>
      </c>
      <c r="G138" s="29">
        <f t="shared" si="191"/>
        <v>211</v>
      </c>
      <c r="H138" s="4" t="s">
        <v>0</v>
      </c>
      <c r="I138" s="16" t="str">
        <f t="shared" si="106"/>
        <v>02-22</v>
      </c>
      <c r="J138" s="14">
        <f t="shared" si="107"/>
        <v>174</v>
      </c>
      <c r="K138" s="15">
        <f t="shared" si="108"/>
        <v>196</v>
      </c>
      <c r="L138" s="17">
        <f t="shared" si="109"/>
        <v>188</v>
      </c>
      <c r="M138" s="18">
        <f t="shared" si="110"/>
        <v>196</v>
      </c>
      <c r="N138" s="14">
        <f t="shared" si="111"/>
        <v>188</v>
      </c>
      <c r="O138" s="15">
        <f t="shared" si="112"/>
        <v>211</v>
      </c>
      <c r="P138" s="17">
        <f t="shared" si="113"/>
        <v>174</v>
      </c>
      <c r="Q138" s="18">
        <f t="shared" si="114"/>
        <v>211</v>
      </c>
      <c r="R138" s="4" t="s">
        <v>0</v>
      </c>
      <c r="S138" s="16" t="str">
        <f t="shared" si="115"/>
        <v>02-22</v>
      </c>
      <c r="T138" s="14">
        <f t="shared" si="116"/>
        <v>174</v>
      </c>
      <c r="U138" s="18">
        <f t="shared" si="117"/>
        <v>554</v>
      </c>
      <c r="V138" s="14">
        <f t="shared" si="118"/>
        <v>188</v>
      </c>
      <c r="W138" s="18">
        <f t="shared" si="119"/>
        <v>554</v>
      </c>
      <c r="X138" s="14">
        <f t="shared" si="120"/>
        <v>188</v>
      </c>
      <c r="Y138" s="18">
        <f t="shared" si="121"/>
        <v>539</v>
      </c>
      <c r="Z138" s="14">
        <f t="shared" si="122"/>
        <v>174</v>
      </c>
      <c r="AA138" s="18">
        <f t="shared" si="123"/>
        <v>539</v>
      </c>
      <c r="AB138" s="4" t="s">
        <v>0</v>
      </c>
    </row>
    <row r="139" spans="1:28">
      <c r="A139" s="9" t="s">
        <v>241</v>
      </c>
      <c r="B139" s="24"/>
      <c r="C139" s="26"/>
      <c r="D139" s="25">
        <f t="shared" si="158"/>
        <v>187</v>
      </c>
      <c r="E139" s="29">
        <f t="shared" ref="E139" si="195">E138</f>
        <v>196</v>
      </c>
      <c r="F139" s="25">
        <f t="shared" si="155"/>
        <v>201</v>
      </c>
      <c r="G139" s="29">
        <f t="shared" si="191"/>
        <v>211</v>
      </c>
      <c r="H139" s="4" t="s">
        <v>0</v>
      </c>
      <c r="I139" s="16" t="str">
        <f t="shared" si="106"/>
        <v>02-21</v>
      </c>
      <c r="J139" s="14">
        <f t="shared" si="107"/>
        <v>187</v>
      </c>
      <c r="K139" s="15">
        <f t="shared" si="108"/>
        <v>196</v>
      </c>
      <c r="L139" s="17">
        <f t="shared" si="109"/>
        <v>201</v>
      </c>
      <c r="M139" s="18">
        <f t="shared" si="110"/>
        <v>196</v>
      </c>
      <c r="N139" s="14">
        <f t="shared" si="111"/>
        <v>201</v>
      </c>
      <c r="O139" s="15">
        <f t="shared" si="112"/>
        <v>211</v>
      </c>
      <c r="P139" s="17">
        <f t="shared" si="113"/>
        <v>187</v>
      </c>
      <c r="Q139" s="18">
        <f t="shared" si="114"/>
        <v>211</v>
      </c>
      <c r="R139" s="4" t="s">
        <v>0</v>
      </c>
      <c r="S139" s="16" t="str">
        <f t="shared" si="115"/>
        <v>02-21</v>
      </c>
      <c r="T139" s="14">
        <f t="shared" si="116"/>
        <v>187</v>
      </c>
      <c r="U139" s="18">
        <f t="shared" si="117"/>
        <v>554</v>
      </c>
      <c r="V139" s="14">
        <f t="shared" si="118"/>
        <v>201</v>
      </c>
      <c r="W139" s="18">
        <f t="shared" si="119"/>
        <v>554</v>
      </c>
      <c r="X139" s="14">
        <f t="shared" si="120"/>
        <v>201</v>
      </c>
      <c r="Y139" s="18">
        <f t="shared" si="121"/>
        <v>539</v>
      </c>
      <c r="Z139" s="14">
        <f t="shared" si="122"/>
        <v>187</v>
      </c>
      <c r="AA139" s="18">
        <f t="shared" si="123"/>
        <v>539</v>
      </c>
      <c r="AB139" s="4" t="s">
        <v>0</v>
      </c>
    </row>
    <row r="140" spans="1:28">
      <c r="A140" s="9" t="s">
        <v>153</v>
      </c>
      <c r="B140" s="24"/>
      <c r="C140" s="26"/>
      <c r="D140" s="25">
        <f t="shared" si="158"/>
        <v>201</v>
      </c>
      <c r="E140" s="29">
        <f t="shared" ref="E140" si="196">E139</f>
        <v>196</v>
      </c>
      <c r="F140" s="25">
        <f t="shared" si="155"/>
        <v>215</v>
      </c>
      <c r="G140" s="29">
        <f t="shared" si="191"/>
        <v>211</v>
      </c>
      <c r="H140" s="4" t="s">
        <v>0</v>
      </c>
      <c r="I140" s="16" t="str">
        <f t="shared" ref="I140:I174" si="197">A140</f>
        <v>02-20</v>
      </c>
      <c r="J140" s="14">
        <f t="shared" ref="J140:J174" si="198">IF(D140&lt;&gt;"",D140,0)</f>
        <v>201</v>
      </c>
      <c r="K140" s="15">
        <f t="shared" ref="K140:K174" si="199">IF(E140&lt;&gt;"",E140,0)</f>
        <v>196</v>
      </c>
      <c r="L140" s="17">
        <f t="shared" ref="L140:L174" si="200">N140</f>
        <v>215</v>
      </c>
      <c r="M140" s="18">
        <f t="shared" ref="M140:M174" si="201">K140</f>
        <v>196</v>
      </c>
      <c r="N140" s="14">
        <f t="shared" ref="N140:N174" si="202">IF(F140&lt;&gt;"",F140,0)</f>
        <v>215</v>
      </c>
      <c r="O140" s="15">
        <f t="shared" ref="O140:O174" si="203">IF(G140&lt;&gt;"",G140,0)</f>
        <v>211</v>
      </c>
      <c r="P140" s="17">
        <f t="shared" ref="P140:P174" si="204">J140</f>
        <v>201</v>
      </c>
      <c r="Q140" s="18">
        <f t="shared" ref="Q140:Q174" si="205">O140</f>
        <v>211</v>
      </c>
      <c r="R140" s="4" t="s">
        <v>0</v>
      </c>
      <c r="S140" s="16" t="str">
        <f t="shared" ref="S140:S174" si="206">I140</f>
        <v>02-20</v>
      </c>
      <c r="T140" s="14">
        <f t="shared" ref="T140:T174" si="207">IF(J140&lt;&gt;"",J140,"")</f>
        <v>201</v>
      </c>
      <c r="U140" s="18">
        <f t="shared" ref="U140:U174" si="208">IF(K140&lt;&gt;"",U$6-K140,"")</f>
        <v>554</v>
      </c>
      <c r="V140" s="14">
        <f t="shared" ref="V140:V174" si="209">IF(L140&lt;&gt;"",L140,"")</f>
        <v>215</v>
      </c>
      <c r="W140" s="18">
        <f t="shared" ref="W140:W174" si="210">IF(M140&lt;&gt;"",W$6-M140,"")</f>
        <v>554</v>
      </c>
      <c r="X140" s="14">
        <f t="shared" ref="X140:X174" si="211">IF(N140&lt;&gt;"",N140,"")</f>
        <v>215</v>
      </c>
      <c r="Y140" s="18">
        <f t="shared" ref="Y140:Y174" si="212">IF(O140&lt;&gt;"",Y$6-O140,"")</f>
        <v>539</v>
      </c>
      <c r="Z140" s="14">
        <f t="shared" ref="Z140:Z174" si="213">IF(P140&lt;&gt;"",P140,"")</f>
        <v>201</v>
      </c>
      <c r="AA140" s="18">
        <f t="shared" ref="AA140:AA174" si="214">IF(Q140&lt;&gt;"",AA$6-Q140,"")</f>
        <v>539</v>
      </c>
      <c r="AB140" s="4" t="s">
        <v>0</v>
      </c>
    </row>
    <row r="141" spans="1:28">
      <c r="A141" s="9" t="s">
        <v>152</v>
      </c>
      <c r="B141" s="24"/>
      <c r="C141" s="26"/>
      <c r="D141" s="25">
        <f t="shared" si="158"/>
        <v>215</v>
      </c>
      <c r="E141" s="29">
        <f t="shared" ref="E141" si="215">E140</f>
        <v>196</v>
      </c>
      <c r="F141" s="25">
        <f t="shared" si="155"/>
        <v>229</v>
      </c>
      <c r="G141" s="29">
        <f t="shared" si="191"/>
        <v>211</v>
      </c>
      <c r="H141" s="4" t="s">
        <v>0</v>
      </c>
      <c r="I141" s="16" t="str">
        <f t="shared" si="197"/>
        <v>02-18</v>
      </c>
      <c r="J141" s="14">
        <f t="shared" si="198"/>
        <v>215</v>
      </c>
      <c r="K141" s="15">
        <f t="shared" si="199"/>
        <v>196</v>
      </c>
      <c r="L141" s="17">
        <f t="shared" si="200"/>
        <v>229</v>
      </c>
      <c r="M141" s="18">
        <f t="shared" si="201"/>
        <v>196</v>
      </c>
      <c r="N141" s="14">
        <f t="shared" si="202"/>
        <v>229</v>
      </c>
      <c r="O141" s="15">
        <f t="shared" si="203"/>
        <v>211</v>
      </c>
      <c r="P141" s="17">
        <f t="shared" si="204"/>
        <v>215</v>
      </c>
      <c r="Q141" s="18">
        <f t="shared" si="205"/>
        <v>211</v>
      </c>
      <c r="R141" s="4" t="s">
        <v>0</v>
      </c>
      <c r="S141" s="16" t="str">
        <f t="shared" si="206"/>
        <v>02-18</v>
      </c>
      <c r="T141" s="14">
        <f t="shared" si="207"/>
        <v>215</v>
      </c>
      <c r="U141" s="18">
        <f t="shared" si="208"/>
        <v>554</v>
      </c>
      <c r="V141" s="14">
        <f t="shared" si="209"/>
        <v>229</v>
      </c>
      <c r="W141" s="18">
        <f t="shared" si="210"/>
        <v>554</v>
      </c>
      <c r="X141" s="14">
        <f t="shared" si="211"/>
        <v>229</v>
      </c>
      <c r="Y141" s="18">
        <f t="shared" si="212"/>
        <v>539</v>
      </c>
      <c r="Z141" s="14">
        <f t="shared" si="213"/>
        <v>215</v>
      </c>
      <c r="AA141" s="18">
        <f t="shared" si="214"/>
        <v>539</v>
      </c>
      <c r="AB141" s="4" t="s">
        <v>0</v>
      </c>
    </row>
    <row r="142" spans="1:28">
      <c r="A142" s="9" t="s">
        <v>151</v>
      </c>
      <c r="B142" s="24"/>
      <c r="C142" s="26"/>
      <c r="D142" s="25">
        <f t="shared" si="158"/>
        <v>248</v>
      </c>
      <c r="E142" s="29">
        <f t="shared" ref="E142" si="216">E141</f>
        <v>196</v>
      </c>
      <c r="F142" s="25">
        <f t="shared" si="155"/>
        <v>262</v>
      </c>
      <c r="G142" s="29">
        <f t="shared" si="191"/>
        <v>211</v>
      </c>
      <c r="H142" s="4" t="s">
        <v>0</v>
      </c>
      <c r="I142" s="16" t="str">
        <f t="shared" si="197"/>
        <v>02-17</v>
      </c>
      <c r="J142" s="14">
        <f t="shared" si="198"/>
        <v>248</v>
      </c>
      <c r="K142" s="15">
        <f t="shared" si="199"/>
        <v>196</v>
      </c>
      <c r="L142" s="17">
        <f t="shared" si="200"/>
        <v>262</v>
      </c>
      <c r="M142" s="18">
        <f t="shared" si="201"/>
        <v>196</v>
      </c>
      <c r="N142" s="14">
        <f t="shared" si="202"/>
        <v>262</v>
      </c>
      <c r="O142" s="15">
        <f t="shared" si="203"/>
        <v>211</v>
      </c>
      <c r="P142" s="17">
        <f t="shared" si="204"/>
        <v>248</v>
      </c>
      <c r="Q142" s="18">
        <f t="shared" si="205"/>
        <v>211</v>
      </c>
      <c r="R142" s="4" t="s">
        <v>0</v>
      </c>
      <c r="S142" s="16" t="str">
        <f t="shared" si="206"/>
        <v>02-17</v>
      </c>
      <c r="T142" s="14">
        <f t="shared" si="207"/>
        <v>248</v>
      </c>
      <c r="U142" s="18">
        <f t="shared" si="208"/>
        <v>554</v>
      </c>
      <c r="V142" s="14">
        <f t="shared" si="209"/>
        <v>262</v>
      </c>
      <c r="W142" s="18">
        <f t="shared" si="210"/>
        <v>554</v>
      </c>
      <c r="X142" s="14">
        <f t="shared" si="211"/>
        <v>262</v>
      </c>
      <c r="Y142" s="18">
        <f t="shared" si="212"/>
        <v>539</v>
      </c>
      <c r="Z142" s="14">
        <f t="shared" si="213"/>
        <v>248</v>
      </c>
      <c r="AA142" s="18">
        <f t="shared" si="214"/>
        <v>539</v>
      </c>
      <c r="AB142" s="4" t="s">
        <v>0</v>
      </c>
    </row>
    <row r="143" spans="1:28">
      <c r="A143" s="9" t="s">
        <v>150</v>
      </c>
      <c r="B143" s="24"/>
      <c r="C143" s="26"/>
      <c r="D143" s="25">
        <f t="shared" si="158"/>
        <v>262</v>
      </c>
      <c r="E143" s="29">
        <f t="shared" ref="E143" si="217">E142</f>
        <v>196</v>
      </c>
      <c r="F143" s="25">
        <f t="shared" si="155"/>
        <v>276</v>
      </c>
      <c r="G143" s="29">
        <f t="shared" si="191"/>
        <v>211</v>
      </c>
      <c r="H143" s="4" t="s">
        <v>0</v>
      </c>
      <c r="I143" s="16" t="str">
        <f t="shared" si="197"/>
        <v>02-16</v>
      </c>
      <c r="J143" s="14">
        <f t="shared" si="198"/>
        <v>262</v>
      </c>
      <c r="K143" s="15">
        <f t="shared" si="199"/>
        <v>196</v>
      </c>
      <c r="L143" s="17">
        <f t="shared" si="200"/>
        <v>276</v>
      </c>
      <c r="M143" s="18">
        <f t="shared" si="201"/>
        <v>196</v>
      </c>
      <c r="N143" s="14">
        <f t="shared" si="202"/>
        <v>276</v>
      </c>
      <c r="O143" s="15">
        <f t="shared" si="203"/>
        <v>211</v>
      </c>
      <c r="P143" s="17">
        <f t="shared" si="204"/>
        <v>262</v>
      </c>
      <c r="Q143" s="18">
        <f t="shared" si="205"/>
        <v>211</v>
      </c>
      <c r="R143" s="4" t="s">
        <v>0</v>
      </c>
      <c r="S143" s="16" t="str">
        <f t="shared" si="206"/>
        <v>02-16</v>
      </c>
      <c r="T143" s="14">
        <f t="shared" si="207"/>
        <v>262</v>
      </c>
      <c r="U143" s="18">
        <f t="shared" si="208"/>
        <v>554</v>
      </c>
      <c r="V143" s="14">
        <f t="shared" si="209"/>
        <v>276</v>
      </c>
      <c r="W143" s="18">
        <f t="shared" si="210"/>
        <v>554</v>
      </c>
      <c r="X143" s="14">
        <f t="shared" si="211"/>
        <v>276</v>
      </c>
      <c r="Y143" s="18">
        <f t="shared" si="212"/>
        <v>539</v>
      </c>
      <c r="Z143" s="14">
        <f t="shared" si="213"/>
        <v>262</v>
      </c>
      <c r="AA143" s="18">
        <f t="shared" si="214"/>
        <v>539</v>
      </c>
      <c r="AB143" s="4" t="s">
        <v>0</v>
      </c>
    </row>
    <row r="144" spans="1:28">
      <c r="A144" s="9" t="s">
        <v>149</v>
      </c>
      <c r="B144" s="24"/>
      <c r="C144" s="26"/>
      <c r="D144" s="25">
        <f t="shared" si="158"/>
        <v>275</v>
      </c>
      <c r="E144" s="29">
        <f t="shared" ref="E144" si="218">E143</f>
        <v>196</v>
      </c>
      <c r="F144" s="25">
        <f t="shared" si="155"/>
        <v>289</v>
      </c>
      <c r="G144" s="29">
        <f t="shared" si="191"/>
        <v>211</v>
      </c>
      <c r="H144" s="4" t="s">
        <v>0</v>
      </c>
      <c r="I144" s="16" t="str">
        <f t="shared" si="197"/>
        <v>02-15</v>
      </c>
      <c r="J144" s="14">
        <f t="shared" si="198"/>
        <v>275</v>
      </c>
      <c r="K144" s="15">
        <f t="shared" si="199"/>
        <v>196</v>
      </c>
      <c r="L144" s="17">
        <f t="shared" si="200"/>
        <v>289</v>
      </c>
      <c r="M144" s="18">
        <f t="shared" si="201"/>
        <v>196</v>
      </c>
      <c r="N144" s="14">
        <f t="shared" si="202"/>
        <v>289</v>
      </c>
      <c r="O144" s="15">
        <f t="shared" si="203"/>
        <v>211</v>
      </c>
      <c r="P144" s="17">
        <f t="shared" si="204"/>
        <v>275</v>
      </c>
      <c r="Q144" s="18">
        <f t="shared" si="205"/>
        <v>211</v>
      </c>
      <c r="R144" s="4" t="s">
        <v>0</v>
      </c>
      <c r="S144" s="16" t="str">
        <f t="shared" si="206"/>
        <v>02-15</v>
      </c>
      <c r="T144" s="14">
        <f t="shared" si="207"/>
        <v>275</v>
      </c>
      <c r="U144" s="18">
        <f t="shared" si="208"/>
        <v>554</v>
      </c>
      <c r="V144" s="14">
        <f t="shared" si="209"/>
        <v>289</v>
      </c>
      <c r="W144" s="18">
        <f t="shared" si="210"/>
        <v>554</v>
      </c>
      <c r="X144" s="14">
        <f t="shared" si="211"/>
        <v>289</v>
      </c>
      <c r="Y144" s="18">
        <f t="shared" si="212"/>
        <v>539</v>
      </c>
      <c r="Z144" s="14">
        <f t="shared" si="213"/>
        <v>275</v>
      </c>
      <c r="AA144" s="18">
        <f t="shared" si="214"/>
        <v>539</v>
      </c>
      <c r="AB144" s="4" t="s">
        <v>0</v>
      </c>
    </row>
    <row r="145" spans="1:28">
      <c r="A145" s="9" t="s">
        <v>148</v>
      </c>
      <c r="B145" s="24"/>
      <c r="C145" s="26"/>
      <c r="D145" s="25">
        <f t="shared" si="158"/>
        <v>289</v>
      </c>
      <c r="E145" s="29">
        <f t="shared" ref="E145" si="219">E144</f>
        <v>196</v>
      </c>
      <c r="F145" s="25">
        <f t="shared" si="155"/>
        <v>303</v>
      </c>
      <c r="G145" s="29">
        <f t="shared" si="191"/>
        <v>211</v>
      </c>
      <c r="H145" s="4" t="s">
        <v>0</v>
      </c>
      <c r="I145" s="16" t="str">
        <f t="shared" si="197"/>
        <v>02-13</v>
      </c>
      <c r="J145" s="14">
        <f t="shared" si="198"/>
        <v>289</v>
      </c>
      <c r="K145" s="15">
        <f t="shared" si="199"/>
        <v>196</v>
      </c>
      <c r="L145" s="17">
        <f t="shared" si="200"/>
        <v>303</v>
      </c>
      <c r="M145" s="18">
        <f t="shared" si="201"/>
        <v>196</v>
      </c>
      <c r="N145" s="14">
        <f t="shared" si="202"/>
        <v>303</v>
      </c>
      <c r="O145" s="15">
        <f t="shared" si="203"/>
        <v>211</v>
      </c>
      <c r="P145" s="17">
        <f t="shared" si="204"/>
        <v>289</v>
      </c>
      <c r="Q145" s="18">
        <f t="shared" si="205"/>
        <v>211</v>
      </c>
      <c r="R145" s="4" t="s">
        <v>0</v>
      </c>
      <c r="S145" s="16" t="str">
        <f t="shared" si="206"/>
        <v>02-13</v>
      </c>
      <c r="T145" s="14">
        <f t="shared" si="207"/>
        <v>289</v>
      </c>
      <c r="U145" s="18">
        <f t="shared" si="208"/>
        <v>554</v>
      </c>
      <c r="V145" s="14">
        <f t="shared" si="209"/>
        <v>303</v>
      </c>
      <c r="W145" s="18">
        <f t="shared" si="210"/>
        <v>554</v>
      </c>
      <c r="X145" s="14">
        <f t="shared" si="211"/>
        <v>303</v>
      </c>
      <c r="Y145" s="18">
        <f t="shared" si="212"/>
        <v>539</v>
      </c>
      <c r="Z145" s="14">
        <f t="shared" si="213"/>
        <v>289</v>
      </c>
      <c r="AA145" s="18">
        <f t="shared" si="214"/>
        <v>539</v>
      </c>
      <c r="AB145" s="4" t="s">
        <v>0</v>
      </c>
    </row>
    <row r="146" spans="1:28">
      <c r="A146" s="9" t="s">
        <v>29</v>
      </c>
      <c r="B146" s="24"/>
      <c r="C146" s="26"/>
      <c r="D146" s="25">
        <f t="shared" si="158"/>
        <v>303</v>
      </c>
      <c r="E146" s="29">
        <f t="shared" ref="E146" si="220">E145</f>
        <v>196</v>
      </c>
      <c r="F146" s="25">
        <f t="shared" si="155"/>
        <v>317</v>
      </c>
      <c r="G146" s="29">
        <f t="shared" si="191"/>
        <v>211</v>
      </c>
      <c r="H146" s="4" t="s">
        <v>0</v>
      </c>
      <c r="I146" s="16" t="str">
        <f t="shared" si="197"/>
        <v>02-12</v>
      </c>
      <c r="J146" s="14">
        <f t="shared" si="198"/>
        <v>303</v>
      </c>
      <c r="K146" s="15">
        <f t="shared" si="199"/>
        <v>196</v>
      </c>
      <c r="L146" s="17">
        <f t="shared" si="200"/>
        <v>317</v>
      </c>
      <c r="M146" s="18">
        <f t="shared" si="201"/>
        <v>196</v>
      </c>
      <c r="N146" s="14">
        <f t="shared" si="202"/>
        <v>317</v>
      </c>
      <c r="O146" s="15">
        <f t="shared" si="203"/>
        <v>211</v>
      </c>
      <c r="P146" s="17">
        <f t="shared" si="204"/>
        <v>303</v>
      </c>
      <c r="Q146" s="18">
        <f t="shared" si="205"/>
        <v>211</v>
      </c>
      <c r="R146" s="4" t="s">
        <v>0</v>
      </c>
      <c r="S146" s="16" t="str">
        <f t="shared" si="206"/>
        <v>02-12</v>
      </c>
      <c r="T146" s="14">
        <f t="shared" si="207"/>
        <v>303</v>
      </c>
      <c r="U146" s="18">
        <f t="shared" si="208"/>
        <v>554</v>
      </c>
      <c r="V146" s="14">
        <f t="shared" si="209"/>
        <v>317</v>
      </c>
      <c r="W146" s="18">
        <f t="shared" si="210"/>
        <v>554</v>
      </c>
      <c r="X146" s="14">
        <f t="shared" si="211"/>
        <v>317</v>
      </c>
      <c r="Y146" s="18">
        <f t="shared" si="212"/>
        <v>539</v>
      </c>
      <c r="Z146" s="14">
        <f t="shared" si="213"/>
        <v>303</v>
      </c>
      <c r="AA146" s="18">
        <f t="shared" si="214"/>
        <v>539</v>
      </c>
      <c r="AB146" s="4" t="s">
        <v>0</v>
      </c>
    </row>
    <row r="147" spans="1:28">
      <c r="A147" s="9" t="s">
        <v>28</v>
      </c>
      <c r="B147" s="24"/>
      <c r="C147" s="26"/>
      <c r="D147" s="25">
        <f t="shared" si="158"/>
        <v>317</v>
      </c>
      <c r="E147" s="29">
        <f t="shared" ref="E147" si="221">E146</f>
        <v>196</v>
      </c>
      <c r="F147" s="25">
        <f t="shared" si="155"/>
        <v>331</v>
      </c>
      <c r="G147" s="29">
        <f t="shared" si="191"/>
        <v>211</v>
      </c>
      <c r="H147" s="4" t="s">
        <v>0</v>
      </c>
      <c r="I147" s="16" t="str">
        <f t="shared" si="197"/>
        <v>02-11</v>
      </c>
      <c r="J147" s="14">
        <f t="shared" si="198"/>
        <v>317</v>
      </c>
      <c r="K147" s="15">
        <f t="shared" si="199"/>
        <v>196</v>
      </c>
      <c r="L147" s="17">
        <f t="shared" si="200"/>
        <v>331</v>
      </c>
      <c r="M147" s="18">
        <f t="shared" si="201"/>
        <v>196</v>
      </c>
      <c r="N147" s="14">
        <f t="shared" si="202"/>
        <v>331</v>
      </c>
      <c r="O147" s="15">
        <f t="shared" si="203"/>
        <v>211</v>
      </c>
      <c r="P147" s="17">
        <f t="shared" si="204"/>
        <v>317</v>
      </c>
      <c r="Q147" s="18">
        <f t="shared" si="205"/>
        <v>211</v>
      </c>
      <c r="R147" s="4" t="s">
        <v>0</v>
      </c>
      <c r="S147" s="16" t="str">
        <f t="shared" si="206"/>
        <v>02-11</v>
      </c>
      <c r="T147" s="14">
        <f t="shared" si="207"/>
        <v>317</v>
      </c>
      <c r="U147" s="18">
        <f t="shared" si="208"/>
        <v>554</v>
      </c>
      <c r="V147" s="14">
        <f t="shared" si="209"/>
        <v>331</v>
      </c>
      <c r="W147" s="18">
        <f t="shared" si="210"/>
        <v>554</v>
      </c>
      <c r="X147" s="14">
        <f t="shared" si="211"/>
        <v>331</v>
      </c>
      <c r="Y147" s="18">
        <f t="shared" si="212"/>
        <v>539</v>
      </c>
      <c r="Z147" s="14">
        <f t="shared" si="213"/>
        <v>317</v>
      </c>
      <c r="AA147" s="18">
        <f t="shared" si="214"/>
        <v>539</v>
      </c>
      <c r="AB147" s="4" t="s">
        <v>0</v>
      </c>
    </row>
    <row r="148" spans="1:28">
      <c r="A148" s="9" t="s">
        <v>27</v>
      </c>
      <c r="B148" s="24"/>
      <c r="C148" s="26"/>
      <c r="D148" s="25">
        <f t="shared" si="158"/>
        <v>330</v>
      </c>
      <c r="E148" s="29">
        <f t="shared" ref="E148" si="222">E147</f>
        <v>196</v>
      </c>
      <c r="F148" s="25">
        <f t="shared" si="155"/>
        <v>344</v>
      </c>
      <c r="G148" s="29">
        <f t="shared" si="191"/>
        <v>211</v>
      </c>
      <c r="H148" s="4" t="s">
        <v>0</v>
      </c>
      <c r="I148" s="16" t="str">
        <f t="shared" si="197"/>
        <v>02-10</v>
      </c>
      <c r="J148" s="14">
        <f t="shared" si="198"/>
        <v>330</v>
      </c>
      <c r="K148" s="15">
        <f t="shared" si="199"/>
        <v>196</v>
      </c>
      <c r="L148" s="17">
        <f t="shared" si="200"/>
        <v>344</v>
      </c>
      <c r="M148" s="18">
        <f t="shared" si="201"/>
        <v>196</v>
      </c>
      <c r="N148" s="14">
        <f t="shared" si="202"/>
        <v>344</v>
      </c>
      <c r="O148" s="15">
        <f t="shared" si="203"/>
        <v>211</v>
      </c>
      <c r="P148" s="17">
        <f t="shared" si="204"/>
        <v>330</v>
      </c>
      <c r="Q148" s="18">
        <f t="shared" si="205"/>
        <v>211</v>
      </c>
      <c r="R148" s="4" t="s">
        <v>0</v>
      </c>
      <c r="S148" s="16" t="str">
        <f t="shared" si="206"/>
        <v>02-10</v>
      </c>
      <c r="T148" s="14">
        <f t="shared" si="207"/>
        <v>330</v>
      </c>
      <c r="U148" s="18">
        <f t="shared" si="208"/>
        <v>554</v>
      </c>
      <c r="V148" s="14">
        <f t="shared" si="209"/>
        <v>344</v>
      </c>
      <c r="W148" s="18">
        <f t="shared" si="210"/>
        <v>554</v>
      </c>
      <c r="X148" s="14">
        <f t="shared" si="211"/>
        <v>344</v>
      </c>
      <c r="Y148" s="18">
        <f t="shared" si="212"/>
        <v>539</v>
      </c>
      <c r="Z148" s="14">
        <f t="shared" si="213"/>
        <v>330</v>
      </c>
      <c r="AA148" s="18">
        <f t="shared" si="214"/>
        <v>539</v>
      </c>
      <c r="AB148" s="4" t="s">
        <v>0</v>
      </c>
    </row>
    <row r="149" spans="1:28">
      <c r="A149" s="9" t="s">
        <v>26</v>
      </c>
      <c r="B149" s="24"/>
      <c r="C149" s="26"/>
      <c r="D149" s="25">
        <f t="shared" si="158"/>
        <v>344</v>
      </c>
      <c r="E149" s="29">
        <f t="shared" ref="E149" si="223">E148</f>
        <v>196</v>
      </c>
      <c r="F149" s="25">
        <f t="shared" si="155"/>
        <v>358</v>
      </c>
      <c r="G149" s="29">
        <f t="shared" si="191"/>
        <v>211</v>
      </c>
      <c r="H149" s="4" t="s">
        <v>0</v>
      </c>
      <c r="I149" s="16" t="str">
        <f t="shared" si="197"/>
        <v>02-08</v>
      </c>
      <c r="J149" s="14">
        <f t="shared" si="198"/>
        <v>344</v>
      </c>
      <c r="K149" s="15">
        <f t="shared" si="199"/>
        <v>196</v>
      </c>
      <c r="L149" s="17">
        <f t="shared" si="200"/>
        <v>358</v>
      </c>
      <c r="M149" s="18">
        <f t="shared" si="201"/>
        <v>196</v>
      </c>
      <c r="N149" s="14">
        <f t="shared" si="202"/>
        <v>358</v>
      </c>
      <c r="O149" s="15">
        <f t="shared" si="203"/>
        <v>211</v>
      </c>
      <c r="P149" s="17">
        <f t="shared" si="204"/>
        <v>344</v>
      </c>
      <c r="Q149" s="18">
        <f t="shared" si="205"/>
        <v>211</v>
      </c>
      <c r="R149" s="4" t="s">
        <v>0</v>
      </c>
      <c r="S149" s="16" t="str">
        <f t="shared" si="206"/>
        <v>02-08</v>
      </c>
      <c r="T149" s="14">
        <f t="shared" si="207"/>
        <v>344</v>
      </c>
      <c r="U149" s="18">
        <f t="shared" si="208"/>
        <v>554</v>
      </c>
      <c r="V149" s="14">
        <f t="shared" si="209"/>
        <v>358</v>
      </c>
      <c r="W149" s="18">
        <f t="shared" si="210"/>
        <v>554</v>
      </c>
      <c r="X149" s="14">
        <f t="shared" si="211"/>
        <v>358</v>
      </c>
      <c r="Y149" s="18">
        <f t="shared" si="212"/>
        <v>539</v>
      </c>
      <c r="Z149" s="14">
        <f t="shared" si="213"/>
        <v>344</v>
      </c>
      <c r="AA149" s="18">
        <f t="shared" si="214"/>
        <v>539</v>
      </c>
      <c r="AB149" s="4" t="s">
        <v>0</v>
      </c>
    </row>
    <row r="150" spans="1:28">
      <c r="A150" s="9" t="s">
        <v>25</v>
      </c>
      <c r="B150" s="24"/>
      <c r="C150" s="26"/>
      <c r="D150" s="25">
        <f t="shared" si="158"/>
        <v>358</v>
      </c>
      <c r="E150" s="29">
        <f t="shared" ref="E150" si="224">E149</f>
        <v>196</v>
      </c>
      <c r="F150" s="25">
        <f t="shared" si="155"/>
        <v>372</v>
      </c>
      <c r="G150" s="29">
        <f t="shared" si="191"/>
        <v>211</v>
      </c>
      <c r="H150" s="4" t="s">
        <v>0</v>
      </c>
      <c r="I150" s="16" t="str">
        <f t="shared" si="197"/>
        <v>02-07</v>
      </c>
      <c r="J150" s="14">
        <f t="shared" si="198"/>
        <v>358</v>
      </c>
      <c r="K150" s="15">
        <f t="shared" si="199"/>
        <v>196</v>
      </c>
      <c r="L150" s="17">
        <f t="shared" si="200"/>
        <v>372</v>
      </c>
      <c r="M150" s="18">
        <f t="shared" si="201"/>
        <v>196</v>
      </c>
      <c r="N150" s="14">
        <f t="shared" si="202"/>
        <v>372</v>
      </c>
      <c r="O150" s="15">
        <f t="shared" si="203"/>
        <v>211</v>
      </c>
      <c r="P150" s="17">
        <f t="shared" si="204"/>
        <v>358</v>
      </c>
      <c r="Q150" s="18">
        <f t="shared" si="205"/>
        <v>211</v>
      </c>
      <c r="R150" s="4" t="s">
        <v>0</v>
      </c>
      <c r="S150" s="16" t="str">
        <f t="shared" si="206"/>
        <v>02-07</v>
      </c>
      <c r="T150" s="14">
        <f t="shared" si="207"/>
        <v>358</v>
      </c>
      <c r="U150" s="18">
        <f t="shared" si="208"/>
        <v>554</v>
      </c>
      <c r="V150" s="14">
        <f t="shared" si="209"/>
        <v>372</v>
      </c>
      <c r="W150" s="18">
        <f t="shared" si="210"/>
        <v>554</v>
      </c>
      <c r="X150" s="14">
        <f t="shared" si="211"/>
        <v>372</v>
      </c>
      <c r="Y150" s="18">
        <f t="shared" si="212"/>
        <v>539</v>
      </c>
      <c r="Z150" s="14">
        <f t="shared" si="213"/>
        <v>358</v>
      </c>
      <c r="AA150" s="18">
        <f t="shared" si="214"/>
        <v>539</v>
      </c>
      <c r="AB150" s="4" t="s">
        <v>0</v>
      </c>
    </row>
    <row r="151" spans="1:28">
      <c r="A151" s="9" t="s">
        <v>24</v>
      </c>
      <c r="B151" s="24"/>
      <c r="C151" s="26"/>
      <c r="D151" s="25">
        <f t="shared" si="158"/>
        <v>371</v>
      </c>
      <c r="E151" s="29">
        <f t="shared" ref="E151" si="225">E150</f>
        <v>196</v>
      </c>
      <c r="F151" s="25">
        <f t="shared" si="155"/>
        <v>385</v>
      </c>
      <c r="G151" s="29">
        <f t="shared" si="191"/>
        <v>211</v>
      </c>
      <c r="H151" s="4" t="s">
        <v>0</v>
      </c>
      <c r="I151" s="16" t="str">
        <f t="shared" si="197"/>
        <v>02-06</v>
      </c>
      <c r="J151" s="14">
        <f t="shared" si="198"/>
        <v>371</v>
      </c>
      <c r="K151" s="15">
        <f t="shared" si="199"/>
        <v>196</v>
      </c>
      <c r="L151" s="17">
        <f t="shared" si="200"/>
        <v>385</v>
      </c>
      <c r="M151" s="18">
        <f t="shared" si="201"/>
        <v>196</v>
      </c>
      <c r="N151" s="14">
        <f t="shared" si="202"/>
        <v>385</v>
      </c>
      <c r="O151" s="15">
        <f t="shared" si="203"/>
        <v>211</v>
      </c>
      <c r="P151" s="17">
        <f t="shared" si="204"/>
        <v>371</v>
      </c>
      <c r="Q151" s="18">
        <f t="shared" si="205"/>
        <v>211</v>
      </c>
      <c r="R151" s="4" t="s">
        <v>0</v>
      </c>
      <c r="S151" s="16" t="str">
        <f t="shared" si="206"/>
        <v>02-06</v>
      </c>
      <c r="T151" s="14">
        <f t="shared" si="207"/>
        <v>371</v>
      </c>
      <c r="U151" s="18">
        <f t="shared" si="208"/>
        <v>554</v>
      </c>
      <c r="V151" s="14">
        <f t="shared" si="209"/>
        <v>385</v>
      </c>
      <c r="W151" s="18">
        <f t="shared" si="210"/>
        <v>554</v>
      </c>
      <c r="X151" s="14">
        <f t="shared" si="211"/>
        <v>385</v>
      </c>
      <c r="Y151" s="18">
        <f t="shared" si="212"/>
        <v>539</v>
      </c>
      <c r="Z151" s="14">
        <f t="shared" si="213"/>
        <v>371</v>
      </c>
      <c r="AA151" s="18">
        <f t="shared" si="214"/>
        <v>539</v>
      </c>
      <c r="AB151" s="4" t="s">
        <v>0</v>
      </c>
    </row>
    <row r="152" spans="1:28">
      <c r="A152" s="9" t="s">
        <v>23</v>
      </c>
      <c r="B152" s="24"/>
      <c r="C152" s="26"/>
      <c r="D152" s="25">
        <f t="shared" si="158"/>
        <v>385</v>
      </c>
      <c r="E152" s="29">
        <f t="shared" ref="E152" si="226">E151</f>
        <v>196</v>
      </c>
      <c r="F152" s="25">
        <f t="shared" si="155"/>
        <v>399</v>
      </c>
      <c r="G152" s="29">
        <f t="shared" si="191"/>
        <v>211</v>
      </c>
      <c r="H152" s="4" t="s">
        <v>0</v>
      </c>
      <c r="I152" s="16" t="str">
        <f t="shared" si="197"/>
        <v>02-05</v>
      </c>
      <c r="J152" s="14">
        <f t="shared" si="198"/>
        <v>385</v>
      </c>
      <c r="K152" s="15">
        <f t="shared" si="199"/>
        <v>196</v>
      </c>
      <c r="L152" s="17">
        <f t="shared" si="200"/>
        <v>399</v>
      </c>
      <c r="M152" s="18">
        <f t="shared" si="201"/>
        <v>196</v>
      </c>
      <c r="N152" s="14">
        <f t="shared" si="202"/>
        <v>399</v>
      </c>
      <c r="O152" s="15">
        <f t="shared" si="203"/>
        <v>211</v>
      </c>
      <c r="P152" s="17">
        <f t="shared" si="204"/>
        <v>385</v>
      </c>
      <c r="Q152" s="18">
        <f t="shared" si="205"/>
        <v>211</v>
      </c>
      <c r="R152" s="4" t="s">
        <v>0</v>
      </c>
      <c r="S152" s="16" t="str">
        <f t="shared" si="206"/>
        <v>02-05</v>
      </c>
      <c r="T152" s="14">
        <f t="shared" si="207"/>
        <v>385</v>
      </c>
      <c r="U152" s="18">
        <f t="shared" si="208"/>
        <v>554</v>
      </c>
      <c r="V152" s="14">
        <f t="shared" si="209"/>
        <v>399</v>
      </c>
      <c r="W152" s="18">
        <f t="shared" si="210"/>
        <v>554</v>
      </c>
      <c r="X152" s="14">
        <f t="shared" si="211"/>
        <v>399</v>
      </c>
      <c r="Y152" s="18">
        <f t="shared" si="212"/>
        <v>539</v>
      </c>
      <c r="Z152" s="14">
        <f t="shared" si="213"/>
        <v>385</v>
      </c>
      <c r="AA152" s="18">
        <f t="shared" si="214"/>
        <v>539</v>
      </c>
      <c r="AB152" s="4" t="s">
        <v>0</v>
      </c>
    </row>
    <row r="153" spans="1:28">
      <c r="A153" s="9" t="s">
        <v>22</v>
      </c>
      <c r="B153" s="24"/>
      <c r="C153" s="26"/>
      <c r="D153" s="25">
        <f t="shared" si="158"/>
        <v>399</v>
      </c>
      <c r="E153" s="29">
        <f t="shared" ref="E153" si="227">E152</f>
        <v>196</v>
      </c>
      <c r="F153" s="25">
        <f t="shared" si="155"/>
        <v>413</v>
      </c>
      <c r="G153" s="29">
        <f t="shared" si="191"/>
        <v>211</v>
      </c>
      <c r="H153" s="4" t="s">
        <v>0</v>
      </c>
      <c r="I153" s="16" t="str">
        <f t="shared" si="197"/>
        <v>02-03</v>
      </c>
      <c r="J153" s="14">
        <f t="shared" si="198"/>
        <v>399</v>
      </c>
      <c r="K153" s="15">
        <f t="shared" si="199"/>
        <v>196</v>
      </c>
      <c r="L153" s="17">
        <f t="shared" si="200"/>
        <v>413</v>
      </c>
      <c r="M153" s="18">
        <f t="shared" si="201"/>
        <v>196</v>
      </c>
      <c r="N153" s="14">
        <f t="shared" si="202"/>
        <v>413</v>
      </c>
      <c r="O153" s="15">
        <f t="shared" si="203"/>
        <v>211</v>
      </c>
      <c r="P153" s="17">
        <f t="shared" si="204"/>
        <v>399</v>
      </c>
      <c r="Q153" s="18">
        <f t="shared" si="205"/>
        <v>211</v>
      </c>
      <c r="R153" s="4" t="s">
        <v>0</v>
      </c>
      <c r="S153" s="16" t="str">
        <f t="shared" si="206"/>
        <v>02-03</v>
      </c>
      <c r="T153" s="14">
        <f t="shared" si="207"/>
        <v>399</v>
      </c>
      <c r="U153" s="18">
        <f t="shared" si="208"/>
        <v>554</v>
      </c>
      <c r="V153" s="14">
        <f t="shared" si="209"/>
        <v>413</v>
      </c>
      <c r="W153" s="18">
        <f t="shared" si="210"/>
        <v>554</v>
      </c>
      <c r="X153" s="14">
        <f t="shared" si="211"/>
        <v>413</v>
      </c>
      <c r="Y153" s="18">
        <f t="shared" si="212"/>
        <v>539</v>
      </c>
      <c r="Z153" s="14">
        <f t="shared" si="213"/>
        <v>399</v>
      </c>
      <c r="AA153" s="18">
        <f t="shared" si="214"/>
        <v>539</v>
      </c>
      <c r="AB153" s="4" t="s">
        <v>0</v>
      </c>
    </row>
    <row r="154" spans="1:28">
      <c r="A154" s="9" t="s">
        <v>21</v>
      </c>
      <c r="B154" s="24"/>
      <c r="C154" s="26"/>
      <c r="D154" s="25">
        <f t="shared" si="158"/>
        <v>412</v>
      </c>
      <c r="E154" s="29">
        <f t="shared" ref="E154" si="228">E153</f>
        <v>196</v>
      </c>
      <c r="F154" s="25">
        <f t="shared" si="155"/>
        <v>426</v>
      </c>
      <c r="G154" s="29">
        <f t="shared" si="191"/>
        <v>211</v>
      </c>
      <c r="H154" s="4" t="s">
        <v>0</v>
      </c>
      <c r="I154" s="16" t="str">
        <f t="shared" si="197"/>
        <v>02-02</v>
      </c>
      <c r="J154" s="14">
        <f t="shared" si="198"/>
        <v>412</v>
      </c>
      <c r="K154" s="15">
        <f t="shared" si="199"/>
        <v>196</v>
      </c>
      <c r="L154" s="17">
        <f t="shared" si="200"/>
        <v>426</v>
      </c>
      <c r="M154" s="18">
        <f t="shared" si="201"/>
        <v>196</v>
      </c>
      <c r="N154" s="14">
        <f t="shared" si="202"/>
        <v>426</v>
      </c>
      <c r="O154" s="15">
        <f t="shared" si="203"/>
        <v>211</v>
      </c>
      <c r="P154" s="17">
        <f t="shared" si="204"/>
        <v>412</v>
      </c>
      <c r="Q154" s="18">
        <f t="shared" si="205"/>
        <v>211</v>
      </c>
      <c r="R154" s="4" t="s">
        <v>0</v>
      </c>
      <c r="S154" s="16" t="str">
        <f t="shared" si="206"/>
        <v>02-02</v>
      </c>
      <c r="T154" s="14">
        <f t="shared" si="207"/>
        <v>412</v>
      </c>
      <c r="U154" s="18">
        <f t="shared" si="208"/>
        <v>554</v>
      </c>
      <c r="V154" s="14">
        <f t="shared" si="209"/>
        <v>426</v>
      </c>
      <c r="W154" s="18">
        <f t="shared" si="210"/>
        <v>554</v>
      </c>
      <c r="X154" s="14">
        <f t="shared" si="211"/>
        <v>426</v>
      </c>
      <c r="Y154" s="18">
        <f t="shared" si="212"/>
        <v>539</v>
      </c>
      <c r="Z154" s="14">
        <f t="shared" si="213"/>
        <v>412</v>
      </c>
      <c r="AA154" s="18">
        <f t="shared" si="214"/>
        <v>539</v>
      </c>
      <c r="AB154" s="4" t="s">
        <v>0</v>
      </c>
    </row>
    <row r="155" spans="1:28">
      <c r="A155" s="9" t="s">
        <v>20</v>
      </c>
      <c r="B155" s="24"/>
      <c r="C155" s="26"/>
      <c r="D155" s="25">
        <f t="shared" si="158"/>
        <v>426</v>
      </c>
      <c r="E155" s="29">
        <f t="shared" ref="E155" si="229">E154</f>
        <v>196</v>
      </c>
      <c r="F155" s="25">
        <f t="shared" si="155"/>
        <v>440</v>
      </c>
      <c r="G155" s="29">
        <f t="shared" si="191"/>
        <v>211</v>
      </c>
      <c r="H155" s="4" t="s">
        <v>0</v>
      </c>
      <c r="I155" s="16" t="str">
        <f t="shared" si="197"/>
        <v>02-01</v>
      </c>
      <c r="J155" s="14">
        <f t="shared" si="198"/>
        <v>426</v>
      </c>
      <c r="K155" s="15">
        <f t="shared" si="199"/>
        <v>196</v>
      </c>
      <c r="L155" s="17">
        <f t="shared" si="200"/>
        <v>440</v>
      </c>
      <c r="M155" s="18">
        <f t="shared" si="201"/>
        <v>196</v>
      </c>
      <c r="N155" s="14">
        <f t="shared" si="202"/>
        <v>440</v>
      </c>
      <c r="O155" s="15">
        <f t="shared" si="203"/>
        <v>211</v>
      </c>
      <c r="P155" s="17">
        <f t="shared" si="204"/>
        <v>426</v>
      </c>
      <c r="Q155" s="18">
        <f t="shared" si="205"/>
        <v>211</v>
      </c>
      <c r="R155" s="4" t="s">
        <v>0</v>
      </c>
      <c r="S155" s="16" t="str">
        <f t="shared" si="206"/>
        <v>02-01</v>
      </c>
      <c r="T155" s="14">
        <f t="shared" si="207"/>
        <v>426</v>
      </c>
      <c r="U155" s="18">
        <f t="shared" si="208"/>
        <v>554</v>
      </c>
      <c r="V155" s="14">
        <f t="shared" si="209"/>
        <v>440</v>
      </c>
      <c r="W155" s="18">
        <f t="shared" si="210"/>
        <v>554</v>
      </c>
      <c r="X155" s="14">
        <f t="shared" si="211"/>
        <v>440</v>
      </c>
      <c r="Y155" s="18">
        <f t="shared" si="212"/>
        <v>539</v>
      </c>
      <c r="Z155" s="14">
        <f t="shared" si="213"/>
        <v>426</v>
      </c>
      <c r="AA155" s="18">
        <f t="shared" si="214"/>
        <v>539</v>
      </c>
      <c r="AB155" s="4" t="s">
        <v>0</v>
      </c>
    </row>
    <row r="156" spans="1:28">
      <c r="A156" s="9" t="s">
        <v>548</v>
      </c>
      <c r="B156" s="24"/>
      <c r="C156" s="26">
        <v>5</v>
      </c>
      <c r="D156" s="25">
        <f t="shared" si="158"/>
        <v>23</v>
      </c>
      <c r="E156" s="28">
        <f t="shared" si="179"/>
        <v>219</v>
      </c>
      <c r="F156" s="25">
        <f t="shared" si="155"/>
        <v>37</v>
      </c>
      <c r="G156" s="28">
        <f t="shared" si="180"/>
        <v>234</v>
      </c>
      <c r="H156" s="4" t="s">
        <v>0</v>
      </c>
      <c r="I156" s="16" t="str">
        <f t="shared" si="197"/>
        <v>01-35</v>
      </c>
      <c r="J156" s="14">
        <f t="shared" si="198"/>
        <v>23</v>
      </c>
      <c r="K156" s="15">
        <f t="shared" si="199"/>
        <v>219</v>
      </c>
      <c r="L156" s="17">
        <f t="shared" si="200"/>
        <v>37</v>
      </c>
      <c r="M156" s="18">
        <f t="shared" si="201"/>
        <v>219</v>
      </c>
      <c r="N156" s="14">
        <f t="shared" si="202"/>
        <v>37</v>
      </c>
      <c r="O156" s="15">
        <f t="shared" si="203"/>
        <v>234</v>
      </c>
      <c r="P156" s="17">
        <f t="shared" si="204"/>
        <v>23</v>
      </c>
      <c r="Q156" s="18">
        <f t="shared" si="205"/>
        <v>234</v>
      </c>
      <c r="R156" s="4" t="s">
        <v>0</v>
      </c>
      <c r="S156" s="16" t="str">
        <f t="shared" si="206"/>
        <v>01-35</v>
      </c>
      <c r="T156" s="14">
        <f t="shared" si="207"/>
        <v>23</v>
      </c>
      <c r="U156" s="18">
        <f t="shared" si="208"/>
        <v>531</v>
      </c>
      <c r="V156" s="14">
        <f t="shared" si="209"/>
        <v>37</v>
      </c>
      <c r="W156" s="18">
        <f t="shared" si="210"/>
        <v>531</v>
      </c>
      <c r="X156" s="14">
        <f t="shared" si="211"/>
        <v>37</v>
      </c>
      <c r="Y156" s="18">
        <f t="shared" si="212"/>
        <v>516</v>
      </c>
      <c r="Z156" s="14">
        <f t="shared" si="213"/>
        <v>23</v>
      </c>
      <c r="AA156" s="18">
        <f t="shared" si="214"/>
        <v>516</v>
      </c>
      <c r="AB156" s="4" t="s">
        <v>0</v>
      </c>
    </row>
    <row r="157" spans="1:28">
      <c r="A157" s="9" t="s">
        <v>547</v>
      </c>
      <c r="B157" s="24"/>
      <c r="C157" s="26"/>
      <c r="D157" s="25">
        <f t="shared" si="158"/>
        <v>37</v>
      </c>
      <c r="E157" s="29">
        <f t="shared" ref="E157" si="230">E156</f>
        <v>219</v>
      </c>
      <c r="F157" s="25">
        <f t="shared" si="155"/>
        <v>51</v>
      </c>
      <c r="G157" s="29">
        <f t="shared" ref="G157:G183" si="231">G156</f>
        <v>234</v>
      </c>
      <c r="H157" s="4" t="s">
        <v>0</v>
      </c>
      <c r="I157" s="16" t="str">
        <f t="shared" si="197"/>
        <v>01-33</v>
      </c>
      <c r="J157" s="14">
        <f t="shared" si="198"/>
        <v>37</v>
      </c>
      <c r="K157" s="15">
        <f t="shared" si="199"/>
        <v>219</v>
      </c>
      <c r="L157" s="17">
        <f t="shared" si="200"/>
        <v>51</v>
      </c>
      <c r="M157" s="18">
        <f t="shared" si="201"/>
        <v>219</v>
      </c>
      <c r="N157" s="14">
        <f t="shared" si="202"/>
        <v>51</v>
      </c>
      <c r="O157" s="15">
        <f t="shared" si="203"/>
        <v>234</v>
      </c>
      <c r="P157" s="17">
        <f t="shared" si="204"/>
        <v>37</v>
      </c>
      <c r="Q157" s="18">
        <f t="shared" si="205"/>
        <v>234</v>
      </c>
      <c r="R157" s="4" t="s">
        <v>0</v>
      </c>
      <c r="S157" s="16" t="str">
        <f t="shared" si="206"/>
        <v>01-33</v>
      </c>
      <c r="T157" s="14">
        <f t="shared" si="207"/>
        <v>37</v>
      </c>
      <c r="U157" s="18">
        <f t="shared" si="208"/>
        <v>531</v>
      </c>
      <c r="V157" s="14">
        <f t="shared" si="209"/>
        <v>51</v>
      </c>
      <c r="W157" s="18">
        <f t="shared" si="210"/>
        <v>531</v>
      </c>
      <c r="X157" s="14">
        <f t="shared" si="211"/>
        <v>51</v>
      </c>
      <c r="Y157" s="18">
        <f t="shared" si="212"/>
        <v>516</v>
      </c>
      <c r="Z157" s="14">
        <f t="shared" si="213"/>
        <v>37</v>
      </c>
      <c r="AA157" s="18">
        <f t="shared" si="214"/>
        <v>516</v>
      </c>
      <c r="AB157" s="4" t="s">
        <v>0</v>
      </c>
    </row>
    <row r="158" spans="1:28">
      <c r="A158" s="9" t="s">
        <v>546</v>
      </c>
      <c r="B158" s="24"/>
      <c r="C158" s="26"/>
      <c r="D158" s="25">
        <f t="shared" si="158"/>
        <v>50</v>
      </c>
      <c r="E158" s="29">
        <f t="shared" ref="E158" si="232">E157</f>
        <v>219</v>
      </c>
      <c r="F158" s="25">
        <f t="shared" si="155"/>
        <v>64</v>
      </c>
      <c r="G158" s="29">
        <f t="shared" si="231"/>
        <v>234</v>
      </c>
      <c r="H158" s="4" t="s">
        <v>0</v>
      </c>
      <c r="I158" s="16" t="str">
        <f t="shared" si="197"/>
        <v>01-32</v>
      </c>
      <c r="J158" s="14">
        <f t="shared" si="198"/>
        <v>50</v>
      </c>
      <c r="K158" s="15">
        <f t="shared" si="199"/>
        <v>219</v>
      </c>
      <c r="L158" s="17">
        <f t="shared" si="200"/>
        <v>64</v>
      </c>
      <c r="M158" s="18">
        <f t="shared" si="201"/>
        <v>219</v>
      </c>
      <c r="N158" s="14">
        <f t="shared" si="202"/>
        <v>64</v>
      </c>
      <c r="O158" s="15">
        <f t="shared" si="203"/>
        <v>234</v>
      </c>
      <c r="P158" s="17">
        <f t="shared" si="204"/>
        <v>50</v>
      </c>
      <c r="Q158" s="18">
        <f t="shared" si="205"/>
        <v>234</v>
      </c>
      <c r="R158" s="4" t="s">
        <v>0</v>
      </c>
      <c r="S158" s="16" t="str">
        <f t="shared" si="206"/>
        <v>01-32</v>
      </c>
      <c r="T158" s="14">
        <f t="shared" si="207"/>
        <v>50</v>
      </c>
      <c r="U158" s="18">
        <f t="shared" si="208"/>
        <v>531</v>
      </c>
      <c r="V158" s="14">
        <f t="shared" si="209"/>
        <v>64</v>
      </c>
      <c r="W158" s="18">
        <f t="shared" si="210"/>
        <v>531</v>
      </c>
      <c r="X158" s="14">
        <f t="shared" si="211"/>
        <v>64</v>
      </c>
      <c r="Y158" s="18">
        <f t="shared" si="212"/>
        <v>516</v>
      </c>
      <c r="Z158" s="14">
        <f t="shared" si="213"/>
        <v>50</v>
      </c>
      <c r="AA158" s="18">
        <f t="shared" si="214"/>
        <v>516</v>
      </c>
      <c r="AB158" s="4" t="s">
        <v>0</v>
      </c>
    </row>
    <row r="159" spans="1:28">
      <c r="A159" s="9" t="s">
        <v>416</v>
      </c>
      <c r="B159" s="24"/>
      <c r="C159" s="26"/>
      <c r="D159" s="25">
        <f t="shared" si="158"/>
        <v>64</v>
      </c>
      <c r="E159" s="29">
        <f t="shared" ref="E159" si="233">E158</f>
        <v>219</v>
      </c>
      <c r="F159" s="25">
        <f t="shared" si="155"/>
        <v>78</v>
      </c>
      <c r="G159" s="29">
        <f t="shared" si="231"/>
        <v>234</v>
      </c>
      <c r="H159" s="4" t="s">
        <v>0</v>
      </c>
      <c r="I159" s="16" t="str">
        <f t="shared" si="197"/>
        <v>01-31</v>
      </c>
      <c r="J159" s="14">
        <f t="shared" si="198"/>
        <v>64</v>
      </c>
      <c r="K159" s="15">
        <f t="shared" si="199"/>
        <v>219</v>
      </c>
      <c r="L159" s="17">
        <f t="shared" si="200"/>
        <v>78</v>
      </c>
      <c r="M159" s="18">
        <f t="shared" si="201"/>
        <v>219</v>
      </c>
      <c r="N159" s="14">
        <f t="shared" si="202"/>
        <v>78</v>
      </c>
      <c r="O159" s="15">
        <f t="shared" si="203"/>
        <v>234</v>
      </c>
      <c r="P159" s="17">
        <f t="shared" si="204"/>
        <v>64</v>
      </c>
      <c r="Q159" s="18">
        <f t="shared" si="205"/>
        <v>234</v>
      </c>
      <c r="R159" s="4" t="s">
        <v>0</v>
      </c>
      <c r="S159" s="16" t="str">
        <f t="shared" si="206"/>
        <v>01-31</v>
      </c>
      <c r="T159" s="14">
        <f t="shared" si="207"/>
        <v>64</v>
      </c>
      <c r="U159" s="18">
        <f t="shared" si="208"/>
        <v>531</v>
      </c>
      <c r="V159" s="14">
        <f t="shared" si="209"/>
        <v>78</v>
      </c>
      <c r="W159" s="18">
        <f t="shared" si="210"/>
        <v>531</v>
      </c>
      <c r="X159" s="14">
        <f t="shared" si="211"/>
        <v>78</v>
      </c>
      <c r="Y159" s="18">
        <f t="shared" si="212"/>
        <v>516</v>
      </c>
      <c r="Z159" s="14">
        <f t="shared" si="213"/>
        <v>64</v>
      </c>
      <c r="AA159" s="18">
        <f t="shared" si="214"/>
        <v>516</v>
      </c>
      <c r="AB159" s="4" t="s">
        <v>0</v>
      </c>
    </row>
    <row r="160" spans="1:28">
      <c r="A160" s="9" t="s">
        <v>415</v>
      </c>
      <c r="B160" s="24"/>
      <c r="C160" s="26"/>
      <c r="D160" s="25">
        <f t="shared" si="158"/>
        <v>78</v>
      </c>
      <c r="E160" s="29">
        <f t="shared" ref="E160" si="234">E159</f>
        <v>219</v>
      </c>
      <c r="F160" s="25">
        <f t="shared" si="155"/>
        <v>92</v>
      </c>
      <c r="G160" s="29">
        <f t="shared" si="231"/>
        <v>234</v>
      </c>
      <c r="H160" s="4" t="s">
        <v>0</v>
      </c>
      <c r="I160" s="16" t="str">
        <f t="shared" si="197"/>
        <v>01-30</v>
      </c>
      <c r="J160" s="14">
        <f t="shared" si="198"/>
        <v>78</v>
      </c>
      <c r="K160" s="15">
        <f t="shared" si="199"/>
        <v>219</v>
      </c>
      <c r="L160" s="17">
        <f t="shared" si="200"/>
        <v>92</v>
      </c>
      <c r="M160" s="18">
        <f t="shared" si="201"/>
        <v>219</v>
      </c>
      <c r="N160" s="14">
        <f t="shared" si="202"/>
        <v>92</v>
      </c>
      <c r="O160" s="15">
        <f t="shared" si="203"/>
        <v>234</v>
      </c>
      <c r="P160" s="17">
        <f t="shared" si="204"/>
        <v>78</v>
      </c>
      <c r="Q160" s="18">
        <f t="shared" si="205"/>
        <v>234</v>
      </c>
      <c r="R160" s="4" t="s">
        <v>0</v>
      </c>
      <c r="S160" s="16" t="str">
        <f t="shared" si="206"/>
        <v>01-30</v>
      </c>
      <c r="T160" s="14">
        <f t="shared" si="207"/>
        <v>78</v>
      </c>
      <c r="U160" s="18">
        <f t="shared" si="208"/>
        <v>531</v>
      </c>
      <c r="V160" s="14">
        <f t="shared" si="209"/>
        <v>92</v>
      </c>
      <c r="W160" s="18">
        <f t="shared" si="210"/>
        <v>531</v>
      </c>
      <c r="X160" s="14">
        <f t="shared" si="211"/>
        <v>92</v>
      </c>
      <c r="Y160" s="18">
        <f t="shared" si="212"/>
        <v>516</v>
      </c>
      <c r="Z160" s="14">
        <f t="shared" si="213"/>
        <v>78</v>
      </c>
      <c r="AA160" s="18">
        <f t="shared" si="214"/>
        <v>516</v>
      </c>
      <c r="AB160" s="4" t="s">
        <v>0</v>
      </c>
    </row>
    <row r="161" spans="1:28">
      <c r="A161" s="9" t="s">
        <v>414</v>
      </c>
      <c r="B161" s="24"/>
      <c r="C161" s="26"/>
      <c r="D161" s="25">
        <f t="shared" si="158"/>
        <v>92</v>
      </c>
      <c r="E161" s="29">
        <f t="shared" ref="E161" si="235">E160</f>
        <v>219</v>
      </c>
      <c r="F161" s="25">
        <f t="shared" si="155"/>
        <v>106</v>
      </c>
      <c r="G161" s="29">
        <f t="shared" si="231"/>
        <v>234</v>
      </c>
      <c r="H161" s="4" t="s">
        <v>0</v>
      </c>
      <c r="I161" s="16" t="str">
        <f t="shared" si="197"/>
        <v>01-28</v>
      </c>
      <c r="J161" s="14">
        <f t="shared" si="198"/>
        <v>92</v>
      </c>
      <c r="K161" s="15">
        <f t="shared" si="199"/>
        <v>219</v>
      </c>
      <c r="L161" s="17">
        <f t="shared" si="200"/>
        <v>106</v>
      </c>
      <c r="M161" s="18">
        <f t="shared" si="201"/>
        <v>219</v>
      </c>
      <c r="N161" s="14">
        <f t="shared" si="202"/>
        <v>106</v>
      </c>
      <c r="O161" s="15">
        <f t="shared" si="203"/>
        <v>234</v>
      </c>
      <c r="P161" s="17">
        <f t="shared" si="204"/>
        <v>92</v>
      </c>
      <c r="Q161" s="18">
        <f t="shared" si="205"/>
        <v>234</v>
      </c>
      <c r="R161" s="4" t="s">
        <v>0</v>
      </c>
      <c r="S161" s="16" t="str">
        <f t="shared" si="206"/>
        <v>01-28</v>
      </c>
      <c r="T161" s="14">
        <f t="shared" si="207"/>
        <v>92</v>
      </c>
      <c r="U161" s="18">
        <f t="shared" si="208"/>
        <v>531</v>
      </c>
      <c r="V161" s="14">
        <f t="shared" si="209"/>
        <v>106</v>
      </c>
      <c r="W161" s="18">
        <f t="shared" si="210"/>
        <v>531</v>
      </c>
      <c r="X161" s="14">
        <f t="shared" si="211"/>
        <v>106</v>
      </c>
      <c r="Y161" s="18">
        <f t="shared" si="212"/>
        <v>516</v>
      </c>
      <c r="Z161" s="14">
        <f t="shared" si="213"/>
        <v>92</v>
      </c>
      <c r="AA161" s="18">
        <f t="shared" si="214"/>
        <v>516</v>
      </c>
      <c r="AB161" s="4" t="s">
        <v>0</v>
      </c>
    </row>
    <row r="162" spans="1:28">
      <c r="A162" s="9" t="s">
        <v>413</v>
      </c>
      <c r="B162" s="24"/>
      <c r="C162" s="26"/>
      <c r="D162" s="25">
        <f t="shared" si="158"/>
        <v>105</v>
      </c>
      <c r="E162" s="29">
        <f t="shared" ref="E162" si="236">E161</f>
        <v>219</v>
      </c>
      <c r="F162" s="25">
        <f t="shared" si="155"/>
        <v>119</v>
      </c>
      <c r="G162" s="29">
        <f t="shared" si="231"/>
        <v>234</v>
      </c>
      <c r="H162" s="4" t="s">
        <v>0</v>
      </c>
      <c r="I162" s="16" t="str">
        <f t="shared" si="197"/>
        <v>01-27</v>
      </c>
      <c r="J162" s="14">
        <f t="shared" si="198"/>
        <v>105</v>
      </c>
      <c r="K162" s="15">
        <f t="shared" si="199"/>
        <v>219</v>
      </c>
      <c r="L162" s="17">
        <f t="shared" si="200"/>
        <v>119</v>
      </c>
      <c r="M162" s="18">
        <f t="shared" si="201"/>
        <v>219</v>
      </c>
      <c r="N162" s="14">
        <f t="shared" si="202"/>
        <v>119</v>
      </c>
      <c r="O162" s="15">
        <f t="shared" si="203"/>
        <v>234</v>
      </c>
      <c r="P162" s="17">
        <f t="shared" si="204"/>
        <v>105</v>
      </c>
      <c r="Q162" s="18">
        <f t="shared" si="205"/>
        <v>234</v>
      </c>
      <c r="R162" s="4" t="s">
        <v>0</v>
      </c>
      <c r="S162" s="16" t="str">
        <f t="shared" si="206"/>
        <v>01-27</v>
      </c>
      <c r="T162" s="14">
        <f t="shared" si="207"/>
        <v>105</v>
      </c>
      <c r="U162" s="18">
        <f t="shared" si="208"/>
        <v>531</v>
      </c>
      <c r="V162" s="14">
        <f t="shared" si="209"/>
        <v>119</v>
      </c>
      <c r="W162" s="18">
        <f t="shared" si="210"/>
        <v>531</v>
      </c>
      <c r="X162" s="14">
        <f t="shared" si="211"/>
        <v>119</v>
      </c>
      <c r="Y162" s="18">
        <f t="shared" si="212"/>
        <v>516</v>
      </c>
      <c r="Z162" s="14">
        <f t="shared" si="213"/>
        <v>105</v>
      </c>
      <c r="AA162" s="18">
        <f t="shared" si="214"/>
        <v>516</v>
      </c>
      <c r="AB162" s="4" t="s">
        <v>0</v>
      </c>
    </row>
    <row r="163" spans="1:28">
      <c r="A163" s="9" t="s">
        <v>412</v>
      </c>
      <c r="B163" s="24"/>
      <c r="C163" s="26"/>
      <c r="D163" s="25">
        <f t="shared" si="158"/>
        <v>119</v>
      </c>
      <c r="E163" s="29">
        <f t="shared" ref="E163" si="237">E162</f>
        <v>219</v>
      </c>
      <c r="F163" s="25">
        <f t="shared" si="155"/>
        <v>133</v>
      </c>
      <c r="G163" s="29">
        <f t="shared" si="231"/>
        <v>234</v>
      </c>
      <c r="H163" s="4" t="s">
        <v>0</v>
      </c>
      <c r="I163" s="16" t="str">
        <f t="shared" si="197"/>
        <v>01-26</v>
      </c>
      <c r="J163" s="14">
        <f t="shared" si="198"/>
        <v>119</v>
      </c>
      <c r="K163" s="15">
        <f t="shared" si="199"/>
        <v>219</v>
      </c>
      <c r="L163" s="17">
        <f t="shared" si="200"/>
        <v>133</v>
      </c>
      <c r="M163" s="18">
        <f t="shared" si="201"/>
        <v>219</v>
      </c>
      <c r="N163" s="14">
        <f t="shared" si="202"/>
        <v>133</v>
      </c>
      <c r="O163" s="15">
        <f t="shared" si="203"/>
        <v>234</v>
      </c>
      <c r="P163" s="17">
        <f t="shared" si="204"/>
        <v>119</v>
      </c>
      <c r="Q163" s="18">
        <f t="shared" si="205"/>
        <v>234</v>
      </c>
      <c r="R163" s="4" t="s">
        <v>0</v>
      </c>
      <c r="S163" s="16" t="str">
        <f t="shared" si="206"/>
        <v>01-26</v>
      </c>
      <c r="T163" s="14">
        <f t="shared" si="207"/>
        <v>119</v>
      </c>
      <c r="U163" s="18">
        <f t="shared" si="208"/>
        <v>531</v>
      </c>
      <c r="V163" s="14">
        <f t="shared" si="209"/>
        <v>133</v>
      </c>
      <c r="W163" s="18">
        <f t="shared" si="210"/>
        <v>531</v>
      </c>
      <c r="X163" s="14">
        <f t="shared" si="211"/>
        <v>133</v>
      </c>
      <c r="Y163" s="18">
        <f t="shared" si="212"/>
        <v>516</v>
      </c>
      <c r="Z163" s="14">
        <f t="shared" si="213"/>
        <v>119</v>
      </c>
      <c r="AA163" s="18">
        <f t="shared" si="214"/>
        <v>516</v>
      </c>
      <c r="AB163" s="4" t="s">
        <v>0</v>
      </c>
    </row>
    <row r="164" spans="1:28">
      <c r="A164" s="9" t="s">
        <v>411</v>
      </c>
      <c r="B164" s="24"/>
      <c r="C164" s="26"/>
      <c r="D164" s="25">
        <f t="shared" si="158"/>
        <v>133</v>
      </c>
      <c r="E164" s="29">
        <f t="shared" ref="E164" si="238">E163</f>
        <v>219</v>
      </c>
      <c r="F164" s="25">
        <f t="shared" si="155"/>
        <v>147</v>
      </c>
      <c r="G164" s="29">
        <f t="shared" si="231"/>
        <v>234</v>
      </c>
      <c r="H164" s="4" t="s">
        <v>0</v>
      </c>
      <c r="I164" s="16" t="str">
        <f t="shared" si="197"/>
        <v>01-25</v>
      </c>
      <c r="J164" s="14">
        <f t="shared" si="198"/>
        <v>133</v>
      </c>
      <c r="K164" s="15">
        <f t="shared" si="199"/>
        <v>219</v>
      </c>
      <c r="L164" s="17">
        <f t="shared" si="200"/>
        <v>147</v>
      </c>
      <c r="M164" s="18">
        <f t="shared" si="201"/>
        <v>219</v>
      </c>
      <c r="N164" s="14">
        <f t="shared" si="202"/>
        <v>147</v>
      </c>
      <c r="O164" s="15">
        <f t="shared" si="203"/>
        <v>234</v>
      </c>
      <c r="P164" s="17">
        <f t="shared" si="204"/>
        <v>133</v>
      </c>
      <c r="Q164" s="18">
        <f t="shared" si="205"/>
        <v>234</v>
      </c>
      <c r="R164" s="4" t="s">
        <v>0</v>
      </c>
      <c r="S164" s="16" t="str">
        <f t="shared" si="206"/>
        <v>01-25</v>
      </c>
      <c r="T164" s="14">
        <f t="shared" si="207"/>
        <v>133</v>
      </c>
      <c r="U164" s="18">
        <f t="shared" si="208"/>
        <v>531</v>
      </c>
      <c r="V164" s="14">
        <f t="shared" si="209"/>
        <v>147</v>
      </c>
      <c r="W164" s="18">
        <f t="shared" si="210"/>
        <v>531</v>
      </c>
      <c r="X164" s="14">
        <f t="shared" si="211"/>
        <v>147</v>
      </c>
      <c r="Y164" s="18">
        <f t="shared" si="212"/>
        <v>516</v>
      </c>
      <c r="Z164" s="14">
        <f t="shared" si="213"/>
        <v>133</v>
      </c>
      <c r="AA164" s="18">
        <f t="shared" si="214"/>
        <v>516</v>
      </c>
      <c r="AB164" s="4" t="s">
        <v>0</v>
      </c>
    </row>
    <row r="165" spans="1:28">
      <c r="A165" s="9" t="s">
        <v>410</v>
      </c>
      <c r="B165" s="24"/>
      <c r="C165" s="26"/>
      <c r="D165" s="25">
        <f t="shared" si="158"/>
        <v>146</v>
      </c>
      <c r="E165" s="29">
        <f t="shared" ref="E165" si="239">E164</f>
        <v>219</v>
      </c>
      <c r="F165" s="25">
        <f t="shared" si="155"/>
        <v>160</v>
      </c>
      <c r="G165" s="29">
        <f t="shared" si="231"/>
        <v>234</v>
      </c>
      <c r="H165" s="4" t="s">
        <v>0</v>
      </c>
      <c r="I165" s="16" t="str">
        <f t="shared" si="197"/>
        <v>01-23</v>
      </c>
      <c r="J165" s="14">
        <f t="shared" si="198"/>
        <v>146</v>
      </c>
      <c r="K165" s="15">
        <f t="shared" si="199"/>
        <v>219</v>
      </c>
      <c r="L165" s="17">
        <f t="shared" si="200"/>
        <v>160</v>
      </c>
      <c r="M165" s="18">
        <f t="shared" si="201"/>
        <v>219</v>
      </c>
      <c r="N165" s="14">
        <f t="shared" si="202"/>
        <v>160</v>
      </c>
      <c r="O165" s="15">
        <f t="shared" si="203"/>
        <v>234</v>
      </c>
      <c r="P165" s="17">
        <f t="shared" si="204"/>
        <v>146</v>
      </c>
      <c r="Q165" s="18">
        <f t="shared" si="205"/>
        <v>234</v>
      </c>
      <c r="R165" s="4" t="s">
        <v>0</v>
      </c>
      <c r="S165" s="16" t="str">
        <f t="shared" si="206"/>
        <v>01-23</v>
      </c>
      <c r="T165" s="14">
        <f t="shared" si="207"/>
        <v>146</v>
      </c>
      <c r="U165" s="18">
        <f t="shared" si="208"/>
        <v>531</v>
      </c>
      <c r="V165" s="14">
        <f t="shared" si="209"/>
        <v>160</v>
      </c>
      <c r="W165" s="18">
        <f t="shared" si="210"/>
        <v>531</v>
      </c>
      <c r="X165" s="14">
        <f t="shared" si="211"/>
        <v>160</v>
      </c>
      <c r="Y165" s="18">
        <f t="shared" si="212"/>
        <v>516</v>
      </c>
      <c r="Z165" s="14">
        <f t="shared" si="213"/>
        <v>146</v>
      </c>
      <c r="AA165" s="18">
        <f t="shared" si="214"/>
        <v>516</v>
      </c>
      <c r="AB165" s="4" t="s">
        <v>0</v>
      </c>
    </row>
    <row r="166" spans="1:28">
      <c r="A166" s="9" t="s">
        <v>409</v>
      </c>
      <c r="B166" s="24"/>
      <c r="C166" s="26"/>
      <c r="D166" s="25">
        <f t="shared" si="158"/>
        <v>160</v>
      </c>
      <c r="E166" s="29">
        <f t="shared" ref="E166" si="240">E165</f>
        <v>219</v>
      </c>
      <c r="F166" s="25">
        <f t="shared" si="155"/>
        <v>174</v>
      </c>
      <c r="G166" s="29">
        <f t="shared" si="231"/>
        <v>234</v>
      </c>
      <c r="H166" s="4" t="s">
        <v>0</v>
      </c>
      <c r="I166" s="16" t="str">
        <f t="shared" si="197"/>
        <v>01-22</v>
      </c>
      <c r="J166" s="14">
        <f t="shared" si="198"/>
        <v>160</v>
      </c>
      <c r="K166" s="15">
        <f t="shared" si="199"/>
        <v>219</v>
      </c>
      <c r="L166" s="17">
        <f t="shared" si="200"/>
        <v>174</v>
      </c>
      <c r="M166" s="18">
        <f t="shared" si="201"/>
        <v>219</v>
      </c>
      <c r="N166" s="14">
        <f t="shared" si="202"/>
        <v>174</v>
      </c>
      <c r="O166" s="15">
        <f t="shared" si="203"/>
        <v>234</v>
      </c>
      <c r="P166" s="17">
        <f t="shared" si="204"/>
        <v>160</v>
      </c>
      <c r="Q166" s="18">
        <f t="shared" si="205"/>
        <v>234</v>
      </c>
      <c r="R166" s="4" t="s">
        <v>0</v>
      </c>
      <c r="S166" s="16" t="str">
        <f t="shared" si="206"/>
        <v>01-22</v>
      </c>
      <c r="T166" s="14">
        <f t="shared" si="207"/>
        <v>160</v>
      </c>
      <c r="U166" s="18">
        <f t="shared" si="208"/>
        <v>531</v>
      </c>
      <c r="V166" s="14">
        <f t="shared" si="209"/>
        <v>174</v>
      </c>
      <c r="W166" s="18">
        <f t="shared" si="210"/>
        <v>531</v>
      </c>
      <c r="X166" s="14">
        <f t="shared" si="211"/>
        <v>174</v>
      </c>
      <c r="Y166" s="18">
        <f t="shared" si="212"/>
        <v>516</v>
      </c>
      <c r="Z166" s="14">
        <f t="shared" si="213"/>
        <v>160</v>
      </c>
      <c r="AA166" s="18">
        <f t="shared" si="214"/>
        <v>516</v>
      </c>
      <c r="AB166" s="4" t="s">
        <v>0</v>
      </c>
    </row>
    <row r="167" spans="1:28">
      <c r="A167" s="9" t="s">
        <v>408</v>
      </c>
      <c r="B167" s="24"/>
      <c r="C167" s="26"/>
      <c r="D167" s="25">
        <f t="shared" si="158"/>
        <v>174</v>
      </c>
      <c r="E167" s="29">
        <f t="shared" ref="E167" si="241">E166</f>
        <v>219</v>
      </c>
      <c r="F167" s="25">
        <f t="shared" si="155"/>
        <v>188</v>
      </c>
      <c r="G167" s="29">
        <f t="shared" si="231"/>
        <v>234</v>
      </c>
      <c r="H167" s="4" t="s">
        <v>0</v>
      </c>
      <c r="I167" s="16" t="str">
        <f t="shared" si="197"/>
        <v>01-21</v>
      </c>
      <c r="J167" s="14">
        <f t="shared" si="198"/>
        <v>174</v>
      </c>
      <c r="K167" s="15">
        <f t="shared" si="199"/>
        <v>219</v>
      </c>
      <c r="L167" s="17">
        <f t="shared" si="200"/>
        <v>188</v>
      </c>
      <c r="M167" s="18">
        <f t="shared" si="201"/>
        <v>219</v>
      </c>
      <c r="N167" s="14">
        <f t="shared" si="202"/>
        <v>188</v>
      </c>
      <c r="O167" s="15">
        <f t="shared" si="203"/>
        <v>234</v>
      </c>
      <c r="P167" s="17">
        <f t="shared" si="204"/>
        <v>174</v>
      </c>
      <c r="Q167" s="18">
        <f t="shared" si="205"/>
        <v>234</v>
      </c>
      <c r="R167" s="4" t="s">
        <v>0</v>
      </c>
      <c r="S167" s="16" t="str">
        <f t="shared" si="206"/>
        <v>01-21</v>
      </c>
      <c r="T167" s="14">
        <f t="shared" si="207"/>
        <v>174</v>
      </c>
      <c r="U167" s="18">
        <f t="shared" si="208"/>
        <v>531</v>
      </c>
      <c r="V167" s="14">
        <f t="shared" si="209"/>
        <v>188</v>
      </c>
      <c r="W167" s="18">
        <f t="shared" si="210"/>
        <v>531</v>
      </c>
      <c r="X167" s="14">
        <f t="shared" si="211"/>
        <v>188</v>
      </c>
      <c r="Y167" s="18">
        <f t="shared" si="212"/>
        <v>516</v>
      </c>
      <c r="Z167" s="14">
        <f t="shared" si="213"/>
        <v>174</v>
      </c>
      <c r="AA167" s="18">
        <f t="shared" si="214"/>
        <v>516</v>
      </c>
      <c r="AB167" s="4" t="s">
        <v>0</v>
      </c>
    </row>
    <row r="168" spans="1:28">
      <c r="A168" s="9" t="s">
        <v>407</v>
      </c>
      <c r="B168" s="24"/>
      <c r="C168" s="26"/>
      <c r="D168" s="25">
        <f t="shared" si="158"/>
        <v>187</v>
      </c>
      <c r="E168" s="29">
        <f t="shared" ref="E168" si="242">E167</f>
        <v>219</v>
      </c>
      <c r="F168" s="25">
        <f t="shared" ref="F168:F183" si="243">F139</f>
        <v>201</v>
      </c>
      <c r="G168" s="29">
        <f t="shared" si="231"/>
        <v>234</v>
      </c>
      <c r="H168" s="4" t="s">
        <v>0</v>
      </c>
      <c r="I168" s="16" t="str">
        <f t="shared" si="197"/>
        <v>01-20</v>
      </c>
      <c r="J168" s="14">
        <f t="shared" si="198"/>
        <v>187</v>
      </c>
      <c r="K168" s="15">
        <f t="shared" si="199"/>
        <v>219</v>
      </c>
      <c r="L168" s="17">
        <f t="shared" si="200"/>
        <v>201</v>
      </c>
      <c r="M168" s="18">
        <f t="shared" si="201"/>
        <v>219</v>
      </c>
      <c r="N168" s="14">
        <f t="shared" si="202"/>
        <v>201</v>
      </c>
      <c r="O168" s="15">
        <f t="shared" si="203"/>
        <v>234</v>
      </c>
      <c r="P168" s="17">
        <f t="shared" si="204"/>
        <v>187</v>
      </c>
      <c r="Q168" s="18">
        <f t="shared" si="205"/>
        <v>234</v>
      </c>
      <c r="R168" s="4" t="s">
        <v>0</v>
      </c>
      <c r="S168" s="16" t="str">
        <f t="shared" si="206"/>
        <v>01-20</v>
      </c>
      <c r="T168" s="14">
        <f t="shared" si="207"/>
        <v>187</v>
      </c>
      <c r="U168" s="18">
        <f t="shared" si="208"/>
        <v>531</v>
      </c>
      <c r="V168" s="14">
        <f t="shared" si="209"/>
        <v>201</v>
      </c>
      <c r="W168" s="18">
        <f t="shared" si="210"/>
        <v>531</v>
      </c>
      <c r="X168" s="14">
        <f t="shared" si="211"/>
        <v>201</v>
      </c>
      <c r="Y168" s="18">
        <f t="shared" si="212"/>
        <v>516</v>
      </c>
      <c r="Z168" s="14">
        <f t="shared" si="213"/>
        <v>187</v>
      </c>
      <c r="AA168" s="18">
        <f t="shared" si="214"/>
        <v>516</v>
      </c>
      <c r="AB168" s="4" t="s">
        <v>0</v>
      </c>
    </row>
    <row r="169" spans="1:28">
      <c r="A169" s="9" t="s">
        <v>147</v>
      </c>
      <c r="B169" s="24"/>
      <c r="C169" s="26"/>
      <c r="D169" s="25">
        <f t="shared" si="158"/>
        <v>201</v>
      </c>
      <c r="E169" s="29">
        <f t="shared" ref="E169" si="244">E168</f>
        <v>219</v>
      </c>
      <c r="F169" s="25">
        <f t="shared" si="243"/>
        <v>215</v>
      </c>
      <c r="G169" s="29">
        <f t="shared" si="231"/>
        <v>234</v>
      </c>
      <c r="H169" s="4" t="s">
        <v>0</v>
      </c>
      <c r="I169" s="16" t="str">
        <f t="shared" si="197"/>
        <v>01-18</v>
      </c>
      <c r="J169" s="14">
        <f t="shared" si="198"/>
        <v>201</v>
      </c>
      <c r="K169" s="15">
        <f t="shared" si="199"/>
        <v>219</v>
      </c>
      <c r="L169" s="17">
        <f t="shared" si="200"/>
        <v>215</v>
      </c>
      <c r="M169" s="18">
        <f t="shared" si="201"/>
        <v>219</v>
      </c>
      <c r="N169" s="14">
        <f t="shared" si="202"/>
        <v>215</v>
      </c>
      <c r="O169" s="15">
        <f t="shared" si="203"/>
        <v>234</v>
      </c>
      <c r="P169" s="17">
        <f t="shared" si="204"/>
        <v>201</v>
      </c>
      <c r="Q169" s="18">
        <f t="shared" si="205"/>
        <v>234</v>
      </c>
      <c r="R169" s="4" t="s">
        <v>0</v>
      </c>
      <c r="S169" s="16" t="str">
        <f t="shared" si="206"/>
        <v>01-18</v>
      </c>
      <c r="T169" s="14">
        <f t="shared" si="207"/>
        <v>201</v>
      </c>
      <c r="U169" s="18">
        <f t="shared" si="208"/>
        <v>531</v>
      </c>
      <c r="V169" s="14">
        <f t="shared" si="209"/>
        <v>215</v>
      </c>
      <c r="W169" s="18">
        <f t="shared" si="210"/>
        <v>531</v>
      </c>
      <c r="X169" s="14">
        <f t="shared" si="211"/>
        <v>215</v>
      </c>
      <c r="Y169" s="18">
        <f t="shared" si="212"/>
        <v>516</v>
      </c>
      <c r="Z169" s="14">
        <f t="shared" si="213"/>
        <v>201</v>
      </c>
      <c r="AA169" s="18">
        <f t="shared" si="214"/>
        <v>516</v>
      </c>
      <c r="AB169" s="4" t="s">
        <v>0</v>
      </c>
    </row>
    <row r="170" spans="1:28">
      <c r="A170" s="9" t="s">
        <v>146</v>
      </c>
      <c r="B170" s="24"/>
      <c r="C170" s="26"/>
      <c r="D170" s="25">
        <f t="shared" si="158"/>
        <v>215</v>
      </c>
      <c r="E170" s="29">
        <f t="shared" ref="E170" si="245">E169</f>
        <v>219</v>
      </c>
      <c r="F170" s="25">
        <f t="shared" si="243"/>
        <v>229</v>
      </c>
      <c r="G170" s="29">
        <f t="shared" si="231"/>
        <v>234</v>
      </c>
      <c r="H170" s="4" t="s">
        <v>0</v>
      </c>
      <c r="I170" s="16" t="str">
        <f t="shared" si="197"/>
        <v>01-17</v>
      </c>
      <c r="J170" s="14">
        <f t="shared" si="198"/>
        <v>215</v>
      </c>
      <c r="K170" s="15">
        <f t="shared" si="199"/>
        <v>219</v>
      </c>
      <c r="L170" s="17">
        <f t="shared" si="200"/>
        <v>229</v>
      </c>
      <c r="M170" s="18">
        <f t="shared" si="201"/>
        <v>219</v>
      </c>
      <c r="N170" s="14">
        <f t="shared" si="202"/>
        <v>229</v>
      </c>
      <c r="O170" s="15">
        <f t="shared" si="203"/>
        <v>234</v>
      </c>
      <c r="P170" s="17">
        <f t="shared" si="204"/>
        <v>215</v>
      </c>
      <c r="Q170" s="18">
        <f t="shared" si="205"/>
        <v>234</v>
      </c>
      <c r="R170" s="4" t="s">
        <v>0</v>
      </c>
      <c r="S170" s="16" t="str">
        <f t="shared" si="206"/>
        <v>01-17</v>
      </c>
      <c r="T170" s="14">
        <f t="shared" si="207"/>
        <v>215</v>
      </c>
      <c r="U170" s="18">
        <f t="shared" si="208"/>
        <v>531</v>
      </c>
      <c r="V170" s="14">
        <f t="shared" si="209"/>
        <v>229</v>
      </c>
      <c r="W170" s="18">
        <f t="shared" si="210"/>
        <v>531</v>
      </c>
      <c r="X170" s="14">
        <f t="shared" si="211"/>
        <v>229</v>
      </c>
      <c r="Y170" s="18">
        <f t="shared" si="212"/>
        <v>516</v>
      </c>
      <c r="Z170" s="14">
        <f t="shared" si="213"/>
        <v>215</v>
      </c>
      <c r="AA170" s="18">
        <f t="shared" si="214"/>
        <v>516</v>
      </c>
      <c r="AB170" s="4" t="s">
        <v>0</v>
      </c>
    </row>
    <row r="171" spans="1:28">
      <c r="A171" s="9" t="s">
        <v>145</v>
      </c>
      <c r="B171" s="24"/>
      <c r="C171" s="26"/>
      <c r="D171" s="25">
        <f t="shared" ref="D171:D183" si="246">D142</f>
        <v>248</v>
      </c>
      <c r="E171" s="29">
        <f t="shared" ref="E171" si="247">E170</f>
        <v>219</v>
      </c>
      <c r="F171" s="25">
        <f t="shared" si="243"/>
        <v>262</v>
      </c>
      <c r="G171" s="29">
        <f t="shared" si="231"/>
        <v>234</v>
      </c>
      <c r="H171" s="4" t="s">
        <v>0</v>
      </c>
      <c r="I171" s="16" t="str">
        <f t="shared" si="197"/>
        <v>01-16</v>
      </c>
      <c r="J171" s="14">
        <f t="shared" si="198"/>
        <v>248</v>
      </c>
      <c r="K171" s="15">
        <f t="shared" si="199"/>
        <v>219</v>
      </c>
      <c r="L171" s="17">
        <f t="shared" si="200"/>
        <v>262</v>
      </c>
      <c r="M171" s="18">
        <f t="shared" si="201"/>
        <v>219</v>
      </c>
      <c r="N171" s="14">
        <f t="shared" si="202"/>
        <v>262</v>
      </c>
      <c r="O171" s="15">
        <f t="shared" si="203"/>
        <v>234</v>
      </c>
      <c r="P171" s="17">
        <f t="shared" si="204"/>
        <v>248</v>
      </c>
      <c r="Q171" s="18">
        <f t="shared" si="205"/>
        <v>234</v>
      </c>
      <c r="R171" s="4" t="s">
        <v>0</v>
      </c>
      <c r="S171" s="16" t="str">
        <f t="shared" si="206"/>
        <v>01-16</v>
      </c>
      <c r="T171" s="14">
        <f t="shared" si="207"/>
        <v>248</v>
      </c>
      <c r="U171" s="18">
        <f t="shared" si="208"/>
        <v>531</v>
      </c>
      <c r="V171" s="14">
        <f t="shared" si="209"/>
        <v>262</v>
      </c>
      <c r="W171" s="18">
        <f t="shared" si="210"/>
        <v>531</v>
      </c>
      <c r="X171" s="14">
        <f t="shared" si="211"/>
        <v>262</v>
      </c>
      <c r="Y171" s="18">
        <f t="shared" si="212"/>
        <v>516</v>
      </c>
      <c r="Z171" s="14">
        <f t="shared" si="213"/>
        <v>248</v>
      </c>
      <c r="AA171" s="18">
        <f t="shared" si="214"/>
        <v>516</v>
      </c>
      <c r="AB171" s="4" t="s">
        <v>0</v>
      </c>
    </row>
    <row r="172" spans="1:28">
      <c r="A172" s="9" t="s">
        <v>144</v>
      </c>
      <c r="B172" s="24"/>
      <c r="C172" s="26"/>
      <c r="D172" s="25">
        <f t="shared" si="246"/>
        <v>262</v>
      </c>
      <c r="E172" s="29">
        <f t="shared" ref="E172" si="248">E171</f>
        <v>219</v>
      </c>
      <c r="F172" s="25">
        <f t="shared" si="243"/>
        <v>276</v>
      </c>
      <c r="G172" s="29">
        <f t="shared" si="231"/>
        <v>234</v>
      </c>
      <c r="H172" s="4" t="s">
        <v>0</v>
      </c>
      <c r="I172" s="16" t="str">
        <f t="shared" si="197"/>
        <v>01-15</v>
      </c>
      <c r="J172" s="14">
        <f t="shared" si="198"/>
        <v>262</v>
      </c>
      <c r="K172" s="15">
        <f t="shared" si="199"/>
        <v>219</v>
      </c>
      <c r="L172" s="17">
        <f t="shared" si="200"/>
        <v>276</v>
      </c>
      <c r="M172" s="18">
        <f t="shared" si="201"/>
        <v>219</v>
      </c>
      <c r="N172" s="14">
        <f t="shared" si="202"/>
        <v>276</v>
      </c>
      <c r="O172" s="15">
        <f t="shared" si="203"/>
        <v>234</v>
      </c>
      <c r="P172" s="17">
        <f t="shared" si="204"/>
        <v>262</v>
      </c>
      <c r="Q172" s="18">
        <f t="shared" si="205"/>
        <v>234</v>
      </c>
      <c r="R172" s="4" t="s">
        <v>0</v>
      </c>
      <c r="S172" s="16" t="str">
        <f t="shared" si="206"/>
        <v>01-15</v>
      </c>
      <c r="T172" s="14">
        <f t="shared" si="207"/>
        <v>262</v>
      </c>
      <c r="U172" s="18">
        <f t="shared" si="208"/>
        <v>531</v>
      </c>
      <c r="V172" s="14">
        <f t="shared" si="209"/>
        <v>276</v>
      </c>
      <c r="W172" s="18">
        <f t="shared" si="210"/>
        <v>531</v>
      </c>
      <c r="X172" s="14">
        <f t="shared" si="211"/>
        <v>276</v>
      </c>
      <c r="Y172" s="18">
        <f t="shared" si="212"/>
        <v>516</v>
      </c>
      <c r="Z172" s="14">
        <f t="shared" si="213"/>
        <v>262</v>
      </c>
      <c r="AA172" s="18">
        <f t="shared" si="214"/>
        <v>516</v>
      </c>
      <c r="AB172" s="4" t="s">
        <v>0</v>
      </c>
    </row>
    <row r="173" spans="1:28">
      <c r="A173" s="9" t="s">
        <v>143</v>
      </c>
      <c r="B173" s="24"/>
      <c r="C173" s="26"/>
      <c r="D173" s="25">
        <f t="shared" si="246"/>
        <v>275</v>
      </c>
      <c r="E173" s="29">
        <f t="shared" ref="E173" si="249">E172</f>
        <v>219</v>
      </c>
      <c r="F173" s="25">
        <f t="shared" si="243"/>
        <v>289</v>
      </c>
      <c r="G173" s="29">
        <f t="shared" si="231"/>
        <v>234</v>
      </c>
      <c r="H173" s="4" t="s">
        <v>0</v>
      </c>
      <c r="I173" s="16" t="str">
        <f t="shared" si="197"/>
        <v>01-13</v>
      </c>
      <c r="J173" s="14">
        <f t="shared" si="198"/>
        <v>275</v>
      </c>
      <c r="K173" s="15">
        <f t="shared" si="199"/>
        <v>219</v>
      </c>
      <c r="L173" s="17">
        <f t="shared" si="200"/>
        <v>289</v>
      </c>
      <c r="M173" s="18">
        <f t="shared" si="201"/>
        <v>219</v>
      </c>
      <c r="N173" s="14">
        <f t="shared" si="202"/>
        <v>289</v>
      </c>
      <c r="O173" s="15">
        <f t="shared" si="203"/>
        <v>234</v>
      </c>
      <c r="P173" s="17">
        <f t="shared" si="204"/>
        <v>275</v>
      </c>
      <c r="Q173" s="18">
        <f t="shared" si="205"/>
        <v>234</v>
      </c>
      <c r="R173" s="4" t="s">
        <v>0</v>
      </c>
      <c r="S173" s="16" t="str">
        <f t="shared" si="206"/>
        <v>01-13</v>
      </c>
      <c r="T173" s="14">
        <f t="shared" si="207"/>
        <v>275</v>
      </c>
      <c r="U173" s="18">
        <f t="shared" si="208"/>
        <v>531</v>
      </c>
      <c r="V173" s="14">
        <f t="shared" si="209"/>
        <v>289</v>
      </c>
      <c r="W173" s="18">
        <f t="shared" si="210"/>
        <v>531</v>
      </c>
      <c r="X173" s="14">
        <f t="shared" si="211"/>
        <v>289</v>
      </c>
      <c r="Y173" s="18">
        <f t="shared" si="212"/>
        <v>516</v>
      </c>
      <c r="Z173" s="14">
        <f t="shared" si="213"/>
        <v>275</v>
      </c>
      <c r="AA173" s="18">
        <f t="shared" si="214"/>
        <v>516</v>
      </c>
      <c r="AB173" s="4" t="s">
        <v>0</v>
      </c>
    </row>
    <row r="174" spans="1:28">
      <c r="A174" s="9" t="s">
        <v>11</v>
      </c>
      <c r="B174" s="24"/>
      <c r="C174" s="26"/>
      <c r="D174" s="25">
        <f t="shared" si="246"/>
        <v>289</v>
      </c>
      <c r="E174" s="29">
        <f t="shared" ref="E174" si="250">E173</f>
        <v>219</v>
      </c>
      <c r="F174" s="25">
        <f t="shared" si="243"/>
        <v>303</v>
      </c>
      <c r="G174" s="29">
        <f t="shared" si="231"/>
        <v>234</v>
      </c>
      <c r="H174" s="4" t="s">
        <v>0</v>
      </c>
      <c r="I174" s="16" t="str">
        <f t="shared" si="197"/>
        <v>01-12</v>
      </c>
      <c r="J174" s="14">
        <f t="shared" si="198"/>
        <v>289</v>
      </c>
      <c r="K174" s="15">
        <f t="shared" si="199"/>
        <v>219</v>
      </c>
      <c r="L174" s="17">
        <f t="shared" si="200"/>
        <v>303</v>
      </c>
      <c r="M174" s="18">
        <f t="shared" si="201"/>
        <v>219</v>
      </c>
      <c r="N174" s="14">
        <f t="shared" si="202"/>
        <v>303</v>
      </c>
      <c r="O174" s="15">
        <f t="shared" si="203"/>
        <v>234</v>
      </c>
      <c r="P174" s="17">
        <f t="shared" si="204"/>
        <v>289</v>
      </c>
      <c r="Q174" s="18">
        <f t="shared" si="205"/>
        <v>234</v>
      </c>
      <c r="R174" s="4" t="s">
        <v>0</v>
      </c>
      <c r="S174" s="16" t="str">
        <f t="shared" si="206"/>
        <v>01-12</v>
      </c>
      <c r="T174" s="14">
        <f t="shared" si="207"/>
        <v>289</v>
      </c>
      <c r="U174" s="18">
        <f t="shared" si="208"/>
        <v>531</v>
      </c>
      <c r="V174" s="14">
        <f t="shared" si="209"/>
        <v>303</v>
      </c>
      <c r="W174" s="18">
        <f t="shared" si="210"/>
        <v>531</v>
      </c>
      <c r="X174" s="14">
        <f t="shared" si="211"/>
        <v>303</v>
      </c>
      <c r="Y174" s="18">
        <f t="shared" si="212"/>
        <v>516</v>
      </c>
      <c r="Z174" s="14">
        <f t="shared" si="213"/>
        <v>289</v>
      </c>
      <c r="AA174" s="18">
        <f t="shared" si="214"/>
        <v>516</v>
      </c>
      <c r="AB174" s="4" t="s">
        <v>0</v>
      </c>
    </row>
    <row r="175" spans="1:28">
      <c r="A175" s="9" t="s">
        <v>10</v>
      </c>
      <c r="B175" s="24"/>
      <c r="C175" s="26"/>
      <c r="D175" s="25">
        <f t="shared" si="246"/>
        <v>303</v>
      </c>
      <c r="E175" s="29">
        <f t="shared" ref="E175" si="251">E174</f>
        <v>219</v>
      </c>
      <c r="F175" s="25">
        <f t="shared" si="243"/>
        <v>317</v>
      </c>
      <c r="G175" s="29">
        <f t="shared" si="231"/>
        <v>234</v>
      </c>
      <c r="H175" s="4" t="s">
        <v>0</v>
      </c>
      <c r="I175" s="16" t="str">
        <f t="shared" si="0"/>
        <v>01-11</v>
      </c>
      <c r="J175" s="14">
        <f t="shared" si="2"/>
        <v>303</v>
      </c>
      <c r="K175" s="15">
        <f t="shared" si="2"/>
        <v>219</v>
      </c>
      <c r="L175" s="17">
        <f t="shared" si="3"/>
        <v>317</v>
      </c>
      <c r="M175" s="18">
        <f t="shared" si="4"/>
        <v>219</v>
      </c>
      <c r="N175" s="14">
        <f t="shared" si="5"/>
        <v>317</v>
      </c>
      <c r="O175" s="15">
        <f t="shared" si="5"/>
        <v>234</v>
      </c>
      <c r="P175" s="17">
        <f t="shared" si="6"/>
        <v>303</v>
      </c>
      <c r="Q175" s="18">
        <f t="shared" si="7"/>
        <v>234</v>
      </c>
      <c r="R175" s="4" t="s">
        <v>0</v>
      </c>
      <c r="S175" s="16" t="str">
        <f t="shared" si="8"/>
        <v>01-11</v>
      </c>
      <c r="T175" s="14">
        <f t="shared" si="9"/>
        <v>303</v>
      </c>
      <c r="U175" s="18">
        <f t="shared" si="10"/>
        <v>531</v>
      </c>
      <c r="V175" s="14">
        <f t="shared" si="1"/>
        <v>317</v>
      </c>
      <c r="W175" s="18">
        <f t="shared" si="11"/>
        <v>531</v>
      </c>
      <c r="X175" s="14">
        <f t="shared" si="1"/>
        <v>317</v>
      </c>
      <c r="Y175" s="18">
        <f t="shared" si="12"/>
        <v>516</v>
      </c>
      <c r="Z175" s="14">
        <f t="shared" si="1"/>
        <v>303</v>
      </c>
      <c r="AA175" s="18">
        <f t="shared" si="13"/>
        <v>516</v>
      </c>
      <c r="AB175" s="4" t="s">
        <v>0</v>
      </c>
    </row>
    <row r="176" spans="1:28">
      <c r="A176" s="9" t="s">
        <v>9</v>
      </c>
      <c r="B176" s="24"/>
      <c r="C176" s="26"/>
      <c r="D176" s="25">
        <f t="shared" si="246"/>
        <v>317</v>
      </c>
      <c r="E176" s="29">
        <f t="shared" ref="E176" si="252">E175</f>
        <v>219</v>
      </c>
      <c r="F176" s="25">
        <f t="shared" si="243"/>
        <v>331</v>
      </c>
      <c r="G176" s="29">
        <f t="shared" si="231"/>
        <v>234</v>
      </c>
      <c r="H176" s="4" t="s">
        <v>0</v>
      </c>
      <c r="I176" s="16" t="str">
        <f t="shared" si="0"/>
        <v>01-10</v>
      </c>
      <c r="J176" s="14">
        <f t="shared" si="2"/>
        <v>317</v>
      </c>
      <c r="K176" s="15">
        <f t="shared" si="2"/>
        <v>219</v>
      </c>
      <c r="L176" s="17">
        <f t="shared" si="3"/>
        <v>331</v>
      </c>
      <c r="M176" s="18">
        <f t="shared" si="4"/>
        <v>219</v>
      </c>
      <c r="N176" s="14">
        <f t="shared" si="5"/>
        <v>331</v>
      </c>
      <c r="O176" s="15">
        <f t="shared" si="5"/>
        <v>234</v>
      </c>
      <c r="P176" s="17">
        <f t="shared" si="6"/>
        <v>317</v>
      </c>
      <c r="Q176" s="18">
        <f t="shared" si="7"/>
        <v>234</v>
      </c>
      <c r="R176" s="4" t="s">
        <v>0</v>
      </c>
      <c r="S176" s="16" t="str">
        <f t="shared" si="8"/>
        <v>01-10</v>
      </c>
      <c r="T176" s="14">
        <f t="shared" si="9"/>
        <v>317</v>
      </c>
      <c r="U176" s="18">
        <f t="shared" si="10"/>
        <v>531</v>
      </c>
      <c r="V176" s="14">
        <f t="shared" si="1"/>
        <v>331</v>
      </c>
      <c r="W176" s="18">
        <f t="shared" si="11"/>
        <v>531</v>
      </c>
      <c r="X176" s="14">
        <f t="shared" si="1"/>
        <v>331</v>
      </c>
      <c r="Y176" s="18">
        <f t="shared" si="12"/>
        <v>516</v>
      </c>
      <c r="Z176" s="14">
        <f t="shared" si="1"/>
        <v>317</v>
      </c>
      <c r="AA176" s="18">
        <f t="shared" si="13"/>
        <v>516</v>
      </c>
      <c r="AB176" s="4" t="s">
        <v>0</v>
      </c>
    </row>
    <row r="177" spans="1:28">
      <c r="A177" s="9" t="s">
        <v>8</v>
      </c>
      <c r="B177" s="24"/>
      <c r="C177" s="26"/>
      <c r="D177" s="25">
        <f t="shared" si="246"/>
        <v>330</v>
      </c>
      <c r="E177" s="29">
        <f t="shared" ref="E177" si="253">E176</f>
        <v>219</v>
      </c>
      <c r="F177" s="25">
        <f t="shared" si="243"/>
        <v>344</v>
      </c>
      <c r="G177" s="29">
        <f t="shared" si="231"/>
        <v>234</v>
      </c>
      <c r="H177" s="4" t="s">
        <v>0</v>
      </c>
      <c r="I177" s="11" t="str">
        <f t="shared" si="0"/>
        <v>01-08</v>
      </c>
      <c r="J177" s="14">
        <f t="shared" si="2"/>
        <v>330</v>
      </c>
      <c r="K177" s="15">
        <f t="shared" si="2"/>
        <v>219</v>
      </c>
      <c r="L177" s="17">
        <f t="shared" si="3"/>
        <v>344</v>
      </c>
      <c r="M177" s="18">
        <f t="shared" si="4"/>
        <v>219</v>
      </c>
      <c r="N177" s="14">
        <f t="shared" si="5"/>
        <v>344</v>
      </c>
      <c r="O177" s="15">
        <f t="shared" si="5"/>
        <v>234</v>
      </c>
      <c r="P177" s="17">
        <f t="shared" si="6"/>
        <v>330</v>
      </c>
      <c r="Q177" s="18">
        <f t="shared" si="7"/>
        <v>234</v>
      </c>
      <c r="R177" s="4" t="s">
        <v>0</v>
      </c>
      <c r="S177" s="16" t="str">
        <f t="shared" si="8"/>
        <v>01-08</v>
      </c>
      <c r="T177" s="14">
        <f t="shared" si="9"/>
        <v>330</v>
      </c>
      <c r="U177" s="18">
        <f t="shared" si="10"/>
        <v>531</v>
      </c>
      <c r="V177" s="14">
        <f t="shared" si="1"/>
        <v>344</v>
      </c>
      <c r="W177" s="18">
        <f t="shared" si="11"/>
        <v>531</v>
      </c>
      <c r="X177" s="14">
        <f t="shared" si="1"/>
        <v>344</v>
      </c>
      <c r="Y177" s="18">
        <f t="shared" si="12"/>
        <v>516</v>
      </c>
      <c r="Z177" s="14">
        <f t="shared" si="1"/>
        <v>330</v>
      </c>
      <c r="AA177" s="18">
        <f t="shared" si="13"/>
        <v>516</v>
      </c>
      <c r="AB177" s="4" t="s">
        <v>0</v>
      </c>
    </row>
    <row r="178" spans="1:28">
      <c r="A178" s="9" t="s">
        <v>7</v>
      </c>
      <c r="B178" s="24"/>
      <c r="C178" s="26"/>
      <c r="D178" s="25">
        <f t="shared" si="246"/>
        <v>344</v>
      </c>
      <c r="E178" s="29">
        <f t="shared" ref="E178" si="254">E177</f>
        <v>219</v>
      </c>
      <c r="F178" s="25">
        <f t="shared" si="243"/>
        <v>358</v>
      </c>
      <c r="G178" s="29">
        <f t="shared" si="231"/>
        <v>234</v>
      </c>
      <c r="H178" s="4" t="s">
        <v>0</v>
      </c>
      <c r="I178" s="11" t="str">
        <f t="shared" si="0"/>
        <v>01-07</v>
      </c>
      <c r="J178" s="14">
        <f t="shared" si="2"/>
        <v>344</v>
      </c>
      <c r="K178" s="15">
        <f t="shared" si="2"/>
        <v>219</v>
      </c>
      <c r="L178" s="17">
        <f t="shared" si="3"/>
        <v>358</v>
      </c>
      <c r="M178" s="18">
        <f t="shared" si="4"/>
        <v>219</v>
      </c>
      <c r="N178" s="14">
        <f t="shared" si="5"/>
        <v>358</v>
      </c>
      <c r="O178" s="15">
        <f t="shared" si="5"/>
        <v>234</v>
      </c>
      <c r="P178" s="17">
        <f t="shared" si="6"/>
        <v>344</v>
      </c>
      <c r="Q178" s="18">
        <f t="shared" si="7"/>
        <v>234</v>
      </c>
      <c r="R178" s="4" t="s">
        <v>0</v>
      </c>
      <c r="S178" s="16" t="str">
        <f t="shared" si="8"/>
        <v>01-07</v>
      </c>
      <c r="T178" s="14">
        <f t="shared" si="9"/>
        <v>344</v>
      </c>
      <c r="U178" s="18">
        <f t="shared" si="10"/>
        <v>531</v>
      </c>
      <c r="V178" s="14">
        <f t="shared" si="1"/>
        <v>358</v>
      </c>
      <c r="W178" s="18">
        <f t="shared" si="11"/>
        <v>531</v>
      </c>
      <c r="X178" s="14">
        <f t="shared" si="1"/>
        <v>358</v>
      </c>
      <c r="Y178" s="18">
        <f t="shared" si="12"/>
        <v>516</v>
      </c>
      <c r="Z178" s="14">
        <f t="shared" si="1"/>
        <v>344</v>
      </c>
      <c r="AA178" s="18">
        <f t="shared" si="13"/>
        <v>516</v>
      </c>
      <c r="AB178" s="4" t="s">
        <v>0</v>
      </c>
    </row>
    <row r="179" spans="1:28">
      <c r="A179" s="9" t="s">
        <v>6</v>
      </c>
      <c r="B179" s="24"/>
      <c r="C179" s="26"/>
      <c r="D179" s="25">
        <f t="shared" si="246"/>
        <v>358</v>
      </c>
      <c r="E179" s="29">
        <f t="shared" ref="E179" si="255">E178</f>
        <v>219</v>
      </c>
      <c r="F179" s="25">
        <f t="shared" si="243"/>
        <v>372</v>
      </c>
      <c r="G179" s="29">
        <f t="shared" si="231"/>
        <v>234</v>
      </c>
      <c r="H179" s="4" t="s">
        <v>0</v>
      </c>
      <c r="I179" s="11" t="str">
        <f t="shared" si="0"/>
        <v>01-06</v>
      </c>
      <c r="J179" s="14">
        <f t="shared" si="2"/>
        <v>358</v>
      </c>
      <c r="K179" s="15">
        <f t="shared" si="2"/>
        <v>219</v>
      </c>
      <c r="L179" s="17">
        <f t="shared" si="3"/>
        <v>372</v>
      </c>
      <c r="M179" s="18">
        <f t="shared" si="4"/>
        <v>219</v>
      </c>
      <c r="N179" s="14">
        <f t="shared" si="5"/>
        <v>372</v>
      </c>
      <c r="O179" s="15">
        <f t="shared" si="5"/>
        <v>234</v>
      </c>
      <c r="P179" s="17">
        <f t="shared" si="6"/>
        <v>358</v>
      </c>
      <c r="Q179" s="18">
        <f t="shared" si="7"/>
        <v>234</v>
      </c>
      <c r="R179" s="4" t="s">
        <v>0</v>
      </c>
      <c r="S179" s="16" t="str">
        <f t="shared" si="8"/>
        <v>01-06</v>
      </c>
      <c r="T179" s="14">
        <f t="shared" si="9"/>
        <v>358</v>
      </c>
      <c r="U179" s="18">
        <f t="shared" si="10"/>
        <v>531</v>
      </c>
      <c r="V179" s="14">
        <f t="shared" si="1"/>
        <v>372</v>
      </c>
      <c r="W179" s="18">
        <f t="shared" si="11"/>
        <v>531</v>
      </c>
      <c r="X179" s="14">
        <f t="shared" si="1"/>
        <v>372</v>
      </c>
      <c r="Y179" s="18">
        <f t="shared" si="12"/>
        <v>516</v>
      </c>
      <c r="Z179" s="14">
        <f t="shared" si="1"/>
        <v>358</v>
      </c>
      <c r="AA179" s="18">
        <f t="shared" si="13"/>
        <v>516</v>
      </c>
      <c r="AB179" s="4" t="s">
        <v>0</v>
      </c>
    </row>
    <row r="180" spans="1:28">
      <c r="A180" s="9" t="s">
        <v>5</v>
      </c>
      <c r="B180" s="24"/>
      <c r="C180" s="26"/>
      <c r="D180" s="25">
        <f t="shared" si="246"/>
        <v>371</v>
      </c>
      <c r="E180" s="29">
        <f t="shared" ref="E180" si="256">E179</f>
        <v>219</v>
      </c>
      <c r="F180" s="25">
        <f t="shared" si="243"/>
        <v>385</v>
      </c>
      <c r="G180" s="29">
        <f t="shared" si="231"/>
        <v>234</v>
      </c>
      <c r="H180" s="4" t="s">
        <v>0</v>
      </c>
      <c r="I180" s="11" t="str">
        <f t="shared" si="0"/>
        <v>01-05</v>
      </c>
      <c r="J180" s="14">
        <f t="shared" si="2"/>
        <v>371</v>
      </c>
      <c r="K180" s="15">
        <f t="shared" si="2"/>
        <v>219</v>
      </c>
      <c r="L180" s="17">
        <f t="shared" si="3"/>
        <v>385</v>
      </c>
      <c r="M180" s="18">
        <f t="shared" si="4"/>
        <v>219</v>
      </c>
      <c r="N180" s="14">
        <f t="shared" si="5"/>
        <v>385</v>
      </c>
      <c r="O180" s="15">
        <f t="shared" si="5"/>
        <v>234</v>
      </c>
      <c r="P180" s="17">
        <f t="shared" si="6"/>
        <v>371</v>
      </c>
      <c r="Q180" s="18">
        <f t="shared" si="7"/>
        <v>234</v>
      </c>
      <c r="R180" s="4" t="s">
        <v>0</v>
      </c>
      <c r="S180" s="16" t="str">
        <f t="shared" si="8"/>
        <v>01-05</v>
      </c>
      <c r="T180" s="14">
        <f t="shared" si="9"/>
        <v>371</v>
      </c>
      <c r="U180" s="18">
        <f t="shared" si="10"/>
        <v>531</v>
      </c>
      <c r="V180" s="14">
        <f t="shared" si="1"/>
        <v>385</v>
      </c>
      <c r="W180" s="18">
        <f t="shared" si="11"/>
        <v>531</v>
      </c>
      <c r="X180" s="14">
        <f t="shared" si="1"/>
        <v>385</v>
      </c>
      <c r="Y180" s="18">
        <f t="shared" si="12"/>
        <v>516</v>
      </c>
      <c r="Z180" s="14">
        <f t="shared" si="1"/>
        <v>371</v>
      </c>
      <c r="AA180" s="18">
        <f t="shared" si="13"/>
        <v>516</v>
      </c>
      <c r="AB180" s="4" t="s">
        <v>0</v>
      </c>
    </row>
    <row r="181" spans="1:28">
      <c r="A181" s="9" t="s">
        <v>4</v>
      </c>
      <c r="B181" s="24"/>
      <c r="C181" s="26"/>
      <c r="D181" s="25">
        <f t="shared" si="246"/>
        <v>385</v>
      </c>
      <c r="E181" s="29">
        <f t="shared" ref="E181" si="257">E180</f>
        <v>219</v>
      </c>
      <c r="F181" s="25">
        <f t="shared" si="243"/>
        <v>399</v>
      </c>
      <c r="G181" s="29">
        <f t="shared" si="231"/>
        <v>234</v>
      </c>
      <c r="H181" s="4" t="s">
        <v>0</v>
      </c>
      <c r="I181" s="11" t="str">
        <f t="shared" si="0"/>
        <v>01-03</v>
      </c>
      <c r="J181" s="14">
        <f t="shared" si="2"/>
        <v>385</v>
      </c>
      <c r="K181" s="15">
        <f t="shared" si="2"/>
        <v>219</v>
      </c>
      <c r="L181" s="17">
        <f t="shared" si="3"/>
        <v>399</v>
      </c>
      <c r="M181" s="18">
        <f t="shared" si="4"/>
        <v>219</v>
      </c>
      <c r="N181" s="14">
        <f t="shared" si="5"/>
        <v>399</v>
      </c>
      <c r="O181" s="15">
        <f t="shared" si="5"/>
        <v>234</v>
      </c>
      <c r="P181" s="17">
        <f t="shared" si="6"/>
        <v>385</v>
      </c>
      <c r="Q181" s="18">
        <f t="shared" si="7"/>
        <v>234</v>
      </c>
      <c r="R181" s="4" t="s">
        <v>0</v>
      </c>
      <c r="S181" s="16" t="str">
        <f t="shared" si="8"/>
        <v>01-03</v>
      </c>
      <c r="T181" s="14">
        <f t="shared" si="9"/>
        <v>385</v>
      </c>
      <c r="U181" s="18">
        <f t="shared" si="10"/>
        <v>531</v>
      </c>
      <c r="V181" s="14">
        <f t="shared" si="1"/>
        <v>399</v>
      </c>
      <c r="W181" s="18">
        <f t="shared" si="11"/>
        <v>531</v>
      </c>
      <c r="X181" s="14">
        <f t="shared" si="1"/>
        <v>399</v>
      </c>
      <c r="Y181" s="18">
        <f t="shared" si="12"/>
        <v>516</v>
      </c>
      <c r="Z181" s="14">
        <f t="shared" si="1"/>
        <v>385</v>
      </c>
      <c r="AA181" s="18">
        <f t="shared" si="13"/>
        <v>516</v>
      </c>
      <c r="AB181" s="4" t="s">
        <v>0</v>
      </c>
    </row>
    <row r="182" spans="1:28">
      <c r="A182" s="9" t="s">
        <v>142</v>
      </c>
      <c r="B182" s="24"/>
      <c r="C182" s="26"/>
      <c r="D182" s="25">
        <f t="shared" si="246"/>
        <v>399</v>
      </c>
      <c r="E182" s="29">
        <f t="shared" ref="E182" si="258">E181</f>
        <v>219</v>
      </c>
      <c r="F182" s="25">
        <f t="shared" si="243"/>
        <v>413</v>
      </c>
      <c r="G182" s="29">
        <f t="shared" si="231"/>
        <v>234</v>
      </c>
      <c r="H182" s="4" t="s">
        <v>0</v>
      </c>
      <c r="I182" s="11" t="str">
        <f t="shared" si="0"/>
        <v>01-02</v>
      </c>
      <c r="J182" s="14">
        <f t="shared" si="2"/>
        <v>399</v>
      </c>
      <c r="K182" s="15">
        <f t="shared" si="2"/>
        <v>219</v>
      </c>
      <c r="L182" s="17">
        <f t="shared" si="3"/>
        <v>413</v>
      </c>
      <c r="M182" s="18">
        <f t="shared" si="4"/>
        <v>219</v>
      </c>
      <c r="N182" s="14">
        <f t="shared" si="5"/>
        <v>413</v>
      </c>
      <c r="O182" s="15">
        <f t="shared" si="5"/>
        <v>234</v>
      </c>
      <c r="P182" s="17">
        <f t="shared" si="6"/>
        <v>399</v>
      </c>
      <c r="Q182" s="18">
        <f t="shared" si="7"/>
        <v>234</v>
      </c>
      <c r="R182" s="4" t="s">
        <v>0</v>
      </c>
      <c r="S182" s="16" t="str">
        <f t="shared" si="8"/>
        <v>01-02</v>
      </c>
      <c r="T182" s="14">
        <f t="shared" si="9"/>
        <v>399</v>
      </c>
      <c r="U182" s="18">
        <f t="shared" si="10"/>
        <v>531</v>
      </c>
      <c r="V182" s="14">
        <f t="shared" si="1"/>
        <v>413</v>
      </c>
      <c r="W182" s="18">
        <f t="shared" si="11"/>
        <v>531</v>
      </c>
      <c r="X182" s="14">
        <f t="shared" si="1"/>
        <v>413</v>
      </c>
      <c r="Y182" s="18">
        <f t="shared" si="12"/>
        <v>516</v>
      </c>
      <c r="Z182" s="14">
        <f t="shared" si="1"/>
        <v>399</v>
      </c>
      <c r="AA182" s="18">
        <f t="shared" si="13"/>
        <v>516</v>
      </c>
      <c r="AB182" s="4" t="s">
        <v>0</v>
      </c>
    </row>
    <row r="183" spans="1:28">
      <c r="A183" s="9" t="s">
        <v>141</v>
      </c>
      <c r="B183" s="24"/>
      <c r="C183" s="26"/>
      <c r="D183" s="25">
        <f t="shared" si="246"/>
        <v>412</v>
      </c>
      <c r="E183" s="29">
        <f t="shared" ref="E183" si="259">E182</f>
        <v>219</v>
      </c>
      <c r="F183" s="25">
        <f t="shared" si="243"/>
        <v>426</v>
      </c>
      <c r="G183" s="29">
        <f t="shared" si="231"/>
        <v>234</v>
      </c>
      <c r="H183" s="4" t="s">
        <v>0</v>
      </c>
      <c r="I183" s="11" t="str">
        <f t="shared" si="0"/>
        <v>01-01</v>
      </c>
      <c r="J183" s="14">
        <f t="shared" si="2"/>
        <v>412</v>
      </c>
      <c r="K183" s="15">
        <f t="shared" si="2"/>
        <v>219</v>
      </c>
      <c r="L183" s="17">
        <f t="shared" si="3"/>
        <v>426</v>
      </c>
      <c r="M183" s="18">
        <f t="shared" si="4"/>
        <v>219</v>
      </c>
      <c r="N183" s="14">
        <f t="shared" si="5"/>
        <v>426</v>
      </c>
      <c r="O183" s="15">
        <f t="shared" si="5"/>
        <v>234</v>
      </c>
      <c r="P183" s="17">
        <f t="shared" si="6"/>
        <v>412</v>
      </c>
      <c r="Q183" s="18">
        <f t="shared" si="7"/>
        <v>234</v>
      </c>
      <c r="R183" s="4" t="s">
        <v>0</v>
      </c>
      <c r="S183" s="16" t="str">
        <f t="shared" si="8"/>
        <v>01-01</v>
      </c>
      <c r="T183" s="14">
        <f t="shared" si="9"/>
        <v>412</v>
      </c>
      <c r="U183" s="18">
        <f t="shared" si="10"/>
        <v>531</v>
      </c>
      <c r="V183" s="14">
        <f t="shared" si="1"/>
        <v>426</v>
      </c>
      <c r="W183" s="18">
        <f t="shared" si="11"/>
        <v>531</v>
      </c>
      <c r="X183" s="14">
        <f t="shared" si="1"/>
        <v>426</v>
      </c>
      <c r="Y183" s="18">
        <f t="shared" si="12"/>
        <v>516</v>
      </c>
      <c r="Z183" s="14">
        <f t="shared" si="1"/>
        <v>412</v>
      </c>
      <c r="AA183" s="18">
        <f t="shared" si="13"/>
        <v>516</v>
      </c>
      <c r="AB183" s="4" t="s">
        <v>0</v>
      </c>
    </row>
  </sheetData>
  <autoFilter ref="A10:AB183" xr:uid="{00000000-0001-0000-0000-000000000000}"/>
  <mergeCells count="2">
    <mergeCell ref="D3:G3"/>
    <mergeCell ref="D4:G4"/>
  </mergeCells>
  <phoneticPr fontId="1"/>
  <hyperlinks>
    <hyperlink ref="N4" r:id="rId1" xr:uid="{93E1FBFF-0D12-4DCC-9920-17A8FF751A5A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27E7A-3290-4BD2-8470-ABA0A71E3BCD}">
  <sheetPr codeName="Sheet14">
    <pageSetUpPr fitToPage="1"/>
  </sheetPr>
  <dimension ref="A1:AB99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SEC_11_3_釈D.json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SEC_11_3_釈D.png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436</v>
      </c>
      <c r="B11" s="30" t="s">
        <v>698</v>
      </c>
      <c r="C11" s="4" t="s">
        <v>0</v>
      </c>
      <c r="D11" s="27">
        <v>20</v>
      </c>
      <c r="E11" s="31">
        <v>84</v>
      </c>
      <c r="F11" s="31">
        <v>38</v>
      </c>
      <c r="G11" s="31">
        <v>103</v>
      </c>
      <c r="H11" s="4" t="s">
        <v>0</v>
      </c>
      <c r="I11" s="16" t="str">
        <f t="shared" ref="I11:I12" si="0">A11</f>
        <v>05-28</v>
      </c>
      <c r="J11" s="14">
        <f>IF(D11&lt;&gt;"",D11,0)</f>
        <v>20</v>
      </c>
      <c r="K11" s="15">
        <f>IF(E11&lt;&gt;"",E11,0)</f>
        <v>84</v>
      </c>
      <c r="L11" s="17">
        <f>N11</f>
        <v>38</v>
      </c>
      <c r="M11" s="18">
        <f>K11</f>
        <v>84</v>
      </c>
      <c r="N11" s="14">
        <f>IF(F11&lt;&gt;"",F11,0)</f>
        <v>38</v>
      </c>
      <c r="O11" s="15">
        <f>IF(G11&lt;&gt;"",G11,0)</f>
        <v>103</v>
      </c>
      <c r="P11" s="17">
        <f>J11</f>
        <v>20</v>
      </c>
      <c r="Q11" s="18">
        <f>O11</f>
        <v>103</v>
      </c>
      <c r="R11" s="4" t="s">
        <v>0</v>
      </c>
      <c r="S11" s="16" t="str">
        <f>I11</f>
        <v>05-28</v>
      </c>
      <c r="T11" s="14">
        <f>IF(J11&lt;&gt;"",J11,"")</f>
        <v>20</v>
      </c>
      <c r="U11" s="18">
        <f>IF(K11&lt;&gt;"",U$6-K11,"")</f>
        <v>666</v>
      </c>
      <c r="V11" s="14">
        <f t="shared" ref="V11:Z12" si="1">IF(L11&lt;&gt;"",L11,"")</f>
        <v>38</v>
      </c>
      <c r="W11" s="18">
        <f>IF(M11&lt;&gt;"",W$6-M11,"")</f>
        <v>666</v>
      </c>
      <c r="X11" s="14">
        <f t="shared" si="1"/>
        <v>38</v>
      </c>
      <c r="Y11" s="18">
        <f>IF(O11&lt;&gt;"",Y$6-O11,"")</f>
        <v>647</v>
      </c>
      <c r="Z11" s="14">
        <f t="shared" si="1"/>
        <v>20</v>
      </c>
      <c r="AA11" s="18">
        <f>IF(Q11&lt;&gt;"",AA$6-Q11,"")</f>
        <v>647</v>
      </c>
      <c r="AB11" s="4" t="s">
        <v>0</v>
      </c>
    </row>
    <row r="12" spans="1:28">
      <c r="A12" s="9" t="s">
        <v>435</v>
      </c>
      <c r="B12" s="24"/>
      <c r="C12" s="26">
        <v>1</v>
      </c>
      <c r="D12" s="28">
        <f>ROUND(D$11+17.8*$C12, 0)</f>
        <v>38</v>
      </c>
      <c r="E12" s="29">
        <f>E$11</f>
        <v>84</v>
      </c>
      <c r="F12" s="28">
        <f>ROUND(F$11+17.8*$C12, 0)</f>
        <v>56</v>
      </c>
      <c r="G12" s="29">
        <f>G$11</f>
        <v>103</v>
      </c>
      <c r="H12" s="4" t="s">
        <v>0</v>
      </c>
      <c r="I12" s="16" t="str">
        <f t="shared" si="0"/>
        <v>05-27</v>
      </c>
      <c r="J12" s="14">
        <f t="shared" ref="J12:K12" si="2">IF(D12&lt;&gt;"",D12,0)</f>
        <v>38</v>
      </c>
      <c r="K12" s="15">
        <f t="shared" si="2"/>
        <v>84</v>
      </c>
      <c r="L12" s="17">
        <f t="shared" ref="L12" si="3">N12</f>
        <v>56</v>
      </c>
      <c r="M12" s="18">
        <f t="shared" ref="M12" si="4">K12</f>
        <v>84</v>
      </c>
      <c r="N12" s="14">
        <f t="shared" ref="N12:O12" si="5">IF(F12&lt;&gt;"",F12,0)</f>
        <v>56</v>
      </c>
      <c r="O12" s="15">
        <f t="shared" si="5"/>
        <v>103</v>
      </c>
      <c r="P12" s="17">
        <f t="shared" ref="P12" si="6">J12</f>
        <v>38</v>
      </c>
      <c r="Q12" s="18">
        <f t="shared" ref="Q12" si="7">O12</f>
        <v>103</v>
      </c>
      <c r="R12" s="4" t="s">
        <v>0</v>
      </c>
      <c r="S12" s="16" t="str">
        <f t="shared" ref="S12" si="8">I12</f>
        <v>05-27</v>
      </c>
      <c r="T12" s="14">
        <f t="shared" ref="T12" si="9">IF(J12&lt;&gt;"",J12,"")</f>
        <v>38</v>
      </c>
      <c r="U12" s="18">
        <f t="shared" ref="U12" si="10">IF(K12&lt;&gt;"",U$6-K12,"")</f>
        <v>666</v>
      </c>
      <c r="V12" s="14">
        <f t="shared" si="1"/>
        <v>56</v>
      </c>
      <c r="W12" s="18">
        <f t="shared" ref="W12" si="11">IF(M12&lt;&gt;"",W$6-M12,"")</f>
        <v>666</v>
      </c>
      <c r="X12" s="14">
        <f t="shared" si="1"/>
        <v>56</v>
      </c>
      <c r="Y12" s="18">
        <f t="shared" ref="Y12" si="12">IF(O12&lt;&gt;"",Y$6-O12,"")</f>
        <v>647</v>
      </c>
      <c r="Z12" s="14">
        <f t="shared" si="1"/>
        <v>38</v>
      </c>
      <c r="AA12" s="18">
        <f t="shared" ref="AA12" si="13">IF(Q12&lt;&gt;"",AA$6-Q12,"")</f>
        <v>647</v>
      </c>
      <c r="AB12" s="4" t="s">
        <v>0</v>
      </c>
    </row>
    <row r="13" spans="1:28">
      <c r="A13" s="9" t="s">
        <v>434</v>
      </c>
      <c r="B13" s="24"/>
      <c r="C13" s="26">
        <v>2</v>
      </c>
      <c r="D13" s="28">
        <f t="shared" ref="D13:D21" si="14">ROUND(D$11+17.8*$C13, 0)</f>
        <v>56</v>
      </c>
      <c r="E13" s="29">
        <f t="shared" ref="E13:E21" si="15">E$11</f>
        <v>84</v>
      </c>
      <c r="F13" s="28">
        <f t="shared" ref="F13:F21" si="16">ROUND(F$11+17.8*$C13, 0)</f>
        <v>74</v>
      </c>
      <c r="G13" s="29">
        <f t="shared" ref="G13:G21" si="17">G$11</f>
        <v>103</v>
      </c>
      <c r="H13" s="4" t="s">
        <v>0</v>
      </c>
      <c r="I13" s="16" t="str">
        <f t="shared" ref="I13:I76" si="18">A13</f>
        <v>05-26</v>
      </c>
      <c r="J13" s="14">
        <f t="shared" ref="J13:J76" si="19">IF(D13&lt;&gt;"",D13,0)</f>
        <v>56</v>
      </c>
      <c r="K13" s="15">
        <f t="shared" ref="K13:K76" si="20">IF(E13&lt;&gt;"",E13,0)</f>
        <v>84</v>
      </c>
      <c r="L13" s="17">
        <f t="shared" ref="L13:L76" si="21">N13</f>
        <v>74</v>
      </c>
      <c r="M13" s="18">
        <f t="shared" ref="M13:M76" si="22">K13</f>
        <v>84</v>
      </c>
      <c r="N13" s="14">
        <f t="shared" ref="N13:N76" si="23">IF(F13&lt;&gt;"",F13,0)</f>
        <v>74</v>
      </c>
      <c r="O13" s="15">
        <f t="shared" ref="O13:O76" si="24">IF(G13&lt;&gt;"",G13,0)</f>
        <v>103</v>
      </c>
      <c r="P13" s="17">
        <f t="shared" ref="P13:P76" si="25">J13</f>
        <v>56</v>
      </c>
      <c r="Q13" s="18">
        <f t="shared" ref="Q13:Q76" si="26">O13</f>
        <v>103</v>
      </c>
      <c r="R13" s="4" t="s">
        <v>0</v>
      </c>
      <c r="S13" s="16" t="str">
        <f t="shared" ref="S13:S76" si="27">I13</f>
        <v>05-26</v>
      </c>
      <c r="T13" s="14">
        <f t="shared" ref="T13:T76" si="28">IF(J13&lt;&gt;"",J13,"")</f>
        <v>56</v>
      </c>
      <c r="U13" s="18">
        <f t="shared" ref="U13:U76" si="29">IF(K13&lt;&gt;"",U$6-K13,"")</f>
        <v>666</v>
      </c>
      <c r="V13" s="14">
        <f t="shared" ref="V13:V76" si="30">IF(L13&lt;&gt;"",L13,"")</f>
        <v>74</v>
      </c>
      <c r="W13" s="18">
        <f t="shared" ref="W13:W76" si="31">IF(M13&lt;&gt;"",W$6-M13,"")</f>
        <v>666</v>
      </c>
      <c r="X13" s="14">
        <f t="shared" ref="X13:X76" si="32">IF(N13&lt;&gt;"",N13,"")</f>
        <v>74</v>
      </c>
      <c r="Y13" s="18">
        <f t="shared" ref="Y13:Y76" si="33">IF(O13&lt;&gt;"",Y$6-O13,"")</f>
        <v>647</v>
      </c>
      <c r="Z13" s="14">
        <f t="shared" ref="Z13:Z76" si="34">IF(P13&lt;&gt;"",P13,"")</f>
        <v>56</v>
      </c>
      <c r="AA13" s="18">
        <f t="shared" ref="AA13:AA76" si="35">IF(Q13&lt;&gt;"",AA$6-Q13,"")</f>
        <v>647</v>
      </c>
      <c r="AB13" s="4" t="s">
        <v>0</v>
      </c>
    </row>
    <row r="14" spans="1:28">
      <c r="A14" s="9" t="s">
        <v>433</v>
      </c>
      <c r="B14" s="24"/>
      <c r="C14" s="26">
        <v>3</v>
      </c>
      <c r="D14" s="28">
        <f t="shared" si="14"/>
        <v>73</v>
      </c>
      <c r="E14" s="29">
        <f t="shared" si="15"/>
        <v>84</v>
      </c>
      <c r="F14" s="28">
        <f t="shared" si="16"/>
        <v>91</v>
      </c>
      <c r="G14" s="29">
        <f t="shared" si="17"/>
        <v>103</v>
      </c>
      <c r="H14" s="4" t="s">
        <v>0</v>
      </c>
      <c r="I14" s="16" t="str">
        <f t="shared" si="18"/>
        <v>05-25</v>
      </c>
      <c r="J14" s="14">
        <f t="shared" si="19"/>
        <v>73</v>
      </c>
      <c r="K14" s="15">
        <f t="shared" si="20"/>
        <v>84</v>
      </c>
      <c r="L14" s="17">
        <f t="shared" si="21"/>
        <v>91</v>
      </c>
      <c r="M14" s="18">
        <f t="shared" si="22"/>
        <v>84</v>
      </c>
      <c r="N14" s="14">
        <f t="shared" si="23"/>
        <v>91</v>
      </c>
      <c r="O14" s="15">
        <f t="shared" si="24"/>
        <v>103</v>
      </c>
      <c r="P14" s="17">
        <f t="shared" si="25"/>
        <v>73</v>
      </c>
      <c r="Q14" s="18">
        <f t="shared" si="26"/>
        <v>103</v>
      </c>
      <c r="R14" s="4" t="s">
        <v>0</v>
      </c>
      <c r="S14" s="16" t="str">
        <f t="shared" si="27"/>
        <v>05-25</v>
      </c>
      <c r="T14" s="14">
        <f t="shared" si="28"/>
        <v>73</v>
      </c>
      <c r="U14" s="18">
        <f t="shared" si="29"/>
        <v>666</v>
      </c>
      <c r="V14" s="14">
        <f t="shared" si="30"/>
        <v>91</v>
      </c>
      <c r="W14" s="18">
        <f t="shared" si="31"/>
        <v>666</v>
      </c>
      <c r="X14" s="14">
        <f t="shared" si="32"/>
        <v>91</v>
      </c>
      <c r="Y14" s="18">
        <f t="shared" si="33"/>
        <v>647</v>
      </c>
      <c r="Z14" s="14">
        <f t="shared" si="34"/>
        <v>73</v>
      </c>
      <c r="AA14" s="18">
        <f t="shared" si="35"/>
        <v>647</v>
      </c>
      <c r="AB14" s="4" t="s">
        <v>0</v>
      </c>
    </row>
    <row r="15" spans="1:28">
      <c r="A15" s="9" t="s">
        <v>432</v>
      </c>
      <c r="B15" s="24"/>
      <c r="C15" s="26">
        <v>4</v>
      </c>
      <c r="D15" s="28">
        <f t="shared" si="14"/>
        <v>91</v>
      </c>
      <c r="E15" s="29">
        <f t="shared" si="15"/>
        <v>84</v>
      </c>
      <c r="F15" s="28">
        <f t="shared" si="16"/>
        <v>109</v>
      </c>
      <c r="G15" s="29">
        <f t="shared" si="17"/>
        <v>103</v>
      </c>
      <c r="H15" s="4" t="s">
        <v>0</v>
      </c>
      <c r="I15" s="16" t="str">
        <f t="shared" si="18"/>
        <v>05-23</v>
      </c>
      <c r="J15" s="14">
        <f t="shared" si="19"/>
        <v>91</v>
      </c>
      <c r="K15" s="15">
        <f t="shared" si="20"/>
        <v>84</v>
      </c>
      <c r="L15" s="17">
        <f t="shared" si="21"/>
        <v>109</v>
      </c>
      <c r="M15" s="18">
        <f t="shared" si="22"/>
        <v>84</v>
      </c>
      <c r="N15" s="14">
        <f t="shared" si="23"/>
        <v>109</v>
      </c>
      <c r="O15" s="15">
        <f t="shared" si="24"/>
        <v>103</v>
      </c>
      <c r="P15" s="17">
        <f t="shared" si="25"/>
        <v>91</v>
      </c>
      <c r="Q15" s="18">
        <f t="shared" si="26"/>
        <v>103</v>
      </c>
      <c r="R15" s="4" t="s">
        <v>0</v>
      </c>
      <c r="S15" s="16" t="str">
        <f t="shared" si="27"/>
        <v>05-23</v>
      </c>
      <c r="T15" s="14">
        <f t="shared" si="28"/>
        <v>91</v>
      </c>
      <c r="U15" s="18">
        <f t="shared" si="29"/>
        <v>666</v>
      </c>
      <c r="V15" s="14">
        <f t="shared" si="30"/>
        <v>109</v>
      </c>
      <c r="W15" s="18">
        <f t="shared" si="31"/>
        <v>666</v>
      </c>
      <c r="X15" s="14">
        <f t="shared" si="32"/>
        <v>109</v>
      </c>
      <c r="Y15" s="18">
        <f t="shared" si="33"/>
        <v>647</v>
      </c>
      <c r="Z15" s="14">
        <f t="shared" si="34"/>
        <v>91</v>
      </c>
      <c r="AA15" s="18">
        <f t="shared" si="35"/>
        <v>647</v>
      </c>
      <c r="AB15" s="4" t="s">
        <v>0</v>
      </c>
    </row>
    <row r="16" spans="1:28">
      <c r="A16" s="9" t="s">
        <v>431</v>
      </c>
      <c r="B16" s="24"/>
      <c r="C16" s="26">
        <v>5</v>
      </c>
      <c r="D16" s="28">
        <f t="shared" si="14"/>
        <v>109</v>
      </c>
      <c r="E16" s="29">
        <f t="shared" si="15"/>
        <v>84</v>
      </c>
      <c r="F16" s="28">
        <f t="shared" si="16"/>
        <v>127</v>
      </c>
      <c r="G16" s="29">
        <f t="shared" si="17"/>
        <v>103</v>
      </c>
      <c r="H16" s="4" t="s">
        <v>0</v>
      </c>
      <c r="I16" s="16" t="str">
        <f t="shared" si="18"/>
        <v>05-22</v>
      </c>
      <c r="J16" s="14">
        <f t="shared" si="19"/>
        <v>109</v>
      </c>
      <c r="K16" s="15">
        <f t="shared" si="20"/>
        <v>84</v>
      </c>
      <c r="L16" s="17">
        <f t="shared" si="21"/>
        <v>127</v>
      </c>
      <c r="M16" s="18">
        <f t="shared" si="22"/>
        <v>84</v>
      </c>
      <c r="N16" s="14">
        <f t="shared" si="23"/>
        <v>127</v>
      </c>
      <c r="O16" s="15">
        <f t="shared" si="24"/>
        <v>103</v>
      </c>
      <c r="P16" s="17">
        <f t="shared" si="25"/>
        <v>109</v>
      </c>
      <c r="Q16" s="18">
        <f t="shared" si="26"/>
        <v>103</v>
      </c>
      <c r="R16" s="4" t="s">
        <v>0</v>
      </c>
      <c r="S16" s="16" t="str">
        <f t="shared" si="27"/>
        <v>05-22</v>
      </c>
      <c r="T16" s="14">
        <f t="shared" si="28"/>
        <v>109</v>
      </c>
      <c r="U16" s="18">
        <f t="shared" si="29"/>
        <v>666</v>
      </c>
      <c r="V16" s="14">
        <f t="shared" si="30"/>
        <v>127</v>
      </c>
      <c r="W16" s="18">
        <f t="shared" si="31"/>
        <v>666</v>
      </c>
      <c r="X16" s="14">
        <f t="shared" si="32"/>
        <v>127</v>
      </c>
      <c r="Y16" s="18">
        <f t="shared" si="33"/>
        <v>647</v>
      </c>
      <c r="Z16" s="14">
        <f t="shared" si="34"/>
        <v>109</v>
      </c>
      <c r="AA16" s="18">
        <f t="shared" si="35"/>
        <v>647</v>
      </c>
      <c r="AB16" s="4" t="s">
        <v>0</v>
      </c>
    </row>
    <row r="17" spans="1:28">
      <c r="A17" s="9" t="s">
        <v>166</v>
      </c>
      <c r="B17" s="24"/>
      <c r="C17" s="26">
        <v>6</v>
      </c>
      <c r="D17" s="28">
        <f t="shared" si="14"/>
        <v>127</v>
      </c>
      <c r="E17" s="29">
        <f t="shared" si="15"/>
        <v>84</v>
      </c>
      <c r="F17" s="28">
        <f t="shared" si="16"/>
        <v>145</v>
      </c>
      <c r="G17" s="29">
        <f t="shared" si="17"/>
        <v>103</v>
      </c>
      <c r="H17" s="4" t="s">
        <v>0</v>
      </c>
      <c r="I17" s="16" t="str">
        <f t="shared" si="18"/>
        <v>05-21</v>
      </c>
      <c r="J17" s="14">
        <f t="shared" si="19"/>
        <v>127</v>
      </c>
      <c r="K17" s="15">
        <f t="shared" si="20"/>
        <v>84</v>
      </c>
      <c r="L17" s="17">
        <f t="shared" si="21"/>
        <v>145</v>
      </c>
      <c r="M17" s="18">
        <f t="shared" si="22"/>
        <v>84</v>
      </c>
      <c r="N17" s="14">
        <f t="shared" si="23"/>
        <v>145</v>
      </c>
      <c r="O17" s="15">
        <f t="shared" si="24"/>
        <v>103</v>
      </c>
      <c r="P17" s="17">
        <f t="shared" si="25"/>
        <v>127</v>
      </c>
      <c r="Q17" s="18">
        <f t="shared" si="26"/>
        <v>103</v>
      </c>
      <c r="R17" s="4" t="s">
        <v>0</v>
      </c>
      <c r="S17" s="16" t="str">
        <f t="shared" si="27"/>
        <v>05-21</v>
      </c>
      <c r="T17" s="14">
        <f t="shared" si="28"/>
        <v>127</v>
      </c>
      <c r="U17" s="18">
        <f t="shared" si="29"/>
        <v>666</v>
      </c>
      <c r="V17" s="14">
        <f t="shared" si="30"/>
        <v>145</v>
      </c>
      <c r="W17" s="18">
        <f t="shared" si="31"/>
        <v>666</v>
      </c>
      <c r="X17" s="14">
        <f t="shared" si="32"/>
        <v>145</v>
      </c>
      <c r="Y17" s="18">
        <f t="shared" si="33"/>
        <v>647</v>
      </c>
      <c r="Z17" s="14">
        <f t="shared" si="34"/>
        <v>127</v>
      </c>
      <c r="AA17" s="18">
        <f t="shared" si="35"/>
        <v>647</v>
      </c>
      <c r="AB17" s="4" t="s">
        <v>0</v>
      </c>
    </row>
    <row r="18" spans="1:28">
      <c r="A18" s="9" t="s">
        <v>165</v>
      </c>
      <c r="B18" s="24"/>
      <c r="C18" s="26">
        <v>7</v>
      </c>
      <c r="D18" s="28">
        <f t="shared" si="14"/>
        <v>145</v>
      </c>
      <c r="E18" s="29">
        <f t="shared" si="15"/>
        <v>84</v>
      </c>
      <c r="F18" s="28">
        <f t="shared" si="16"/>
        <v>163</v>
      </c>
      <c r="G18" s="29">
        <f t="shared" si="17"/>
        <v>103</v>
      </c>
      <c r="H18" s="4" t="s">
        <v>0</v>
      </c>
      <c r="I18" s="16" t="str">
        <f t="shared" si="18"/>
        <v>05-20</v>
      </c>
      <c r="J18" s="14">
        <f t="shared" si="19"/>
        <v>145</v>
      </c>
      <c r="K18" s="15">
        <f t="shared" si="20"/>
        <v>84</v>
      </c>
      <c r="L18" s="17">
        <f t="shared" si="21"/>
        <v>163</v>
      </c>
      <c r="M18" s="18">
        <f t="shared" si="22"/>
        <v>84</v>
      </c>
      <c r="N18" s="14">
        <f t="shared" si="23"/>
        <v>163</v>
      </c>
      <c r="O18" s="15">
        <f t="shared" si="24"/>
        <v>103</v>
      </c>
      <c r="P18" s="17">
        <f t="shared" si="25"/>
        <v>145</v>
      </c>
      <c r="Q18" s="18">
        <f t="shared" si="26"/>
        <v>103</v>
      </c>
      <c r="R18" s="4" t="s">
        <v>0</v>
      </c>
      <c r="S18" s="16" t="str">
        <f t="shared" si="27"/>
        <v>05-20</v>
      </c>
      <c r="T18" s="14">
        <f t="shared" si="28"/>
        <v>145</v>
      </c>
      <c r="U18" s="18">
        <f t="shared" si="29"/>
        <v>666</v>
      </c>
      <c r="V18" s="14">
        <f t="shared" si="30"/>
        <v>163</v>
      </c>
      <c r="W18" s="18">
        <f t="shared" si="31"/>
        <v>666</v>
      </c>
      <c r="X18" s="14">
        <f t="shared" si="32"/>
        <v>163</v>
      </c>
      <c r="Y18" s="18">
        <f t="shared" si="33"/>
        <v>647</v>
      </c>
      <c r="Z18" s="14">
        <f t="shared" si="34"/>
        <v>145</v>
      </c>
      <c r="AA18" s="18">
        <f t="shared" si="35"/>
        <v>647</v>
      </c>
      <c r="AB18" s="4" t="s">
        <v>0</v>
      </c>
    </row>
    <row r="19" spans="1:28">
      <c r="A19" s="9" t="s">
        <v>164</v>
      </c>
      <c r="B19" s="24"/>
      <c r="C19" s="26">
        <v>8</v>
      </c>
      <c r="D19" s="28">
        <f t="shared" si="14"/>
        <v>162</v>
      </c>
      <c r="E19" s="29">
        <f t="shared" si="15"/>
        <v>84</v>
      </c>
      <c r="F19" s="28">
        <f t="shared" si="16"/>
        <v>180</v>
      </c>
      <c r="G19" s="29">
        <f t="shared" si="17"/>
        <v>103</v>
      </c>
      <c r="H19" s="4" t="s">
        <v>0</v>
      </c>
      <c r="I19" s="16" t="str">
        <f t="shared" si="18"/>
        <v>05-18</v>
      </c>
      <c r="J19" s="14">
        <f t="shared" si="19"/>
        <v>162</v>
      </c>
      <c r="K19" s="15">
        <f t="shared" si="20"/>
        <v>84</v>
      </c>
      <c r="L19" s="17">
        <f t="shared" si="21"/>
        <v>180</v>
      </c>
      <c r="M19" s="18">
        <f t="shared" si="22"/>
        <v>84</v>
      </c>
      <c r="N19" s="14">
        <f t="shared" si="23"/>
        <v>180</v>
      </c>
      <c r="O19" s="15">
        <f t="shared" si="24"/>
        <v>103</v>
      </c>
      <c r="P19" s="17">
        <f t="shared" si="25"/>
        <v>162</v>
      </c>
      <c r="Q19" s="18">
        <f t="shared" si="26"/>
        <v>103</v>
      </c>
      <c r="R19" s="4" t="s">
        <v>0</v>
      </c>
      <c r="S19" s="16" t="str">
        <f t="shared" si="27"/>
        <v>05-18</v>
      </c>
      <c r="T19" s="14">
        <f t="shared" si="28"/>
        <v>162</v>
      </c>
      <c r="U19" s="18">
        <f t="shared" si="29"/>
        <v>666</v>
      </c>
      <c r="V19" s="14">
        <f t="shared" si="30"/>
        <v>180</v>
      </c>
      <c r="W19" s="18">
        <f t="shared" si="31"/>
        <v>666</v>
      </c>
      <c r="X19" s="14">
        <f t="shared" si="32"/>
        <v>180</v>
      </c>
      <c r="Y19" s="18">
        <f t="shared" si="33"/>
        <v>647</v>
      </c>
      <c r="Z19" s="14">
        <f t="shared" si="34"/>
        <v>162</v>
      </c>
      <c r="AA19" s="18">
        <f t="shared" si="35"/>
        <v>647</v>
      </c>
      <c r="AB19" s="4" t="s">
        <v>0</v>
      </c>
    </row>
    <row r="20" spans="1:28">
      <c r="A20" s="9" t="s">
        <v>135</v>
      </c>
      <c r="B20" s="24"/>
      <c r="C20" s="26">
        <v>9</v>
      </c>
      <c r="D20" s="28">
        <f t="shared" si="14"/>
        <v>180</v>
      </c>
      <c r="E20" s="29">
        <f t="shared" si="15"/>
        <v>84</v>
      </c>
      <c r="F20" s="28">
        <f t="shared" si="16"/>
        <v>198</v>
      </c>
      <c r="G20" s="29">
        <f t="shared" si="17"/>
        <v>103</v>
      </c>
      <c r="H20" s="4" t="s">
        <v>0</v>
      </c>
      <c r="I20" s="16" t="str">
        <f t="shared" si="18"/>
        <v>05-17</v>
      </c>
      <c r="J20" s="14">
        <f t="shared" si="19"/>
        <v>180</v>
      </c>
      <c r="K20" s="15">
        <f t="shared" si="20"/>
        <v>84</v>
      </c>
      <c r="L20" s="17">
        <f t="shared" si="21"/>
        <v>198</v>
      </c>
      <c r="M20" s="18">
        <f t="shared" si="22"/>
        <v>84</v>
      </c>
      <c r="N20" s="14">
        <f t="shared" si="23"/>
        <v>198</v>
      </c>
      <c r="O20" s="15">
        <f t="shared" si="24"/>
        <v>103</v>
      </c>
      <c r="P20" s="17">
        <f t="shared" si="25"/>
        <v>180</v>
      </c>
      <c r="Q20" s="18">
        <f t="shared" si="26"/>
        <v>103</v>
      </c>
      <c r="R20" s="4" t="s">
        <v>0</v>
      </c>
      <c r="S20" s="16" t="str">
        <f t="shared" si="27"/>
        <v>05-17</v>
      </c>
      <c r="T20" s="14">
        <f t="shared" si="28"/>
        <v>180</v>
      </c>
      <c r="U20" s="18">
        <f t="shared" si="29"/>
        <v>666</v>
      </c>
      <c r="V20" s="14">
        <f t="shared" si="30"/>
        <v>198</v>
      </c>
      <c r="W20" s="18">
        <f t="shared" si="31"/>
        <v>666</v>
      </c>
      <c r="X20" s="14">
        <f t="shared" si="32"/>
        <v>198</v>
      </c>
      <c r="Y20" s="18">
        <f t="shared" si="33"/>
        <v>647</v>
      </c>
      <c r="Z20" s="14">
        <f t="shared" si="34"/>
        <v>180</v>
      </c>
      <c r="AA20" s="18">
        <f t="shared" si="35"/>
        <v>647</v>
      </c>
      <c r="AB20" s="4" t="s">
        <v>0</v>
      </c>
    </row>
    <row r="21" spans="1:28">
      <c r="A21" s="9" t="s">
        <v>163</v>
      </c>
      <c r="B21" s="24"/>
      <c r="C21" s="26">
        <v>10</v>
      </c>
      <c r="D21" s="28">
        <f t="shared" si="14"/>
        <v>198</v>
      </c>
      <c r="E21" s="29">
        <f t="shared" si="15"/>
        <v>84</v>
      </c>
      <c r="F21" s="28">
        <f t="shared" si="16"/>
        <v>216</v>
      </c>
      <c r="G21" s="29">
        <f t="shared" si="17"/>
        <v>103</v>
      </c>
      <c r="H21" s="4" t="s">
        <v>0</v>
      </c>
      <c r="I21" s="16" t="str">
        <f t="shared" si="18"/>
        <v>05-16</v>
      </c>
      <c r="J21" s="14">
        <f t="shared" si="19"/>
        <v>198</v>
      </c>
      <c r="K21" s="15">
        <f t="shared" si="20"/>
        <v>84</v>
      </c>
      <c r="L21" s="17">
        <f t="shared" si="21"/>
        <v>216</v>
      </c>
      <c r="M21" s="18">
        <f t="shared" si="22"/>
        <v>84</v>
      </c>
      <c r="N21" s="14">
        <f t="shared" si="23"/>
        <v>216</v>
      </c>
      <c r="O21" s="15">
        <f t="shared" si="24"/>
        <v>103</v>
      </c>
      <c r="P21" s="17">
        <f t="shared" si="25"/>
        <v>198</v>
      </c>
      <c r="Q21" s="18">
        <f t="shared" si="26"/>
        <v>103</v>
      </c>
      <c r="R21" s="4" t="s">
        <v>0</v>
      </c>
      <c r="S21" s="16" t="str">
        <f t="shared" si="27"/>
        <v>05-16</v>
      </c>
      <c r="T21" s="14">
        <f t="shared" si="28"/>
        <v>198</v>
      </c>
      <c r="U21" s="18">
        <f t="shared" si="29"/>
        <v>666</v>
      </c>
      <c r="V21" s="14">
        <f t="shared" si="30"/>
        <v>216</v>
      </c>
      <c r="W21" s="18">
        <f t="shared" si="31"/>
        <v>666</v>
      </c>
      <c r="X21" s="14">
        <f t="shared" si="32"/>
        <v>216</v>
      </c>
      <c r="Y21" s="18">
        <f t="shared" si="33"/>
        <v>647</v>
      </c>
      <c r="Z21" s="14">
        <f t="shared" si="34"/>
        <v>198</v>
      </c>
      <c r="AA21" s="18">
        <f t="shared" si="35"/>
        <v>647</v>
      </c>
      <c r="AB21" s="4" t="s">
        <v>0</v>
      </c>
    </row>
    <row r="22" spans="1:28">
      <c r="A22" s="9" t="s">
        <v>162</v>
      </c>
      <c r="B22" s="24"/>
      <c r="C22" s="26"/>
      <c r="D22" s="27">
        <v>255</v>
      </c>
      <c r="E22" s="31">
        <v>84</v>
      </c>
      <c r="F22" s="31">
        <v>273</v>
      </c>
      <c r="G22" s="31">
        <v>103</v>
      </c>
      <c r="H22" s="4" t="s">
        <v>0</v>
      </c>
      <c r="I22" s="16" t="str">
        <f t="shared" si="18"/>
        <v>05-15</v>
      </c>
      <c r="J22" s="14">
        <f t="shared" si="19"/>
        <v>255</v>
      </c>
      <c r="K22" s="15">
        <f t="shared" si="20"/>
        <v>84</v>
      </c>
      <c r="L22" s="17">
        <f t="shared" si="21"/>
        <v>273</v>
      </c>
      <c r="M22" s="18">
        <f t="shared" si="22"/>
        <v>84</v>
      </c>
      <c r="N22" s="14">
        <f t="shared" si="23"/>
        <v>273</v>
      </c>
      <c r="O22" s="15">
        <f t="shared" si="24"/>
        <v>103</v>
      </c>
      <c r="P22" s="17">
        <f t="shared" si="25"/>
        <v>255</v>
      </c>
      <c r="Q22" s="18">
        <f t="shared" si="26"/>
        <v>103</v>
      </c>
      <c r="R22" s="4" t="s">
        <v>0</v>
      </c>
      <c r="S22" s="16" t="str">
        <f t="shared" si="27"/>
        <v>05-15</v>
      </c>
      <c r="T22" s="14">
        <f t="shared" si="28"/>
        <v>255</v>
      </c>
      <c r="U22" s="18">
        <f t="shared" si="29"/>
        <v>666</v>
      </c>
      <c r="V22" s="14">
        <f t="shared" si="30"/>
        <v>273</v>
      </c>
      <c r="W22" s="18">
        <f t="shared" si="31"/>
        <v>666</v>
      </c>
      <c r="X22" s="14">
        <f t="shared" si="32"/>
        <v>273</v>
      </c>
      <c r="Y22" s="18">
        <f t="shared" si="33"/>
        <v>647</v>
      </c>
      <c r="Z22" s="14">
        <f t="shared" si="34"/>
        <v>255</v>
      </c>
      <c r="AA22" s="18">
        <f t="shared" si="35"/>
        <v>647</v>
      </c>
      <c r="AB22" s="4" t="s">
        <v>0</v>
      </c>
    </row>
    <row r="23" spans="1:28">
      <c r="A23" s="9" t="s">
        <v>161</v>
      </c>
      <c r="B23" s="24"/>
      <c r="C23" s="26">
        <v>1</v>
      </c>
      <c r="D23" s="28">
        <f>ROUND(D$22+18.5*$C23, 0)</f>
        <v>274</v>
      </c>
      <c r="E23" s="29">
        <f>E$22</f>
        <v>84</v>
      </c>
      <c r="F23" s="28">
        <f>ROUND(F$22+18.5*$C23, 0)</f>
        <v>292</v>
      </c>
      <c r="G23" s="29">
        <f>G$22</f>
        <v>103</v>
      </c>
      <c r="H23" s="4" t="s">
        <v>0</v>
      </c>
      <c r="I23" s="16" t="str">
        <f t="shared" si="18"/>
        <v>05-13</v>
      </c>
      <c r="J23" s="14">
        <f t="shared" si="19"/>
        <v>274</v>
      </c>
      <c r="K23" s="15">
        <f t="shared" si="20"/>
        <v>84</v>
      </c>
      <c r="L23" s="17">
        <f t="shared" si="21"/>
        <v>292</v>
      </c>
      <c r="M23" s="18">
        <f t="shared" si="22"/>
        <v>84</v>
      </c>
      <c r="N23" s="14">
        <f t="shared" si="23"/>
        <v>292</v>
      </c>
      <c r="O23" s="15">
        <f t="shared" si="24"/>
        <v>103</v>
      </c>
      <c r="P23" s="17">
        <f t="shared" si="25"/>
        <v>274</v>
      </c>
      <c r="Q23" s="18">
        <f t="shared" si="26"/>
        <v>103</v>
      </c>
      <c r="R23" s="4" t="s">
        <v>0</v>
      </c>
      <c r="S23" s="16" t="str">
        <f t="shared" si="27"/>
        <v>05-13</v>
      </c>
      <c r="T23" s="14">
        <f t="shared" si="28"/>
        <v>274</v>
      </c>
      <c r="U23" s="18">
        <f t="shared" si="29"/>
        <v>666</v>
      </c>
      <c r="V23" s="14">
        <f t="shared" si="30"/>
        <v>292</v>
      </c>
      <c r="W23" s="18">
        <f t="shared" si="31"/>
        <v>666</v>
      </c>
      <c r="X23" s="14">
        <f t="shared" si="32"/>
        <v>292</v>
      </c>
      <c r="Y23" s="18">
        <f t="shared" si="33"/>
        <v>647</v>
      </c>
      <c r="Z23" s="14">
        <f t="shared" si="34"/>
        <v>274</v>
      </c>
      <c r="AA23" s="18">
        <f t="shared" si="35"/>
        <v>647</v>
      </c>
      <c r="AB23" s="4" t="s">
        <v>0</v>
      </c>
    </row>
    <row r="24" spans="1:28">
      <c r="A24" s="9" t="s">
        <v>49</v>
      </c>
      <c r="B24" s="24"/>
      <c r="C24" s="26">
        <v>2</v>
      </c>
      <c r="D24" s="28">
        <f t="shared" ref="D24:D26" si="36">ROUND(D$22+18.5*$C24, 0)</f>
        <v>292</v>
      </c>
      <c r="E24" s="29">
        <f t="shared" ref="E24:E26" si="37">E$22</f>
        <v>84</v>
      </c>
      <c r="F24" s="28">
        <f t="shared" ref="F24:F26" si="38">ROUND(F$22+18.5*$C24, 0)</f>
        <v>310</v>
      </c>
      <c r="G24" s="29">
        <f t="shared" ref="G24:G26" si="39">G$22</f>
        <v>103</v>
      </c>
      <c r="H24" s="4" t="s">
        <v>0</v>
      </c>
      <c r="I24" s="16" t="str">
        <f t="shared" si="18"/>
        <v>05-12</v>
      </c>
      <c r="J24" s="14">
        <f t="shared" si="19"/>
        <v>292</v>
      </c>
      <c r="K24" s="15">
        <f t="shared" si="20"/>
        <v>84</v>
      </c>
      <c r="L24" s="17">
        <f t="shared" si="21"/>
        <v>310</v>
      </c>
      <c r="M24" s="18">
        <f t="shared" si="22"/>
        <v>84</v>
      </c>
      <c r="N24" s="14">
        <f t="shared" si="23"/>
        <v>310</v>
      </c>
      <c r="O24" s="15">
        <f t="shared" si="24"/>
        <v>103</v>
      </c>
      <c r="P24" s="17">
        <f t="shared" si="25"/>
        <v>292</v>
      </c>
      <c r="Q24" s="18">
        <f t="shared" si="26"/>
        <v>103</v>
      </c>
      <c r="R24" s="4" t="s">
        <v>0</v>
      </c>
      <c r="S24" s="16" t="str">
        <f t="shared" si="27"/>
        <v>05-12</v>
      </c>
      <c r="T24" s="14">
        <f t="shared" si="28"/>
        <v>292</v>
      </c>
      <c r="U24" s="18">
        <f t="shared" si="29"/>
        <v>666</v>
      </c>
      <c r="V24" s="14">
        <f t="shared" si="30"/>
        <v>310</v>
      </c>
      <c r="W24" s="18">
        <f t="shared" si="31"/>
        <v>666</v>
      </c>
      <c r="X24" s="14">
        <f t="shared" si="32"/>
        <v>310</v>
      </c>
      <c r="Y24" s="18">
        <f t="shared" si="33"/>
        <v>647</v>
      </c>
      <c r="Z24" s="14">
        <f t="shared" si="34"/>
        <v>292</v>
      </c>
      <c r="AA24" s="18">
        <f t="shared" si="35"/>
        <v>647</v>
      </c>
      <c r="AB24" s="4" t="s">
        <v>0</v>
      </c>
    </row>
    <row r="25" spans="1:28">
      <c r="A25" s="9" t="s">
        <v>48</v>
      </c>
      <c r="B25" s="24"/>
      <c r="C25" s="26">
        <v>3</v>
      </c>
      <c r="D25" s="28">
        <f t="shared" si="36"/>
        <v>311</v>
      </c>
      <c r="E25" s="29">
        <f t="shared" si="37"/>
        <v>84</v>
      </c>
      <c r="F25" s="28">
        <f t="shared" si="38"/>
        <v>329</v>
      </c>
      <c r="G25" s="29">
        <f t="shared" si="39"/>
        <v>103</v>
      </c>
      <c r="H25" s="4" t="s">
        <v>0</v>
      </c>
      <c r="I25" s="16" t="str">
        <f t="shared" si="18"/>
        <v>05-11</v>
      </c>
      <c r="J25" s="14">
        <f t="shared" si="19"/>
        <v>311</v>
      </c>
      <c r="K25" s="15">
        <f t="shared" si="20"/>
        <v>84</v>
      </c>
      <c r="L25" s="17">
        <f t="shared" si="21"/>
        <v>329</v>
      </c>
      <c r="M25" s="18">
        <f t="shared" si="22"/>
        <v>84</v>
      </c>
      <c r="N25" s="14">
        <f t="shared" si="23"/>
        <v>329</v>
      </c>
      <c r="O25" s="15">
        <f t="shared" si="24"/>
        <v>103</v>
      </c>
      <c r="P25" s="17">
        <f t="shared" si="25"/>
        <v>311</v>
      </c>
      <c r="Q25" s="18">
        <f t="shared" si="26"/>
        <v>103</v>
      </c>
      <c r="R25" s="4" t="s">
        <v>0</v>
      </c>
      <c r="S25" s="16" t="str">
        <f t="shared" si="27"/>
        <v>05-11</v>
      </c>
      <c r="T25" s="14">
        <f t="shared" si="28"/>
        <v>311</v>
      </c>
      <c r="U25" s="18">
        <f t="shared" si="29"/>
        <v>666</v>
      </c>
      <c r="V25" s="14">
        <f t="shared" si="30"/>
        <v>329</v>
      </c>
      <c r="W25" s="18">
        <f t="shared" si="31"/>
        <v>666</v>
      </c>
      <c r="X25" s="14">
        <f t="shared" si="32"/>
        <v>329</v>
      </c>
      <c r="Y25" s="18">
        <f t="shared" si="33"/>
        <v>647</v>
      </c>
      <c r="Z25" s="14">
        <f t="shared" si="34"/>
        <v>311</v>
      </c>
      <c r="AA25" s="18">
        <f t="shared" si="35"/>
        <v>647</v>
      </c>
      <c r="AB25" s="4" t="s">
        <v>0</v>
      </c>
    </row>
    <row r="26" spans="1:28">
      <c r="A26" s="9" t="s">
        <v>47</v>
      </c>
      <c r="B26" s="24"/>
      <c r="C26" s="26">
        <v>4</v>
      </c>
      <c r="D26" s="28">
        <f t="shared" si="36"/>
        <v>329</v>
      </c>
      <c r="E26" s="29">
        <f t="shared" si="37"/>
        <v>84</v>
      </c>
      <c r="F26" s="28">
        <f t="shared" si="38"/>
        <v>347</v>
      </c>
      <c r="G26" s="29">
        <f t="shared" si="39"/>
        <v>103</v>
      </c>
      <c r="H26" s="4" t="s">
        <v>0</v>
      </c>
      <c r="I26" s="16" t="str">
        <f t="shared" si="18"/>
        <v>05-10</v>
      </c>
      <c r="J26" s="14">
        <f t="shared" si="19"/>
        <v>329</v>
      </c>
      <c r="K26" s="15">
        <f t="shared" si="20"/>
        <v>84</v>
      </c>
      <c r="L26" s="17">
        <f t="shared" si="21"/>
        <v>347</v>
      </c>
      <c r="M26" s="18">
        <f t="shared" si="22"/>
        <v>84</v>
      </c>
      <c r="N26" s="14">
        <f t="shared" si="23"/>
        <v>347</v>
      </c>
      <c r="O26" s="15">
        <f t="shared" si="24"/>
        <v>103</v>
      </c>
      <c r="P26" s="17">
        <f t="shared" si="25"/>
        <v>329</v>
      </c>
      <c r="Q26" s="18">
        <f t="shared" si="26"/>
        <v>103</v>
      </c>
      <c r="R26" s="4" t="s">
        <v>0</v>
      </c>
      <c r="S26" s="16" t="str">
        <f t="shared" si="27"/>
        <v>05-10</v>
      </c>
      <c r="T26" s="14">
        <f t="shared" si="28"/>
        <v>329</v>
      </c>
      <c r="U26" s="18">
        <f t="shared" si="29"/>
        <v>666</v>
      </c>
      <c r="V26" s="14">
        <f t="shared" si="30"/>
        <v>347</v>
      </c>
      <c r="W26" s="18">
        <f t="shared" si="31"/>
        <v>666</v>
      </c>
      <c r="X26" s="14">
        <f t="shared" si="32"/>
        <v>347</v>
      </c>
      <c r="Y26" s="18">
        <f t="shared" si="33"/>
        <v>647</v>
      </c>
      <c r="Z26" s="14">
        <f t="shared" si="34"/>
        <v>329</v>
      </c>
      <c r="AA26" s="18">
        <f t="shared" si="35"/>
        <v>647</v>
      </c>
      <c r="AB26" s="4" t="s">
        <v>0</v>
      </c>
    </row>
    <row r="27" spans="1:28">
      <c r="A27" s="9" t="s">
        <v>46</v>
      </c>
      <c r="B27" s="24"/>
      <c r="C27" s="26">
        <v>5</v>
      </c>
      <c r="D27" s="32">
        <v>348</v>
      </c>
      <c r="E27" s="29">
        <f t="shared" ref="E27" si="40">E$22</f>
        <v>84</v>
      </c>
      <c r="F27" s="28">
        <f t="shared" ref="F27" si="41">ROUND(F$22+18.8*$C27, 0)</f>
        <v>367</v>
      </c>
      <c r="G27" s="29">
        <f t="shared" ref="G27" si="42">G$22</f>
        <v>103</v>
      </c>
      <c r="H27" s="4" t="s">
        <v>0</v>
      </c>
      <c r="I27" s="16" t="str">
        <f t="shared" si="18"/>
        <v>05-08</v>
      </c>
      <c r="J27" s="14">
        <f t="shared" si="19"/>
        <v>348</v>
      </c>
      <c r="K27" s="15">
        <f t="shared" si="20"/>
        <v>84</v>
      </c>
      <c r="L27" s="17">
        <f t="shared" si="21"/>
        <v>367</v>
      </c>
      <c r="M27" s="18">
        <f t="shared" si="22"/>
        <v>84</v>
      </c>
      <c r="N27" s="14">
        <f t="shared" si="23"/>
        <v>367</v>
      </c>
      <c r="O27" s="15">
        <f t="shared" si="24"/>
        <v>103</v>
      </c>
      <c r="P27" s="17">
        <f t="shared" si="25"/>
        <v>348</v>
      </c>
      <c r="Q27" s="18">
        <f t="shared" si="26"/>
        <v>103</v>
      </c>
      <c r="R27" s="4" t="s">
        <v>0</v>
      </c>
      <c r="S27" s="16" t="str">
        <f t="shared" si="27"/>
        <v>05-08</v>
      </c>
      <c r="T27" s="14">
        <f t="shared" si="28"/>
        <v>348</v>
      </c>
      <c r="U27" s="18">
        <f t="shared" si="29"/>
        <v>666</v>
      </c>
      <c r="V27" s="14">
        <f t="shared" si="30"/>
        <v>367</v>
      </c>
      <c r="W27" s="18">
        <f t="shared" si="31"/>
        <v>666</v>
      </c>
      <c r="X27" s="14">
        <f t="shared" si="32"/>
        <v>367</v>
      </c>
      <c r="Y27" s="18">
        <f t="shared" si="33"/>
        <v>647</v>
      </c>
      <c r="Z27" s="14">
        <f t="shared" si="34"/>
        <v>348</v>
      </c>
      <c r="AA27" s="18">
        <f t="shared" si="35"/>
        <v>647</v>
      </c>
      <c r="AB27" s="4" t="s">
        <v>0</v>
      </c>
    </row>
    <row r="28" spans="1:28">
      <c r="A28" s="9" t="s">
        <v>45</v>
      </c>
      <c r="B28" s="24"/>
      <c r="C28" s="26">
        <v>6</v>
      </c>
      <c r="D28" s="28">
        <f t="shared" ref="D28" si="43">ROUND(D$22+18.8*$C28, 0)</f>
        <v>368</v>
      </c>
      <c r="E28" s="29">
        <f t="shared" ref="E28:E33" si="44">E$22</f>
        <v>84</v>
      </c>
      <c r="F28" s="28">
        <f t="shared" ref="F28:F33" si="45">ROUND(F$22+18.8*$C28, 0)</f>
        <v>386</v>
      </c>
      <c r="G28" s="29">
        <f t="shared" ref="G28:G33" si="46">G$22</f>
        <v>103</v>
      </c>
      <c r="H28" s="4" t="s">
        <v>0</v>
      </c>
      <c r="I28" s="16" t="str">
        <f t="shared" si="18"/>
        <v>05-07</v>
      </c>
      <c r="J28" s="14">
        <f t="shared" si="19"/>
        <v>368</v>
      </c>
      <c r="K28" s="15">
        <f t="shared" si="20"/>
        <v>84</v>
      </c>
      <c r="L28" s="17">
        <f t="shared" si="21"/>
        <v>386</v>
      </c>
      <c r="M28" s="18">
        <f t="shared" si="22"/>
        <v>84</v>
      </c>
      <c r="N28" s="14">
        <f t="shared" si="23"/>
        <v>386</v>
      </c>
      <c r="O28" s="15">
        <f t="shared" si="24"/>
        <v>103</v>
      </c>
      <c r="P28" s="17">
        <f t="shared" si="25"/>
        <v>368</v>
      </c>
      <c r="Q28" s="18">
        <f t="shared" si="26"/>
        <v>103</v>
      </c>
      <c r="R28" s="4" t="s">
        <v>0</v>
      </c>
      <c r="S28" s="16" t="str">
        <f t="shared" si="27"/>
        <v>05-07</v>
      </c>
      <c r="T28" s="14">
        <f t="shared" si="28"/>
        <v>368</v>
      </c>
      <c r="U28" s="18">
        <f t="shared" si="29"/>
        <v>666</v>
      </c>
      <c r="V28" s="14">
        <f t="shared" si="30"/>
        <v>386</v>
      </c>
      <c r="W28" s="18">
        <f t="shared" si="31"/>
        <v>666</v>
      </c>
      <c r="X28" s="14">
        <f t="shared" si="32"/>
        <v>386</v>
      </c>
      <c r="Y28" s="18">
        <f t="shared" si="33"/>
        <v>647</v>
      </c>
      <c r="Z28" s="14">
        <f t="shared" si="34"/>
        <v>368</v>
      </c>
      <c r="AA28" s="18">
        <f t="shared" si="35"/>
        <v>647</v>
      </c>
      <c r="AB28" s="4" t="s">
        <v>0</v>
      </c>
    </row>
    <row r="29" spans="1:28">
      <c r="A29" s="9" t="s">
        <v>44</v>
      </c>
      <c r="B29" s="24"/>
      <c r="C29" s="26">
        <v>7</v>
      </c>
      <c r="D29" s="28">
        <f t="shared" ref="D29:D33" si="47">ROUND(D$22+18.8*$C29, 0)</f>
        <v>387</v>
      </c>
      <c r="E29" s="29">
        <f t="shared" si="44"/>
        <v>84</v>
      </c>
      <c r="F29" s="28">
        <f t="shared" si="45"/>
        <v>405</v>
      </c>
      <c r="G29" s="29">
        <f t="shared" si="46"/>
        <v>103</v>
      </c>
      <c r="H29" s="4" t="s">
        <v>0</v>
      </c>
      <c r="I29" s="16" t="str">
        <f t="shared" si="18"/>
        <v>05-06</v>
      </c>
      <c r="J29" s="14">
        <f t="shared" si="19"/>
        <v>387</v>
      </c>
      <c r="K29" s="15">
        <f t="shared" si="20"/>
        <v>84</v>
      </c>
      <c r="L29" s="17">
        <f t="shared" si="21"/>
        <v>405</v>
      </c>
      <c r="M29" s="18">
        <f t="shared" si="22"/>
        <v>84</v>
      </c>
      <c r="N29" s="14">
        <f t="shared" si="23"/>
        <v>405</v>
      </c>
      <c r="O29" s="15">
        <f t="shared" si="24"/>
        <v>103</v>
      </c>
      <c r="P29" s="17">
        <f t="shared" si="25"/>
        <v>387</v>
      </c>
      <c r="Q29" s="18">
        <f t="shared" si="26"/>
        <v>103</v>
      </c>
      <c r="R29" s="4" t="s">
        <v>0</v>
      </c>
      <c r="S29" s="16" t="str">
        <f t="shared" si="27"/>
        <v>05-06</v>
      </c>
      <c r="T29" s="14">
        <f t="shared" si="28"/>
        <v>387</v>
      </c>
      <c r="U29" s="18">
        <f t="shared" si="29"/>
        <v>666</v>
      </c>
      <c r="V29" s="14">
        <f t="shared" si="30"/>
        <v>405</v>
      </c>
      <c r="W29" s="18">
        <f t="shared" si="31"/>
        <v>666</v>
      </c>
      <c r="X29" s="14">
        <f t="shared" si="32"/>
        <v>405</v>
      </c>
      <c r="Y29" s="18">
        <f t="shared" si="33"/>
        <v>647</v>
      </c>
      <c r="Z29" s="14">
        <f t="shared" si="34"/>
        <v>387</v>
      </c>
      <c r="AA29" s="18">
        <f t="shared" si="35"/>
        <v>647</v>
      </c>
      <c r="AB29" s="4" t="s">
        <v>0</v>
      </c>
    </row>
    <row r="30" spans="1:28">
      <c r="A30" s="9" t="s">
        <v>43</v>
      </c>
      <c r="B30" s="24"/>
      <c r="C30" s="26">
        <v>8</v>
      </c>
      <c r="D30" s="28">
        <f t="shared" si="47"/>
        <v>405</v>
      </c>
      <c r="E30" s="29">
        <f t="shared" si="44"/>
        <v>84</v>
      </c>
      <c r="F30" s="28">
        <f t="shared" si="45"/>
        <v>423</v>
      </c>
      <c r="G30" s="29">
        <f t="shared" si="46"/>
        <v>103</v>
      </c>
      <c r="H30" s="4" t="s">
        <v>0</v>
      </c>
      <c r="I30" s="16" t="str">
        <f t="shared" si="18"/>
        <v>05-05</v>
      </c>
      <c r="J30" s="14">
        <f t="shared" si="19"/>
        <v>405</v>
      </c>
      <c r="K30" s="15">
        <f t="shared" si="20"/>
        <v>84</v>
      </c>
      <c r="L30" s="17">
        <f t="shared" si="21"/>
        <v>423</v>
      </c>
      <c r="M30" s="18">
        <f t="shared" si="22"/>
        <v>84</v>
      </c>
      <c r="N30" s="14">
        <f t="shared" si="23"/>
        <v>423</v>
      </c>
      <c r="O30" s="15">
        <f t="shared" si="24"/>
        <v>103</v>
      </c>
      <c r="P30" s="17">
        <f t="shared" si="25"/>
        <v>405</v>
      </c>
      <c r="Q30" s="18">
        <f t="shared" si="26"/>
        <v>103</v>
      </c>
      <c r="R30" s="4" t="s">
        <v>0</v>
      </c>
      <c r="S30" s="16" t="str">
        <f t="shared" si="27"/>
        <v>05-05</v>
      </c>
      <c r="T30" s="14">
        <f t="shared" si="28"/>
        <v>405</v>
      </c>
      <c r="U30" s="18">
        <f t="shared" si="29"/>
        <v>666</v>
      </c>
      <c r="V30" s="14">
        <f t="shared" si="30"/>
        <v>423</v>
      </c>
      <c r="W30" s="18">
        <f t="shared" si="31"/>
        <v>666</v>
      </c>
      <c r="X30" s="14">
        <f t="shared" si="32"/>
        <v>423</v>
      </c>
      <c r="Y30" s="18">
        <f t="shared" si="33"/>
        <v>647</v>
      </c>
      <c r="Z30" s="14">
        <f t="shared" si="34"/>
        <v>405</v>
      </c>
      <c r="AA30" s="18">
        <f t="shared" si="35"/>
        <v>647</v>
      </c>
      <c r="AB30" s="4" t="s">
        <v>0</v>
      </c>
    </row>
    <row r="31" spans="1:28">
      <c r="A31" s="9" t="s">
        <v>42</v>
      </c>
      <c r="B31" s="24"/>
      <c r="C31" s="26">
        <v>9</v>
      </c>
      <c r="D31" s="28">
        <f t="shared" si="47"/>
        <v>424</v>
      </c>
      <c r="E31" s="29">
        <f t="shared" si="44"/>
        <v>84</v>
      </c>
      <c r="F31" s="28">
        <f t="shared" si="45"/>
        <v>442</v>
      </c>
      <c r="G31" s="29">
        <f t="shared" si="46"/>
        <v>103</v>
      </c>
      <c r="H31" s="4" t="s">
        <v>0</v>
      </c>
      <c r="I31" s="16" t="str">
        <f t="shared" si="18"/>
        <v>05-03</v>
      </c>
      <c r="J31" s="14">
        <f t="shared" si="19"/>
        <v>424</v>
      </c>
      <c r="K31" s="15">
        <f t="shared" si="20"/>
        <v>84</v>
      </c>
      <c r="L31" s="17">
        <f t="shared" si="21"/>
        <v>442</v>
      </c>
      <c r="M31" s="18">
        <f t="shared" si="22"/>
        <v>84</v>
      </c>
      <c r="N31" s="14">
        <f t="shared" si="23"/>
        <v>442</v>
      </c>
      <c r="O31" s="15">
        <f t="shared" si="24"/>
        <v>103</v>
      </c>
      <c r="P31" s="17">
        <f t="shared" si="25"/>
        <v>424</v>
      </c>
      <c r="Q31" s="18">
        <f t="shared" si="26"/>
        <v>103</v>
      </c>
      <c r="R31" s="4" t="s">
        <v>0</v>
      </c>
      <c r="S31" s="16" t="str">
        <f t="shared" si="27"/>
        <v>05-03</v>
      </c>
      <c r="T31" s="14">
        <f t="shared" si="28"/>
        <v>424</v>
      </c>
      <c r="U31" s="18">
        <f t="shared" si="29"/>
        <v>666</v>
      </c>
      <c r="V31" s="14">
        <f t="shared" si="30"/>
        <v>442</v>
      </c>
      <c r="W31" s="18">
        <f t="shared" si="31"/>
        <v>666</v>
      </c>
      <c r="X31" s="14">
        <f t="shared" si="32"/>
        <v>442</v>
      </c>
      <c r="Y31" s="18">
        <f t="shared" si="33"/>
        <v>647</v>
      </c>
      <c r="Z31" s="14">
        <f t="shared" si="34"/>
        <v>424</v>
      </c>
      <c r="AA31" s="18">
        <f t="shared" si="35"/>
        <v>647</v>
      </c>
      <c r="AB31" s="4" t="s">
        <v>0</v>
      </c>
    </row>
    <row r="32" spans="1:28">
      <c r="A32" s="9" t="s">
        <v>41</v>
      </c>
      <c r="B32" s="24"/>
      <c r="C32" s="26">
        <v>10</v>
      </c>
      <c r="D32" s="28">
        <f t="shared" si="47"/>
        <v>443</v>
      </c>
      <c r="E32" s="29">
        <f t="shared" si="44"/>
        <v>84</v>
      </c>
      <c r="F32" s="28">
        <f t="shared" si="45"/>
        <v>461</v>
      </c>
      <c r="G32" s="29">
        <f t="shared" si="46"/>
        <v>103</v>
      </c>
      <c r="H32" s="4" t="s">
        <v>0</v>
      </c>
      <c r="I32" s="16" t="str">
        <f t="shared" si="18"/>
        <v>05-02</v>
      </c>
      <c r="J32" s="14">
        <f t="shared" si="19"/>
        <v>443</v>
      </c>
      <c r="K32" s="15">
        <f t="shared" si="20"/>
        <v>84</v>
      </c>
      <c r="L32" s="17">
        <f t="shared" si="21"/>
        <v>461</v>
      </c>
      <c r="M32" s="18">
        <f t="shared" si="22"/>
        <v>84</v>
      </c>
      <c r="N32" s="14">
        <f t="shared" si="23"/>
        <v>461</v>
      </c>
      <c r="O32" s="15">
        <f t="shared" si="24"/>
        <v>103</v>
      </c>
      <c r="P32" s="17">
        <f t="shared" si="25"/>
        <v>443</v>
      </c>
      <c r="Q32" s="18">
        <f t="shared" si="26"/>
        <v>103</v>
      </c>
      <c r="R32" s="4" t="s">
        <v>0</v>
      </c>
      <c r="S32" s="16" t="str">
        <f t="shared" si="27"/>
        <v>05-02</v>
      </c>
      <c r="T32" s="14">
        <f t="shared" si="28"/>
        <v>443</v>
      </c>
      <c r="U32" s="18">
        <f t="shared" si="29"/>
        <v>666</v>
      </c>
      <c r="V32" s="14">
        <f t="shared" si="30"/>
        <v>461</v>
      </c>
      <c r="W32" s="18">
        <f t="shared" si="31"/>
        <v>666</v>
      </c>
      <c r="X32" s="14">
        <f t="shared" si="32"/>
        <v>461</v>
      </c>
      <c r="Y32" s="18">
        <f t="shared" si="33"/>
        <v>647</v>
      </c>
      <c r="Z32" s="14">
        <f t="shared" si="34"/>
        <v>443</v>
      </c>
      <c r="AA32" s="18">
        <f t="shared" si="35"/>
        <v>647</v>
      </c>
      <c r="AB32" s="4" t="s">
        <v>0</v>
      </c>
    </row>
    <row r="33" spans="1:28">
      <c r="A33" s="9" t="s">
        <v>40</v>
      </c>
      <c r="B33" s="24"/>
      <c r="C33" s="26">
        <v>11</v>
      </c>
      <c r="D33" s="28">
        <f t="shared" si="47"/>
        <v>462</v>
      </c>
      <c r="E33" s="29">
        <f t="shared" si="44"/>
        <v>84</v>
      </c>
      <c r="F33" s="28">
        <f t="shared" si="45"/>
        <v>480</v>
      </c>
      <c r="G33" s="29">
        <f t="shared" si="46"/>
        <v>103</v>
      </c>
      <c r="H33" s="4" t="s">
        <v>0</v>
      </c>
      <c r="I33" s="16" t="str">
        <f t="shared" si="18"/>
        <v>05-01</v>
      </c>
      <c r="J33" s="14">
        <f t="shared" si="19"/>
        <v>462</v>
      </c>
      <c r="K33" s="15">
        <f t="shared" si="20"/>
        <v>84</v>
      </c>
      <c r="L33" s="17">
        <f t="shared" si="21"/>
        <v>480</v>
      </c>
      <c r="M33" s="18">
        <f t="shared" si="22"/>
        <v>84</v>
      </c>
      <c r="N33" s="14">
        <f t="shared" si="23"/>
        <v>480</v>
      </c>
      <c r="O33" s="15">
        <f t="shared" si="24"/>
        <v>103</v>
      </c>
      <c r="P33" s="17">
        <f t="shared" si="25"/>
        <v>462</v>
      </c>
      <c r="Q33" s="18">
        <f t="shared" si="26"/>
        <v>103</v>
      </c>
      <c r="R33" s="4" t="s">
        <v>0</v>
      </c>
      <c r="S33" s="16" t="str">
        <f t="shared" si="27"/>
        <v>05-01</v>
      </c>
      <c r="T33" s="14">
        <f t="shared" si="28"/>
        <v>462</v>
      </c>
      <c r="U33" s="18">
        <f t="shared" si="29"/>
        <v>666</v>
      </c>
      <c r="V33" s="14">
        <f t="shared" si="30"/>
        <v>480</v>
      </c>
      <c r="W33" s="18">
        <f t="shared" si="31"/>
        <v>666</v>
      </c>
      <c r="X33" s="14">
        <f t="shared" si="32"/>
        <v>480</v>
      </c>
      <c r="Y33" s="18">
        <f t="shared" si="33"/>
        <v>647</v>
      </c>
      <c r="Z33" s="14">
        <f t="shared" si="34"/>
        <v>462</v>
      </c>
      <c r="AA33" s="18">
        <f t="shared" si="35"/>
        <v>647</v>
      </c>
      <c r="AB33" s="4" t="s">
        <v>0</v>
      </c>
    </row>
    <row r="34" spans="1:28">
      <c r="A34" s="9" t="s">
        <v>429</v>
      </c>
      <c r="B34" s="24"/>
      <c r="C34" s="26"/>
      <c r="D34" s="25">
        <f>D11</f>
        <v>20</v>
      </c>
      <c r="E34" s="31">
        <v>111</v>
      </c>
      <c r="F34" s="25">
        <f>F11</f>
        <v>38</v>
      </c>
      <c r="G34" s="31">
        <v>130</v>
      </c>
      <c r="H34" s="4" t="s">
        <v>0</v>
      </c>
      <c r="I34" s="16" t="str">
        <f t="shared" si="18"/>
        <v>03-28</v>
      </c>
      <c r="J34" s="14">
        <f t="shared" si="19"/>
        <v>20</v>
      </c>
      <c r="K34" s="15">
        <f t="shared" si="20"/>
        <v>111</v>
      </c>
      <c r="L34" s="17">
        <f t="shared" si="21"/>
        <v>38</v>
      </c>
      <c r="M34" s="18">
        <f t="shared" si="22"/>
        <v>111</v>
      </c>
      <c r="N34" s="14">
        <f t="shared" si="23"/>
        <v>38</v>
      </c>
      <c r="O34" s="15">
        <f t="shared" si="24"/>
        <v>130</v>
      </c>
      <c r="P34" s="17">
        <f t="shared" si="25"/>
        <v>20</v>
      </c>
      <c r="Q34" s="18">
        <f t="shared" si="26"/>
        <v>130</v>
      </c>
      <c r="R34" s="4" t="s">
        <v>0</v>
      </c>
      <c r="S34" s="16" t="str">
        <f t="shared" si="27"/>
        <v>03-28</v>
      </c>
      <c r="T34" s="14">
        <f t="shared" si="28"/>
        <v>20</v>
      </c>
      <c r="U34" s="18">
        <f t="shared" si="29"/>
        <v>639</v>
      </c>
      <c r="V34" s="14">
        <f t="shared" si="30"/>
        <v>38</v>
      </c>
      <c r="W34" s="18">
        <f t="shared" si="31"/>
        <v>639</v>
      </c>
      <c r="X34" s="14">
        <f t="shared" si="32"/>
        <v>38</v>
      </c>
      <c r="Y34" s="18">
        <f t="shared" si="33"/>
        <v>620</v>
      </c>
      <c r="Z34" s="14">
        <f t="shared" si="34"/>
        <v>20</v>
      </c>
      <c r="AA34" s="18">
        <f t="shared" si="35"/>
        <v>620</v>
      </c>
      <c r="AB34" s="4" t="s">
        <v>0</v>
      </c>
    </row>
    <row r="35" spans="1:28">
      <c r="A35" s="9" t="s">
        <v>428</v>
      </c>
      <c r="B35" s="24"/>
      <c r="C35" s="26"/>
      <c r="D35" s="25">
        <f>D12</f>
        <v>38</v>
      </c>
      <c r="E35" s="29">
        <f>E34</f>
        <v>111</v>
      </c>
      <c r="F35" s="25">
        <f>F12</f>
        <v>56</v>
      </c>
      <c r="G35" s="29">
        <f>G34</f>
        <v>130</v>
      </c>
      <c r="H35" s="4" t="s">
        <v>0</v>
      </c>
      <c r="I35" s="16" t="str">
        <f t="shared" si="18"/>
        <v>03-27</v>
      </c>
      <c r="J35" s="14">
        <f t="shared" si="19"/>
        <v>38</v>
      </c>
      <c r="K35" s="15">
        <f t="shared" si="20"/>
        <v>111</v>
      </c>
      <c r="L35" s="17">
        <f t="shared" si="21"/>
        <v>56</v>
      </c>
      <c r="M35" s="18">
        <f t="shared" si="22"/>
        <v>111</v>
      </c>
      <c r="N35" s="14">
        <f t="shared" si="23"/>
        <v>56</v>
      </c>
      <c r="O35" s="15">
        <f t="shared" si="24"/>
        <v>130</v>
      </c>
      <c r="P35" s="17">
        <f t="shared" si="25"/>
        <v>38</v>
      </c>
      <c r="Q35" s="18">
        <f t="shared" si="26"/>
        <v>130</v>
      </c>
      <c r="R35" s="4" t="s">
        <v>0</v>
      </c>
      <c r="S35" s="16" t="str">
        <f t="shared" si="27"/>
        <v>03-27</v>
      </c>
      <c r="T35" s="14">
        <f t="shared" si="28"/>
        <v>38</v>
      </c>
      <c r="U35" s="18">
        <f t="shared" si="29"/>
        <v>639</v>
      </c>
      <c r="V35" s="14">
        <f t="shared" si="30"/>
        <v>56</v>
      </c>
      <c r="W35" s="18">
        <f t="shared" si="31"/>
        <v>639</v>
      </c>
      <c r="X35" s="14">
        <f t="shared" si="32"/>
        <v>56</v>
      </c>
      <c r="Y35" s="18">
        <f t="shared" si="33"/>
        <v>620</v>
      </c>
      <c r="Z35" s="14">
        <f t="shared" si="34"/>
        <v>38</v>
      </c>
      <c r="AA35" s="18">
        <f t="shared" si="35"/>
        <v>620</v>
      </c>
      <c r="AB35" s="4" t="s">
        <v>0</v>
      </c>
    </row>
    <row r="36" spans="1:28">
      <c r="A36" s="9" t="s">
        <v>427</v>
      </c>
      <c r="B36" s="24"/>
      <c r="C36" s="26"/>
      <c r="D36" s="25">
        <f>D13</f>
        <v>56</v>
      </c>
      <c r="E36" s="29">
        <f>E35</f>
        <v>111</v>
      </c>
      <c r="F36" s="25">
        <f>F13</f>
        <v>74</v>
      </c>
      <c r="G36" s="29">
        <f>G35</f>
        <v>130</v>
      </c>
      <c r="H36" s="4" t="s">
        <v>0</v>
      </c>
      <c r="I36" s="16" t="str">
        <f t="shared" si="18"/>
        <v>03-26</v>
      </c>
      <c r="J36" s="14">
        <f t="shared" si="19"/>
        <v>56</v>
      </c>
      <c r="K36" s="15">
        <f t="shared" si="20"/>
        <v>111</v>
      </c>
      <c r="L36" s="17">
        <f t="shared" si="21"/>
        <v>74</v>
      </c>
      <c r="M36" s="18">
        <f t="shared" si="22"/>
        <v>111</v>
      </c>
      <c r="N36" s="14">
        <f t="shared" si="23"/>
        <v>74</v>
      </c>
      <c r="O36" s="15">
        <f t="shared" si="24"/>
        <v>130</v>
      </c>
      <c r="P36" s="17">
        <f t="shared" si="25"/>
        <v>56</v>
      </c>
      <c r="Q36" s="18">
        <f t="shared" si="26"/>
        <v>130</v>
      </c>
      <c r="R36" s="4" t="s">
        <v>0</v>
      </c>
      <c r="S36" s="16" t="str">
        <f t="shared" si="27"/>
        <v>03-26</v>
      </c>
      <c r="T36" s="14">
        <f t="shared" si="28"/>
        <v>56</v>
      </c>
      <c r="U36" s="18">
        <f t="shared" si="29"/>
        <v>639</v>
      </c>
      <c r="V36" s="14">
        <f t="shared" si="30"/>
        <v>74</v>
      </c>
      <c r="W36" s="18">
        <f t="shared" si="31"/>
        <v>639</v>
      </c>
      <c r="X36" s="14">
        <f t="shared" si="32"/>
        <v>74</v>
      </c>
      <c r="Y36" s="18">
        <f t="shared" si="33"/>
        <v>620</v>
      </c>
      <c r="Z36" s="14">
        <f t="shared" si="34"/>
        <v>56</v>
      </c>
      <c r="AA36" s="18">
        <f t="shared" si="35"/>
        <v>620</v>
      </c>
      <c r="AB36" s="4" t="s">
        <v>0</v>
      </c>
    </row>
    <row r="37" spans="1:28">
      <c r="A37" s="9" t="s">
        <v>426</v>
      </c>
      <c r="B37" s="24"/>
      <c r="C37" s="26"/>
      <c r="D37" s="25">
        <f t="shared" ref="D37:D56" si="48">D14</f>
        <v>73</v>
      </c>
      <c r="E37" s="29">
        <f t="shared" ref="E37:E49" si="49">E36</f>
        <v>111</v>
      </c>
      <c r="F37" s="25">
        <f t="shared" ref="F37:F56" si="50">F14</f>
        <v>91</v>
      </c>
      <c r="G37" s="29">
        <f t="shared" ref="G37:G49" si="51">G36</f>
        <v>130</v>
      </c>
      <c r="H37" s="4" t="s">
        <v>0</v>
      </c>
      <c r="I37" s="16" t="str">
        <f t="shared" si="18"/>
        <v>03-25</v>
      </c>
      <c r="J37" s="14">
        <f t="shared" si="19"/>
        <v>73</v>
      </c>
      <c r="K37" s="15">
        <f t="shared" si="20"/>
        <v>111</v>
      </c>
      <c r="L37" s="17">
        <f t="shared" si="21"/>
        <v>91</v>
      </c>
      <c r="M37" s="18">
        <f t="shared" si="22"/>
        <v>111</v>
      </c>
      <c r="N37" s="14">
        <f t="shared" si="23"/>
        <v>91</v>
      </c>
      <c r="O37" s="15">
        <f t="shared" si="24"/>
        <v>130</v>
      </c>
      <c r="P37" s="17">
        <f t="shared" si="25"/>
        <v>73</v>
      </c>
      <c r="Q37" s="18">
        <f t="shared" si="26"/>
        <v>130</v>
      </c>
      <c r="R37" s="4" t="s">
        <v>0</v>
      </c>
      <c r="S37" s="16" t="str">
        <f t="shared" si="27"/>
        <v>03-25</v>
      </c>
      <c r="T37" s="14">
        <f t="shared" si="28"/>
        <v>73</v>
      </c>
      <c r="U37" s="18">
        <f t="shared" si="29"/>
        <v>639</v>
      </c>
      <c r="V37" s="14">
        <f t="shared" si="30"/>
        <v>91</v>
      </c>
      <c r="W37" s="18">
        <f t="shared" si="31"/>
        <v>639</v>
      </c>
      <c r="X37" s="14">
        <f t="shared" si="32"/>
        <v>91</v>
      </c>
      <c r="Y37" s="18">
        <f t="shared" si="33"/>
        <v>620</v>
      </c>
      <c r="Z37" s="14">
        <f t="shared" si="34"/>
        <v>73</v>
      </c>
      <c r="AA37" s="18">
        <f t="shared" si="35"/>
        <v>620</v>
      </c>
      <c r="AB37" s="4" t="s">
        <v>0</v>
      </c>
    </row>
    <row r="38" spans="1:28">
      <c r="A38" s="9" t="s">
        <v>425</v>
      </c>
      <c r="B38" s="24"/>
      <c r="C38" s="26"/>
      <c r="D38" s="25">
        <f t="shared" si="48"/>
        <v>91</v>
      </c>
      <c r="E38" s="29">
        <f t="shared" si="49"/>
        <v>111</v>
      </c>
      <c r="F38" s="25">
        <f t="shared" si="50"/>
        <v>109</v>
      </c>
      <c r="G38" s="29">
        <f t="shared" si="51"/>
        <v>130</v>
      </c>
      <c r="H38" s="4" t="s">
        <v>0</v>
      </c>
      <c r="I38" s="16" t="str">
        <f t="shared" si="18"/>
        <v>03-23</v>
      </c>
      <c r="J38" s="14">
        <f t="shared" si="19"/>
        <v>91</v>
      </c>
      <c r="K38" s="15">
        <f t="shared" si="20"/>
        <v>111</v>
      </c>
      <c r="L38" s="17">
        <f t="shared" si="21"/>
        <v>109</v>
      </c>
      <c r="M38" s="18">
        <f t="shared" si="22"/>
        <v>111</v>
      </c>
      <c r="N38" s="14">
        <f t="shared" si="23"/>
        <v>109</v>
      </c>
      <c r="O38" s="15">
        <f t="shared" si="24"/>
        <v>130</v>
      </c>
      <c r="P38" s="17">
        <f t="shared" si="25"/>
        <v>91</v>
      </c>
      <c r="Q38" s="18">
        <f t="shared" si="26"/>
        <v>130</v>
      </c>
      <c r="R38" s="4" t="s">
        <v>0</v>
      </c>
      <c r="S38" s="16" t="str">
        <f t="shared" si="27"/>
        <v>03-23</v>
      </c>
      <c r="T38" s="14">
        <f t="shared" si="28"/>
        <v>91</v>
      </c>
      <c r="U38" s="18">
        <f t="shared" si="29"/>
        <v>639</v>
      </c>
      <c r="V38" s="14">
        <f t="shared" si="30"/>
        <v>109</v>
      </c>
      <c r="W38" s="18">
        <f t="shared" si="31"/>
        <v>639</v>
      </c>
      <c r="X38" s="14">
        <f t="shared" si="32"/>
        <v>109</v>
      </c>
      <c r="Y38" s="18">
        <f t="shared" si="33"/>
        <v>620</v>
      </c>
      <c r="Z38" s="14">
        <f t="shared" si="34"/>
        <v>91</v>
      </c>
      <c r="AA38" s="18">
        <f t="shared" si="35"/>
        <v>620</v>
      </c>
      <c r="AB38" s="4" t="s">
        <v>0</v>
      </c>
    </row>
    <row r="39" spans="1:28">
      <c r="A39" s="9" t="s">
        <v>424</v>
      </c>
      <c r="B39" s="24"/>
      <c r="C39" s="26"/>
      <c r="D39" s="25">
        <f t="shared" si="48"/>
        <v>109</v>
      </c>
      <c r="E39" s="29">
        <f t="shared" si="49"/>
        <v>111</v>
      </c>
      <c r="F39" s="25">
        <f t="shared" si="50"/>
        <v>127</v>
      </c>
      <c r="G39" s="29">
        <f t="shared" si="51"/>
        <v>130</v>
      </c>
      <c r="H39" s="4" t="s">
        <v>0</v>
      </c>
      <c r="I39" s="16" t="str">
        <f t="shared" si="18"/>
        <v>03-22</v>
      </c>
      <c r="J39" s="14">
        <f t="shared" si="19"/>
        <v>109</v>
      </c>
      <c r="K39" s="15">
        <f t="shared" si="20"/>
        <v>111</v>
      </c>
      <c r="L39" s="17">
        <f t="shared" si="21"/>
        <v>127</v>
      </c>
      <c r="M39" s="18">
        <f t="shared" si="22"/>
        <v>111</v>
      </c>
      <c r="N39" s="14">
        <f t="shared" si="23"/>
        <v>127</v>
      </c>
      <c r="O39" s="15">
        <f t="shared" si="24"/>
        <v>130</v>
      </c>
      <c r="P39" s="17">
        <f t="shared" si="25"/>
        <v>109</v>
      </c>
      <c r="Q39" s="18">
        <f t="shared" si="26"/>
        <v>130</v>
      </c>
      <c r="R39" s="4" t="s">
        <v>0</v>
      </c>
      <c r="S39" s="16" t="str">
        <f t="shared" si="27"/>
        <v>03-22</v>
      </c>
      <c r="T39" s="14">
        <f t="shared" si="28"/>
        <v>109</v>
      </c>
      <c r="U39" s="18">
        <f t="shared" si="29"/>
        <v>639</v>
      </c>
      <c r="V39" s="14">
        <f t="shared" si="30"/>
        <v>127</v>
      </c>
      <c r="W39" s="18">
        <f t="shared" si="31"/>
        <v>639</v>
      </c>
      <c r="X39" s="14">
        <f t="shared" si="32"/>
        <v>127</v>
      </c>
      <c r="Y39" s="18">
        <f t="shared" si="33"/>
        <v>620</v>
      </c>
      <c r="Z39" s="14">
        <f t="shared" si="34"/>
        <v>109</v>
      </c>
      <c r="AA39" s="18">
        <f t="shared" si="35"/>
        <v>620</v>
      </c>
      <c r="AB39" s="4" t="s">
        <v>0</v>
      </c>
    </row>
    <row r="40" spans="1:28">
      <c r="A40" s="9" t="s">
        <v>160</v>
      </c>
      <c r="B40" s="24"/>
      <c r="C40" s="26"/>
      <c r="D40" s="25">
        <f t="shared" si="48"/>
        <v>127</v>
      </c>
      <c r="E40" s="29">
        <f t="shared" si="49"/>
        <v>111</v>
      </c>
      <c r="F40" s="25">
        <f t="shared" si="50"/>
        <v>145</v>
      </c>
      <c r="G40" s="29">
        <f t="shared" si="51"/>
        <v>130</v>
      </c>
      <c r="H40" s="4" t="s">
        <v>0</v>
      </c>
      <c r="I40" s="16" t="str">
        <f t="shared" si="18"/>
        <v>03-21</v>
      </c>
      <c r="J40" s="14">
        <f t="shared" si="19"/>
        <v>127</v>
      </c>
      <c r="K40" s="15">
        <f t="shared" si="20"/>
        <v>111</v>
      </c>
      <c r="L40" s="17">
        <f t="shared" si="21"/>
        <v>145</v>
      </c>
      <c r="M40" s="18">
        <f t="shared" si="22"/>
        <v>111</v>
      </c>
      <c r="N40" s="14">
        <f t="shared" si="23"/>
        <v>145</v>
      </c>
      <c r="O40" s="15">
        <f t="shared" si="24"/>
        <v>130</v>
      </c>
      <c r="P40" s="17">
        <f t="shared" si="25"/>
        <v>127</v>
      </c>
      <c r="Q40" s="18">
        <f t="shared" si="26"/>
        <v>130</v>
      </c>
      <c r="R40" s="4" t="s">
        <v>0</v>
      </c>
      <c r="S40" s="16" t="str">
        <f t="shared" si="27"/>
        <v>03-21</v>
      </c>
      <c r="T40" s="14">
        <f t="shared" si="28"/>
        <v>127</v>
      </c>
      <c r="U40" s="18">
        <f t="shared" si="29"/>
        <v>639</v>
      </c>
      <c r="V40" s="14">
        <f t="shared" si="30"/>
        <v>145</v>
      </c>
      <c r="W40" s="18">
        <f t="shared" si="31"/>
        <v>639</v>
      </c>
      <c r="X40" s="14">
        <f t="shared" si="32"/>
        <v>145</v>
      </c>
      <c r="Y40" s="18">
        <f t="shared" si="33"/>
        <v>620</v>
      </c>
      <c r="Z40" s="14">
        <f t="shared" si="34"/>
        <v>127</v>
      </c>
      <c r="AA40" s="18">
        <f t="shared" si="35"/>
        <v>620</v>
      </c>
      <c r="AB40" s="4" t="s">
        <v>0</v>
      </c>
    </row>
    <row r="41" spans="1:28">
      <c r="A41" s="9" t="s">
        <v>159</v>
      </c>
      <c r="B41" s="24"/>
      <c r="C41" s="26"/>
      <c r="D41" s="25">
        <f t="shared" si="48"/>
        <v>145</v>
      </c>
      <c r="E41" s="29">
        <f t="shared" si="49"/>
        <v>111</v>
      </c>
      <c r="F41" s="25">
        <f t="shared" si="50"/>
        <v>163</v>
      </c>
      <c r="G41" s="29">
        <f t="shared" si="51"/>
        <v>130</v>
      </c>
      <c r="H41" s="4" t="s">
        <v>0</v>
      </c>
      <c r="I41" s="16" t="str">
        <f t="shared" si="18"/>
        <v>03-20</v>
      </c>
      <c r="J41" s="14">
        <f t="shared" si="19"/>
        <v>145</v>
      </c>
      <c r="K41" s="15">
        <f t="shared" si="20"/>
        <v>111</v>
      </c>
      <c r="L41" s="17">
        <f t="shared" si="21"/>
        <v>163</v>
      </c>
      <c r="M41" s="18">
        <f t="shared" si="22"/>
        <v>111</v>
      </c>
      <c r="N41" s="14">
        <f t="shared" si="23"/>
        <v>163</v>
      </c>
      <c r="O41" s="15">
        <f t="shared" si="24"/>
        <v>130</v>
      </c>
      <c r="P41" s="17">
        <f t="shared" si="25"/>
        <v>145</v>
      </c>
      <c r="Q41" s="18">
        <f t="shared" si="26"/>
        <v>130</v>
      </c>
      <c r="R41" s="4" t="s">
        <v>0</v>
      </c>
      <c r="S41" s="16" t="str">
        <f t="shared" si="27"/>
        <v>03-20</v>
      </c>
      <c r="T41" s="14">
        <f t="shared" si="28"/>
        <v>145</v>
      </c>
      <c r="U41" s="18">
        <f t="shared" si="29"/>
        <v>639</v>
      </c>
      <c r="V41" s="14">
        <f t="shared" si="30"/>
        <v>163</v>
      </c>
      <c r="W41" s="18">
        <f t="shared" si="31"/>
        <v>639</v>
      </c>
      <c r="X41" s="14">
        <f t="shared" si="32"/>
        <v>163</v>
      </c>
      <c r="Y41" s="18">
        <f t="shared" si="33"/>
        <v>620</v>
      </c>
      <c r="Z41" s="14">
        <f t="shared" si="34"/>
        <v>145</v>
      </c>
      <c r="AA41" s="18">
        <f t="shared" si="35"/>
        <v>620</v>
      </c>
      <c r="AB41" s="4" t="s">
        <v>0</v>
      </c>
    </row>
    <row r="42" spans="1:28">
      <c r="A42" s="9" t="s">
        <v>158</v>
      </c>
      <c r="B42" s="24"/>
      <c r="C42" s="26"/>
      <c r="D42" s="25">
        <f t="shared" si="48"/>
        <v>162</v>
      </c>
      <c r="E42" s="29">
        <f t="shared" si="49"/>
        <v>111</v>
      </c>
      <c r="F42" s="25">
        <f t="shared" si="50"/>
        <v>180</v>
      </c>
      <c r="G42" s="29">
        <f t="shared" si="51"/>
        <v>130</v>
      </c>
      <c r="H42" s="4" t="s">
        <v>0</v>
      </c>
      <c r="I42" s="16" t="str">
        <f t="shared" si="18"/>
        <v>03-18</v>
      </c>
      <c r="J42" s="14">
        <f t="shared" si="19"/>
        <v>162</v>
      </c>
      <c r="K42" s="15">
        <f t="shared" si="20"/>
        <v>111</v>
      </c>
      <c r="L42" s="17">
        <f t="shared" si="21"/>
        <v>180</v>
      </c>
      <c r="M42" s="18">
        <f t="shared" si="22"/>
        <v>111</v>
      </c>
      <c r="N42" s="14">
        <f t="shared" si="23"/>
        <v>180</v>
      </c>
      <c r="O42" s="15">
        <f t="shared" si="24"/>
        <v>130</v>
      </c>
      <c r="P42" s="17">
        <f t="shared" si="25"/>
        <v>162</v>
      </c>
      <c r="Q42" s="18">
        <f t="shared" si="26"/>
        <v>130</v>
      </c>
      <c r="R42" s="4" t="s">
        <v>0</v>
      </c>
      <c r="S42" s="16" t="str">
        <f t="shared" si="27"/>
        <v>03-18</v>
      </c>
      <c r="T42" s="14">
        <f t="shared" si="28"/>
        <v>162</v>
      </c>
      <c r="U42" s="18">
        <f t="shared" si="29"/>
        <v>639</v>
      </c>
      <c r="V42" s="14">
        <f t="shared" si="30"/>
        <v>180</v>
      </c>
      <c r="W42" s="18">
        <f t="shared" si="31"/>
        <v>639</v>
      </c>
      <c r="X42" s="14">
        <f t="shared" si="32"/>
        <v>180</v>
      </c>
      <c r="Y42" s="18">
        <f t="shared" si="33"/>
        <v>620</v>
      </c>
      <c r="Z42" s="14">
        <f t="shared" si="34"/>
        <v>162</v>
      </c>
      <c r="AA42" s="18">
        <f t="shared" si="35"/>
        <v>620</v>
      </c>
      <c r="AB42" s="4" t="s">
        <v>0</v>
      </c>
    </row>
    <row r="43" spans="1:28">
      <c r="A43" s="9" t="s">
        <v>157</v>
      </c>
      <c r="B43" s="24"/>
      <c r="C43" s="26"/>
      <c r="D43" s="25">
        <f t="shared" si="48"/>
        <v>180</v>
      </c>
      <c r="E43" s="29">
        <f t="shared" si="49"/>
        <v>111</v>
      </c>
      <c r="F43" s="25">
        <f t="shared" si="50"/>
        <v>198</v>
      </c>
      <c r="G43" s="29">
        <f t="shared" si="51"/>
        <v>130</v>
      </c>
      <c r="H43" s="4" t="s">
        <v>0</v>
      </c>
      <c r="I43" s="16" t="str">
        <f t="shared" si="18"/>
        <v>03-17</v>
      </c>
      <c r="J43" s="14">
        <f t="shared" si="19"/>
        <v>180</v>
      </c>
      <c r="K43" s="15">
        <f t="shared" si="20"/>
        <v>111</v>
      </c>
      <c r="L43" s="17">
        <f t="shared" si="21"/>
        <v>198</v>
      </c>
      <c r="M43" s="18">
        <f t="shared" si="22"/>
        <v>111</v>
      </c>
      <c r="N43" s="14">
        <f t="shared" si="23"/>
        <v>198</v>
      </c>
      <c r="O43" s="15">
        <f t="shared" si="24"/>
        <v>130</v>
      </c>
      <c r="P43" s="17">
        <f t="shared" si="25"/>
        <v>180</v>
      </c>
      <c r="Q43" s="18">
        <f t="shared" si="26"/>
        <v>130</v>
      </c>
      <c r="R43" s="4" t="s">
        <v>0</v>
      </c>
      <c r="S43" s="16" t="str">
        <f t="shared" si="27"/>
        <v>03-17</v>
      </c>
      <c r="T43" s="14">
        <f t="shared" si="28"/>
        <v>180</v>
      </c>
      <c r="U43" s="18">
        <f t="shared" si="29"/>
        <v>639</v>
      </c>
      <c r="V43" s="14">
        <f t="shared" si="30"/>
        <v>198</v>
      </c>
      <c r="W43" s="18">
        <f t="shared" si="31"/>
        <v>639</v>
      </c>
      <c r="X43" s="14">
        <f t="shared" si="32"/>
        <v>198</v>
      </c>
      <c r="Y43" s="18">
        <f t="shared" si="33"/>
        <v>620</v>
      </c>
      <c r="Z43" s="14">
        <f t="shared" si="34"/>
        <v>180</v>
      </c>
      <c r="AA43" s="18">
        <f t="shared" si="35"/>
        <v>620</v>
      </c>
      <c r="AB43" s="4" t="s">
        <v>0</v>
      </c>
    </row>
    <row r="44" spans="1:28">
      <c r="A44" s="9" t="s">
        <v>156</v>
      </c>
      <c r="B44" s="24"/>
      <c r="C44" s="26"/>
      <c r="D44" s="25">
        <f t="shared" si="48"/>
        <v>198</v>
      </c>
      <c r="E44" s="29">
        <f t="shared" si="49"/>
        <v>111</v>
      </c>
      <c r="F44" s="25">
        <f t="shared" si="50"/>
        <v>216</v>
      </c>
      <c r="G44" s="29">
        <f t="shared" si="51"/>
        <v>130</v>
      </c>
      <c r="H44" s="4" t="s">
        <v>0</v>
      </c>
      <c r="I44" s="16" t="str">
        <f t="shared" si="18"/>
        <v>03-16</v>
      </c>
      <c r="J44" s="14">
        <f t="shared" si="19"/>
        <v>198</v>
      </c>
      <c r="K44" s="15">
        <f t="shared" si="20"/>
        <v>111</v>
      </c>
      <c r="L44" s="17">
        <f t="shared" si="21"/>
        <v>216</v>
      </c>
      <c r="M44" s="18">
        <f t="shared" si="22"/>
        <v>111</v>
      </c>
      <c r="N44" s="14">
        <f t="shared" si="23"/>
        <v>216</v>
      </c>
      <c r="O44" s="15">
        <f t="shared" si="24"/>
        <v>130</v>
      </c>
      <c r="P44" s="17">
        <f t="shared" si="25"/>
        <v>198</v>
      </c>
      <c r="Q44" s="18">
        <f t="shared" si="26"/>
        <v>130</v>
      </c>
      <c r="R44" s="4" t="s">
        <v>0</v>
      </c>
      <c r="S44" s="16" t="str">
        <f t="shared" si="27"/>
        <v>03-16</v>
      </c>
      <c r="T44" s="14">
        <f t="shared" si="28"/>
        <v>198</v>
      </c>
      <c r="U44" s="18">
        <f t="shared" si="29"/>
        <v>639</v>
      </c>
      <c r="V44" s="14">
        <f t="shared" si="30"/>
        <v>216</v>
      </c>
      <c r="W44" s="18">
        <f t="shared" si="31"/>
        <v>639</v>
      </c>
      <c r="X44" s="14">
        <f t="shared" si="32"/>
        <v>216</v>
      </c>
      <c r="Y44" s="18">
        <f t="shared" si="33"/>
        <v>620</v>
      </c>
      <c r="Z44" s="14">
        <f t="shared" si="34"/>
        <v>198</v>
      </c>
      <c r="AA44" s="18">
        <f t="shared" si="35"/>
        <v>620</v>
      </c>
      <c r="AB44" s="4" t="s">
        <v>0</v>
      </c>
    </row>
    <row r="45" spans="1:28">
      <c r="A45" s="9" t="s">
        <v>155</v>
      </c>
      <c r="B45" s="24"/>
      <c r="C45" s="26"/>
      <c r="D45" s="25">
        <f t="shared" si="48"/>
        <v>255</v>
      </c>
      <c r="E45" s="29">
        <f t="shared" si="49"/>
        <v>111</v>
      </c>
      <c r="F45" s="25">
        <f t="shared" si="50"/>
        <v>273</v>
      </c>
      <c r="G45" s="29">
        <f t="shared" si="51"/>
        <v>130</v>
      </c>
      <c r="H45" s="4" t="s">
        <v>0</v>
      </c>
      <c r="I45" s="16" t="str">
        <f t="shared" si="18"/>
        <v>03-15</v>
      </c>
      <c r="J45" s="14">
        <f t="shared" si="19"/>
        <v>255</v>
      </c>
      <c r="K45" s="15">
        <f t="shared" si="20"/>
        <v>111</v>
      </c>
      <c r="L45" s="17">
        <f t="shared" si="21"/>
        <v>273</v>
      </c>
      <c r="M45" s="18">
        <f t="shared" si="22"/>
        <v>111</v>
      </c>
      <c r="N45" s="14">
        <f t="shared" si="23"/>
        <v>273</v>
      </c>
      <c r="O45" s="15">
        <f t="shared" si="24"/>
        <v>130</v>
      </c>
      <c r="P45" s="17">
        <f t="shared" si="25"/>
        <v>255</v>
      </c>
      <c r="Q45" s="18">
        <f t="shared" si="26"/>
        <v>130</v>
      </c>
      <c r="R45" s="4" t="s">
        <v>0</v>
      </c>
      <c r="S45" s="16" t="str">
        <f t="shared" si="27"/>
        <v>03-15</v>
      </c>
      <c r="T45" s="14">
        <f t="shared" si="28"/>
        <v>255</v>
      </c>
      <c r="U45" s="18">
        <f t="shared" si="29"/>
        <v>639</v>
      </c>
      <c r="V45" s="14">
        <f t="shared" si="30"/>
        <v>273</v>
      </c>
      <c r="W45" s="18">
        <f t="shared" si="31"/>
        <v>639</v>
      </c>
      <c r="X45" s="14">
        <f t="shared" si="32"/>
        <v>273</v>
      </c>
      <c r="Y45" s="18">
        <f t="shared" si="33"/>
        <v>620</v>
      </c>
      <c r="Z45" s="14">
        <f t="shared" si="34"/>
        <v>255</v>
      </c>
      <c r="AA45" s="18">
        <f t="shared" si="35"/>
        <v>620</v>
      </c>
      <c r="AB45" s="4" t="s">
        <v>0</v>
      </c>
    </row>
    <row r="46" spans="1:28">
      <c r="A46" s="9" t="s">
        <v>154</v>
      </c>
      <c r="B46" s="24"/>
      <c r="C46" s="26"/>
      <c r="D46" s="25">
        <f t="shared" si="48"/>
        <v>274</v>
      </c>
      <c r="E46" s="29">
        <f t="shared" si="49"/>
        <v>111</v>
      </c>
      <c r="F46" s="25">
        <f t="shared" si="50"/>
        <v>292</v>
      </c>
      <c r="G46" s="29">
        <f t="shared" si="51"/>
        <v>130</v>
      </c>
      <c r="H46" s="4" t="s">
        <v>0</v>
      </c>
      <c r="I46" s="16" t="str">
        <f t="shared" si="18"/>
        <v>03-13</v>
      </c>
      <c r="J46" s="14">
        <f t="shared" si="19"/>
        <v>274</v>
      </c>
      <c r="K46" s="15">
        <f t="shared" si="20"/>
        <v>111</v>
      </c>
      <c r="L46" s="17">
        <f t="shared" si="21"/>
        <v>292</v>
      </c>
      <c r="M46" s="18">
        <f t="shared" si="22"/>
        <v>111</v>
      </c>
      <c r="N46" s="14">
        <f t="shared" si="23"/>
        <v>292</v>
      </c>
      <c r="O46" s="15">
        <f t="shared" si="24"/>
        <v>130</v>
      </c>
      <c r="P46" s="17">
        <f t="shared" si="25"/>
        <v>274</v>
      </c>
      <c r="Q46" s="18">
        <f t="shared" si="26"/>
        <v>130</v>
      </c>
      <c r="R46" s="4" t="s">
        <v>0</v>
      </c>
      <c r="S46" s="16" t="str">
        <f t="shared" si="27"/>
        <v>03-13</v>
      </c>
      <c r="T46" s="14">
        <f t="shared" si="28"/>
        <v>274</v>
      </c>
      <c r="U46" s="18">
        <f t="shared" si="29"/>
        <v>639</v>
      </c>
      <c r="V46" s="14">
        <f t="shared" si="30"/>
        <v>292</v>
      </c>
      <c r="W46" s="18">
        <f t="shared" si="31"/>
        <v>639</v>
      </c>
      <c r="X46" s="14">
        <f t="shared" si="32"/>
        <v>292</v>
      </c>
      <c r="Y46" s="18">
        <f t="shared" si="33"/>
        <v>620</v>
      </c>
      <c r="Z46" s="14">
        <f t="shared" si="34"/>
        <v>274</v>
      </c>
      <c r="AA46" s="18">
        <f t="shared" si="35"/>
        <v>620</v>
      </c>
      <c r="AB46" s="4" t="s">
        <v>0</v>
      </c>
    </row>
    <row r="47" spans="1:28">
      <c r="A47" s="9" t="s">
        <v>39</v>
      </c>
      <c r="B47" s="24"/>
      <c r="C47" s="26"/>
      <c r="D47" s="25">
        <f t="shared" si="48"/>
        <v>292</v>
      </c>
      <c r="E47" s="29">
        <f t="shared" si="49"/>
        <v>111</v>
      </c>
      <c r="F47" s="25">
        <f t="shared" si="50"/>
        <v>310</v>
      </c>
      <c r="G47" s="29">
        <f t="shared" si="51"/>
        <v>130</v>
      </c>
      <c r="H47" s="4" t="s">
        <v>0</v>
      </c>
      <c r="I47" s="16" t="str">
        <f t="shared" si="18"/>
        <v>03-12</v>
      </c>
      <c r="J47" s="14">
        <f t="shared" si="19"/>
        <v>292</v>
      </c>
      <c r="K47" s="15">
        <f t="shared" si="20"/>
        <v>111</v>
      </c>
      <c r="L47" s="17">
        <f t="shared" si="21"/>
        <v>310</v>
      </c>
      <c r="M47" s="18">
        <f t="shared" si="22"/>
        <v>111</v>
      </c>
      <c r="N47" s="14">
        <f t="shared" si="23"/>
        <v>310</v>
      </c>
      <c r="O47" s="15">
        <f t="shared" si="24"/>
        <v>130</v>
      </c>
      <c r="P47" s="17">
        <f t="shared" si="25"/>
        <v>292</v>
      </c>
      <c r="Q47" s="18">
        <f t="shared" si="26"/>
        <v>130</v>
      </c>
      <c r="R47" s="4" t="s">
        <v>0</v>
      </c>
      <c r="S47" s="16" t="str">
        <f t="shared" si="27"/>
        <v>03-12</v>
      </c>
      <c r="T47" s="14">
        <f t="shared" si="28"/>
        <v>292</v>
      </c>
      <c r="U47" s="18">
        <f t="shared" si="29"/>
        <v>639</v>
      </c>
      <c r="V47" s="14">
        <f t="shared" si="30"/>
        <v>310</v>
      </c>
      <c r="W47" s="18">
        <f t="shared" si="31"/>
        <v>639</v>
      </c>
      <c r="X47" s="14">
        <f t="shared" si="32"/>
        <v>310</v>
      </c>
      <c r="Y47" s="18">
        <f t="shared" si="33"/>
        <v>620</v>
      </c>
      <c r="Z47" s="14">
        <f t="shared" si="34"/>
        <v>292</v>
      </c>
      <c r="AA47" s="18">
        <f t="shared" si="35"/>
        <v>620</v>
      </c>
      <c r="AB47" s="4" t="s">
        <v>0</v>
      </c>
    </row>
    <row r="48" spans="1:28">
      <c r="A48" s="9" t="s">
        <v>38</v>
      </c>
      <c r="B48" s="24"/>
      <c r="C48" s="26"/>
      <c r="D48" s="25">
        <f t="shared" si="48"/>
        <v>311</v>
      </c>
      <c r="E48" s="29">
        <f t="shared" si="49"/>
        <v>111</v>
      </c>
      <c r="F48" s="25">
        <f t="shared" si="50"/>
        <v>329</v>
      </c>
      <c r="G48" s="29">
        <f t="shared" si="51"/>
        <v>130</v>
      </c>
      <c r="H48" s="4" t="s">
        <v>0</v>
      </c>
      <c r="I48" s="16" t="str">
        <f t="shared" si="18"/>
        <v>03-11</v>
      </c>
      <c r="J48" s="14">
        <f t="shared" si="19"/>
        <v>311</v>
      </c>
      <c r="K48" s="15">
        <f t="shared" si="20"/>
        <v>111</v>
      </c>
      <c r="L48" s="17">
        <f t="shared" si="21"/>
        <v>329</v>
      </c>
      <c r="M48" s="18">
        <f t="shared" si="22"/>
        <v>111</v>
      </c>
      <c r="N48" s="14">
        <f t="shared" si="23"/>
        <v>329</v>
      </c>
      <c r="O48" s="15">
        <f t="shared" si="24"/>
        <v>130</v>
      </c>
      <c r="P48" s="17">
        <f t="shared" si="25"/>
        <v>311</v>
      </c>
      <c r="Q48" s="18">
        <f t="shared" si="26"/>
        <v>130</v>
      </c>
      <c r="R48" s="4" t="s">
        <v>0</v>
      </c>
      <c r="S48" s="16" t="str">
        <f t="shared" si="27"/>
        <v>03-11</v>
      </c>
      <c r="T48" s="14">
        <f t="shared" si="28"/>
        <v>311</v>
      </c>
      <c r="U48" s="18">
        <f t="shared" si="29"/>
        <v>639</v>
      </c>
      <c r="V48" s="14">
        <f t="shared" si="30"/>
        <v>329</v>
      </c>
      <c r="W48" s="18">
        <f t="shared" si="31"/>
        <v>639</v>
      </c>
      <c r="X48" s="14">
        <f t="shared" si="32"/>
        <v>329</v>
      </c>
      <c r="Y48" s="18">
        <f t="shared" si="33"/>
        <v>620</v>
      </c>
      <c r="Z48" s="14">
        <f t="shared" si="34"/>
        <v>311</v>
      </c>
      <c r="AA48" s="18">
        <f t="shared" si="35"/>
        <v>620</v>
      </c>
      <c r="AB48" s="4" t="s">
        <v>0</v>
      </c>
    </row>
    <row r="49" spans="1:28">
      <c r="A49" s="9" t="s">
        <v>37</v>
      </c>
      <c r="B49" s="24"/>
      <c r="C49" s="26"/>
      <c r="D49" s="25">
        <f t="shared" si="48"/>
        <v>329</v>
      </c>
      <c r="E49" s="29">
        <f t="shared" si="49"/>
        <v>111</v>
      </c>
      <c r="F49" s="25">
        <f t="shared" si="50"/>
        <v>347</v>
      </c>
      <c r="G49" s="29">
        <f t="shared" si="51"/>
        <v>130</v>
      </c>
      <c r="H49" s="4" t="s">
        <v>0</v>
      </c>
      <c r="I49" s="16" t="str">
        <f t="shared" si="18"/>
        <v>03-10</v>
      </c>
      <c r="J49" s="14">
        <f t="shared" si="19"/>
        <v>329</v>
      </c>
      <c r="K49" s="15">
        <f t="shared" si="20"/>
        <v>111</v>
      </c>
      <c r="L49" s="17">
        <f t="shared" si="21"/>
        <v>347</v>
      </c>
      <c r="M49" s="18">
        <f t="shared" si="22"/>
        <v>111</v>
      </c>
      <c r="N49" s="14">
        <f t="shared" si="23"/>
        <v>347</v>
      </c>
      <c r="O49" s="15">
        <f t="shared" si="24"/>
        <v>130</v>
      </c>
      <c r="P49" s="17">
        <f t="shared" si="25"/>
        <v>329</v>
      </c>
      <c r="Q49" s="18">
        <f t="shared" si="26"/>
        <v>130</v>
      </c>
      <c r="R49" s="4" t="s">
        <v>0</v>
      </c>
      <c r="S49" s="16" t="str">
        <f t="shared" si="27"/>
        <v>03-10</v>
      </c>
      <c r="T49" s="14">
        <f t="shared" si="28"/>
        <v>329</v>
      </c>
      <c r="U49" s="18">
        <f t="shared" si="29"/>
        <v>639</v>
      </c>
      <c r="V49" s="14">
        <f t="shared" si="30"/>
        <v>347</v>
      </c>
      <c r="W49" s="18">
        <f t="shared" si="31"/>
        <v>639</v>
      </c>
      <c r="X49" s="14">
        <f t="shared" si="32"/>
        <v>347</v>
      </c>
      <c r="Y49" s="18">
        <f t="shared" si="33"/>
        <v>620</v>
      </c>
      <c r="Z49" s="14">
        <f t="shared" si="34"/>
        <v>329</v>
      </c>
      <c r="AA49" s="18">
        <f t="shared" si="35"/>
        <v>620</v>
      </c>
      <c r="AB49" s="4" t="s">
        <v>0</v>
      </c>
    </row>
    <row r="50" spans="1:28">
      <c r="A50" s="9" t="s">
        <v>36</v>
      </c>
      <c r="B50" s="24"/>
      <c r="C50" s="26"/>
      <c r="D50" s="25">
        <f t="shared" si="48"/>
        <v>348</v>
      </c>
      <c r="E50" s="29">
        <f t="shared" ref="E50:E56" si="52">E49</f>
        <v>111</v>
      </c>
      <c r="F50" s="25">
        <f t="shared" si="50"/>
        <v>367</v>
      </c>
      <c r="G50" s="29">
        <f t="shared" ref="G50:G56" si="53">G49</f>
        <v>130</v>
      </c>
      <c r="H50" s="4" t="s">
        <v>0</v>
      </c>
      <c r="I50" s="16" t="str">
        <f t="shared" si="18"/>
        <v>03-08</v>
      </c>
      <c r="J50" s="14">
        <f t="shared" si="19"/>
        <v>348</v>
      </c>
      <c r="K50" s="15">
        <f t="shared" si="20"/>
        <v>111</v>
      </c>
      <c r="L50" s="17">
        <f t="shared" si="21"/>
        <v>367</v>
      </c>
      <c r="M50" s="18">
        <f t="shared" si="22"/>
        <v>111</v>
      </c>
      <c r="N50" s="14">
        <f t="shared" si="23"/>
        <v>367</v>
      </c>
      <c r="O50" s="15">
        <f t="shared" si="24"/>
        <v>130</v>
      </c>
      <c r="P50" s="17">
        <f t="shared" si="25"/>
        <v>348</v>
      </c>
      <c r="Q50" s="18">
        <f t="shared" si="26"/>
        <v>130</v>
      </c>
      <c r="R50" s="4" t="s">
        <v>0</v>
      </c>
      <c r="S50" s="16" t="str">
        <f t="shared" si="27"/>
        <v>03-08</v>
      </c>
      <c r="T50" s="14">
        <f t="shared" si="28"/>
        <v>348</v>
      </c>
      <c r="U50" s="18">
        <f t="shared" si="29"/>
        <v>639</v>
      </c>
      <c r="V50" s="14">
        <f t="shared" si="30"/>
        <v>367</v>
      </c>
      <c r="W50" s="18">
        <f t="shared" si="31"/>
        <v>639</v>
      </c>
      <c r="X50" s="14">
        <f t="shared" si="32"/>
        <v>367</v>
      </c>
      <c r="Y50" s="18">
        <f t="shared" si="33"/>
        <v>620</v>
      </c>
      <c r="Z50" s="14">
        <f t="shared" si="34"/>
        <v>348</v>
      </c>
      <c r="AA50" s="18">
        <f t="shared" si="35"/>
        <v>620</v>
      </c>
      <c r="AB50" s="4" t="s">
        <v>0</v>
      </c>
    </row>
    <row r="51" spans="1:28">
      <c r="A51" s="9" t="s">
        <v>35</v>
      </c>
      <c r="B51" s="24"/>
      <c r="C51" s="26"/>
      <c r="D51" s="25">
        <f t="shared" si="48"/>
        <v>368</v>
      </c>
      <c r="E51" s="29">
        <f t="shared" si="52"/>
        <v>111</v>
      </c>
      <c r="F51" s="25">
        <f t="shared" si="50"/>
        <v>386</v>
      </c>
      <c r="G51" s="29">
        <f t="shared" si="53"/>
        <v>130</v>
      </c>
      <c r="H51" s="4" t="s">
        <v>0</v>
      </c>
      <c r="I51" s="16" t="str">
        <f t="shared" si="18"/>
        <v>03-07</v>
      </c>
      <c r="J51" s="14">
        <f t="shared" si="19"/>
        <v>368</v>
      </c>
      <c r="K51" s="15">
        <f t="shared" si="20"/>
        <v>111</v>
      </c>
      <c r="L51" s="17">
        <f t="shared" si="21"/>
        <v>386</v>
      </c>
      <c r="M51" s="18">
        <f t="shared" si="22"/>
        <v>111</v>
      </c>
      <c r="N51" s="14">
        <f t="shared" si="23"/>
        <v>386</v>
      </c>
      <c r="O51" s="15">
        <f t="shared" si="24"/>
        <v>130</v>
      </c>
      <c r="P51" s="17">
        <f t="shared" si="25"/>
        <v>368</v>
      </c>
      <c r="Q51" s="18">
        <f t="shared" si="26"/>
        <v>130</v>
      </c>
      <c r="R51" s="4" t="s">
        <v>0</v>
      </c>
      <c r="S51" s="16" t="str">
        <f t="shared" si="27"/>
        <v>03-07</v>
      </c>
      <c r="T51" s="14">
        <f t="shared" si="28"/>
        <v>368</v>
      </c>
      <c r="U51" s="18">
        <f t="shared" si="29"/>
        <v>639</v>
      </c>
      <c r="V51" s="14">
        <f t="shared" si="30"/>
        <v>386</v>
      </c>
      <c r="W51" s="18">
        <f t="shared" si="31"/>
        <v>639</v>
      </c>
      <c r="X51" s="14">
        <f t="shared" si="32"/>
        <v>386</v>
      </c>
      <c r="Y51" s="18">
        <f t="shared" si="33"/>
        <v>620</v>
      </c>
      <c r="Z51" s="14">
        <f t="shared" si="34"/>
        <v>368</v>
      </c>
      <c r="AA51" s="18">
        <f t="shared" si="35"/>
        <v>620</v>
      </c>
      <c r="AB51" s="4" t="s">
        <v>0</v>
      </c>
    </row>
    <row r="52" spans="1:28">
      <c r="A52" s="9" t="s">
        <v>34</v>
      </c>
      <c r="B52" s="24"/>
      <c r="C52" s="26"/>
      <c r="D52" s="25">
        <f t="shared" si="48"/>
        <v>387</v>
      </c>
      <c r="E52" s="29">
        <f t="shared" si="52"/>
        <v>111</v>
      </c>
      <c r="F52" s="25">
        <f t="shared" si="50"/>
        <v>405</v>
      </c>
      <c r="G52" s="29">
        <f t="shared" si="53"/>
        <v>130</v>
      </c>
      <c r="H52" s="4" t="s">
        <v>0</v>
      </c>
      <c r="I52" s="16" t="str">
        <f t="shared" si="18"/>
        <v>03-06</v>
      </c>
      <c r="J52" s="14">
        <f t="shared" si="19"/>
        <v>387</v>
      </c>
      <c r="K52" s="15">
        <f t="shared" si="20"/>
        <v>111</v>
      </c>
      <c r="L52" s="17">
        <f t="shared" si="21"/>
        <v>405</v>
      </c>
      <c r="M52" s="18">
        <f t="shared" si="22"/>
        <v>111</v>
      </c>
      <c r="N52" s="14">
        <f t="shared" si="23"/>
        <v>405</v>
      </c>
      <c r="O52" s="15">
        <f t="shared" si="24"/>
        <v>130</v>
      </c>
      <c r="P52" s="17">
        <f t="shared" si="25"/>
        <v>387</v>
      </c>
      <c r="Q52" s="18">
        <f t="shared" si="26"/>
        <v>130</v>
      </c>
      <c r="R52" s="4" t="s">
        <v>0</v>
      </c>
      <c r="S52" s="16" t="str">
        <f t="shared" si="27"/>
        <v>03-06</v>
      </c>
      <c r="T52" s="14">
        <f t="shared" si="28"/>
        <v>387</v>
      </c>
      <c r="U52" s="18">
        <f t="shared" si="29"/>
        <v>639</v>
      </c>
      <c r="V52" s="14">
        <f t="shared" si="30"/>
        <v>405</v>
      </c>
      <c r="W52" s="18">
        <f t="shared" si="31"/>
        <v>639</v>
      </c>
      <c r="X52" s="14">
        <f t="shared" si="32"/>
        <v>405</v>
      </c>
      <c r="Y52" s="18">
        <f t="shared" si="33"/>
        <v>620</v>
      </c>
      <c r="Z52" s="14">
        <f t="shared" si="34"/>
        <v>387</v>
      </c>
      <c r="AA52" s="18">
        <f t="shared" si="35"/>
        <v>620</v>
      </c>
      <c r="AB52" s="4" t="s">
        <v>0</v>
      </c>
    </row>
    <row r="53" spans="1:28">
      <c r="A53" s="9" t="s">
        <v>33</v>
      </c>
      <c r="B53" s="24"/>
      <c r="C53" s="26"/>
      <c r="D53" s="25">
        <f t="shared" si="48"/>
        <v>405</v>
      </c>
      <c r="E53" s="29">
        <f t="shared" si="52"/>
        <v>111</v>
      </c>
      <c r="F53" s="25">
        <f t="shared" si="50"/>
        <v>423</v>
      </c>
      <c r="G53" s="29">
        <f t="shared" si="53"/>
        <v>130</v>
      </c>
      <c r="H53" s="4" t="s">
        <v>0</v>
      </c>
      <c r="I53" s="16" t="str">
        <f t="shared" si="18"/>
        <v>03-05</v>
      </c>
      <c r="J53" s="14">
        <f t="shared" si="19"/>
        <v>405</v>
      </c>
      <c r="K53" s="15">
        <f t="shared" si="20"/>
        <v>111</v>
      </c>
      <c r="L53" s="17">
        <f t="shared" si="21"/>
        <v>423</v>
      </c>
      <c r="M53" s="18">
        <f t="shared" si="22"/>
        <v>111</v>
      </c>
      <c r="N53" s="14">
        <f t="shared" si="23"/>
        <v>423</v>
      </c>
      <c r="O53" s="15">
        <f t="shared" si="24"/>
        <v>130</v>
      </c>
      <c r="P53" s="17">
        <f t="shared" si="25"/>
        <v>405</v>
      </c>
      <c r="Q53" s="18">
        <f t="shared" si="26"/>
        <v>130</v>
      </c>
      <c r="R53" s="4" t="s">
        <v>0</v>
      </c>
      <c r="S53" s="16" t="str">
        <f t="shared" si="27"/>
        <v>03-05</v>
      </c>
      <c r="T53" s="14">
        <f t="shared" si="28"/>
        <v>405</v>
      </c>
      <c r="U53" s="18">
        <f t="shared" si="29"/>
        <v>639</v>
      </c>
      <c r="V53" s="14">
        <f t="shared" si="30"/>
        <v>423</v>
      </c>
      <c r="W53" s="18">
        <f t="shared" si="31"/>
        <v>639</v>
      </c>
      <c r="X53" s="14">
        <f t="shared" si="32"/>
        <v>423</v>
      </c>
      <c r="Y53" s="18">
        <f t="shared" si="33"/>
        <v>620</v>
      </c>
      <c r="Z53" s="14">
        <f t="shared" si="34"/>
        <v>405</v>
      </c>
      <c r="AA53" s="18">
        <f t="shared" si="35"/>
        <v>620</v>
      </c>
      <c r="AB53" s="4" t="s">
        <v>0</v>
      </c>
    </row>
    <row r="54" spans="1:28">
      <c r="A54" s="9" t="s">
        <v>32</v>
      </c>
      <c r="B54" s="24"/>
      <c r="C54" s="26"/>
      <c r="D54" s="25">
        <f t="shared" si="48"/>
        <v>424</v>
      </c>
      <c r="E54" s="29">
        <f t="shared" si="52"/>
        <v>111</v>
      </c>
      <c r="F54" s="25">
        <f t="shared" si="50"/>
        <v>442</v>
      </c>
      <c r="G54" s="29">
        <f t="shared" si="53"/>
        <v>130</v>
      </c>
      <c r="H54" s="4" t="s">
        <v>0</v>
      </c>
      <c r="I54" s="16" t="str">
        <f t="shared" si="18"/>
        <v>03-03</v>
      </c>
      <c r="J54" s="14">
        <f t="shared" si="19"/>
        <v>424</v>
      </c>
      <c r="K54" s="15">
        <f t="shared" si="20"/>
        <v>111</v>
      </c>
      <c r="L54" s="17">
        <f t="shared" si="21"/>
        <v>442</v>
      </c>
      <c r="M54" s="18">
        <f t="shared" si="22"/>
        <v>111</v>
      </c>
      <c r="N54" s="14">
        <f t="shared" si="23"/>
        <v>442</v>
      </c>
      <c r="O54" s="15">
        <f t="shared" si="24"/>
        <v>130</v>
      </c>
      <c r="P54" s="17">
        <f t="shared" si="25"/>
        <v>424</v>
      </c>
      <c r="Q54" s="18">
        <f t="shared" si="26"/>
        <v>130</v>
      </c>
      <c r="R54" s="4" t="s">
        <v>0</v>
      </c>
      <c r="S54" s="16" t="str">
        <f t="shared" si="27"/>
        <v>03-03</v>
      </c>
      <c r="T54" s="14">
        <f t="shared" si="28"/>
        <v>424</v>
      </c>
      <c r="U54" s="18">
        <f t="shared" si="29"/>
        <v>639</v>
      </c>
      <c r="V54" s="14">
        <f t="shared" si="30"/>
        <v>442</v>
      </c>
      <c r="W54" s="18">
        <f t="shared" si="31"/>
        <v>639</v>
      </c>
      <c r="X54" s="14">
        <f t="shared" si="32"/>
        <v>442</v>
      </c>
      <c r="Y54" s="18">
        <f t="shared" si="33"/>
        <v>620</v>
      </c>
      <c r="Z54" s="14">
        <f t="shared" si="34"/>
        <v>424</v>
      </c>
      <c r="AA54" s="18">
        <f t="shared" si="35"/>
        <v>620</v>
      </c>
      <c r="AB54" s="4" t="s">
        <v>0</v>
      </c>
    </row>
    <row r="55" spans="1:28">
      <c r="A55" s="9" t="s">
        <v>31</v>
      </c>
      <c r="B55" s="24"/>
      <c r="C55" s="26"/>
      <c r="D55" s="25">
        <f t="shared" si="48"/>
        <v>443</v>
      </c>
      <c r="E55" s="29">
        <f t="shared" si="52"/>
        <v>111</v>
      </c>
      <c r="F55" s="25">
        <f t="shared" si="50"/>
        <v>461</v>
      </c>
      <c r="G55" s="29">
        <f t="shared" si="53"/>
        <v>130</v>
      </c>
      <c r="H55" s="4" t="s">
        <v>0</v>
      </c>
      <c r="I55" s="16" t="str">
        <f t="shared" si="18"/>
        <v>03-02</v>
      </c>
      <c r="J55" s="14">
        <f t="shared" si="19"/>
        <v>443</v>
      </c>
      <c r="K55" s="15">
        <f t="shared" si="20"/>
        <v>111</v>
      </c>
      <c r="L55" s="17">
        <f t="shared" si="21"/>
        <v>461</v>
      </c>
      <c r="M55" s="18">
        <f t="shared" si="22"/>
        <v>111</v>
      </c>
      <c r="N55" s="14">
        <f t="shared" si="23"/>
        <v>461</v>
      </c>
      <c r="O55" s="15">
        <f t="shared" si="24"/>
        <v>130</v>
      </c>
      <c r="P55" s="17">
        <f t="shared" si="25"/>
        <v>443</v>
      </c>
      <c r="Q55" s="18">
        <f t="shared" si="26"/>
        <v>130</v>
      </c>
      <c r="R55" s="4" t="s">
        <v>0</v>
      </c>
      <c r="S55" s="16" t="str">
        <f t="shared" si="27"/>
        <v>03-02</v>
      </c>
      <c r="T55" s="14">
        <f t="shared" si="28"/>
        <v>443</v>
      </c>
      <c r="U55" s="18">
        <f t="shared" si="29"/>
        <v>639</v>
      </c>
      <c r="V55" s="14">
        <f t="shared" si="30"/>
        <v>461</v>
      </c>
      <c r="W55" s="18">
        <f t="shared" si="31"/>
        <v>639</v>
      </c>
      <c r="X55" s="14">
        <f t="shared" si="32"/>
        <v>461</v>
      </c>
      <c r="Y55" s="18">
        <f t="shared" si="33"/>
        <v>620</v>
      </c>
      <c r="Z55" s="14">
        <f t="shared" si="34"/>
        <v>443</v>
      </c>
      <c r="AA55" s="18">
        <f t="shared" si="35"/>
        <v>620</v>
      </c>
      <c r="AB55" s="4" t="s">
        <v>0</v>
      </c>
    </row>
    <row r="56" spans="1:28">
      <c r="A56" s="9" t="s">
        <v>30</v>
      </c>
      <c r="B56" s="24"/>
      <c r="C56" s="26"/>
      <c r="D56" s="25">
        <f t="shared" si="48"/>
        <v>462</v>
      </c>
      <c r="E56" s="29">
        <f t="shared" si="52"/>
        <v>111</v>
      </c>
      <c r="F56" s="25">
        <f t="shared" si="50"/>
        <v>480</v>
      </c>
      <c r="G56" s="29">
        <f t="shared" si="53"/>
        <v>130</v>
      </c>
      <c r="H56" s="4" t="s">
        <v>0</v>
      </c>
      <c r="I56" s="16" t="str">
        <f t="shared" si="18"/>
        <v>03-01</v>
      </c>
      <c r="J56" s="14">
        <f t="shared" si="19"/>
        <v>462</v>
      </c>
      <c r="K56" s="15">
        <f t="shared" si="20"/>
        <v>111</v>
      </c>
      <c r="L56" s="17">
        <f t="shared" si="21"/>
        <v>480</v>
      </c>
      <c r="M56" s="18">
        <f t="shared" si="22"/>
        <v>111</v>
      </c>
      <c r="N56" s="14">
        <f t="shared" si="23"/>
        <v>480</v>
      </c>
      <c r="O56" s="15">
        <f t="shared" si="24"/>
        <v>130</v>
      </c>
      <c r="P56" s="17">
        <f t="shared" si="25"/>
        <v>462</v>
      </c>
      <c r="Q56" s="18">
        <f t="shared" si="26"/>
        <v>130</v>
      </c>
      <c r="R56" s="4" t="s">
        <v>0</v>
      </c>
      <c r="S56" s="16" t="str">
        <f t="shared" si="27"/>
        <v>03-01</v>
      </c>
      <c r="T56" s="14">
        <f t="shared" si="28"/>
        <v>462</v>
      </c>
      <c r="U56" s="18">
        <f t="shared" si="29"/>
        <v>639</v>
      </c>
      <c r="V56" s="14">
        <f t="shared" si="30"/>
        <v>480</v>
      </c>
      <c r="W56" s="18">
        <f t="shared" si="31"/>
        <v>639</v>
      </c>
      <c r="X56" s="14">
        <f t="shared" si="32"/>
        <v>480</v>
      </c>
      <c r="Y56" s="18">
        <f t="shared" si="33"/>
        <v>620</v>
      </c>
      <c r="Z56" s="14">
        <f t="shared" si="34"/>
        <v>462</v>
      </c>
      <c r="AA56" s="18">
        <f t="shared" si="35"/>
        <v>620</v>
      </c>
      <c r="AB56" s="4" t="s">
        <v>0</v>
      </c>
    </row>
    <row r="57" spans="1:28">
      <c r="A57" s="9" t="s">
        <v>422</v>
      </c>
      <c r="B57" s="24"/>
      <c r="C57" s="26"/>
      <c r="D57" s="25">
        <f>D34</f>
        <v>20</v>
      </c>
      <c r="E57" s="31">
        <v>138</v>
      </c>
      <c r="F57" s="25">
        <f>F34</f>
        <v>38</v>
      </c>
      <c r="G57" s="31">
        <v>157</v>
      </c>
      <c r="H57" s="4" t="s">
        <v>0</v>
      </c>
      <c r="I57" s="16" t="str">
        <f t="shared" si="18"/>
        <v>02-28</v>
      </c>
      <c r="J57" s="14">
        <f t="shared" si="19"/>
        <v>20</v>
      </c>
      <c r="K57" s="15">
        <f t="shared" si="20"/>
        <v>138</v>
      </c>
      <c r="L57" s="17">
        <f t="shared" si="21"/>
        <v>38</v>
      </c>
      <c r="M57" s="18">
        <f t="shared" si="22"/>
        <v>138</v>
      </c>
      <c r="N57" s="14">
        <f t="shared" si="23"/>
        <v>38</v>
      </c>
      <c r="O57" s="15">
        <f t="shared" si="24"/>
        <v>157</v>
      </c>
      <c r="P57" s="17">
        <f t="shared" si="25"/>
        <v>20</v>
      </c>
      <c r="Q57" s="18">
        <f t="shared" si="26"/>
        <v>157</v>
      </c>
      <c r="R57" s="4" t="s">
        <v>0</v>
      </c>
      <c r="S57" s="16" t="str">
        <f t="shared" si="27"/>
        <v>02-28</v>
      </c>
      <c r="T57" s="14">
        <f t="shared" si="28"/>
        <v>20</v>
      </c>
      <c r="U57" s="18">
        <f t="shared" si="29"/>
        <v>612</v>
      </c>
      <c r="V57" s="14">
        <f t="shared" si="30"/>
        <v>38</v>
      </c>
      <c r="W57" s="18">
        <f t="shared" si="31"/>
        <v>612</v>
      </c>
      <c r="X57" s="14">
        <f t="shared" si="32"/>
        <v>38</v>
      </c>
      <c r="Y57" s="18">
        <f t="shared" si="33"/>
        <v>593</v>
      </c>
      <c r="Z57" s="14">
        <f t="shared" si="34"/>
        <v>20</v>
      </c>
      <c r="AA57" s="18">
        <f t="shared" si="35"/>
        <v>593</v>
      </c>
      <c r="AB57" s="4" t="s">
        <v>0</v>
      </c>
    </row>
    <row r="58" spans="1:28">
      <c r="A58" s="9" t="s">
        <v>421</v>
      </c>
      <c r="B58" s="24"/>
      <c r="C58" s="26"/>
      <c r="D58" s="25">
        <f>D35</f>
        <v>38</v>
      </c>
      <c r="E58" s="29">
        <f>E57</f>
        <v>138</v>
      </c>
      <c r="F58" s="25">
        <f>F35</f>
        <v>56</v>
      </c>
      <c r="G58" s="29">
        <f>G57</f>
        <v>157</v>
      </c>
      <c r="H58" s="4" t="s">
        <v>0</v>
      </c>
      <c r="I58" s="16" t="str">
        <f t="shared" si="18"/>
        <v>02-27</v>
      </c>
      <c r="J58" s="14">
        <f t="shared" si="19"/>
        <v>38</v>
      </c>
      <c r="K58" s="15">
        <f t="shared" si="20"/>
        <v>138</v>
      </c>
      <c r="L58" s="17">
        <f t="shared" si="21"/>
        <v>56</v>
      </c>
      <c r="M58" s="18">
        <f t="shared" si="22"/>
        <v>138</v>
      </c>
      <c r="N58" s="14">
        <f t="shared" si="23"/>
        <v>56</v>
      </c>
      <c r="O58" s="15">
        <f t="shared" si="24"/>
        <v>157</v>
      </c>
      <c r="P58" s="17">
        <f t="shared" si="25"/>
        <v>38</v>
      </c>
      <c r="Q58" s="18">
        <f t="shared" si="26"/>
        <v>157</v>
      </c>
      <c r="R58" s="4" t="s">
        <v>0</v>
      </c>
      <c r="S58" s="16" t="str">
        <f t="shared" si="27"/>
        <v>02-27</v>
      </c>
      <c r="T58" s="14">
        <f t="shared" si="28"/>
        <v>38</v>
      </c>
      <c r="U58" s="18">
        <f t="shared" si="29"/>
        <v>612</v>
      </c>
      <c r="V58" s="14">
        <f t="shared" si="30"/>
        <v>56</v>
      </c>
      <c r="W58" s="18">
        <f t="shared" si="31"/>
        <v>612</v>
      </c>
      <c r="X58" s="14">
        <f t="shared" si="32"/>
        <v>56</v>
      </c>
      <c r="Y58" s="18">
        <f t="shared" si="33"/>
        <v>593</v>
      </c>
      <c r="Z58" s="14">
        <f t="shared" si="34"/>
        <v>38</v>
      </c>
      <c r="AA58" s="18">
        <f t="shared" si="35"/>
        <v>593</v>
      </c>
      <c r="AB58" s="4" t="s">
        <v>0</v>
      </c>
    </row>
    <row r="59" spans="1:28">
      <c r="A59" s="9" t="s">
        <v>420</v>
      </c>
      <c r="B59" s="24"/>
      <c r="C59" s="26"/>
      <c r="D59" s="25">
        <f>D36</f>
        <v>56</v>
      </c>
      <c r="E59" s="29">
        <f>E58</f>
        <v>138</v>
      </c>
      <c r="F59" s="25">
        <f>F36</f>
        <v>74</v>
      </c>
      <c r="G59" s="29">
        <f>G58</f>
        <v>157</v>
      </c>
      <c r="H59" s="4" t="s">
        <v>0</v>
      </c>
      <c r="I59" s="16" t="str">
        <f t="shared" si="18"/>
        <v>02-26</v>
      </c>
      <c r="J59" s="14">
        <f t="shared" si="19"/>
        <v>56</v>
      </c>
      <c r="K59" s="15">
        <f t="shared" si="20"/>
        <v>138</v>
      </c>
      <c r="L59" s="17">
        <f t="shared" si="21"/>
        <v>74</v>
      </c>
      <c r="M59" s="18">
        <f t="shared" si="22"/>
        <v>138</v>
      </c>
      <c r="N59" s="14">
        <f t="shared" si="23"/>
        <v>74</v>
      </c>
      <c r="O59" s="15">
        <f t="shared" si="24"/>
        <v>157</v>
      </c>
      <c r="P59" s="17">
        <f t="shared" si="25"/>
        <v>56</v>
      </c>
      <c r="Q59" s="18">
        <f t="shared" si="26"/>
        <v>157</v>
      </c>
      <c r="R59" s="4" t="s">
        <v>0</v>
      </c>
      <c r="S59" s="16" t="str">
        <f t="shared" si="27"/>
        <v>02-26</v>
      </c>
      <c r="T59" s="14">
        <f t="shared" si="28"/>
        <v>56</v>
      </c>
      <c r="U59" s="18">
        <f t="shared" si="29"/>
        <v>612</v>
      </c>
      <c r="V59" s="14">
        <f t="shared" si="30"/>
        <v>74</v>
      </c>
      <c r="W59" s="18">
        <f t="shared" si="31"/>
        <v>612</v>
      </c>
      <c r="X59" s="14">
        <f t="shared" si="32"/>
        <v>74</v>
      </c>
      <c r="Y59" s="18">
        <f t="shared" si="33"/>
        <v>593</v>
      </c>
      <c r="Z59" s="14">
        <f t="shared" si="34"/>
        <v>56</v>
      </c>
      <c r="AA59" s="18">
        <f t="shared" si="35"/>
        <v>593</v>
      </c>
      <c r="AB59" s="4" t="s">
        <v>0</v>
      </c>
    </row>
    <row r="60" spans="1:28">
      <c r="A60" s="9" t="s">
        <v>419</v>
      </c>
      <c r="B60" s="24"/>
      <c r="C60" s="26"/>
      <c r="D60" s="25">
        <f t="shared" ref="D60:D79" si="54">D37</f>
        <v>73</v>
      </c>
      <c r="E60" s="29">
        <f t="shared" ref="E60:E79" si="55">E59</f>
        <v>138</v>
      </c>
      <c r="F60" s="25">
        <f t="shared" ref="F60:F79" si="56">F37</f>
        <v>91</v>
      </c>
      <c r="G60" s="29">
        <f t="shared" ref="G60:G79" si="57">G59</f>
        <v>157</v>
      </c>
      <c r="H60" s="4" t="s">
        <v>0</v>
      </c>
      <c r="I60" s="16" t="str">
        <f t="shared" si="18"/>
        <v>02-25</v>
      </c>
      <c r="J60" s="14">
        <f t="shared" si="19"/>
        <v>73</v>
      </c>
      <c r="K60" s="15">
        <f t="shared" si="20"/>
        <v>138</v>
      </c>
      <c r="L60" s="17">
        <f t="shared" si="21"/>
        <v>91</v>
      </c>
      <c r="M60" s="18">
        <f t="shared" si="22"/>
        <v>138</v>
      </c>
      <c r="N60" s="14">
        <f t="shared" si="23"/>
        <v>91</v>
      </c>
      <c r="O60" s="15">
        <f t="shared" si="24"/>
        <v>157</v>
      </c>
      <c r="P60" s="17">
        <f t="shared" si="25"/>
        <v>73</v>
      </c>
      <c r="Q60" s="18">
        <f t="shared" si="26"/>
        <v>157</v>
      </c>
      <c r="R60" s="4" t="s">
        <v>0</v>
      </c>
      <c r="S60" s="16" t="str">
        <f t="shared" si="27"/>
        <v>02-25</v>
      </c>
      <c r="T60" s="14">
        <f t="shared" si="28"/>
        <v>73</v>
      </c>
      <c r="U60" s="18">
        <f t="shared" si="29"/>
        <v>612</v>
      </c>
      <c r="V60" s="14">
        <f t="shared" si="30"/>
        <v>91</v>
      </c>
      <c r="W60" s="18">
        <f t="shared" si="31"/>
        <v>612</v>
      </c>
      <c r="X60" s="14">
        <f t="shared" si="32"/>
        <v>91</v>
      </c>
      <c r="Y60" s="18">
        <f t="shared" si="33"/>
        <v>593</v>
      </c>
      <c r="Z60" s="14">
        <f t="shared" si="34"/>
        <v>73</v>
      </c>
      <c r="AA60" s="18">
        <f t="shared" si="35"/>
        <v>593</v>
      </c>
      <c r="AB60" s="4" t="s">
        <v>0</v>
      </c>
    </row>
    <row r="61" spans="1:28">
      <c r="A61" s="9" t="s">
        <v>418</v>
      </c>
      <c r="B61" s="24"/>
      <c r="C61" s="26"/>
      <c r="D61" s="25">
        <f t="shared" si="54"/>
        <v>91</v>
      </c>
      <c r="E61" s="29">
        <f t="shared" si="55"/>
        <v>138</v>
      </c>
      <c r="F61" s="25">
        <f t="shared" si="56"/>
        <v>109</v>
      </c>
      <c r="G61" s="29">
        <f t="shared" si="57"/>
        <v>157</v>
      </c>
      <c r="H61" s="4" t="s">
        <v>0</v>
      </c>
      <c r="I61" s="16" t="str">
        <f t="shared" si="18"/>
        <v>02-23</v>
      </c>
      <c r="J61" s="14">
        <f t="shared" si="19"/>
        <v>91</v>
      </c>
      <c r="K61" s="15">
        <f t="shared" si="20"/>
        <v>138</v>
      </c>
      <c r="L61" s="17">
        <f t="shared" si="21"/>
        <v>109</v>
      </c>
      <c r="M61" s="18">
        <f t="shared" si="22"/>
        <v>138</v>
      </c>
      <c r="N61" s="14">
        <f t="shared" si="23"/>
        <v>109</v>
      </c>
      <c r="O61" s="15">
        <f t="shared" si="24"/>
        <v>157</v>
      </c>
      <c r="P61" s="17">
        <f t="shared" si="25"/>
        <v>91</v>
      </c>
      <c r="Q61" s="18">
        <f t="shared" si="26"/>
        <v>157</v>
      </c>
      <c r="R61" s="4" t="s">
        <v>0</v>
      </c>
      <c r="S61" s="16" t="str">
        <f t="shared" si="27"/>
        <v>02-23</v>
      </c>
      <c r="T61" s="14">
        <f t="shared" si="28"/>
        <v>91</v>
      </c>
      <c r="U61" s="18">
        <f t="shared" si="29"/>
        <v>612</v>
      </c>
      <c r="V61" s="14">
        <f t="shared" si="30"/>
        <v>109</v>
      </c>
      <c r="W61" s="18">
        <f t="shared" si="31"/>
        <v>612</v>
      </c>
      <c r="X61" s="14">
        <f t="shared" si="32"/>
        <v>109</v>
      </c>
      <c r="Y61" s="18">
        <f t="shared" si="33"/>
        <v>593</v>
      </c>
      <c r="Z61" s="14">
        <f t="shared" si="34"/>
        <v>91</v>
      </c>
      <c r="AA61" s="18">
        <f t="shared" si="35"/>
        <v>593</v>
      </c>
      <c r="AB61" s="4" t="s">
        <v>0</v>
      </c>
    </row>
    <row r="62" spans="1:28">
      <c r="A62" s="9" t="s">
        <v>417</v>
      </c>
      <c r="B62" s="24"/>
      <c r="C62" s="26"/>
      <c r="D62" s="25">
        <f t="shared" si="54"/>
        <v>109</v>
      </c>
      <c r="E62" s="29">
        <f t="shared" si="55"/>
        <v>138</v>
      </c>
      <c r="F62" s="25">
        <f t="shared" si="56"/>
        <v>127</v>
      </c>
      <c r="G62" s="29">
        <f t="shared" si="57"/>
        <v>157</v>
      </c>
      <c r="H62" s="4" t="s">
        <v>0</v>
      </c>
      <c r="I62" s="16" t="str">
        <f t="shared" si="18"/>
        <v>02-22</v>
      </c>
      <c r="J62" s="14">
        <f t="shared" si="19"/>
        <v>109</v>
      </c>
      <c r="K62" s="15">
        <f t="shared" si="20"/>
        <v>138</v>
      </c>
      <c r="L62" s="17">
        <f t="shared" si="21"/>
        <v>127</v>
      </c>
      <c r="M62" s="18">
        <f t="shared" si="22"/>
        <v>138</v>
      </c>
      <c r="N62" s="14">
        <f t="shared" si="23"/>
        <v>127</v>
      </c>
      <c r="O62" s="15">
        <f t="shared" si="24"/>
        <v>157</v>
      </c>
      <c r="P62" s="17">
        <f t="shared" si="25"/>
        <v>109</v>
      </c>
      <c r="Q62" s="18">
        <f t="shared" si="26"/>
        <v>157</v>
      </c>
      <c r="R62" s="4" t="s">
        <v>0</v>
      </c>
      <c r="S62" s="16" t="str">
        <f t="shared" si="27"/>
        <v>02-22</v>
      </c>
      <c r="T62" s="14">
        <f t="shared" si="28"/>
        <v>109</v>
      </c>
      <c r="U62" s="18">
        <f t="shared" si="29"/>
        <v>612</v>
      </c>
      <c r="V62" s="14">
        <f t="shared" si="30"/>
        <v>127</v>
      </c>
      <c r="W62" s="18">
        <f t="shared" si="31"/>
        <v>612</v>
      </c>
      <c r="X62" s="14">
        <f t="shared" si="32"/>
        <v>127</v>
      </c>
      <c r="Y62" s="18">
        <f t="shared" si="33"/>
        <v>593</v>
      </c>
      <c r="Z62" s="14">
        <f t="shared" si="34"/>
        <v>109</v>
      </c>
      <c r="AA62" s="18">
        <f t="shared" si="35"/>
        <v>593</v>
      </c>
      <c r="AB62" s="4" t="s">
        <v>0</v>
      </c>
    </row>
    <row r="63" spans="1:28">
      <c r="A63" s="9" t="s">
        <v>241</v>
      </c>
      <c r="B63" s="24"/>
      <c r="C63" s="26"/>
      <c r="D63" s="25">
        <f t="shared" si="54"/>
        <v>127</v>
      </c>
      <c r="E63" s="29">
        <f t="shared" si="55"/>
        <v>138</v>
      </c>
      <c r="F63" s="25">
        <f t="shared" si="56"/>
        <v>145</v>
      </c>
      <c r="G63" s="29">
        <f t="shared" si="57"/>
        <v>157</v>
      </c>
      <c r="H63" s="4" t="s">
        <v>0</v>
      </c>
      <c r="I63" s="16" t="str">
        <f t="shared" si="18"/>
        <v>02-21</v>
      </c>
      <c r="J63" s="14">
        <f t="shared" si="19"/>
        <v>127</v>
      </c>
      <c r="K63" s="15">
        <f t="shared" si="20"/>
        <v>138</v>
      </c>
      <c r="L63" s="17">
        <f t="shared" si="21"/>
        <v>145</v>
      </c>
      <c r="M63" s="18">
        <f t="shared" si="22"/>
        <v>138</v>
      </c>
      <c r="N63" s="14">
        <f t="shared" si="23"/>
        <v>145</v>
      </c>
      <c r="O63" s="15">
        <f t="shared" si="24"/>
        <v>157</v>
      </c>
      <c r="P63" s="17">
        <f t="shared" si="25"/>
        <v>127</v>
      </c>
      <c r="Q63" s="18">
        <f t="shared" si="26"/>
        <v>157</v>
      </c>
      <c r="R63" s="4" t="s">
        <v>0</v>
      </c>
      <c r="S63" s="16" t="str">
        <f t="shared" si="27"/>
        <v>02-21</v>
      </c>
      <c r="T63" s="14">
        <f t="shared" si="28"/>
        <v>127</v>
      </c>
      <c r="U63" s="18">
        <f t="shared" si="29"/>
        <v>612</v>
      </c>
      <c r="V63" s="14">
        <f t="shared" si="30"/>
        <v>145</v>
      </c>
      <c r="W63" s="18">
        <f t="shared" si="31"/>
        <v>612</v>
      </c>
      <c r="X63" s="14">
        <f t="shared" si="32"/>
        <v>145</v>
      </c>
      <c r="Y63" s="18">
        <f t="shared" si="33"/>
        <v>593</v>
      </c>
      <c r="Z63" s="14">
        <f t="shared" si="34"/>
        <v>127</v>
      </c>
      <c r="AA63" s="18">
        <f t="shared" si="35"/>
        <v>593</v>
      </c>
      <c r="AB63" s="4" t="s">
        <v>0</v>
      </c>
    </row>
    <row r="64" spans="1:28">
      <c r="A64" s="9" t="s">
        <v>153</v>
      </c>
      <c r="B64" s="24"/>
      <c r="C64" s="26"/>
      <c r="D64" s="25">
        <f t="shared" si="54"/>
        <v>145</v>
      </c>
      <c r="E64" s="29">
        <f t="shared" si="55"/>
        <v>138</v>
      </c>
      <c r="F64" s="25">
        <f t="shared" si="56"/>
        <v>163</v>
      </c>
      <c r="G64" s="29">
        <f t="shared" si="57"/>
        <v>157</v>
      </c>
      <c r="H64" s="4" t="s">
        <v>0</v>
      </c>
      <c r="I64" s="16" t="str">
        <f t="shared" si="18"/>
        <v>02-20</v>
      </c>
      <c r="J64" s="14">
        <f t="shared" si="19"/>
        <v>145</v>
      </c>
      <c r="K64" s="15">
        <f t="shared" si="20"/>
        <v>138</v>
      </c>
      <c r="L64" s="17">
        <f t="shared" si="21"/>
        <v>163</v>
      </c>
      <c r="M64" s="18">
        <f t="shared" si="22"/>
        <v>138</v>
      </c>
      <c r="N64" s="14">
        <f t="shared" si="23"/>
        <v>163</v>
      </c>
      <c r="O64" s="15">
        <f t="shared" si="24"/>
        <v>157</v>
      </c>
      <c r="P64" s="17">
        <f t="shared" si="25"/>
        <v>145</v>
      </c>
      <c r="Q64" s="18">
        <f t="shared" si="26"/>
        <v>157</v>
      </c>
      <c r="R64" s="4" t="s">
        <v>0</v>
      </c>
      <c r="S64" s="16" t="str">
        <f t="shared" si="27"/>
        <v>02-20</v>
      </c>
      <c r="T64" s="14">
        <f t="shared" si="28"/>
        <v>145</v>
      </c>
      <c r="U64" s="18">
        <f t="shared" si="29"/>
        <v>612</v>
      </c>
      <c r="V64" s="14">
        <f t="shared" si="30"/>
        <v>163</v>
      </c>
      <c r="W64" s="18">
        <f t="shared" si="31"/>
        <v>612</v>
      </c>
      <c r="X64" s="14">
        <f t="shared" si="32"/>
        <v>163</v>
      </c>
      <c r="Y64" s="18">
        <f t="shared" si="33"/>
        <v>593</v>
      </c>
      <c r="Z64" s="14">
        <f t="shared" si="34"/>
        <v>145</v>
      </c>
      <c r="AA64" s="18">
        <f t="shared" si="35"/>
        <v>593</v>
      </c>
      <c r="AB64" s="4" t="s">
        <v>0</v>
      </c>
    </row>
    <row r="65" spans="1:28">
      <c r="A65" s="9" t="s">
        <v>152</v>
      </c>
      <c r="B65" s="24"/>
      <c r="C65" s="26"/>
      <c r="D65" s="25">
        <f t="shared" si="54"/>
        <v>162</v>
      </c>
      <c r="E65" s="29">
        <f t="shared" si="55"/>
        <v>138</v>
      </c>
      <c r="F65" s="25">
        <f t="shared" si="56"/>
        <v>180</v>
      </c>
      <c r="G65" s="29">
        <f t="shared" si="57"/>
        <v>157</v>
      </c>
      <c r="H65" s="4" t="s">
        <v>0</v>
      </c>
      <c r="I65" s="16" t="str">
        <f t="shared" si="18"/>
        <v>02-18</v>
      </c>
      <c r="J65" s="14">
        <f t="shared" si="19"/>
        <v>162</v>
      </c>
      <c r="K65" s="15">
        <f t="shared" si="20"/>
        <v>138</v>
      </c>
      <c r="L65" s="17">
        <f t="shared" si="21"/>
        <v>180</v>
      </c>
      <c r="M65" s="18">
        <f t="shared" si="22"/>
        <v>138</v>
      </c>
      <c r="N65" s="14">
        <f t="shared" si="23"/>
        <v>180</v>
      </c>
      <c r="O65" s="15">
        <f t="shared" si="24"/>
        <v>157</v>
      </c>
      <c r="P65" s="17">
        <f t="shared" si="25"/>
        <v>162</v>
      </c>
      <c r="Q65" s="18">
        <f t="shared" si="26"/>
        <v>157</v>
      </c>
      <c r="R65" s="4" t="s">
        <v>0</v>
      </c>
      <c r="S65" s="16" t="str">
        <f t="shared" si="27"/>
        <v>02-18</v>
      </c>
      <c r="T65" s="14">
        <f t="shared" si="28"/>
        <v>162</v>
      </c>
      <c r="U65" s="18">
        <f t="shared" si="29"/>
        <v>612</v>
      </c>
      <c r="V65" s="14">
        <f t="shared" si="30"/>
        <v>180</v>
      </c>
      <c r="W65" s="18">
        <f t="shared" si="31"/>
        <v>612</v>
      </c>
      <c r="X65" s="14">
        <f t="shared" si="32"/>
        <v>180</v>
      </c>
      <c r="Y65" s="18">
        <f t="shared" si="33"/>
        <v>593</v>
      </c>
      <c r="Z65" s="14">
        <f t="shared" si="34"/>
        <v>162</v>
      </c>
      <c r="AA65" s="18">
        <f t="shared" si="35"/>
        <v>593</v>
      </c>
      <c r="AB65" s="4" t="s">
        <v>0</v>
      </c>
    </row>
    <row r="66" spans="1:28">
      <c r="A66" s="9" t="s">
        <v>151</v>
      </c>
      <c r="B66" s="24"/>
      <c r="C66" s="26"/>
      <c r="D66" s="25">
        <f t="shared" si="54"/>
        <v>180</v>
      </c>
      <c r="E66" s="29">
        <f t="shared" si="55"/>
        <v>138</v>
      </c>
      <c r="F66" s="25">
        <f t="shared" si="56"/>
        <v>198</v>
      </c>
      <c r="G66" s="29">
        <f t="shared" si="57"/>
        <v>157</v>
      </c>
      <c r="H66" s="4" t="s">
        <v>0</v>
      </c>
      <c r="I66" s="16" t="str">
        <f t="shared" si="18"/>
        <v>02-17</v>
      </c>
      <c r="J66" s="14">
        <f t="shared" si="19"/>
        <v>180</v>
      </c>
      <c r="K66" s="15">
        <f t="shared" si="20"/>
        <v>138</v>
      </c>
      <c r="L66" s="17">
        <f t="shared" si="21"/>
        <v>198</v>
      </c>
      <c r="M66" s="18">
        <f t="shared" si="22"/>
        <v>138</v>
      </c>
      <c r="N66" s="14">
        <f t="shared" si="23"/>
        <v>198</v>
      </c>
      <c r="O66" s="15">
        <f t="shared" si="24"/>
        <v>157</v>
      </c>
      <c r="P66" s="17">
        <f t="shared" si="25"/>
        <v>180</v>
      </c>
      <c r="Q66" s="18">
        <f t="shared" si="26"/>
        <v>157</v>
      </c>
      <c r="R66" s="4" t="s">
        <v>0</v>
      </c>
      <c r="S66" s="16" t="str">
        <f t="shared" si="27"/>
        <v>02-17</v>
      </c>
      <c r="T66" s="14">
        <f t="shared" si="28"/>
        <v>180</v>
      </c>
      <c r="U66" s="18">
        <f t="shared" si="29"/>
        <v>612</v>
      </c>
      <c r="V66" s="14">
        <f t="shared" si="30"/>
        <v>198</v>
      </c>
      <c r="W66" s="18">
        <f t="shared" si="31"/>
        <v>612</v>
      </c>
      <c r="X66" s="14">
        <f t="shared" si="32"/>
        <v>198</v>
      </c>
      <c r="Y66" s="18">
        <f t="shared" si="33"/>
        <v>593</v>
      </c>
      <c r="Z66" s="14">
        <f t="shared" si="34"/>
        <v>180</v>
      </c>
      <c r="AA66" s="18">
        <f t="shared" si="35"/>
        <v>593</v>
      </c>
      <c r="AB66" s="4" t="s">
        <v>0</v>
      </c>
    </row>
    <row r="67" spans="1:28">
      <c r="A67" s="9" t="s">
        <v>150</v>
      </c>
      <c r="B67" s="24"/>
      <c r="C67" s="26"/>
      <c r="D67" s="25">
        <f t="shared" si="54"/>
        <v>198</v>
      </c>
      <c r="E67" s="29">
        <f t="shared" si="55"/>
        <v>138</v>
      </c>
      <c r="F67" s="25">
        <f t="shared" si="56"/>
        <v>216</v>
      </c>
      <c r="G67" s="29">
        <f t="shared" si="57"/>
        <v>157</v>
      </c>
      <c r="H67" s="4" t="s">
        <v>0</v>
      </c>
      <c r="I67" s="16" t="str">
        <f t="shared" si="18"/>
        <v>02-16</v>
      </c>
      <c r="J67" s="14">
        <f t="shared" si="19"/>
        <v>198</v>
      </c>
      <c r="K67" s="15">
        <f t="shared" si="20"/>
        <v>138</v>
      </c>
      <c r="L67" s="17">
        <f t="shared" si="21"/>
        <v>216</v>
      </c>
      <c r="M67" s="18">
        <f t="shared" si="22"/>
        <v>138</v>
      </c>
      <c r="N67" s="14">
        <f t="shared" si="23"/>
        <v>216</v>
      </c>
      <c r="O67" s="15">
        <f t="shared" si="24"/>
        <v>157</v>
      </c>
      <c r="P67" s="17">
        <f t="shared" si="25"/>
        <v>198</v>
      </c>
      <c r="Q67" s="18">
        <f t="shared" si="26"/>
        <v>157</v>
      </c>
      <c r="R67" s="4" t="s">
        <v>0</v>
      </c>
      <c r="S67" s="16" t="str">
        <f t="shared" si="27"/>
        <v>02-16</v>
      </c>
      <c r="T67" s="14">
        <f t="shared" si="28"/>
        <v>198</v>
      </c>
      <c r="U67" s="18">
        <f t="shared" si="29"/>
        <v>612</v>
      </c>
      <c r="V67" s="14">
        <f t="shared" si="30"/>
        <v>216</v>
      </c>
      <c r="W67" s="18">
        <f t="shared" si="31"/>
        <v>612</v>
      </c>
      <c r="X67" s="14">
        <f t="shared" si="32"/>
        <v>216</v>
      </c>
      <c r="Y67" s="18">
        <f t="shared" si="33"/>
        <v>593</v>
      </c>
      <c r="Z67" s="14">
        <f t="shared" si="34"/>
        <v>198</v>
      </c>
      <c r="AA67" s="18">
        <f t="shared" si="35"/>
        <v>593</v>
      </c>
      <c r="AB67" s="4" t="s">
        <v>0</v>
      </c>
    </row>
    <row r="68" spans="1:28">
      <c r="A68" s="9" t="s">
        <v>149</v>
      </c>
      <c r="B68" s="24"/>
      <c r="C68" s="26"/>
      <c r="D68" s="25">
        <f t="shared" si="54"/>
        <v>255</v>
      </c>
      <c r="E68" s="29">
        <f t="shared" si="55"/>
        <v>138</v>
      </c>
      <c r="F68" s="25">
        <f t="shared" si="56"/>
        <v>273</v>
      </c>
      <c r="G68" s="29">
        <f t="shared" si="57"/>
        <v>157</v>
      </c>
      <c r="H68" s="4" t="s">
        <v>0</v>
      </c>
      <c r="I68" s="16" t="str">
        <f t="shared" si="18"/>
        <v>02-15</v>
      </c>
      <c r="J68" s="14">
        <f t="shared" si="19"/>
        <v>255</v>
      </c>
      <c r="K68" s="15">
        <f t="shared" si="20"/>
        <v>138</v>
      </c>
      <c r="L68" s="17">
        <f t="shared" si="21"/>
        <v>273</v>
      </c>
      <c r="M68" s="18">
        <f t="shared" si="22"/>
        <v>138</v>
      </c>
      <c r="N68" s="14">
        <f t="shared" si="23"/>
        <v>273</v>
      </c>
      <c r="O68" s="15">
        <f t="shared" si="24"/>
        <v>157</v>
      </c>
      <c r="P68" s="17">
        <f t="shared" si="25"/>
        <v>255</v>
      </c>
      <c r="Q68" s="18">
        <f t="shared" si="26"/>
        <v>157</v>
      </c>
      <c r="R68" s="4" t="s">
        <v>0</v>
      </c>
      <c r="S68" s="16" t="str">
        <f t="shared" si="27"/>
        <v>02-15</v>
      </c>
      <c r="T68" s="14">
        <f t="shared" si="28"/>
        <v>255</v>
      </c>
      <c r="U68" s="18">
        <f t="shared" si="29"/>
        <v>612</v>
      </c>
      <c r="V68" s="14">
        <f t="shared" si="30"/>
        <v>273</v>
      </c>
      <c r="W68" s="18">
        <f t="shared" si="31"/>
        <v>612</v>
      </c>
      <c r="X68" s="14">
        <f t="shared" si="32"/>
        <v>273</v>
      </c>
      <c r="Y68" s="18">
        <f t="shared" si="33"/>
        <v>593</v>
      </c>
      <c r="Z68" s="14">
        <f t="shared" si="34"/>
        <v>255</v>
      </c>
      <c r="AA68" s="18">
        <f t="shared" si="35"/>
        <v>593</v>
      </c>
      <c r="AB68" s="4" t="s">
        <v>0</v>
      </c>
    </row>
    <row r="69" spans="1:28">
      <c r="A69" s="9" t="s">
        <v>148</v>
      </c>
      <c r="B69" s="24"/>
      <c r="C69" s="26"/>
      <c r="D69" s="25">
        <f t="shared" si="54"/>
        <v>274</v>
      </c>
      <c r="E69" s="29">
        <f t="shared" si="55"/>
        <v>138</v>
      </c>
      <c r="F69" s="25">
        <f t="shared" si="56"/>
        <v>292</v>
      </c>
      <c r="G69" s="29">
        <f t="shared" si="57"/>
        <v>157</v>
      </c>
      <c r="H69" s="4" t="s">
        <v>0</v>
      </c>
      <c r="I69" s="16" t="str">
        <f t="shared" si="18"/>
        <v>02-13</v>
      </c>
      <c r="J69" s="14">
        <f t="shared" si="19"/>
        <v>274</v>
      </c>
      <c r="K69" s="15">
        <f t="shared" si="20"/>
        <v>138</v>
      </c>
      <c r="L69" s="17">
        <f t="shared" si="21"/>
        <v>292</v>
      </c>
      <c r="M69" s="18">
        <f t="shared" si="22"/>
        <v>138</v>
      </c>
      <c r="N69" s="14">
        <f t="shared" si="23"/>
        <v>292</v>
      </c>
      <c r="O69" s="15">
        <f t="shared" si="24"/>
        <v>157</v>
      </c>
      <c r="P69" s="17">
        <f t="shared" si="25"/>
        <v>274</v>
      </c>
      <c r="Q69" s="18">
        <f t="shared" si="26"/>
        <v>157</v>
      </c>
      <c r="R69" s="4" t="s">
        <v>0</v>
      </c>
      <c r="S69" s="16" t="str">
        <f t="shared" si="27"/>
        <v>02-13</v>
      </c>
      <c r="T69" s="14">
        <f t="shared" si="28"/>
        <v>274</v>
      </c>
      <c r="U69" s="18">
        <f t="shared" si="29"/>
        <v>612</v>
      </c>
      <c r="V69" s="14">
        <f t="shared" si="30"/>
        <v>292</v>
      </c>
      <c r="W69" s="18">
        <f t="shared" si="31"/>
        <v>612</v>
      </c>
      <c r="X69" s="14">
        <f t="shared" si="32"/>
        <v>292</v>
      </c>
      <c r="Y69" s="18">
        <f t="shared" si="33"/>
        <v>593</v>
      </c>
      <c r="Z69" s="14">
        <f t="shared" si="34"/>
        <v>274</v>
      </c>
      <c r="AA69" s="18">
        <f t="shared" si="35"/>
        <v>593</v>
      </c>
      <c r="AB69" s="4" t="s">
        <v>0</v>
      </c>
    </row>
    <row r="70" spans="1:28">
      <c r="A70" s="9" t="s">
        <v>29</v>
      </c>
      <c r="B70" s="24"/>
      <c r="C70" s="26"/>
      <c r="D70" s="25">
        <f t="shared" si="54"/>
        <v>292</v>
      </c>
      <c r="E70" s="29">
        <f t="shared" si="55"/>
        <v>138</v>
      </c>
      <c r="F70" s="25">
        <f t="shared" si="56"/>
        <v>310</v>
      </c>
      <c r="G70" s="29">
        <f t="shared" si="57"/>
        <v>157</v>
      </c>
      <c r="H70" s="4" t="s">
        <v>0</v>
      </c>
      <c r="I70" s="16" t="str">
        <f t="shared" si="18"/>
        <v>02-12</v>
      </c>
      <c r="J70" s="14">
        <f t="shared" si="19"/>
        <v>292</v>
      </c>
      <c r="K70" s="15">
        <f t="shared" si="20"/>
        <v>138</v>
      </c>
      <c r="L70" s="17">
        <f t="shared" si="21"/>
        <v>310</v>
      </c>
      <c r="M70" s="18">
        <f t="shared" si="22"/>
        <v>138</v>
      </c>
      <c r="N70" s="14">
        <f t="shared" si="23"/>
        <v>310</v>
      </c>
      <c r="O70" s="15">
        <f t="shared" si="24"/>
        <v>157</v>
      </c>
      <c r="P70" s="17">
        <f t="shared" si="25"/>
        <v>292</v>
      </c>
      <c r="Q70" s="18">
        <f t="shared" si="26"/>
        <v>157</v>
      </c>
      <c r="R70" s="4" t="s">
        <v>0</v>
      </c>
      <c r="S70" s="16" t="str">
        <f t="shared" si="27"/>
        <v>02-12</v>
      </c>
      <c r="T70" s="14">
        <f t="shared" si="28"/>
        <v>292</v>
      </c>
      <c r="U70" s="18">
        <f t="shared" si="29"/>
        <v>612</v>
      </c>
      <c r="V70" s="14">
        <f t="shared" si="30"/>
        <v>310</v>
      </c>
      <c r="W70" s="18">
        <f t="shared" si="31"/>
        <v>612</v>
      </c>
      <c r="X70" s="14">
        <f t="shared" si="32"/>
        <v>310</v>
      </c>
      <c r="Y70" s="18">
        <f t="shared" si="33"/>
        <v>593</v>
      </c>
      <c r="Z70" s="14">
        <f t="shared" si="34"/>
        <v>292</v>
      </c>
      <c r="AA70" s="18">
        <f t="shared" si="35"/>
        <v>593</v>
      </c>
      <c r="AB70" s="4" t="s">
        <v>0</v>
      </c>
    </row>
    <row r="71" spans="1:28">
      <c r="A71" s="9" t="s">
        <v>28</v>
      </c>
      <c r="B71" s="24"/>
      <c r="C71" s="26"/>
      <c r="D71" s="25">
        <f t="shared" si="54"/>
        <v>311</v>
      </c>
      <c r="E71" s="29">
        <f t="shared" si="55"/>
        <v>138</v>
      </c>
      <c r="F71" s="25">
        <f t="shared" si="56"/>
        <v>329</v>
      </c>
      <c r="G71" s="29">
        <f t="shared" si="57"/>
        <v>157</v>
      </c>
      <c r="H71" s="4" t="s">
        <v>0</v>
      </c>
      <c r="I71" s="16" t="str">
        <f t="shared" si="18"/>
        <v>02-11</v>
      </c>
      <c r="J71" s="14">
        <f t="shared" si="19"/>
        <v>311</v>
      </c>
      <c r="K71" s="15">
        <f t="shared" si="20"/>
        <v>138</v>
      </c>
      <c r="L71" s="17">
        <f t="shared" si="21"/>
        <v>329</v>
      </c>
      <c r="M71" s="18">
        <f t="shared" si="22"/>
        <v>138</v>
      </c>
      <c r="N71" s="14">
        <f t="shared" si="23"/>
        <v>329</v>
      </c>
      <c r="O71" s="15">
        <f t="shared" si="24"/>
        <v>157</v>
      </c>
      <c r="P71" s="17">
        <f t="shared" si="25"/>
        <v>311</v>
      </c>
      <c r="Q71" s="18">
        <f t="shared" si="26"/>
        <v>157</v>
      </c>
      <c r="R71" s="4" t="s">
        <v>0</v>
      </c>
      <c r="S71" s="16" t="str">
        <f t="shared" si="27"/>
        <v>02-11</v>
      </c>
      <c r="T71" s="14">
        <f t="shared" si="28"/>
        <v>311</v>
      </c>
      <c r="U71" s="18">
        <f t="shared" si="29"/>
        <v>612</v>
      </c>
      <c r="V71" s="14">
        <f t="shared" si="30"/>
        <v>329</v>
      </c>
      <c r="W71" s="18">
        <f t="shared" si="31"/>
        <v>612</v>
      </c>
      <c r="X71" s="14">
        <f t="shared" si="32"/>
        <v>329</v>
      </c>
      <c r="Y71" s="18">
        <f t="shared" si="33"/>
        <v>593</v>
      </c>
      <c r="Z71" s="14">
        <f t="shared" si="34"/>
        <v>311</v>
      </c>
      <c r="AA71" s="18">
        <f t="shared" si="35"/>
        <v>593</v>
      </c>
      <c r="AB71" s="4" t="s">
        <v>0</v>
      </c>
    </row>
    <row r="72" spans="1:28">
      <c r="A72" s="9" t="s">
        <v>27</v>
      </c>
      <c r="B72" s="24"/>
      <c r="C72" s="26"/>
      <c r="D72" s="25">
        <f t="shared" si="54"/>
        <v>329</v>
      </c>
      <c r="E72" s="29">
        <f t="shared" si="55"/>
        <v>138</v>
      </c>
      <c r="F72" s="25">
        <f t="shared" si="56"/>
        <v>347</v>
      </c>
      <c r="G72" s="29">
        <f t="shared" si="57"/>
        <v>157</v>
      </c>
      <c r="H72" s="4" t="s">
        <v>0</v>
      </c>
      <c r="I72" s="16" t="str">
        <f t="shared" si="18"/>
        <v>02-10</v>
      </c>
      <c r="J72" s="14">
        <f t="shared" si="19"/>
        <v>329</v>
      </c>
      <c r="K72" s="15">
        <f t="shared" si="20"/>
        <v>138</v>
      </c>
      <c r="L72" s="17">
        <f t="shared" si="21"/>
        <v>347</v>
      </c>
      <c r="M72" s="18">
        <f t="shared" si="22"/>
        <v>138</v>
      </c>
      <c r="N72" s="14">
        <f t="shared" si="23"/>
        <v>347</v>
      </c>
      <c r="O72" s="15">
        <f t="shared" si="24"/>
        <v>157</v>
      </c>
      <c r="P72" s="17">
        <f t="shared" si="25"/>
        <v>329</v>
      </c>
      <c r="Q72" s="18">
        <f t="shared" si="26"/>
        <v>157</v>
      </c>
      <c r="R72" s="4" t="s">
        <v>0</v>
      </c>
      <c r="S72" s="16" t="str">
        <f t="shared" si="27"/>
        <v>02-10</v>
      </c>
      <c r="T72" s="14">
        <f t="shared" si="28"/>
        <v>329</v>
      </c>
      <c r="U72" s="18">
        <f t="shared" si="29"/>
        <v>612</v>
      </c>
      <c r="V72" s="14">
        <f t="shared" si="30"/>
        <v>347</v>
      </c>
      <c r="W72" s="18">
        <f t="shared" si="31"/>
        <v>612</v>
      </c>
      <c r="X72" s="14">
        <f t="shared" si="32"/>
        <v>347</v>
      </c>
      <c r="Y72" s="18">
        <f t="shared" si="33"/>
        <v>593</v>
      </c>
      <c r="Z72" s="14">
        <f t="shared" si="34"/>
        <v>329</v>
      </c>
      <c r="AA72" s="18">
        <f t="shared" si="35"/>
        <v>593</v>
      </c>
      <c r="AB72" s="4" t="s">
        <v>0</v>
      </c>
    </row>
    <row r="73" spans="1:28">
      <c r="A73" s="9" t="s">
        <v>26</v>
      </c>
      <c r="B73" s="24"/>
      <c r="C73" s="26"/>
      <c r="D73" s="25">
        <f t="shared" si="54"/>
        <v>348</v>
      </c>
      <c r="E73" s="29">
        <f t="shared" si="55"/>
        <v>138</v>
      </c>
      <c r="F73" s="25">
        <f t="shared" si="56"/>
        <v>367</v>
      </c>
      <c r="G73" s="29">
        <f t="shared" si="57"/>
        <v>157</v>
      </c>
      <c r="H73" s="4" t="s">
        <v>0</v>
      </c>
      <c r="I73" s="16" t="str">
        <f t="shared" si="18"/>
        <v>02-08</v>
      </c>
      <c r="J73" s="14">
        <f t="shared" si="19"/>
        <v>348</v>
      </c>
      <c r="K73" s="15">
        <f t="shared" si="20"/>
        <v>138</v>
      </c>
      <c r="L73" s="17">
        <f t="shared" si="21"/>
        <v>367</v>
      </c>
      <c r="M73" s="18">
        <f t="shared" si="22"/>
        <v>138</v>
      </c>
      <c r="N73" s="14">
        <f t="shared" si="23"/>
        <v>367</v>
      </c>
      <c r="O73" s="15">
        <f t="shared" si="24"/>
        <v>157</v>
      </c>
      <c r="P73" s="17">
        <f t="shared" si="25"/>
        <v>348</v>
      </c>
      <c r="Q73" s="18">
        <f t="shared" si="26"/>
        <v>157</v>
      </c>
      <c r="R73" s="4" t="s">
        <v>0</v>
      </c>
      <c r="S73" s="16" t="str">
        <f t="shared" si="27"/>
        <v>02-08</v>
      </c>
      <c r="T73" s="14">
        <f t="shared" si="28"/>
        <v>348</v>
      </c>
      <c r="U73" s="18">
        <f t="shared" si="29"/>
        <v>612</v>
      </c>
      <c r="V73" s="14">
        <f t="shared" si="30"/>
        <v>367</v>
      </c>
      <c r="W73" s="18">
        <f t="shared" si="31"/>
        <v>612</v>
      </c>
      <c r="X73" s="14">
        <f t="shared" si="32"/>
        <v>367</v>
      </c>
      <c r="Y73" s="18">
        <f t="shared" si="33"/>
        <v>593</v>
      </c>
      <c r="Z73" s="14">
        <f t="shared" si="34"/>
        <v>348</v>
      </c>
      <c r="AA73" s="18">
        <f t="shared" si="35"/>
        <v>593</v>
      </c>
      <c r="AB73" s="4" t="s">
        <v>0</v>
      </c>
    </row>
    <row r="74" spans="1:28">
      <c r="A74" s="9" t="s">
        <v>25</v>
      </c>
      <c r="B74" s="24"/>
      <c r="C74" s="26"/>
      <c r="D74" s="25">
        <f t="shared" si="54"/>
        <v>368</v>
      </c>
      <c r="E74" s="29">
        <f t="shared" si="55"/>
        <v>138</v>
      </c>
      <c r="F74" s="25">
        <f t="shared" si="56"/>
        <v>386</v>
      </c>
      <c r="G74" s="29">
        <f t="shared" si="57"/>
        <v>157</v>
      </c>
      <c r="H74" s="4" t="s">
        <v>0</v>
      </c>
      <c r="I74" s="16" t="str">
        <f t="shared" si="18"/>
        <v>02-07</v>
      </c>
      <c r="J74" s="14">
        <f t="shared" si="19"/>
        <v>368</v>
      </c>
      <c r="K74" s="15">
        <f t="shared" si="20"/>
        <v>138</v>
      </c>
      <c r="L74" s="17">
        <f t="shared" si="21"/>
        <v>386</v>
      </c>
      <c r="M74" s="18">
        <f t="shared" si="22"/>
        <v>138</v>
      </c>
      <c r="N74" s="14">
        <f t="shared" si="23"/>
        <v>386</v>
      </c>
      <c r="O74" s="15">
        <f t="shared" si="24"/>
        <v>157</v>
      </c>
      <c r="P74" s="17">
        <f t="shared" si="25"/>
        <v>368</v>
      </c>
      <c r="Q74" s="18">
        <f t="shared" si="26"/>
        <v>157</v>
      </c>
      <c r="R74" s="4" t="s">
        <v>0</v>
      </c>
      <c r="S74" s="16" t="str">
        <f t="shared" si="27"/>
        <v>02-07</v>
      </c>
      <c r="T74" s="14">
        <f t="shared" si="28"/>
        <v>368</v>
      </c>
      <c r="U74" s="18">
        <f t="shared" si="29"/>
        <v>612</v>
      </c>
      <c r="V74" s="14">
        <f t="shared" si="30"/>
        <v>386</v>
      </c>
      <c r="W74" s="18">
        <f t="shared" si="31"/>
        <v>612</v>
      </c>
      <c r="X74" s="14">
        <f t="shared" si="32"/>
        <v>386</v>
      </c>
      <c r="Y74" s="18">
        <f t="shared" si="33"/>
        <v>593</v>
      </c>
      <c r="Z74" s="14">
        <f t="shared" si="34"/>
        <v>368</v>
      </c>
      <c r="AA74" s="18">
        <f t="shared" si="35"/>
        <v>593</v>
      </c>
      <c r="AB74" s="4" t="s">
        <v>0</v>
      </c>
    </row>
    <row r="75" spans="1:28">
      <c r="A75" s="9" t="s">
        <v>24</v>
      </c>
      <c r="B75" s="24"/>
      <c r="C75" s="26"/>
      <c r="D75" s="25">
        <f t="shared" si="54"/>
        <v>387</v>
      </c>
      <c r="E75" s="29">
        <f t="shared" si="55"/>
        <v>138</v>
      </c>
      <c r="F75" s="25">
        <f t="shared" si="56"/>
        <v>405</v>
      </c>
      <c r="G75" s="29">
        <f t="shared" si="57"/>
        <v>157</v>
      </c>
      <c r="H75" s="4" t="s">
        <v>0</v>
      </c>
      <c r="I75" s="16" t="str">
        <f t="shared" si="18"/>
        <v>02-06</v>
      </c>
      <c r="J75" s="14">
        <f t="shared" si="19"/>
        <v>387</v>
      </c>
      <c r="K75" s="15">
        <f t="shared" si="20"/>
        <v>138</v>
      </c>
      <c r="L75" s="17">
        <f t="shared" si="21"/>
        <v>405</v>
      </c>
      <c r="M75" s="18">
        <f t="shared" si="22"/>
        <v>138</v>
      </c>
      <c r="N75" s="14">
        <f t="shared" si="23"/>
        <v>405</v>
      </c>
      <c r="O75" s="15">
        <f t="shared" si="24"/>
        <v>157</v>
      </c>
      <c r="P75" s="17">
        <f t="shared" si="25"/>
        <v>387</v>
      </c>
      <c r="Q75" s="18">
        <f t="shared" si="26"/>
        <v>157</v>
      </c>
      <c r="R75" s="4" t="s">
        <v>0</v>
      </c>
      <c r="S75" s="16" t="str">
        <f t="shared" si="27"/>
        <v>02-06</v>
      </c>
      <c r="T75" s="14">
        <f t="shared" si="28"/>
        <v>387</v>
      </c>
      <c r="U75" s="18">
        <f t="shared" si="29"/>
        <v>612</v>
      </c>
      <c r="V75" s="14">
        <f t="shared" si="30"/>
        <v>405</v>
      </c>
      <c r="W75" s="18">
        <f t="shared" si="31"/>
        <v>612</v>
      </c>
      <c r="X75" s="14">
        <f t="shared" si="32"/>
        <v>405</v>
      </c>
      <c r="Y75" s="18">
        <f t="shared" si="33"/>
        <v>593</v>
      </c>
      <c r="Z75" s="14">
        <f t="shared" si="34"/>
        <v>387</v>
      </c>
      <c r="AA75" s="18">
        <f t="shared" si="35"/>
        <v>593</v>
      </c>
      <c r="AB75" s="4" t="s">
        <v>0</v>
      </c>
    </row>
    <row r="76" spans="1:28">
      <c r="A76" s="9" t="s">
        <v>23</v>
      </c>
      <c r="B76" s="24"/>
      <c r="C76" s="26"/>
      <c r="D76" s="25">
        <f t="shared" si="54"/>
        <v>405</v>
      </c>
      <c r="E76" s="29">
        <f t="shared" si="55"/>
        <v>138</v>
      </c>
      <c r="F76" s="25">
        <f t="shared" si="56"/>
        <v>423</v>
      </c>
      <c r="G76" s="29">
        <f t="shared" si="57"/>
        <v>157</v>
      </c>
      <c r="H76" s="4" t="s">
        <v>0</v>
      </c>
      <c r="I76" s="16" t="str">
        <f t="shared" si="18"/>
        <v>02-05</v>
      </c>
      <c r="J76" s="14">
        <f t="shared" si="19"/>
        <v>405</v>
      </c>
      <c r="K76" s="15">
        <f t="shared" si="20"/>
        <v>138</v>
      </c>
      <c r="L76" s="17">
        <f t="shared" si="21"/>
        <v>423</v>
      </c>
      <c r="M76" s="18">
        <f t="shared" si="22"/>
        <v>138</v>
      </c>
      <c r="N76" s="14">
        <f t="shared" si="23"/>
        <v>423</v>
      </c>
      <c r="O76" s="15">
        <f t="shared" si="24"/>
        <v>157</v>
      </c>
      <c r="P76" s="17">
        <f t="shared" si="25"/>
        <v>405</v>
      </c>
      <c r="Q76" s="18">
        <f t="shared" si="26"/>
        <v>157</v>
      </c>
      <c r="R76" s="4" t="s">
        <v>0</v>
      </c>
      <c r="S76" s="16" t="str">
        <f t="shared" si="27"/>
        <v>02-05</v>
      </c>
      <c r="T76" s="14">
        <f t="shared" si="28"/>
        <v>405</v>
      </c>
      <c r="U76" s="18">
        <f t="shared" si="29"/>
        <v>612</v>
      </c>
      <c r="V76" s="14">
        <f t="shared" si="30"/>
        <v>423</v>
      </c>
      <c r="W76" s="18">
        <f t="shared" si="31"/>
        <v>612</v>
      </c>
      <c r="X76" s="14">
        <f t="shared" si="32"/>
        <v>423</v>
      </c>
      <c r="Y76" s="18">
        <f t="shared" si="33"/>
        <v>593</v>
      </c>
      <c r="Z76" s="14">
        <f t="shared" si="34"/>
        <v>405</v>
      </c>
      <c r="AA76" s="18">
        <f t="shared" si="35"/>
        <v>593</v>
      </c>
      <c r="AB76" s="4" t="s">
        <v>0</v>
      </c>
    </row>
    <row r="77" spans="1:28">
      <c r="A77" s="9" t="s">
        <v>22</v>
      </c>
      <c r="B77" s="24"/>
      <c r="C77" s="26"/>
      <c r="D77" s="25">
        <f t="shared" si="54"/>
        <v>424</v>
      </c>
      <c r="E77" s="29">
        <f t="shared" si="55"/>
        <v>138</v>
      </c>
      <c r="F77" s="25">
        <f t="shared" si="56"/>
        <v>442</v>
      </c>
      <c r="G77" s="29">
        <f t="shared" si="57"/>
        <v>157</v>
      </c>
      <c r="H77" s="4" t="s">
        <v>0</v>
      </c>
      <c r="I77" s="16" t="str">
        <f t="shared" ref="I77:I99" si="58">A77</f>
        <v>02-03</v>
      </c>
      <c r="J77" s="14">
        <f t="shared" ref="J77:J99" si="59">IF(D77&lt;&gt;"",D77,0)</f>
        <v>424</v>
      </c>
      <c r="K77" s="15">
        <f t="shared" ref="K77:K99" si="60">IF(E77&lt;&gt;"",E77,0)</f>
        <v>138</v>
      </c>
      <c r="L77" s="17">
        <f t="shared" ref="L77:L99" si="61">N77</f>
        <v>442</v>
      </c>
      <c r="M77" s="18">
        <f t="shared" ref="M77:M99" si="62">K77</f>
        <v>138</v>
      </c>
      <c r="N77" s="14">
        <f t="shared" ref="N77:N99" si="63">IF(F77&lt;&gt;"",F77,0)</f>
        <v>442</v>
      </c>
      <c r="O77" s="15">
        <f t="shared" ref="O77:O99" si="64">IF(G77&lt;&gt;"",G77,0)</f>
        <v>157</v>
      </c>
      <c r="P77" s="17">
        <f t="shared" ref="P77:P99" si="65">J77</f>
        <v>424</v>
      </c>
      <c r="Q77" s="18">
        <f t="shared" ref="Q77:Q99" si="66">O77</f>
        <v>157</v>
      </c>
      <c r="R77" s="4" t="s">
        <v>0</v>
      </c>
      <c r="S77" s="16" t="str">
        <f t="shared" ref="S77:S99" si="67">I77</f>
        <v>02-03</v>
      </c>
      <c r="T77" s="14">
        <f t="shared" ref="T77:T99" si="68">IF(J77&lt;&gt;"",J77,"")</f>
        <v>424</v>
      </c>
      <c r="U77" s="18">
        <f t="shared" ref="U77:U99" si="69">IF(K77&lt;&gt;"",U$6-K77,"")</f>
        <v>612</v>
      </c>
      <c r="V77" s="14">
        <f t="shared" ref="V77:V99" si="70">IF(L77&lt;&gt;"",L77,"")</f>
        <v>442</v>
      </c>
      <c r="W77" s="18">
        <f t="shared" ref="W77:W99" si="71">IF(M77&lt;&gt;"",W$6-M77,"")</f>
        <v>612</v>
      </c>
      <c r="X77" s="14">
        <f t="shared" ref="X77:X99" si="72">IF(N77&lt;&gt;"",N77,"")</f>
        <v>442</v>
      </c>
      <c r="Y77" s="18">
        <f t="shared" ref="Y77:Y99" si="73">IF(O77&lt;&gt;"",Y$6-O77,"")</f>
        <v>593</v>
      </c>
      <c r="Z77" s="14">
        <f t="shared" ref="Z77:Z99" si="74">IF(P77&lt;&gt;"",P77,"")</f>
        <v>424</v>
      </c>
      <c r="AA77" s="18">
        <f t="shared" ref="AA77:AA99" si="75">IF(Q77&lt;&gt;"",AA$6-Q77,"")</f>
        <v>593</v>
      </c>
      <c r="AB77" s="4" t="s">
        <v>0</v>
      </c>
    </row>
    <row r="78" spans="1:28">
      <c r="A78" s="9" t="s">
        <v>21</v>
      </c>
      <c r="B78" s="24"/>
      <c r="C78" s="26"/>
      <c r="D78" s="25">
        <f t="shared" si="54"/>
        <v>443</v>
      </c>
      <c r="E78" s="29">
        <f t="shared" si="55"/>
        <v>138</v>
      </c>
      <c r="F78" s="25">
        <f t="shared" si="56"/>
        <v>461</v>
      </c>
      <c r="G78" s="29">
        <f t="shared" si="57"/>
        <v>157</v>
      </c>
      <c r="H78" s="4" t="s">
        <v>0</v>
      </c>
      <c r="I78" s="16" t="str">
        <f t="shared" si="58"/>
        <v>02-02</v>
      </c>
      <c r="J78" s="14">
        <f t="shared" si="59"/>
        <v>443</v>
      </c>
      <c r="K78" s="15">
        <f t="shared" si="60"/>
        <v>138</v>
      </c>
      <c r="L78" s="17">
        <f t="shared" si="61"/>
        <v>461</v>
      </c>
      <c r="M78" s="18">
        <f t="shared" si="62"/>
        <v>138</v>
      </c>
      <c r="N78" s="14">
        <f t="shared" si="63"/>
        <v>461</v>
      </c>
      <c r="O78" s="15">
        <f t="shared" si="64"/>
        <v>157</v>
      </c>
      <c r="P78" s="17">
        <f t="shared" si="65"/>
        <v>443</v>
      </c>
      <c r="Q78" s="18">
        <f t="shared" si="66"/>
        <v>157</v>
      </c>
      <c r="R78" s="4" t="s">
        <v>0</v>
      </c>
      <c r="S78" s="16" t="str">
        <f t="shared" si="67"/>
        <v>02-02</v>
      </c>
      <c r="T78" s="14">
        <f t="shared" si="68"/>
        <v>443</v>
      </c>
      <c r="U78" s="18">
        <f t="shared" si="69"/>
        <v>612</v>
      </c>
      <c r="V78" s="14">
        <f t="shared" si="70"/>
        <v>461</v>
      </c>
      <c r="W78" s="18">
        <f t="shared" si="71"/>
        <v>612</v>
      </c>
      <c r="X78" s="14">
        <f t="shared" si="72"/>
        <v>461</v>
      </c>
      <c r="Y78" s="18">
        <f t="shared" si="73"/>
        <v>593</v>
      </c>
      <c r="Z78" s="14">
        <f t="shared" si="74"/>
        <v>443</v>
      </c>
      <c r="AA78" s="18">
        <f t="shared" si="75"/>
        <v>593</v>
      </c>
      <c r="AB78" s="4" t="s">
        <v>0</v>
      </c>
    </row>
    <row r="79" spans="1:28">
      <c r="A79" s="9" t="s">
        <v>20</v>
      </c>
      <c r="B79" s="24"/>
      <c r="C79" s="26"/>
      <c r="D79" s="25">
        <f t="shared" si="54"/>
        <v>462</v>
      </c>
      <c r="E79" s="29">
        <f t="shared" si="55"/>
        <v>138</v>
      </c>
      <c r="F79" s="25">
        <f t="shared" si="56"/>
        <v>480</v>
      </c>
      <c r="G79" s="29">
        <f t="shared" si="57"/>
        <v>157</v>
      </c>
      <c r="H79" s="4" t="s">
        <v>0</v>
      </c>
      <c r="I79" s="16" t="str">
        <f t="shared" si="58"/>
        <v>02-01</v>
      </c>
      <c r="J79" s="14">
        <f t="shared" si="59"/>
        <v>462</v>
      </c>
      <c r="K79" s="15">
        <f t="shared" si="60"/>
        <v>138</v>
      </c>
      <c r="L79" s="17">
        <f t="shared" si="61"/>
        <v>480</v>
      </c>
      <c r="M79" s="18">
        <f t="shared" si="62"/>
        <v>138</v>
      </c>
      <c r="N79" s="14">
        <f t="shared" si="63"/>
        <v>480</v>
      </c>
      <c r="O79" s="15">
        <f t="shared" si="64"/>
        <v>157</v>
      </c>
      <c r="P79" s="17">
        <f t="shared" si="65"/>
        <v>462</v>
      </c>
      <c r="Q79" s="18">
        <f t="shared" si="66"/>
        <v>157</v>
      </c>
      <c r="R79" s="4" t="s">
        <v>0</v>
      </c>
      <c r="S79" s="16" t="str">
        <f t="shared" si="67"/>
        <v>02-01</v>
      </c>
      <c r="T79" s="14">
        <f t="shared" si="68"/>
        <v>462</v>
      </c>
      <c r="U79" s="18">
        <f t="shared" si="69"/>
        <v>612</v>
      </c>
      <c r="V79" s="14">
        <f t="shared" si="70"/>
        <v>480</v>
      </c>
      <c r="W79" s="18">
        <f t="shared" si="71"/>
        <v>612</v>
      </c>
      <c r="X79" s="14">
        <f t="shared" si="72"/>
        <v>480</v>
      </c>
      <c r="Y79" s="18">
        <f t="shared" si="73"/>
        <v>593</v>
      </c>
      <c r="Z79" s="14">
        <f t="shared" si="74"/>
        <v>462</v>
      </c>
      <c r="AA79" s="18">
        <f t="shared" si="75"/>
        <v>593</v>
      </c>
      <c r="AB79" s="4" t="s">
        <v>0</v>
      </c>
    </row>
    <row r="80" spans="1:28">
      <c r="A80" s="9" t="s">
        <v>411</v>
      </c>
      <c r="B80" s="24"/>
      <c r="C80" s="26"/>
      <c r="D80" s="25">
        <f>D57</f>
        <v>20</v>
      </c>
      <c r="E80" s="31">
        <v>165</v>
      </c>
      <c r="F80" s="25">
        <f>F57</f>
        <v>38</v>
      </c>
      <c r="G80" s="31">
        <v>184</v>
      </c>
      <c r="H80" s="4" t="s">
        <v>0</v>
      </c>
      <c r="I80" s="16" t="str">
        <f t="shared" si="58"/>
        <v>01-25</v>
      </c>
      <c r="J80" s="14">
        <f t="shared" si="59"/>
        <v>20</v>
      </c>
      <c r="K80" s="15">
        <f t="shared" si="60"/>
        <v>165</v>
      </c>
      <c r="L80" s="17">
        <f t="shared" si="61"/>
        <v>38</v>
      </c>
      <c r="M80" s="18">
        <f t="shared" si="62"/>
        <v>165</v>
      </c>
      <c r="N80" s="14">
        <f t="shared" si="63"/>
        <v>38</v>
      </c>
      <c r="O80" s="15">
        <f t="shared" si="64"/>
        <v>184</v>
      </c>
      <c r="P80" s="17">
        <f t="shared" si="65"/>
        <v>20</v>
      </c>
      <c r="Q80" s="18">
        <f t="shared" si="66"/>
        <v>184</v>
      </c>
      <c r="R80" s="4" t="s">
        <v>0</v>
      </c>
      <c r="S80" s="16" t="str">
        <f t="shared" si="67"/>
        <v>01-25</v>
      </c>
      <c r="T80" s="14">
        <f t="shared" si="68"/>
        <v>20</v>
      </c>
      <c r="U80" s="18">
        <f t="shared" si="69"/>
        <v>585</v>
      </c>
      <c r="V80" s="14">
        <f t="shared" si="70"/>
        <v>38</v>
      </c>
      <c r="W80" s="18">
        <f t="shared" si="71"/>
        <v>585</v>
      </c>
      <c r="X80" s="14">
        <f t="shared" si="72"/>
        <v>38</v>
      </c>
      <c r="Y80" s="18">
        <f t="shared" si="73"/>
        <v>566</v>
      </c>
      <c r="Z80" s="14">
        <f t="shared" si="74"/>
        <v>20</v>
      </c>
      <c r="AA80" s="18">
        <f t="shared" si="75"/>
        <v>566</v>
      </c>
      <c r="AB80" s="4" t="s">
        <v>0</v>
      </c>
    </row>
    <row r="81" spans="1:28">
      <c r="A81" s="9" t="s">
        <v>410</v>
      </c>
      <c r="B81" s="24"/>
      <c r="C81" s="26"/>
      <c r="D81" s="25">
        <f>D58</f>
        <v>38</v>
      </c>
      <c r="E81" s="29">
        <f>E80</f>
        <v>165</v>
      </c>
      <c r="F81" s="25">
        <f>F58</f>
        <v>56</v>
      </c>
      <c r="G81" s="29">
        <f>G80</f>
        <v>184</v>
      </c>
      <c r="H81" s="4" t="s">
        <v>0</v>
      </c>
      <c r="I81" s="16" t="str">
        <f t="shared" si="58"/>
        <v>01-23</v>
      </c>
      <c r="J81" s="14">
        <f t="shared" si="59"/>
        <v>38</v>
      </c>
      <c r="K81" s="15">
        <f t="shared" si="60"/>
        <v>165</v>
      </c>
      <c r="L81" s="17">
        <f t="shared" si="61"/>
        <v>56</v>
      </c>
      <c r="M81" s="18">
        <f t="shared" si="62"/>
        <v>165</v>
      </c>
      <c r="N81" s="14">
        <f t="shared" si="63"/>
        <v>56</v>
      </c>
      <c r="O81" s="15">
        <f t="shared" si="64"/>
        <v>184</v>
      </c>
      <c r="P81" s="17">
        <f t="shared" si="65"/>
        <v>38</v>
      </c>
      <c r="Q81" s="18">
        <f t="shared" si="66"/>
        <v>184</v>
      </c>
      <c r="R81" s="4" t="s">
        <v>0</v>
      </c>
      <c r="S81" s="16" t="str">
        <f t="shared" si="67"/>
        <v>01-23</v>
      </c>
      <c r="T81" s="14">
        <f t="shared" si="68"/>
        <v>38</v>
      </c>
      <c r="U81" s="18">
        <f t="shared" si="69"/>
        <v>585</v>
      </c>
      <c r="V81" s="14">
        <f t="shared" si="70"/>
        <v>56</v>
      </c>
      <c r="W81" s="18">
        <f t="shared" si="71"/>
        <v>585</v>
      </c>
      <c r="X81" s="14">
        <f t="shared" si="72"/>
        <v>56</v>
      </c>
      <c r="Y81" s="18">
        <f t="shared" si="73"/>
        <v>566</v>
      </c>
      <c r="Z81" s="14">
        <f t="shared" si="74"/>
        <v>38</v>
      </c>
      <c r="AA81" s="18">
        <f t="shared" si="75"/>
        <v>566</v>
      </c>
      <c r="AB81" s="4" t="s">
        <v>0</v>
      </c>
    </row>
    <row r="82" spans="1:28">
      <c r="A82" s="9" t="s">
        <v>409</v>
      </c>
      <c r="B82" s="24"/>
      <c r="C82" s="26"/>
      <c r="D82" s="25">
        <f>D59</f>
        <v>56</v>
      </c>
      <c r="E82" s="29">
        <f>E81</f>
        <v>165</v>
      </c>
      <c r="F82" s="25">
        <f>F59</f>
        <v>74</v>
      </c>
      <c r="G82" s="29">
        <f>G81</f>
        <v>184</v>
      </c>
      <c r="H82" s="4" t="s">
        <v>0</v>
      </c>
      <c r="I82" s="16" t="str">
        <f t="shared" si="58"/>
        <v>01-22</v>
      </c>
      <c r="J82" s="14">
        <f t="shared" si="59"/>
        <v>56</v>
      </c>
      <c r="K82" s="15">
        <f t="shared" si="60"/>
        <v>165</v>
      </c>
      <c r="L82" s="17">
        <f t="shared" si="61"/>
        <v>74</v>
      </c>
      <c r="M82" s="18">
        <f t="shared" si="62"/>
        <v>165</v>
      </c>
      <c r="N82" s="14">
        <f t="shared" si="63"/>
        <v>74</v>
      </c>
      <c r="O82" s="15">
        <f t="shared" si="64"/>
        <v>184</v>
      </c>
      <c r="P82" s="17">
        <f t="shared" si="65"/>
        <v>56</v>
      </c>
      <c r="Q82" s="18">
        <f t="shared" si="66"/>
        <v>184</v>
      </c>
      <c r="R82" s="4" t="s">
        <v>0</v>
      </c>
      <c r="S82" s="16" t="str">
        <f t="shared" si="67"/>
        <v>01-22</v>
      </c>
      <c r="T82" s="14">
        <f t="shared" si="68"/>
        <v>56</v>
      </c>
      <c r="U82" s="18">
        <f t="shared" si="69"/>
        <v>585</v>
      </c>
      <c r="V82" s="14">
        <f t="shared" si="70"/>
        <v>74</v>
      </c>
      <c r="W82" s="18">
        <f t="shared" si="71"/>
        <v>585</v>
      </c>
      <c r="X82" s="14">
        <f t="shared" si="72"/>
        <v>74</v>
      </c>
      <c r="Y82" s="18">
        <f t="shared" si="73"/>
        <v>566</v>
      </c>
      <c r="Z82" s="14">
        <f t="shared" si="74"/>
        <v>56</v>
      </c>
      <c r="AA82" s="18">
        <f t="shared" si="75"/>
        <v>566</v>
      </c>
      <c r="AB82" s="4" t="s">
        <v>0</v>
      </c>
    </row>
    <row r="83" spans="1:28">
      <c r="A83" s="9" t="s">
        <v>408</v>
      </c>
      <c r="B83" s="24"/>
      <c r="C83" s="26"/>
      <c r="D83" s="25">
        <f t="shared" ref="D83:D89" si="76">D60</f>
        <v>73</v>
      </c>
      <c r="E83" s="29">
        <f t="shared" ref="E83:E85" si="77">E82</f>
        <v>165</v>
      </c>
      <c r="F83" s="25">
        <f t="shared" ref="F83:F89" si="78">F60</f>
        <v>91</v>
      </c>
      <c r="G83" s="29">
        <f t="shared" ref="G83:G85" si="79">G82</f>
        <v>184</v>
      </c>
      <c r="H83" s="4" t="s">
        <v>0</v>
      </c>
      <c r="I83" s="16" t="str">
        <f t="shared" si="58"/>
        <v>01-21</v>
      </c>
      <c r="J83" s="14">
        <f t="shared" si="59"/>
        <v>73</v>
      </c>
      <c r="K83" s="15">
        <f t="shared" si="60"/>
        <v>165</v>
      </c>
      <c r="L83" s="17">
        <f t="shared" si="61"/>
        <v>91</v>
      </c>
      <c r="M83" s="18">
        <f t="shared" si="62"/>
        <v>165</v>
      </c>
      <c r="N83" s="14">
        <f t="shared" si="63"/>
        <v>91</v>
      </c>
      <c r="O83" s="15">
        <f t="shared" si="64"/>
        <v>184</v>
      </c>
      <c r="P83" s="17">
        <f t="shared" si="65"/>
        <v>73</v>
      </c>
      <c r="Q83" s="18">
        <f t="shared" si="66"/>
        <v>184</v>
      </c>
      <c r="R83" s="4" t="s">
        <v>0</v>
      </c>
      <c r="S83" s="16" t="str">
        <f t="shared" si="67"/>
        <v>01-21</v>
      </c>
      <c r="T83" s="14">
        <f t="shared" si="68"/>
        <v>73</v>
      </c>
      <c r="U83" s="18">
        <f t="shared" si="69"/>
        <v>585</v>
      </c>
      <c r="V83" s="14">
        <f t="shared" si="70"/>
        <v>91</v>
      </c>
      <c r="W83" s="18">
        <f t="shared" si="71"/>
        <v>585</v>
      </c>
      <c r="X83" s="14">
        <f t="shared" si="72"/>
        <v>91</v>
      </c>
      <c r="Y83" s="18">
        <f t="shared" si="73"/>
        <v>566</v>
      </c>
      <c r="Z83" s="14">
        <f t="shared" si="74"/>
        <v>73</v>
      </c>
      <c r="AA83" s="18">
        <f t="shared" si="75"/>
        <v>566</v>
      </c>
      <c r="AB83" s="4" t="s">
        <v>0</v>
      </c>
    </row>
    <row r="84" spans="1:28">
      <c r="A84" s="9" t="s">
        <v>407</v>
      </c>
      <c r="B84" s="24"/>
      <c r="C84" s="26"/>
      <c r="D84" s="25">
        <f t="shared" si="76"/>
        <v>91</v>
      </c>
      <c r="E84" s="29">
        <f t="shared" si="77"/>
        <v>165</v>
      </c>
      <c r="F84" s="25">
        <f t="shared" si="78"/>
        <v>109</v>
      </c>
      <c r="G84" s="29">
        <f t="shared" si="79"/>
        <v>184</v>
      </c>
      <c r="H84" s="4" t="s">
        <v>0</v>
      </c>
      <c r="I84" s="16" t="str">
        <f t="shared" si="58"/>
        <v>01-20</v>
      </c>
      <c r="J84" s="14">
        <f t="shared" si="59"/>
        <v>91</v>
      </c>
      <c r="K84" s="15">
        <f t="shared" si="60"/>
        <v>165</v>
      </c>
      <c r="L84" s="17">
        <f t="shared" si="61"/>
        <v>109</v>
      </c>
      <c r="M84" s="18">
        <f t="shared" si="62"/>
        <v>165</v>
      </c>
      <c r="N84" s="14">
        <f t="shared" si="63"/>
        <v>109</v>
      </c>
      <c r="O84" s="15">
        <f t="shared" si="64"/>
        <v>184</v>
      </c>
      <c r="P84" s="17">
        <f t="shared" si="65"/>
        <v>91</v>
      </c>
      <c r="Q84" s="18">
        <f t="shared" si="66"/>
        <v>184</v>
      </c>
      <c r="R84" s="4" t="s">
        <v>0</v>
      </c>
      <c r="S84" s="16" t="str">
        <f t="shared" si="67"/>
        <v>01-20</v>
      </c>
      <c r="T84" s="14">
        <f t="shared" si="68"/>
        <v>91</v>
      </c>
      <c r="U84" s="18">
        <f t="shared" si="69"/>
        <v>585</v>
      </c>
      <c r="V84" s="14">
        <f t="shared" si="70"/>
        <v>109</v>
      </c>
      <c r="W84" s="18">
        <f t="shared" si="71"/>
        <v>585</v>
      </c>
      <c r="X84" s="14">
        <f t="shared" si="72"/>
        <v>109</v>
      </c>
      <c r="Y84" s="18">
        <f t="shared" si="73"/>
        <v>566</v>
      </c>
      <c r="Z84" s="14">
        <f t="shared" si="74"/>
        <v>91</v>
      </c>
      <c r="AA84" s="18">
        <f t="shared" si="75"/>
        <v>566</v>
      </c>
      <c r="AB84" s="4" t="s">
        <v>0</v>
      </c>
    </row>
    <row r="85" spans="1:28">
      <c r="A85" s="9" t="s">
        <v>147</v>
      </c>
      <c r="B85" s="24"/>
      <c r="C85" s="26"/>
      <c r="D85" s="25">
        <f t="shared" si="76"/>
        <v>109</v>
      </c>
      <c r="E85" s="29">
        <f t="shared" si="77"/>
        <v>165</v>
      </c>
      <c r="F85" s="25">
        <f t="shared" si="78"/>
        <v>127</v>
      </c>
      <c r="G85" s="29">
        <f t="shared" si="79"/>
        <v>184</v>
      </c>
      <c r="H85" s="4" t="s">
        <v>0</v>
      </c>
      <c r="I85" s="16" t="str">
        <f t="shared" si="58"/>
        <v>01-18</v>
      </c>
      <c r="J85" s="14">
        <f t="shared" si="59"/>
        <v>109</v>
      </c>
      <c r="K85" s="15">
        <f t="shared" si="60"/>
        <v>165</v>
      </c>
      <c r="L85" s="17">
        <f t="shared" si="61"/>
        <v>127</v>
      </c>
      <c r="M85" s="18">
        <f t="shared" si="62"/>
        <v>165</v>
      </c>
      <c r="N85" s="14">
        <f t="shared" si="63"/>
        <v>127</v>
      </c>
      <c r="O85" s="15">
        <f t="shared" si="64"/>
        <v>184</v>
      </c>
      <c r="P85" s="17">
        <f t="shared" si="65"/>
        <v>109</v>
      </c>
      <c r="Q85" s="18">
        <f t="shared" si="66"/>
        <v>184</v>
      </c>
      <c r="R85" s="4" t="s">
        <v>0</v>
      </c>
      <c r="S85" s="16" t="str">
        <f t="shared" si="67"/>
        <v>01-18</v>
      </c>
      <c r="T85" s="14">
        <f t="shared" si="68"/>
        <v>109</v>
      </c>
      <c r="U85" s="18">
        <f t="shared" si="69"/>
        <v>585</v>
      </c>
      <c r="V85" s="14">
        <f t="shared" si="70"/>
        <v>127</v>
      </c>
      <c r="W85" s="18">
        <f t="shared" si="71"/>
        <v>585</v>
      </c>
      <c r="X85" s="14">
        <f t="shared" si="72"/>
        <v>127</v>
      </c>
      <c r="Y85" s="18">
        <f t="shared" si="73"/>
        <v>566</v>
      </c>
      <c r="Z85" s="14">
        <f t="shared" si="74"/>
        <v>109</v>
      </c>
      <c r="AA85" s="18">
        <f t="shared" si="75"/>
        <v>566</v>
      </c>
      <c r="AB85" s="4" t="s">
        <v>0</v>
      </c>
    </row>
    <row r="86" spans="1:28">
      <c r="A86" s="9" t="s">
        <v>146</v>
      </c>
      <c r="B86" s="24"/>
      <c r="C86" s="26"/>
      <c r="D86" s="25">
        <f t="shared" si="76"/>
        <v>127</v>
      </c>
      <c r="E86" s="29">
        <f t="shared" ref="E86" si="80">E85</f>
        <v>165</v>
      </c>
      <c r="F86" s="25">
        <f t="shared" si="78"/>
        <v>145</v>
      </c>
      <c r="G86" s="29">
        <f t="shared" ref="G86" si="81">G85</f>
        <v>184</v>
      </c>
      <c r="H86" s="4" t="s">
        <v>0</v>
      </c>
      <c r="I86" s="16" t="str">
        <f t="shared" si="58"/>
        <v>01-17</v>
      </c>
      <c r="J86" s="14">
        <f t="shared" si="59"/>
        <v>127</v>
      </c>
      <c r="K86" s="15">
        <f t="shared" si="60"/>
        <v>165</v>
      </c>
      <c r="L86" s="17">
        <f t="shared" si="61"/>
        <v>145</v>
      </c>
      <c r="M86" s="18">
        <f t="shared" si="62"/>
        <v>165</v>
      </c>
      <c r="N86" s="14">
        <f t="shared" si="63"/>
        <v>145</v>
      </c>
      <c r="O86" s="15">
        <f t="shared" si="64"/>
        <v>184</v>
      </c>
      <c r="P86" s="17">
        <f t="shared" si="65"/>
        <v>127</v>
      </c>
      <c r="Q86" s="18">
        <f t="shared" si="66"/>
        <v>184</v>
      </c>
      <c r="R86" s="4" t="s">
        <v>0</v>
      </c>
      <c r="S86" s="16" t="str">
        <f t="shared" si="67"/>
        <v>01-17</v>
      </c>
      <c r="T86" s="14">
        <f t="shared" si="68"/>
        <v>127</v>
      </c>
      <c r="U86" s="18">
        <f t="shared" si="69"/>
        <v>585</v>
      </c>
      <c r="V86" s="14">
        <f t="shared" si="70"/>
        <v>145</v>
      </c>
      <c r="W86" s="18">
        <f t="shared" si="71"/>
        <v>585</v>
      </c>
      <c r="X86" s="14">
        <f t="shared" si="72"/>
        <v>145</v>
      </c>
      <c r="Y86" s="18">
        <f t="shared" si="73"/>
        <v>566</v>
      </c>
      <c r="Z86" s="14">
        <f t="shared" si="74"/>
        <v>127</v>
      </c>
      <c r="AA86" s="18">
        <f t="shared" si="75"/>
        <v>566</v>
      </c>
      <c r="AB86" s="4" t="s">
        <v>0</v>
      </c>
    </row>
    <row r="87" spans="1:28">
      <c r="A87" s="9" t="s">
        <v>145</v>
      </c>
      <c r="B87" s="24"/>
      <c r="C87" s="26"/>
      <c r="D87" s="25">
        <f t="shared" si="76"/>
        <v>145</v>
      </c>
      <c r="E87" s="29">
        <f t="shared" ref="E87:E90" si="82">E86</f>
        <v>165</v>
      </c>
      <c r="F87" s="25">
        <f t="shared" si="78"/>
        <v>163</v>
      </c>
      <c r="G87" s="29">
        <f t="shared" ref="G87:G90" si="83">G86</f>
        <v>184</v>
      </c>
      <c r="H87" s="4" t="s">
        <v>0</v>
      </c>
      <c r="I87" s="16" t="str">
        <f t="shared" si="58"/>
        <v>01-16</v>
      </c>
      <c r="J87" s="14">
        <f t="shared" si="59"/>
        <v>145</v>
      </c>
      <c r="K87" s="15">
        <f t="shared" si="60"/>
        <v>165</v>
      </c>
      <c r="L87" s="17">
        <f t="shared" si="61"/>
        <v>163</v>
      </c>
      <c r="M87" s="18">
        <f t="shared" si="62"/>
        <v>165</v>
      </c>
      <c r="N87" s="14">
        <f t="shared" si="63"/>
        <v>163</v>
      </c>
      <c r="O87" s="15">
        <f t="shared" si="64"/>
        <v>184</v>
      </c>
      <c r="P87" s="17">
        <f t="shared" si="65"/>
        <v>145</v>
      </c>
      <c r="Q87" s="18">
        <f t="shared" si="66"/>
        <v>184</v>
      </c>
      <c r="R87" s="4" t="s">
        <v>0</v>
      </c>
      <c r="S87" s="16" t="str">
        <f t="shared" si="67"/>
        <v>01-16</v>
      </c>
      <c r="T87" s="14">
        <f t="shared" si="68"/>
        <v>145</v>
      </c>
      <c r="U87" s="18">
        <f t="shared" si="69"/>
        <v>585</v>
      </c>
      <c r="V87" s="14">
        <f t="shared" si="70"/>
        <v>163</v>
      </c>
      <c r="W87" s="18">
        <f t="shared" si="71"/>
        <v>585</v>
      </c>
      <c r="X87" s="14">
        <f t="shared" si="72"/>
        <v>163</v>
      </c>
      <c r="Y87" s="18">
        <f t="shared" si="73"/>
        <v>566</v>
      </c>
      <c r="Z87" s="14">
        <f t="shared" si="74"/>
        <v>145</v>
      </c>
      <c r="AA87" s="18">
        <f t="shared" si="75"/>
        <v>566</v>
      </c>
      <c r="AB87" s="4" t="s">
        <v>0</v>
      </c>
    </row>
    <row r="88" spans="1:28">
      <c r="A88" s="9" t="s">
        <v>144</v>
      </c>
      <c r="B88" s="24"/>
      <c r="C88" s="26"/>
      <c r="D88" s="25">
        <f t="shared" si="76"/>
        <v>162</v>
      </c>
      <c r="E88" s="29">
        <f t="shared" si="82"/>
        <v>165</v>
      </c>
      <c r="F88" s="25">
        <f t="shared" si="78"/>
        <v>180</v>
      </c>
      <c r="G88" s="29">
        <f t="shared" si="83"/>
        <v>184</v>
      </c>
      <c r="H88" s="4" t="s">
        <v>0</v>
      </c>
      <c r="I88" s="16" t="str">
        <f t="shared" si="58"/>
        <v>01-15</v>
      </c>
      <c r="J88" s="14">
        <f t="shared" si="59"/>
        <v>162</v>
      </c>
      <c r="K88" s="15">
        <f t="shared" si="60"/>
        <v>165</v>
      </c>
      <c r="L88" s="17">
        <f t="shared" si="61"/>
        <v>180</v>
      </c>
      <c r="M88" s="18">
        <f t="shared" si="62"/>
        <v>165</v>
      </c>
      <c r="N88" s="14">
        <f t="shared" si="63"/>
        <v>180</v>
      </c>
      <c r="O88" s="15">
        <f t="shared" si="64"/>
        <v>184</v>
      </c>
      <c r="P88" s="17">
        <f t="shared" si="65"/>
        <v>162</v>
      </c>
      <c r="Q88" s="18">
        <f t="shared" si="66"/>
        <v>184</v>
      </c>
      <c r="R88" s="4" t="s">
        <v>0</v>
      </c>
      <c r="S88" s="16" t="str">
        <f t="shared" si="67"/>
        <v>01-15</v>
      </c>
      <c r="T88" s="14">
        <f t="shared" si="68"/>
        <v>162</v>
      </c>
      <c r="U88" s="18">
        <f t="shared" si="69"/>
        <v>585</v>
      </c>
      <c r="V88" s="14">
        <f t="shared" si="70"/>
        <v>180</v>
      </c>
      <c r="W88" s="18">
        <f t="shared" si="71"/>
        <v>585</v>
      </c>
      <c r="X88" s="14">
        <f t="shared" si="72"/>
        <v>180</v>
      </c>
      <c r="Y88" s="18">
        <f t="shared" si="73"/>
        <v>566</v>
      </c>
      <c r="Z88" s="14">
        <f t="shared" si="74"/>
        <v>162</v>
      </c>
      <c r="AA88" s="18">
        <f t="shared" si="75"/>
        <v>566</v>
      </c>
      <c r="AB88" s="4" t="s">
        <v>0</v>
      </c>
    </row>
    <row r="89" spans="1:28">
      <c r="A89" s="9" t="s">
        <v>143</v>
      </c>
      <c r="B89" s="24"/>
      <c r="C89" s="26"/>
      <c r="D89" s="25">
        <f t="shared" si="76"/>
        <v>180</v>
      </c>
      <c r="E89" s="29">
        <f t="shared" si="82"/>
        <v>165</v>
      </c>
      <c r="F89" s="25">
        <f t="shared" si="78"/>
        <v>198</v>
      </c>
      <c r="G89" s="29">
        <f t="shared" si="83"/>
        <v>184</v>
      </c>
      <c r="H89" s="4" t="s">
        <v>0</v>
      </c>
      <c r="I89" s="16" t="str">
        <f t="shared" si="58"/>
        <v>01-13</v>
      </c>
      <c r="J89" s="14">
        <f t="shared" si="59"/>
        <v>180</v>
      </c>
      <c r="K89" s="15">
        <f t="shared" si="60"/>
        <v>165</v>
      </c>
      <c r="L89" s="17">
        <f t="shared" si="61"/>
        <v>198</v>
      </c>
      <c r="M89" s="18">
        <f t="shared" si="62"/>
        <v>165</v>
      </c>
      <c r="N89" s="14">
        <f t="shared" si="63"/>
        <v>198</v>
      </c>
      <c r="O89" s="15">
        <f t="shared" si="64"/>
        <v>184</v>
      </c>
      <c r="P89" s="17">
        <f t="shared" si="65"/>
        <v>180</v>
      </c>
      <c r="Q89" s="18">
        <f t="shared" si="66"/>
        <v>184</v>
      </c>
      <c r="R89" s="4" t="s">
        <v>0</v>
      </c>
      <c r="S89" s="16" t="str">
        <f t="shared" si="67"/>
        <v>01-13</v>
      </c>
      <c r="T89" s="14">
        <f t="shared" si="68"/>
        <v>180</v>
      </c>
      <c r="U89" s="18">
        <f t="shared" si="69"/>
        <v>585</v>
      </c>
      <c r="V89" s="14">
        <f t="shared" si="70"/>
        <v>198</v>
      </c>
      <c r="W89" s="18">
        <f t="shared" si="71"/>
        <v>585</v>
      </c>
      <c r="X89" s="14">
        <f t="shared" si="72"/>
        <v>198</v>
      </c>
      <c r="Y89" s="18">
        <f t="shared" si="73"/>
        <v>566</v>
      </c>
      <c r="Z89" s="14">
        <f t="shared" si="74"/>
        <v>180</v>
      </c>
      <c r="AA89" s="18">
        <f t="shared" si="75"/>
        <v>566</v>
      </c>
      <c r="AB89" s="4" t="s">
        <v>0</v>
      </c>
    </row>
    <row r="90" spans="1:28">
      <c r="A90" s="9" t="s">
        <v>11</v>
      </c>
      <c r="B90" s="24"/>
      <c r="C90" s="26"/>
      <c r="D90" s="25">
        <f>D69</f>
        <v>274</v>
      </c>
      <c r="E90" s="29">
        <f t="shared" si="82"/>
        <v>165</v>
      </c>
      <c r="F90" s="25">
        <f>F69</f>
        <v>292</v>
      </c>
      <c r="G90" s="29">
        <f t="shared" si="83"/>
        <v>184</v>
      </c>
      <c r="H90" s="4" t="s">
        <v>0</v>
      </c>
      <c r="I90" s="16" t="str">
        <f t="shared" si="58"/>
        <v>01-12</v>
      </c>
      <c r="J90" s="14">
        <f t="shared" si="59"/>
        <v>274</v>
      </c>
      <c r="K90" s="15">
        <f t="shared" si="60"/>
        <v>165</v>
      </c>
      <c r="L90" s="17">
        <f t="shared" si="61"/>
        <v>292</v>
      </c>
      <c r="M90" s="18">
        <f t="shared" si="62"/>
        <v>165</v>
      </c>
      <c r="N90" s="14">
        <f t="shared" si="63"/>
        <v>292</v>
      </c>
      <c r="O90" s="15">
        <f t="shared" si="64"/>
        <v>184</v>
      </c>
      <c r="P90" s="17">
        <f t="shared" si="65"/>
        <v>274</v>
      </c>
      <c r="Q90" s="18">
        <f t="shared" si="66"/>
        <v>184</v>
      </c>
      <c r="R90" s="4" t="s">
        <v>0</v>
      </c>
      <c r="S90" s="16" t="str">
        <f t="shared" si="67"/>
        <v>01-12</v>
      </c>
      <c r="T90" s="14">
        <f t="shared" si="68"/>
        <v>274</v>
      </c>
      <c r="U90" s="18">
        <f t="shared" si="69"/>
        <v>585</v>
      </c>
      <c r="V90" s="14">
        <f t="shared" si="70"/>
        <v>292</v>
      </c>
      <c r="W90" s="18">
        <f t="shared" si="71"/>
        <v>585</v>
      </c>
      <c r="X90" s="14">
        <f t="shared" si="72"/>
        <v>292</v>
      </c>
      <c r="Y90" s="18">
        <f t="shared" si="73"/>
        <v>566</v>
      </c>
      <c r="Z90" s="14">
        <f t="shared" si="74"/>
        <v>274</v>
      </c>
      <c r="AA90" s="18">
        <f t="shared" si="75"/>
        <v>566</v>
      </c>
      <c r="AB90" s="4" t="s">
        <v>0</v>
      </c>
    </row>
    <row r="91" spans="1:28">
      <c r="A91" s="9" t="s">
        <v>10</v>
      </c>
      <c r="B91" s="24"/>
      <c r="C91" s="26"/>
      <c r="D91" s="25">
        <f t="shared" ref="D91:D99" si="84">D70</f>
        <v>292</v>
      </c>
      <c r="E91" s="29">
        <f t="shared" ref="E91:E99" si="85">E90</f>
        <v>165</v>
      </c>
      <c r="F91" s="25">
        <f t="shared" ref="F91:F99" si="86">F70</f>
        <v>310</v>
      </c>
      <c r="G91" s="29">
        <f t="shared" ref="G91:G99" si="87">G90</f>
        <v>184</v>
      </c>
      <c r="H91" s="4" t="s">
        <v>0</v>
      </c>
      <c r="I91" s="16" t="str">
        <f t="shared" si="58"/>
        <v>01-11</v>
      </c>
      <c r="J91" s="14">
        <f t="shared" si="59"/>
        <v>292</v>
      </c>
      <c r="K91" s="15">
        <f t="shared" si="60"/>
        <v>165</v>
      </c>
      <c r="L91" s="17">
        <f t="shared" si="61"/>
        <v>310</v>
      </c>
      <c r="M91" s="18">
        <f t="shared" si="62"/>
        <v>165</v>
      </c>
      <c r="N91" s="14">
        <f t="shared" si="63"/>
        <v>310</v>
      </c>
      <c r="O91" s="15">
        <f t="shared" si="64"/>
        <v>184</v>
      </c>
      <c r="P91" s="17">
        <f t="shared" si="65"/>
        <v>292</v>
      </c>
      <c r="Q91" s="18">
        <f t="shared" si="66"/>
        <v>184</v>
      </c>
      <c r="R91" s="4" t="s">
        <v>0</v>
      </c>
      <c r="S91" s="16" t="str">
        <f t="shared" si="67"/>
        <v>01-11</v>
      </c>
      <c r="T91" s="14">
        <f t="shared" si="68"/>
        <v>292</v>
      </c>
      <c r="U91" s="18">
        <f t="shared" si="69"/>
        <v>585</v>
      </c>
      <c r="V91" s="14">
        <f t="shared" si="70"/>
        <v>310</v>
      </c>
      <c r="W91" s="18">
        <f t="shared" si="71"/>
        <v>585</v>
      </c>
      <c r="X91" s="14">
        <f t="shared" si="72"/>
        <v>310</v>
      </c>
      <c r="Y91" s="18">
        <f t="shared" si="73"/>
        <v>566</v>
      </c>
      <c r="Z91" s="14">
        <f t="shared" si="74"/>
        <v>292</v>
      </c>
      <c r="AA91" s="18">
        <f t="shared" si="75"/>
        <v>566</v>
      </c>
      <c r="AB91" s="4" t="s">
        <v>0</v>
      </c>
    </row>
    <row r="92" spans="1:28">
      <c r="A92" s="9" t="s">
        <v>9</v>
      </c>
      <c r="B92" s="24"/>
      <c r="C92" s="26"/>
      <c r="D92" s="25">
        <f t="shared" si="84"/>
        <v>311</v>
      </c>
      <c r="E92" s="29">
        <f t="shared" si="85"/>
        <v>165</v>
      </c>
      <c r="F92" s="25">
        <f t="shared" si="86"/>
        <v>329</v>
      </c>
      <c r="G92" s="29">
        <f t="shared" si="87"/>
        <v>184</v>
      </c>
      <c r="H92" s="4" t="s">
        <v>0</v>
      </c>
      <c r="I92" s="16" t="str">
        <f t="shared" si="58"/>
        <v>01-10</v>
      </c>
      <c r="J92" s="14">
        <f t="shared" si="59"/>
        <v>311</v>
      </c>
      <c r="K92" s="15">
        <f t="shared" si="60"/>
        <v>165</v>
      </c>
      <c r="L92" s="17">
        <f t="shared" si="61"/>
        <v>329</v>
      </c>
      <c r="M92" s="18">
        <f t="shared" si="62"/>
        <v>165</v>
      </c>
      <c r="N92" s="14">
        <f t="shared" si="63"/>
        <v>329</v>
      </c>
      <c r="O92" s="15">
        <f t="shared" si="64"/>
        <v>184</v>
      </c>
      <c r="P92" s="17">
        <f t="shared" si="65"/>
        <v>311</v>
      </c>
      <c r="Q92" s="18">
        <f t="shared" si="66"/>
        <v>184</v>
      </c>
      <c r="R92" s="4" t="s">
        <v>0</v>
      </c>
      <c r="S92" s="16" t="str">
        <f t="shared" si="67"/>
        <v>01-10</v>
      </c>
      <c r="T92" s="14">
        <f t="shared" si="68"/>
        <v>311</v>
      </c>
      <c r="U92" s="18">
        <f t="shared" si="69"/>
        <v>585</v>
      </c>
      <c r="V92" s="14">
        <f t="shared" si="70"/>
        <v>329</v>
      </c>
      <c r="W92" s="18">
        <f t="shared" si="71"/>
        <v>585</v>
      </c>
      <c r="X92" s="14">
        <f t="shared" si="72"/>
        <v>329</v>
      </c>
      <c r="Y92" s="18">
        <f t="shared" si="73"/>
        <v>566</v>
      </c>
      <c r="Z92" s="14">
        <f t="shared" si="74"/>
        <v>311</v>
      </c>
      <c r="AA92" s="18">
        <f t="shared" si="75"/>
        <v>566</v>
      </c>
      <c r="AB92" s="4" t="s">
        <v>0</v>
      </c>
    </row>
    <row r="93" spans="1:28">
      <c r="A93" s="9" t="s">
        <v>8</v>
      </c>
      <c r="B93" s="24"/>
      <c r="C93" s="26"/>
      <c r="D93" s="25">
        <f t="shared" si="84"/>
        <v>329</v>
      </c>
      <c r="E93" s="29">
        <f t="shared" si="85"/>
        <v>165</v>
      </c>
      <c r="F93" s="25">
        <f t="shared" si="86"/>
        <v>347</v>
      </c>
      <c r="G93" s="29">
        <f t="shared" si="87"/>
        <v>184</v>
      </c>
      <c r="H93" s="4" t="s">
        <v>0</v>
      </c>
      <c r="I93" s="16" t="str">
        <f t="shared" si="58"/>
        <v>01-08</v>
      </c>
      <c r="J93" s="14">
        <f t="shared" si="59"/>
        <v>329</v>
      </c>
      <c r="K93" s="15">
        <f t="shared" si="60"/>
        <v>165</v>
      </c>
      <c r="L93" s="17">
        <f t="shared" si="61"/>
        <v>347</v>
      </c>
      <c r="M93" s="18">
        <f t="shared" si="62"/>
        <v>165</v>
      </c>
      <c r="N93" s="14">
        <f t="shared" si="63"/>
        <v>347</v>
      </c>
      <c r="O93" s="15">
        <f t="shared" si="64"/>
        <v>184</v>
      </c>
      <c r="P93" s="17">
        <f t="shared" si="65"/>
        <v>329</v>
      </c>
      <c r="Q93" s="18">
        <f t="shared" si="66"/>
        <v>184</v>
      </c>
      <c r="R93" s="4" t="s">
        <v>0</v>
      </c>
      <c r="S93" s="16" t="str">
        <f t="shared" si="67"/>
        <v>01-08</v>
      </c>
      <c r="T93" s="14">
        <f t="shared" si="68"/>
        <v>329</v>
      </c>
      <c r="U93" s="18">
        <f t="shared" si="69"/>
        <v>585</v>
      </c>
      <c r="V93" s="14">
        <f t="shared" si="70"/>
        <v>347</v>
      </c>
      <c r="W93" s="18">
        <f t="shared" si="71"/>
        <v>585</v>
      </c>
      <c r="X93" s="14">
        <f t="shared" si="72"/>
        <v>347</v>
      </c>
      <c r="Y93" s="18">
        <f t="shared" si="73"/>
        <v>566</v>
      </c>
      <c r="Z93" s="14">
        <f t="shared" si="74"/>
        <v>329</v>
      </c>
      <c r="AA93" s="18">
        <f t="shared" si="75"/>
        <v>566</v>
      </c>
      <c r="AB93" s="4" t="s">
        <v>0</v>
      </c>
    </row>
    <row r="94" spans="1:28">
      <c r="A94" s="9" t="s">
        <v>7</v>
      </c>
      <c r="B94" s="24"/>
      <c r="C94" s="26"/>
      <c r="D94" s="25">
        <f t="shared" si="84"/>
        <v>348</v>
      </c>
      <c r="E94" s="29">
        <f t="shared" si="85"/>
        <v>165</v>
      </c>
      <c r="F94" s="25">
        <f t="shared" si="86"/>
        <v>367</v>
      </c>
      <c r="G94" s="29">
        <f t="shared" si="87"/>
        <v>184</v>
      </c>
      <c r="H94" s="4" t="s">
        <v>0</v>
      </c>
      <c r="I94" s="16" t="str">
        <f t="shared" si="58"/>
        <v>01-07</v>
      </c>
      <c r="J94" s="14">
        <f t="shared" si="59"/>
        <v>348</v>
      </c>
      <c r="K94" s="15">
        <f t="shared" si="60"/>
        <v>165</v>
      </c>
      <c r="L94" s="17">
        <f t="shared" si="61"/>
        <v>367</v>
      </c>
      <c r="M94" s="18">
        <f t="shared" si="62"/>
        <v>165</v>
      </c>
      <c r="N94" s="14">
        <f t="shared" si="63"/>
        <v>367</v>
      </c>
      <c r="O94" s="15">
        <f t="shared" si="64"/>
        <v>184</v>
      </c>
      <c r="P94" s="17">
        <f t="shared" si="65"/>
        <v>348</v>
      </c>
      <c r="Q94" s="18">
        <f t="shared" si="66"/>
        <v>184</v>
      </c>
      <c r="R94" s="4" t="s">
        <v>0</v>
      </c>
      <c r="S94" s="16" t="str">
        <f t="shared" si="67"/>
        <v>01-07</v>
      </c>
      <c r="T94" s="14">
        <f t="shared" si="68"/>
        <v>348</v>
      </c>
      <c r="U94" s="18">
        <f t="shared" si="69"/>
        <v>585</v>
      </c>
      <c r="V94" s="14">
        <f t="shared" si="70"/>
        <v>367</v>
      </c>
      <c r="W94" s="18">
        <f t="shared" si="71"/>
        <v>585</v>
      </c>
      <c r="X94" s="14">
        <f t="shared" si="72"/>
        <v>367</v>
      </c>
      <c r="Y94" s="18">
        <f t="shared" si="73"/>
        <v>566</v>
      </c>
      <c r="Z94" s="14">
        <f t="shared" si="74"/>
        <v>348</v>
      </c>
      <c r="AA94" s="18">
        <f t="shared" si="75"/>
        <v>566</v>
      </c>
      <c r="AB94" s="4" t="s">
        <v>0</v>
      </c>
    </row>
    <row r="95" spans="1:28">
      <c r="A95" s="9" t="s">
        <v>6</v>
      </c>
      <c r="B95" s="24"/>
      <c r="C95" s="26"/>
      <c r="D95" s="25">
        <f t="shared" si="84"/>
        <v>368</v>
      </c>
      <c r="E95" s="29">
        <f t="shared" si="85"/>
        <v>165</v>
      </c>
      <c r="F95" s="25">
        <f t="shared" si="86"/>
        <v>386</v>
      </c>
      <c r="G95" s="29">
        <f t="shared" si="87"/>
        <v>184</v>
      </c>
      <c r="H95" s="4" t="s">
        <v>0</v>
      </c>
      <c r="I95" s="16" t="str">
        <f t="shared" si="58"/>
        <v>01-06</v>
      </c>
      <c r="J95" s="14">
        <f t="shared" si="59"/>
        <v>368</v>
      </c>
      <c r="K95" s="15">
        <f t="shared" si="60"/>
        <v>165</v>
      </c>
      <c r="L95" s="17">
        <f t="shared" si="61"/>
        <v>386</v>
      </c>
      <c r="M95" s="18">
        <f t="shared" si="62"/>
        <v>165</v>
      </c>
      <c r="N95" s="14">
        <f t="shared" si="63"/>
        <v>386</v>
      </c>
      <c r="O95" s="15">
        <f t="shared" si="64"/>
        <v>184</v>
      </c>
      <c r="P95" s="17">
        <f t="shared" si="65"/>
        <v>368</v>
      </c>
      <c r="Q95" s="18">
        <f t="shared" si="66"/>
        <v>184</v>
      </c>
      <c r="R95" s="4" t="s">
        <v>0</v>
      </c>
      <c r="S95" s="16" t="str">
        <f t="shared" si="67"/>
        <v>01-06</v>
      </c>
      <c r="T95" s="14">
        <f t="shared" si="68"/>
        <v>368</v>
      </c>
      <c r="U95" s="18">
        <f t="shared" si="69"/>
        <v>585</v>
      </c>
      <c r="V95" s="14">
        <f t="shared" si="70"/>
        <v>386</v>
      </c>
      <c r="W95" s="18">
        <f t="shared" si="71"/>
        <v>585</v>
      </c>
      <c r="X95" s="14">
        <f t="shared" si="72"/>
        <v>386</v>
      </c>
      <c r="Y95" s="18">
        <f t="shared" si="73"/>
        <v>566</v>
      </c>
      <c r="Z95" s="14">
        <f t="shared" si="74"/>
        <v>368</v>
      </c>
      <c r="AA95" s="18">
        <f t="shared" si="75"/>
        <v>566</v>
      </c>
      <c r="AB95" s="4" t="s">
        <v>0</v>
      </c>
    </row>
    <row r="96" spans="1:28">
      <c r="A96" s="9" t="s">
        <v>5</v>
      </c>
      <c r="B96" s="24"/>
      <c r="C96" s="26"/>
      <c r="D96" s="25">
        <f t="shared" si="84"/>
        <v>387</v>
      </c>
      <c r="E96" s="29">
        <f t="shared" si="85"/>
        <v>165</v>
      </c>
      <c r="F96" s="25">
        <f t="shared" si="86"/>
        <v>405</v>
      </c>
      <c r="G96" s="29">
        <f t="shared" si="87"/>
        <v>184</v>
      </c>
      <c r="H96" s="4" t="s">
        <v>0</v>
      </c>
      <c r="I96" s="16" t="str">
        <f t="shared" si="58"/>
        <v>01-05</v>
      </c>
      <c r="J96" s="14">
        <f t="shared" si="59"/>
        <v>387</v>
      </c>
      <c r="K96" s="15">
        <f t="shared" si="60"/>
        <v>165</v>
      </c>
      <c r="L96" s="17">
        <f t="shared" si="61"/>
        <v>405</v>
      </c>
      <c r="M96" s="18">
        <f t="shared" si="62"/>
        <v>165</v>
      </c>
      <c r="N96" s="14">
        <f t="shared" si="63"/>
        <v>405</v>
      </c>
      <c r="O96" s="15">
        <f t="shared" si="64"/>
        <v>184</v>
      </c>
      <c r="P96" s="17">
        <f t="shared" si="65"/>
        <v>387</v>
      </c>
      <c r="Q96" s="18">
        <f t="shared" si="66"/>
        <v>184</v>
      </c>
      <c r="R96" s="4" t="s">
        <v>0</v>
      </c>
      <c r="S96" s="16" t="str">
        <f t="shared" si="67"/>
        <v>01-05</v>
      </c>
      <c r="T96" s="14">
        <f t="shared" si="68"/>
        <v>387</v>
      </c>
      <c r="U96" s="18">
        <f t="shared" si="69"/>
        <v>585</v>
      </c>
      <c r="V96" s="14">
        <f t="shared" si="70"/>
        <v>405</v>
      </c>
      <c r="W96" s="18">
        <f t="shared" si="71"/>
        <v>585</v>
      </c>
      <c r="X96" s="14">
        <f t="shared" si="72"/>
        <v>405</v>
      </c>
      <c r="Y96" s="18">
        <f t="shared" si="73"/>
        <v>566</v>
      </c>
      <c r="Z96" s="14">
        <f t="shared" si="74"/>
        <v>387</v>
      </c>
      <c r="AA96" s="18">
        <f t="shared" si="75"/>
        <v>566</v>
      </c>
      <c r="AB96" s="4" t="s">
        <v>0</v>
      </c>
    </row>
    <row r="97" spans="1:28">
      <c r="A97" s="9" t="s">
        <v>4</v>
      </c>
      <c r="B97" s="24"/>
      <c r="C97" s="26"/>
      <c r="D97" s="25">
        <f t="shared" si="84"/>
        <v>405</v>
      </c>
      <c r="E97" s="29">
        <f t="shared" si="85"/>
        <v>165</v>
      </c>
      <c r="F97" s="25">
        <f t="shared" si="86"/>
        <v>423</v>
      </c>
      <c r="G97" s="29">
        <f t="shared" si="87"/>
        <v>184</v>
      </c>
      <c r="H97" s="4" t="s">
        <v>0</v>
      </c>
      <c r="I97" s="16" t="str">
        <f t="shared" si="58"/>
        <v>01-03</v>
      </c>
      <c r="J97" s="14">
        <f t="shared" si="59"/>
        <v>405</v>
      </c>
      <c r="K97" s="15">
        <f t="shared" si="60"/>
        <v>165</v>
      </c>
      <c r="L97" s="17">
        <f t="shared" si="61"/>
        <v>423</v>
      </c>
      <c r="M97" s="18">
        <f t="shared" si="62"/>
        <v>165</v>
      </c>
      <c r="N97" s="14">
        <f t="shared" si="63"/>
        <v>423</v>
      </c>
      <c r="O97" s="15">
        <f t="shared" si="64"/>
        <v>184</v>
      </c>
      <c r="P97" s="17">
        <f t="shared" si="65"/>
        <v>405</v>
      </c>
      <c r="Q97" s="18">
        <f t="shared" si="66"/>
        <v>184</v>
      </c>
      <c r="R97" s="4" t="s">
        <v>0</v>
      </c>
      <c r="S97" s="16" t="str">
        <f t="shared" si="67"/>
        <v>01-03</v>
      </c>
      <c r="T97" s="14">
        <f t="shared" si="68"/>
        <v>405</v>
      </c>
      <c r="U97" s="18">
        <f t="shared" si="69"/>
        <v>585</v>
      </c>
      <c r="V97" s="14">
        <f t="shared" si="70"/>
        <v>423</v>
      </c>
      <c r="W97" s="18">
        <f t="shared" si="71"/>
        <v>585</v>
      </c>
      <c r="X97" s="14">
        <f t="shared" si="72"/>
        <v>423</v>
      </c>
      <c r="Y97" s="18">
        <f t="shared" si="73"/>
        <v>566</v>
      </c>
      <c r="Z97" s="14">
        <f t="shared" si="74"/>
        <v>405</v>
      </c>
      <c r="AA97" s="18">
        <f t="shared" si="75"/>
        <v>566</v>
      </c>
      <c r="AB97" s="4" t="s">
        <v>0</v>
      </c>
    </row>
    <row r="98" spans="1:28">
      <c r="A98" s="9" t="s">
        <v>142</v>
      </c>
      <c r="B98" s="24"/>
      <c r="C98" s="26"/>
      <c r="D98" s="25">
        <f t="shared" si="84"/>
        <v>424</v>
      </c>
      <c r="E98" s="29">
        <f t="shared" si="85"/>
        <v>165</v>
      </c>
      <c r="F98" s="25">
        <f t="shared" si="86"/>
        <v>442</v>
      </c>
      <c r="G98" s="29">
        <f t="shared" si="87"/>
        <v>184</v>
      </c>
      <c r="H98" s="4" t="s">
        <v>0</v>
      </c>
      <c r="I98" s="16" t="str">
        <f t="shared" si="58"/>
        <v>01-02</v>
      </c>
      <c r="J98" s="14">
        <f t="shared" si="59"/>
        <v>424</v>
      </c>
      <c r="K98" s="15">
        <f t="shared" si="60"/>
        <v>165</v>
      </c>
      <c r="L98" s="17">
        <f t="shared" si="61"/>
        <v>442</v>
      </c>
      <c r="M98" s="18">
        <f t="shared" si="62"/>
        <v>165</v>
      </c>
      <c r="N98" s="14">
        <f t="shared" si="63"/>
        <v>442</v>
      </c>
      <c r="O98" s="15">
        <f t="shared" si="64"/>
        <v>184</v>
      </c>
      <c r="P98" s="17">
        <f t="shared" si="65"/>
        <v>424</v>
      </c>
      <c r="Q98" s="18">
        <f t="shared" si="66"/>
        <v>184</v>
      </c>
      <c r="R98" s="4" t="s">
        <v>0</v>
      </c>
      <c r="S98" s="16" t="str">
        <f t="shared" si="67"/>
        <v>01-02</v>
      </c>
      <c r="T98" s="14">
        <f t="shared" si="68"/>
        <v>424</v>
      </c>
      <c r="U98" s="18">
        <f t="shared" si="69"/>
        <v>585</v>
      </c>
      <c r="V98" s="14">
        <f t="shared" si="70"/>
        <v>442</v>
      </c>
      <c r="W98" s="18">
        <f t="shared" si="71"/>
        <v>585</v>
      </c>
      <c r="X98" s="14">
        <f t="shared" si="72"/>
        <v>442</v>
      </c>
      <c r="Y98" s="18">
        <f t="shared" si="73"/>
        <v>566</v>
      </c>
      <c r="Z98" s="14">
        <f t="shared" si="74"/>
        <v>424</v>
      </c>
      <c r="AA98" s="18">
        <f t="shared" si="75"/>
        <v>566</v>
      </c>
      <c r="AB98" s="4" t="s">
        <v>0</v>
      </c>
    </row>
    <row r="99" spans="1:28">
      <c r="A99" s="9" t="s">
        <v>141</v>
      </c>
      <c r="B99" s="24"/>
      <c r="C99" s="26"/>
      <c r="D99" s="25">
        <f t="shared" si="84"/>
        <v>443</v>
      </c>
      <c r="E99" s="29">
        <f t="shared" si="85"/>
        <v>165</v>
      </c>
      <c r="F99" s="25">
        <f t="shared" si="86"/>
        <v>461</v>
      </c>
      <c r="G99" s="29">
        <f t="shared" si="87"/>
        <v>184</v>
      </c>
      <c r="H99" s="4" t="s">
        <v>0</v>
      </c>
      <c r="I99" s="16" t="str">
        <f t="shared" si="58"/>
        <v>01-01</v>
      </c>
      <c r="J99" s="14">
        <f t="shared" si="59"/>
        <v>443</v>
      </c>
      <c r="K99" s="15">
        <f t="shared" si="60"/>
        <v>165</v>
      </c>
      <c r="L99" s="17">
        <f t="shared" si="61"/>
        <v>461</v>
      </c>
      <c r="M99" s="18">
        <f t="shared" si="62"/>
        <v>165</v>
      </c>
      <c r="N99" s="14">
        <f t="shared" si="63"/>
        <v>461</v>
      </c>
      <c r="O99" s="15">
        <f t="shared" si="64"/>
        <v>184</v>
      </c>
      <c r="P99" s="17">
        <f t="shared" si="65"/>
        <v>443</v>
      </c>
      <c r="Q99" s="18">
        <f t="shared" si="66"/>
        <v>184</v>
      </c>
      <c r="R99" s="4" t="s">
        <v>0</v>
      </c>
      <c r="S99" s="16" t="str">
        <f t="shared" si="67"/>
        <v>01-01</v>
      </c>
      <c r="T99" s="14">
        <f t="shared" si="68"/>
        <v>443</v>
      </c>
      <c r="U99" s="18">
        <f t="shared" si="69"/>
        <v>585</v>
      </c>
      <c r="V99" s="14">
        <f t="shared" si="70"/>
        <v>461</v>
      </c>
      <c r="W99" s="18">
        <f t="shared" si="71"/>
        <v>585</v>
      </c>
      <c r="X99" s="14">
        <f t="shared" si="72"/>
        <v>461</v>
      </c>
      <c r="Y99" s="18">
        <f t="shared" si="73"/>
        <v>566</v>
      </c>
      <c r="Z99" s="14">
        <f t="shared" si="74"/>
        <v>443</v>
      </c>
      <c r="AA99" s="18">
        <f t="shared" si="75"/>
        <v>566</v>
      </c>
      <c r="AB99" s="4" t="s">
        <v>0</v>
      </c>
    </row>
  </sheetData>
  <autoFilter ref="A10:AB99" xr:uid="{00000000-0001-0000-0000-000000000000}"/>
  <mergeCells count="2">
    <mergeCell ref="D3:G3"/>
    <mergeCell ref="D4:G4"/>
  </mergeCells>
  <phoneticPr fontId="1"/>
  <hyperlinks>
    <hyperlink ref="N4" r:id="rId1" xr:uid="{813283CD-C8B7-48CC-AF4D-4DC6BD1881A5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BD568-03A3-490C-AA22-33055369E9E0}">
  <sheetPr codeName="Sheet15">
    <pageSetUpPr fitToPage="1"/>
  </sheetPr>
  <dimension ref="A1:AB70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SEC_11_3_釈E.json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SEC_11_3_釈E.png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釈E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164</v>
      </c>
      <c r="B11" s="30" t="s">
        <v>698</v>
      </c>
      <c r="C11" s="4" t="s">
        <v>0</v>
      </c>
      <c r="D11" s="27">
        <v>20</v>
      </c>
      <c r="E11" s="31">
        <v>110</v>
      </c>
      <c r="F11" s="31">
        <v>48</v>
      </c>
      <c r="G11" s="31">
        <v>131</v>
      </c>
      <c r="H11" s="4" t="s">
        <v>0</v>
      </c>
      <c r="I11" s="16" t="str">
        <f t="shared" ref="I11:I12" si="0">A11</f>
        <v>05-18</v>
      </c>
      <c r="J11" s="14">
        <f>IF(D11&lt;&gt;"",D11,0)</f>
        <v>20</v>
      </c>
      <c r="K11" s="15">
        <f>IF(E11&lt;&gt;"",E11,0)</f>
        <v>110</v>
      </c>
      <c r="L11" s="17">
        <f>N11</f>
        <v>48</v>
      </c>
      <c r="M11" s="18">
        <f>K11</f>
        <v>110</v>
      </c>
      <c r="N11" s="14">
        <f>IF(F11&lt;&gt;"",F11,0)</f>
        <v>48</v>
      </c>
      <c r="O11" s="15">
        <f>IF(G11&lt;&gt;"",G11,0)</f>
        <v>131</v>
      </c>
      <c r="P11" s="17">
        <f>J11</f>
        <v>20</v>
      </c>
      <c r="Q11" s="18">
        <f>O11</f>
        <v>131</v>
      </c>
      <c r="R11" s="4" t="s">
        <v>0</v>
      </c>
      <c r="S11" s="16" t="str">
        <f>I11</f>
        <v>05-18</v>
      </c>
      <c r="T11" s="14">
        <f>IF(J11&lt;&gt;"",J11,"")</f>
        <v>20</v>
      </c>
      <c r="U11" s="18">
        <f>IF(K11&lt;&gt;"",U$6-K11,"")</f>
        <v>640</v>
      </c>
      <c r="V11" s="14">
        <f t="shared" ref="V11:Z12" si="1">IF(L11&lt;&gt;"",L11,"")</f>
        <v>48</v>
      </c>
      <c r="W11" s="18">
        <f>IF(M11&lt;&gt;"",W$6-M11,"")</f>
        <v>640</v>
      </c>
      <c r="X11" s="14">
        <f t="shared" si="1"/>
        <v>48</v>
      </c>
      <c r="Y11" s="18">
        <f>IF(O11&lt;&gt;"",Y$6-O11,"")</f>
        <v>619</v>
      </c>
      <c r="Z11" s="14">
        <f t="shared" si="1"/>
        <v>20</v>
      </c>
      <c r="AA11" s="18">
        <f>IF(Q11&lt;&gt;"",AA$6-Q11,"")</f>
        <v>619</v>
      </c>
      <c r="AB11" s="4" t="s">
        <v>0</v>
      </c>
    </row>
    <row r="12" spans="1:28">
      <c r="A12" s="9" t="s">
        <v>135</v>
      </c>
      <c r="B12" s="24"/>
      <c r="C12" s="26">
        <v>1</v>
      </c>
      <c r="D12" s="28">
        <f>ROUND(D$11+28*$C12, 0)</f>
        <v>48</v>
      </c>
      <c r="E12" s="29">
        <f>E$11</f>
        <v>110</v>
      </c>
      <c r="F12" s="28">
        <f>ROUND(F$11+28*$C12, 0)</f>
        <v>76</v>
      </c>
      <c r="G12" s="29">
        <f>G$11</f>
        <v>131</v>
      </c>
      <c r="H12" s="4" t="s">
        <v>0</v>
      </c>
      <c r="I12" s="16" t="str">
        <f t="shared" si="0"/>
        <v>05-17</v>
      </c>
      <c r="J12" s="14">
        <f t="shared" ref="J12:K12" si="2">IF(D12&lt;&gt;"",D12,0)</f>
        <v>48</v>
      </c>
      <c r="K12" s="15">
        <f t="shared" si="2"/>
        <v>110</v>
      </c>
      <c r="L12" s="17">
        <f t="shared" ref="L12" si="3">N12</f>
        <v>76</v>
      </c>
      <c r="M12" s="18">
        <f t="shared" ref="M12" si="4">K12</f>
        <v>110</v>
      </c>
      <c r="N12" s="14">
        <f t="shared" ref="N12:O12" si="5">IF(F12&lt;&gt;"",F12,0)</f>
        <v>76</v>
      </c>
      <c r="O12" s="15">
        <f t="shared" si="5"/>
        <v>131</v>
      </c>
      <c r="P12" s="17">
        <f t="shared" ref="P12" si="6">J12</f>
        <v>48</v>
      </c>
      <c r="Q12" s="18">
        <f t="shared" ref="Q12" si="7">O12</f>
        <v>131</v>
      </c>
      <c r="R12" s="4" t="s">
        <v>0</v>
      </c>
      <c r="S12" s="16" t="str">
        <f t="shared" ref="S12" si="8">I12</f>
        <v>05-17</v>
      </c>
      <c r="T12" s="14">
        <f t="shared" ref="T12" si="9">IF(J12&lt;&gt;"",J12,"")</f>
        <v>48</v>
      </c>
      <c r="U12" s="18">
        <f t="shared" ref="U12" si="10">IF(K12&lt;&gt;"",U$6-K12,"")</f>
        <v>640</v>
      </c>
      <c r="V12" s="14">
        <f t="shared" si="1"/>
        <v>76</v>
      </c>
      <c r="W12" s="18">
        <f t="shared" ref="W12" si="11">IF(M12&lt;&gt;"",W$6-M12,"")</f>
        <v>640</v>
      </c>
      <c r="X12" s="14">
        <f t="shared" si="1"/>
        <v>76</v>
      </c>
      <c r="Y12" s="18">
        <f t="shared" ref="Y12" si="12">IF(O12&lt;&gt;"",Y$6-O12,"")</f>
        <v>619</v>
      </c>
      <c r="Z12" s="14">
        <f t="shared" si="1"/>
        <v>48</v>
      </c>
      <c r="AA12" s="18">
        <f t="shared" ref="AA12" si="13">IF(Q12&lt;&gt;"",AA$6-Q12,"")</f>
        <v>619</v>
      </c>
      <c r="AB12" s="4" t="s">
        <v>0</v>
      </c>
    </row>
    <row r="13" spans="1:28">
      <c r="A13" s="9" t="s">
        <v>163</v>
      </c>
      <c r="B13" s="24"/>
      <c r="C13" s="26">
        <v>2</v>
      </c>
      <c r="D13" s="28">
        <f t="shared" ref="D13:D17" si="14">ROUND(D$11+28*$C13, 0)</f>
        <v>76</v>
      </c>
      <c r="E13" s="29">
        <f t="shared" ref="E13:E17" si="15">E$11</f>
        <v>110</v>
      </c>
      <c r="F13" s="28">
        <f t="shared" ref="F13:F17" si="16">ROUND(F$11+28*$C13, 0)</f>
        <v>104</v>
      </c>
      <c r="G13" s="29">
        <f t="shared" ref="G13:G17" si="17">G$11</f>
        <v>131</v>
      </c>
      <c r="H13" s="4" t="s">
        <v>0</v>
      </c>
      <c r="I13" s="16" t="str">
        <f t="shared" ref="I13:I70" si="18">A13</f>
        <v>05-16</v>
      </c>
      <c r="J13" s="14">
        <f t="shared" ref="J13:J70" si="19">IF(D13&lt;&gt;"",D13,0)</f>
        <v>76</v>
      </c>
      <c r="K13" s="15">
        <f t="shared" ref="K13:K70" si="20">IF(E13&lt;&gt;"",E13,0)</f>
        <v>110</v>
      </c>
      <c r="L13" s="17">
        <f t="shared" ref="L13:L70" si="21">N13</f>
        <v>104</v>
      </c>
      <c r="M13" s="18">
        <f t="shared" ref="M13:M70" si="22">K13</f>
        <v>110</v>
      </c>
      <c r="N13" s="14">
        <f t="shared" ref="N13:N70" si="23">IF(F13&lt;&gt;"",F13,0)</f>
        <v>104</v>
      </c>
      <c r="O13" s="15">
        <f t="shared" ref="O13:O70" si="24">IF(G13&lt;&gt;"",G13,0)</f>
        <v>131</v>
      </c>
      <c r="P13" s="17">
        <f t="shared" ref="P13:P70" si="25">J13</f>
        <v>76</v>
      </c>
      <c r="Q13" s="18">
        <f t="shared" ref="Q13:Q70" si="26">O13</f>
        <v>131</v>
      </c>
      <c r="R13" s="4" t="s">
        <v>0</v>
      </c>
      <c r="S13" s="16" t="str">
        <f t="shared" ref="S13:S70" si="27">I13</f>
        <v>05-16</v>
      </c>
      <c r="T13" s="14">
        <f t="shared" ref="T13:T70" si="28">IF(J13&lt;&gt;"",J13,"")</f>
        <v>76</v>
      </c>
      <c r="U13" s="18">
        <f t="shared" ref="U13:U70" si="29">IF(K13&lt;&gt;"",U$6-K13,"")</f>
        <v>640</v>
      </c>
      <c r="V13" s="14">
        <f t="shared" ref="V13:V70" si="30">IF(L13&lt;&gt;"",L13,"")</f>
        <v>104</v>
      </c>
      <c r="W13" s="18">
        <f t="shared" ref="W13:W70" si="31">IF(M13&lt;&gt;"",W$6-M13,"")</f>
        <v>640</v>
      </c>
      <c r="X13" s="14">
        <f t="shared" ref="X13:X70" si="32">IF(N13&lt;&gt;"",N13,"")</f>
        <v>104</v>
      </c>
      <c r="Y13" s="18">
        <f t="shared" ref="Y13:Y70" si="33">IF(O13&lt;&gt;"",Y$6-O13,"")</f>
        <v>619</v>
      </c>
      <c r="Z13" s="14">
        <f t="shared" ref="Z13:Z70" si="34">IF(P13&lt;&gt;"",P13,"")</f>
        <v>76</v>
      </c>
      <c r="AA13" s="18">
        <f t="shared" ref="AA13:AA70" si="35">IF(Q13&lt;&gt;"",AA$6-Q13,"")</f>
        <v>619</v>
      </c>
      <c r="AB13" s="4" t="s">
        <v>0</v>
      </c>
    </row>
    <row r="14" spans="1:28">
      <c r="A14" s="9" t="s">
        <v>162</v>
      </c>
      <c r="B14" s="24"/>
      <c r="C14" s="26">
        <v>3</v>
      </c>
      <c r="D14" s="28">
        <f t="shared" si="14"/>
        <v>104</v>
      </c>
      <c r="E14" s="29">
        <f t="shared" si="15"/>
        <v>110</v>
      </c>
      <c r="F14" s="28">
        <f t="shared" si="16"/>
        <v>132</v>
      </c>
      <c r="G14" s="29">
        <f t="shared" si="17"/>
        <v>131</v>
      </c>
      <c r="H14" s="4" t="s">
        <v>0</v>
      </c>
      <c r="I14" s="16" t="str">
        <f t="shared" si="18"/>
        <v>05-15</v>
      </c>
      <c r="J14" s="14">
        <f t="shared" si="19"/>
        <v>104</v>
      </c>
      <c r="K14" s="15">
        <f t="shared" si="20"/>
        <v>110</v>
      </c>
      <c r="L14" s="17">
        <f t="shared" si="21"/>
        <v>132</v>
      </c>
      <c r="M14" s="18">
        <f t="shared" si="22"/>
        <v>110</v>
      </c>
      <c r="N14" s="14">
        <f t="shared" si="23"/>
        <v>132</v>
      </c>
      <c r="O14" s="15">
        <f t="shared" si="24"/>
        <v>131</v>
      </c>
      <c r="P14" s="17">
        <f t="shared" si="25"/>
        <v>104</v>
      </c>
      <c r="Q14" s="18">
        <f t="shared" si="26"/>
        <v>131</v>
      </c>
      <c r="R14" s="4" t="s">
        <v>0</v>
      </c>
      <c r="S14" s="16" t="str">
        <f t="shared" si="27"/>
        <v>05-15</v>
      </c>
      <c r="T14" s="14">
        <f t="shared" si="28"/>
        <v>104</v>
      </c>
      <c r="U14" s="18">
        <f t="shared" si="29"/>
        <v>640</v>
      </c>
      <c r="V14" s="14">
        <f t="shared" si="30"/>
        <v>132</v>
      </c>
      <c r="W14" s="18">
        <f t="shared" si="31"/>
        <v>640</v>
      </c>
      <c r="X14" s="14">
        <f t="shared" si="32"/>
        <v>132</v>
      </c>
      <c r="Y14" s="18">
        <f t="shared" si="33"/>
        <v>619</v>
      </c>
      <c r="Z14" s="14">
        <f t="shared" si="34"/>
        <v>104</v>
      </c>
      <c r="AA14" s="18">
        <f t="shared" si="35"/>
        <v>619</v>
      </c>
      <c r="AB14" s="4" t="s">
        <v>0</v>
      </c>
    </row>
    <row r="15" spans="1:28">
      <c r="A15" s="9" t="s">
        <v>161</v>
      </c>
      <c r="B15" s="24"/>
      <c r="C15" s="26">
        <v>4</v>
      </c>
      <c r="D15" s="28">
        <f t="shared" si="14"/>
        <v>132</v>
      </c>
      <c r="E15" s="29">
        <f t="shared" si="15"/>
        <v>110</v>
      </c>
      <c r="F15" s="28">
        <f t="shared" si="16"/>
        <v>160</v>
      </c>
      <c r="G15" s="29">
        <f t="shared" si="17"/>
        <v>131</v>
      </c>
      <c r="H15" s="4" t="s">
        <v>0</v>
      </c>
      <c r="I15" s="16" t="str">
        <f t="shared" si="18"/>
        <v>05-13</v>
      </c>
      <c r="J15" s="14">
        <f t="shared" si="19"/>
        <v>132</v>
      </c>
      <c r="K15" s="15">
        <f t="shared" si="20"/>
        <v>110</v>
      </c>
      <c r="L15" s="17">
        <f t="shared" si="21"/>
        <v>160</v>
      </c>
      <c r="M15" s="18">
        <f t="shared" si="22"/>
        <v>110</v>
      </c>
      <c r="N15" s="14">
        <f t="shared" si="23"/>
        <v>160</v>
      </c>
      <c r="O15" s="15">
        <f t="shared" si="24"/>
        <v>131</v>
      </c>
      <c r="P15" s="17">
        <f t="shared" si="25"/>
        <v>132</v>
      </c>
      <c r="Q15" s="18">
        <f t="shared" si="26"/>
        <v>131</v>
      </c>
      <c r="R15" s="4" t="s">
        <v>0</v>
      </c>
      <c r="S15" s="16" t="str">
        <f t="shared" si="27"/>
        <v>05-13</v>
      </c>
      <c r="T15" s="14">
        <f t="shared" si="28"/>
        <v>132</v>
      </c>
      <c r="U15" s="18">
        <f t="shared" si="29"/>
        <v>640</v>
      </c>
      <c r="V15" s="14">
        <f t="shared" si="30"/>
        <v>160</v>
      </c>
      <c r="W15" s="18">
        <f t="shared" si="31"/>
        <v>640</v>
      </c>
      <c r="X15" s="14">
        <f t="shared" si="32"/>
        <v>160</v>
      </c>
      <c r="Y15" s="18">
        <f t="shared" si="33"/>
        <v>619</v>
      </c>
      <c r="Z15" s="14">
        <f t="shared" si="34"/>
        <v>132</v>
      </c>
      <c r="AA15" s="18">
        <f t="shared" si="35"/>
        <v>619</v>
      </c>
      <c r="AB15" s="4" t="s">
        <v>0</v>
      </c>
    </row>
    <row r="16" spans="1:28">
      <c r="A16" s="9" t="s">
        <v>49</v>
      </c>
      <c r="B16" s="24"/>
      <c r="C16" s="26">
        <v>5</v>
      </c>
      <c r="D16" s="28">
        <f t="shared" si="14"/>
        <v>160</v>
      </c>
      <c r="E16" s="29">
        <f t="shared" si="15"/>
        <v>110</v>
      </c>
      <c r="F16" s="28">
        <f t="shared" si="16"/>
        <v>188</v>
      </c>
      <c r="G16" s="29">
        <f t="shared" si="17"/>
        <v>131</v>
      </c>
      <c r="H16" s="4" t="s">
        <v>0</v>
      </c>
      <c r="I16" s="16" t="str">
        <f t="shared" si="18"/>
        <v>05-12</v>
      </c>
      <c r="J16" s="14">
        <f t="shared" si="19"/>
        <v>160</v>
      </c>
      <c r="K16" s="15">
        <f t="shared" si="20"/>
        <v>110</v>
      </c>
      <c r="L16" s="17">
        <f t="shared" si="21"/>
        <v>188</v>
      </c>
      <c r="M16" s="18">
        <f t="shared" si="22"/>
        <v>110</v>
      </c>
      <c r="N16" s="14">
        <f t="shared" si="23"/>
        <v>188</v>
      </c>
      <c r="O16" s="15">
        <f t="shared" si="24"/>
        <v>131</v>
      </c>
      <c r="P16" s="17">
        <f t="shared" si="25"/>
        <v>160</v>
      </c>
      <c r="Q16" s="18">
        <f t="shared" si="26"/>
        <v>131</v>
      </c>
      <c r="R16" s="4" t="s">
        <v>0</v>
      </c>
      <c r="S16" s="16" t="str">
        <f t="shared" si="27"/>
        <v>05-12</v>
      </c>
      <c r="T16" s="14">
        <f t="shared" si="28"/>
        <v>160</v>
      </c>
      <c r="U16" s="18">
        <f t="shared" si="29"/>
        <v>640</v>
      </c>
      <c r="V16" s="14">
        <f t="shared" si="30"/>
        <v>188</v>
      </c>
      <c r="W16" s="18">
        <f t="shared" si="31"/>
        <v>640</v>
      </c>
      <c r="X16" s="14">
        <f t="shared" si="32"/>
        <v>188</v>
      </c>
      <c r="Y16" s="18">
        <f t="shared" si="33"/>
        <v>619</v>
      </c>
      <c r="Z16" s="14">
        <f t="shared" si="34"/>
        <v>160</v>
      </c>
      <c r="AA16" s="18">
        <f t="shared" si="35"/>
        <v>619</v>
      </c>
      <c r="AB16" s="4" t="s">
        <v>0</v>
      </c>
    </row>
    <row r="17" spans="1:28">
      <c r="A17" s="9" t="s">
        <v>48</v>
      </c>
      <c r="B17" s="24"/>
      <c r="C17" s="26">
        <v>6</v>
      </c>
      <c r="D17" s="28">
        <f t="shared" si="14"/>
        <v>188</v>
      </c>
      <c r="E17" s="29">
        <f t="shared" si="15"/>
        <v>110</v>
      </c>
      <c r="F17" s="28">
        <f t="shared" si="16"/>
        <v>216</v>
      </c>
      <c r="G17" s="29">
        <f t="shared" si="17"/>
        <v>131</v>
      </c>
      <c r="H17" s="4" t="s">
        <v>0</v>
      </c>
      <c r="I17" s="16" t="str">
        <f t="shared" si="18"/>
        <v>05-11</v>
      </c>
      <c r="J17" s="14">
        <f t="shared" si="19"/>
        <v>188</v>
      </c>
      <c r="K17" s="15">
        <f t="shared" si="20"/>
        <v>110</v>
      </c>
      <c r="L17" s="17">
        <f t="shared" si="21"/>
        <v>216</v>
      </c>
      <c r="M17" s="18">
        <f t="shared" si="22"/>
        <v>110</v>
      </c>
      <c r="N17" s="14">
        <f t="shared" si="23"/>
        <v>216</v>
      </c>
      <c r="O17" s="15">
        <f t="shared" si="24"/>
        <v>131</v>
      </c>
      <c r="P17" s="17">
        <f t="shared" si="25"/>
        <v>188</v>
      </c>
      <c r="Q17" s="18">
        <f t="shared" si="26"/>
        <v>131</v>
      </c>
      <c r="R17" s="4" t="s">
        <v>0</v>
      </c>
      <c r="S17" s="16" t="str">
        <f t="shared" si="27"/>
        <v>05-11</v>
      </c>
      <c r="T17" s="14">
        <f t="shared" si="28"/>
        <v>188</v>
      </c>
      <c r="U17" s="18">
        <f t="shared" si="29"/>
        <v>640</v>
      </c>
      <c r="V17" s="14">
        <f t="shared" si="30"/>
        <v>216</v>
      </c>
      <c r="W17" s="18">
        <f t="shared" si="31"/>
        <v>640</v>
      </c>
      <c r="X17" s="14">
        <f t="shared" si="32"/>
        <v>216</v>
      </c>
      <c r="Y17" s="18">
        <f t="shared" si="33"/>
        <v>619</v>
      </c>
      <c r="Z17" s="14">
        <f t="shared" si="34"/>
        <v>188</v>
      </c>
      <c r="AA17" s="18">
        <f t="shared" si="35"/>
        <v>619</v>
      </c>
      <c r="AB17" s="4" t="s">
        <v>0</v>
      </c>
    </row>
    <row r="18" spans="1:28">
      <c r="A18" s="9" t="s">
        <v>47</v>
      </c>
      <c r="B18" s="24"/>
      <c r="C18" s="26"/>
      <c r="D18" s="27">
        <v>256</v>
      </c>
      <c r="E18" s="31">
        <v>110</v>
      </c>
      <c r="F18" s="31">
        <v>284</v>
      </c>
      <c r="G18" s="31">
        <v>131</v>
      </c>
      <c r="H18" s="4" t="s">
        <v>0</v>
      </c>
      <c r="I18" s="16" t="str">
        <f t="shared" si="18"/>
        <v>05-10</v>
      </c>
      <c r="J18" s="14">
        <f t="shared" si="19"/>
        <v>256</v>
      </c>
      <c r="K18" s="15">
        <f t="shared" si="20"/>
        <v>110</v>
      </c>
      <c r="L18" s="17">
        <f t="shared" si="21"/>
        <v>284</v>
      </c>
      <c r="M18" s="18">
        <f t="shared" si="22"/>
        <v>110</v>
      </c>
      <c r="N18" s="14">
        <f t="shared" si="23"/>
        <v>284</v>
      </c>
      <c r="O18" s="15">
        <f t="shared" si="24"/>
        <v>131</v>
      </c>
      <c r="P18" s="17">
        <f t="shared" si="25"/>
        <v>256</v>
      </c>
      <c r="Q18" s="18">
        <f t="shared" si="26"/>
        <v>131</v>
      </c>
      <c r="R18" s="4" t="s">
        <v>0</v>
      </c>
      <c r="S18" s="16" t="str">
        <f t="shared" si="27"/>
        <v>05-10</v>
      </c>
      <c r="T18" s="14">
        <f t="shared" si="28"/>
        <v>256</v>
      </c>
      <c r="U18" s="18">
        <f t="shared" si="29"/>
        <v>640</v>
      </c>
      <c r="V18" s="14">
        <f t="shared" si="30"/>
        <v>284</v>
      </c>
      <c r="W18" s="18">
        <f t="shared" si="31"/>
        <v>640</v>
      </c>
      <c r="X18" s="14">
        <f t="shared" si="32"/>
        <v>284</v>
      </c>
      <c r="Y18" s="18">
        <f t="shared" si="33"/>
        <v>619</v>
      </c>
      <c r="Z18" s="14">
        <f t="shared" si="34"/>
        <v>256</v>
      </c>
      <c r="AA18" s="18">
        <f t="shared" si="35"/>
        <v>619</v>
      </c>
      <c r="AB18" s="4" t="s">
        <v>0</v>
      </c>
    </row>
    <row r="19" spans="1:28">
      <c r="A19" s="9" t="s">
        <v>46</v>
      </c>
      <c r="B19" s="24"/>
      <c r="C19" s="26">
        <v>1</v>
      </c>
      <c r="D19" s="28">
        <f>ROUND(D$18+28*$C19, 0)</f>
        <v>284</v>
      </c>
      <c r="E19" s="29">
        <f>E$11</f>
        <v>110</v>
      </c>
      <c r="F19" s="28">
        <f>ROUND(F$18+28*$C19, 0)</f>
        <v>312</v>
      </c>
      <c r="G19" s="29">
        <f>G$11</f>
        <v>131</v>
      </c>
      <c r="H19" s="4" t="s">
        <v>0</v>
      </c>
      <c r="I19" s="16" t="str">
        <f t="shared" si="18"/>
        <v>05-08</v>
      </c>
      <c r="J19" s="14">
        <f t="shared" si="19"/>
        <v>284</v>
      </c>
      <c r="K19" s="15">
        <f t="shared" si="20"/>
        <v>110</v>
      </c>
      <c r="L19" s="17">
        <f t="shared" si="21"/>
        <v>312</v>
      </c>
      <c r="M19" s="18">
        <f t="shared" si="22"/>
        <v>110</v>
      </c>
      <c r="N19" s="14">
        <f t="shared" si="23"/>
        <v>312</v>
      </c>
      <c r="O19" s="15">
        <f t="shared" si="24"/>
        <v>131</v>
      </c>
      <c r="P19" s="17">
        <f t="shared" si="25"/>
        <v>284</v>
      </c>
      <c r="Q19" s="18">
        <f t="shared" si="26"/>
        <v>131</v>
      </c>
      <c r="R19" s="4" t="s">
        <v>0</v>
      </c>
      <c r="S19" s="16" t="str">
        <f t="shared" si="27"/>
        <v>05-08</v>
      </c>
      <c r="T19" s="14">
        <f t="shared" si="28"/>
        <v>284</v>
      </c>
      <c r="U19" s="18">
        <f t="shared" si="29"/>
        <v>640</v>
      </c>
      <c r="V19" s="14">
        <f t="shared" si="30"/>
        <v>312</v>
      </c>
      <c r="W19" s="18">
        <f t="shared" si="31"/>
        <v>640</v>
      </c>
      <c r="X19" s="14">
        <f t="shared" si="32"/>
        <v>312</v>
      </c>
      <c r="Y19" s="18">
        <f t="shared" si="33"/>
        <v>619</v>
      </c>
      <c r="Z19" s="14">
        <f t="shared" si="34"/>
        <v>284</v>
      </c>
      <c r="AA19" s="18">
        <f t="shared" si="35"/>
        <v>619</v>
      </c>
      <c r="AB19" s="4" t="s">
        <v>0</v>
      </c>
    </row>
    <row r="20" spans="1:28">
      <c r="A20" s="9" t="s">
        <v>45</v>
      </c>
      <c r="B20" s="24"/>
      <c r="C20" s="26">
        <v>2</v>
      </c>
      <c r="D20" s="28">
        <f t="shared" ref="D20:D25" si="36">ROUND(D$18+28*$C20, 0)</f>
        <v>312</v>
      </c>
      <c r="E20" s="29">
        <f t="shared" ref="E20:E25" si="37">E$11</f>
        <v>110</v>
      </c>
      <c r="F20" s="28">
        <f t="shared" ref="F20:F25" si="38">ROUND(F$18+28*$C20, 0)</f>
        <v>340</v>
      </c>
      <c r="G20" s="29">
        <f t="shared" ref="G20:G25" si="39">G$11</f>
        <v>131</v>
      </c>
      <c r="H20" s="4" t="s">
        <v>0</v>
      </c>
      <c r="I20" s="16" t="str">
        <f t="shared" si="18"/>
        <v>05-07</v>
      </c>
      <c r="J20" s="14">
        <f t="shared" si="19"/>
        <v>312</v>
      </c>
      <c r="K20" s="15">
        <f t="shared" si="20"/>
        <v>110</v>
      </c>
      <c r="L20" s="17">
        <f t="shared" si="21"/>
        <v>340</v>
      </c>
      <c r="M20" s="18">
        <f t="shared" si="22"/>
        <v>110</v>
      </c>
      <c r="N20" s="14">
        <f t="shared" si="23"/>
        <v>340</v>
      </c>
      <c r="O20" s="15">
        <f t="shared" si="24"/>
        <v>131</v>
      </c>
      <c r="P20" s="17">
        <f t="shared" si="25"/>
        <v>312</v>
      </c>
      <c r="Q20" s="18">
        <f t="shared" si="26"/>
        <v>131</v>
      </c>
      <c r="R20" s="4" t="s">
        <v>0</v>
      </c>
      <c r="S20" s="16" t="str">
        <f t="shared" si="27"/>
        <v>05-07</v>
      </c>
      <c r="T20" s="14">
        <f t="shared" si="28"/>
        <v>312</v>
      </c>
      <c r="U20" s="18">
        <f t="shared" si="29"/>
        <v>640</v>
      </c>
      <c r="V20" s="14">
        <f t="shared" si="30"/>
        <v>340</v>
      </c>
      <c r="W20" s="18">
        <f t="shared" si="31"/>
        <v>640</v>
      </c>
      <c r="X20" s="14">
        <f t="shared" si="32"/>
        <v>340</v>
      </c>
      <c r="Y20" s="18">
        <f t="shared" si="33"/>
        <v>619</v>
      </c>
      <c r="Z20" s="14">
        <f t="shared" si="34"/>
        <v>312</v>
      </c>
      <c r="AA20" s="18">
        <f t="shared" si="35"/>
        <v>619</v>
      </c>
      <c r="AB20" s="4" t="s">
        <v>0</v>
      </c>
    </row>
    <row r="21" spans="1:28">
      <c r="A21" s="9" t="s">
        <v>44</v>
      </c>
      <c r="B21" s="24"/>
      <c r="C21" s="26">
        <v>3</v>
      </c>
      <c r="D21" s="28">
        <f t="shared" si="36"/>
        <v>340</v>
      </c>
      <c r="E21" s="29">
        <f t="shared" si="37"/>
        <v>110</v>
      </c>
      <c r="F21" s="28">
        <f t="shared" si="38"/>
        <v>368</v>
      </c>
      <c r="G21" s="29">
        <f t="shared" si="39"/>
        <v>131</v>
      </c>
      <c r="H21" s="4" t="s">
        <v>0</v>
      </c>
      <c r="I21" s="16" t="str">
        <f t="shared" si="18"/>
        <v>05-06</v>
      </c>
      <c r="J21" s="14">
        <f t="shared" si="19"/>
        <v>340</v>
      </c>
      <c r="K21" s="15">
        <f t="shared" si="20"/>
        <v>110</v>
      </c>
      <c r="L21" s="17">
        <f t="shared" si="21"/>
        <v>368</v>
      </c>
      <c r="M21" s="18">
        <f t="shared" si="22"/>
        <v>110</v>
      </c>
      <c r="N21" s="14">
        <f t="shared" si="23"/>
        <v>368</v>
      </c>
      <c r="O21" s="15">
        <f t="shared" si="24"/>
        <v>131</v>
      </c>
      <c r="P21" s="17">
        <f t="shared" si="25"/>
        <v>340</v>
      </c>
      <c r="Q21" s="18">
        <f t="shared" si="26"/>
        <v>131</v>
      </c>
      <c r="R21" s="4" t="s">
        <v>0</v>
      </c>
      <c r="S21" s="16" t="str">
        <f t="shared" si="27"/>
        <v>05-06</v>
      </c>
      <c r="T21" s="14">
        <f t="shared" si="28"/>
        <v>340</v>
      </c>
      <c r="U21" s="18">
        <f t="shared" si="29"/>
        <v>640</v>
      </c>
      <c r="V21" s="14">
        <f t="shared" si="30"/>
        <v>368</v>
      </c>
      <c r="W21" s="18">
        <f t="shared" si="31"/>
        <v>640</v>
      </c>
      <c r="X21" s="14">
        <f t="shared" si="32"/>
        <v>368</v>
      </c>
      <c r="Y21" s="18">
        <f t="shared" si="33"/>
        <v>619</v>
      </c>
      <c r="Z21" s="14">
        <f t="shared" si="34"/>
        <v>340</v>
      </c>
      <c r="AA21" s="18">
        <f t="shared" si="35"/>
        <v>619</v>
      </c>
      <c r="AB21" s="4" t="s">
        <v>0</v>
      </c>
    </row>
    <row r="22" spans="1:28">
      <c r="A22" s="9" t="s">
        <v>43</v>
      </c>
      <c r="B22" s="24"/>
      <c r="C22" s="26">
        <v>4</v>
      </c>
      <c r="D22" s="28">
        <f t="shared" si="36"/>
        <v>368</v>
      </c>
      <c r="E22" s="29">
        <f t="shared" si="37"/>
        <v>110</v>
      </c>
      <c r="F22" s="28">
        <f t="shared" si="38"/>
        <v>396</v>
      </c>
      <c r="G22" s="29">
        <f t="shared" si="39"/>
        <v>131</v>
      </c>
      <c r="H22" s="4" t="s">
        <v>0</v>
      </c>
      <c r="I22" s="16" t="str">
        <f t="shared" si="18"/>
        <v>05-05</v>
      </c>
      <c r="J22" s="14">
        <f t="shared" si="19"/>
        <v>368</v>
      </c>
      <c r="K22" s="15">
        <f t="shared" si="20"/>
        <v>110</v>
      </c>
      <c r="L22" s="17">
        <f t="shared" si="21"/>
        <v>396</v>
      </c>
      <c r="M22" s="18">
        <f t="shared" si="22"/>
        <v>110</v>
      </c>
      <c r="N22" s="14">
        <f t="shared" si="23"/>
        <v>396</v>
      </c>
      <c r="O22" s="15">
        <f t="shared" si="24"/>
        <v>131</v>
      </c>
      <c r="P22" s="17">
        <f t="shared" si="25"/>
        <v>368</v>
      </c>
      <c r="Q22" s="18">
        <f t="shared" si="26"/>
        <v>131</v>
      </c>
      <c r="R22" s="4" t="s">
        <v>0</v>
      </c>
      <c r="S22" s="16" t="str">
        <f t="shared" si="27"/>
        <v>05-05</v>
      </c>
      <c r="T22" s="14">
        <f t="shared" si="28"/>
        <v>368</v>
      </c>
      <c r="U22" s="18">
        <f t="shared" si="29"/>
        <v>640</v>
      </c>
      <c r="V22" s="14">
        <f t="shared" si="30"/>
        <v>396</v>
      </c>
      <c r="W22" s="18">
        <f t="shared" si="31"/>
        <v>640</v>
      </c>
      <c r="X22" s="14">
        <f t="shared" si="32"/>
        <v>396</v>
      </c>
      <c r="Y22" s="18">
        <f t="shared" si="33"/>
        <v>619</v>
      </c>
      <c r="Z22" s="14">
        <f t="shared" si="34"/>
        <v>368</v>
      </c>
      <c r="AA22" s="18">
        <f t="shared" si="35"/>
        <v>619</v>
      </c>
      <c r="AB22" s="4" t="s">
        <v>0</v>
      </c>
    </row>
    <row r="23" spans="1:28">
      <c r="A23" s="9" t="s">
        <v>42</v>
      </c>
      <c r="B23" s="24"/>
      <c r="C23" s="26">
        <v>5</v>
      </c>
      <c r="D23" s="28">
        <f t="shared" si="36"/>
        <v>396</v>
      </c>
      <c r="E23" s="29">
        <f t="shared" si="37"/>
        <v>110</v>
      </c>
      <c r="F23" s="28">
        <f t="shared" si="38"/>
        <v>424</v>
      </c>
      <c r="G23" s="29">
        <f t="shared" si="39"/>
        <v>131</v>
      </c>
      <c r="H23" s="4" t="s">
        <v>0</v>
      </c>
      <c r="I23" s="16" t="str">
        <f t="shared" si="18"/>
        <v>05-03</v>
      </c>
      <c r="J23" s="14">
        <f t="shared" si="19"/>
        <v>396</v>
      </c>
      <c r="K23" s="15">
        <f t="shared" si="20"/>
        <v>110</v>
      </c>
      <c r="L23" s="17">
        <f t="shared" si="21"/>
        <v>424</v>
      </c>
      <c r="M23" s="18">
        <f t="shared" si="22"/>
        <v>110</v>
      </c>
      <c r="N23" s="14">
        <f t="shared" si="23"/>
        <v>424</v>
      </c>
      <c r="O23" s="15">
        <f t="shared" si="24"/>
        <v>131</v>
      </c>
      <c r="P23" s="17">
        <f t="shared" si="25"/>
        <v>396</v>
      </c>
      <c r="Q23" s="18">
        <f t="shared" si="26"/>
        <v>131</v>
      </c>
      <c r="R23" s="4" t="s">
        <v>0</v>
      </c>
      <c r="S23" s="16" t="str">
        <f t="shared" si="27"/>
        <v>05-03</v>
      </c>
      <c r="T23" s="14">
        <f t="shared" si="28"/>
        <v>396</v>
      </c>
      <c r="U23" s="18">
        <f t="shared" si="29"/>
        <v>640</v>
      </c>
      <c r="V23" s="14">
        <f t="shared" si="30"/>
        <v>424</v>
      </c>
      <c r="W23" s="18">
        <f t="shared" si="31"/>
        <v>640</v>
      </c>
      <c r="X23" s="14">
        <f t="shared" si="32"/>
        <v>424</v>
      </c>
      <c r="Y23" s="18">
        <f t="shared" si="33"/>
        <v>619</v>
      </c>
      <c r="Z23" s="14">
        <f t="shared" si="34"/>
        <v>396</v>
      </c>
      <c r="AA23" s="18">
        <f t="shared" si="35"/>
        <v>619</v>
      </c>
      <c r="AB23" s="4" t="s">
        <v>0</v>
      </c>
    </row>
    <row r="24" spans="1:28">
      <c r="A24" s="9" t="s">
        <v>41</v>
      </c>
      <c r="B24" s="24"/>
      <c r="C24" s="26">
        <v>6</v>
      </c>
      <c r="D24" s="28">
        <f t="shared" si="36"/>
        <v>424</v>
      </c>
      <c r="E24" s="29">
        <f t="shared" si="37"/>
        <v>110</v>
      </c>
      <c r="F24" s="28">
        <f t="shared" si="38"/>
        <v>452</v>
      </c>
      <c r="G24" s="29">
        <f t="shared" si="39"/>
        <v>131</v>
      </c>
      <c r="H24" s="4" t="s">
        <v>0</v>
      </c>
      <c r="I24" s="16" t="str">
        <f t="shared" si="18"/>
        <v>05-02</v>
      </c>
      <c r="J24" s="14">
        <f t="shared" si="19"/>
        <v>424</v>
      </c>
      <c r="K24" s="15">
        <f t="shared" si="20"/>
        <v>110</v>
      </c>
      <c r="L24" s="17">
        <f t="shared" si="21"/>
        <v>452</v>
      </c>
      <c r="M24" s="18">
        <f t="shared" si="22"/>
        <v>110</v>
      </c>
      <c r="N24" s="14">
        <f t="shared" si="23"/>
        <v>452</v>
      </c>
      <c r="O24" s="15">
        <f t="shared" si="24"/>
        <v>131</v>
      </c>
      <c r="P24" s="17">
        <f t="shared" si="25"/>
        <v>424</v>
      </c>
      <c r="Q24" s="18">
        <f t="shared" si="26"/>
        <v>131</v>
      </c>
      <c r="R24" s="4" t="s">
        <v>0</v>
      </c>
      <c r="S24" s="16" t="str">
        <f t="shared" si="27"/>
        <v>05-02</v>
      </c>
      <c r="T24" s="14">
        <f t="shared" si="28"/>
        <v>424</v>
      </c>
      <c r="U24" s="18">
        <f t="shared" si="29"/>
        <v>640</v>
      </c>
      <c r="V24" s="14">
        <f t="shared" si="30"/>
        <v>452</v>
      </c>
      <c r="W24" s="18">
        <f t="shared" si="31"/>
        <v>640</v>
      </c>
      <c r="X24" s="14">
        <f t="shared" si="32"/>
        <v>452</v>
      </c>
      <c r="Y24" s="18">
        <f t="shared" si="33"/>
        <v>619</v>
      </c>
      <c r="Z24" s="14">
        <f t="shared" si="34"/>
        <v>424</v>
      </c>
      <c r="AA24" s="18">
        <f t="shared" si="35"/>
        <v>619</v>
      </c>
      <c r="AB24" s="4" t="s">
        <v>0</v>
      </c>
    </row>
    <row r="25" spans="1:28">
      <c r="A25" s="9" t="s">
        <v>40</v>
      </c>
      <c r="B25" s="24"/>
      <c r="C25" s="26">
        <v>7</v>
      </c>
      <c r="D25" s="28">
        <f t="shared" si="36"/>
        <v>452</v>
      </c>
      <c r="E25" s="29">
        <f t="shared" si="37"/>
        <v>110</v>
      </c>
      <c r="F25" s="28">
        <f t="shared" si="38"/>
        <v>480</v>
      </c>
      <c r="G25" s="29">
        <f t="shared" si="39"/>
        <v>131</v>
      </c>
      <c r="H25" s="4" t="s">
        <v>0</v>
      </c>
      <c r="I25" s="16" t="str">
        <f t="shared" si="18"/>
        <v>05-01</v>
      </c>
      <c r="J25" s="14">
        <f t="shared" si="19"/>
        <v>452</v>
      </c>
      <c r="K25" s="15">
        <f t="shared" si="20"/>
        <v>110</v>
      </c>
      <c r="L25" s="17">
        <f t="shared" si="21"/>
        <v>480</v>
      </c>
      <c r="M25" s="18">
        <f t="shared" si="22"/>
        <v>110</v>
      </c>
      <c r="N25" s="14">
        <f t="shared" si="23"/>
        <v>480</v>
      </c>
      <c r="O25" s="15">
        <f t="shared" si="24"/>
        <v>131</v>
      </c>
      <c r="P25" s="17">
        <f t="shared" si="25"/>
        <v>452</v>
      </c>
      <c r="Q25" s="18">
        <f t="shared" si="26"/>
        <v>131</v>
      </c>
      <c r="R25" s="4" t="s">
        <v>0</v>
      </c>
      <c r="S25" s="16" t="str">
        <f t="shared" si="27"/>
        <v>05-01</v>
      </c>
      <c r="T25" s="14">
        <f t="shared" si="28"/>
        <v>452</v>
      </c>
      <c r="U25" s="18">
        <f t="shared" si="29"/>
        <v>640</v>
      </c>
      <c r="V25" s="14">
        <f t="shared" si="30"/>
        <v>480</v>
      </c>
      <c r="W25" s="18">
        <f t="shared" si="31"/>
        <v>640</v>
      </c>
      <c r="X25" s="14">
        <f t="shared" si="32"/>
        <v>480</v>
      </c>
      <c r="Y25" s="18">
        <f t="shared" si="33"/>
        <v>619</v>
      </c>
      <c r="Z25" s="14">
        <f t="shared" si="34"/>
        <v>452</v>
      </c>
      <c r="AA25" s="18">
        <f t="shared" si="35"/>
        <v>619</v>
      </c>
      <c r="AB25" s="4" t="s">
        <v>0</v>
      </c>
    </row>
    <row r="26" spans="1:28">
      <c r="A26" s="9" t="s">
        <v>158</v>
      </c>
      <c r="B26" s="24"/>
      <c r="C26" s="26">
        <v>1</v>
      </c>
      <c r="D26" s="25">
        <f>D11</f>
        <v>20</v>
      </c>
      <c r="E26" s="28">
        <f>ROUND(E$11+27.8*$C26, 0)</f>
        <v>138</v>
      </c>
      <c r="F26" s="25">
        <f>F11</f>
        <v>48</v>
      </c>
      <c r="G26" s="28">
        <f>ROUND(G$11+27.8*$C26, 0)</f>
        <v>159</v>
      </c>
      <c r="H26" s="4" t="s">
        <v>0</v>
      </c>
      <c r="I26" s="16" t="str">
        <f t="shared" si="18"/>
        <v>03-18</v>
      </c>
      <c r="J26" s="14">
        <f t="shared" si="19"/>
        <v>20</v>
      </c>
      <c r="K26" s="15">
        <f t="shared" si="20"/>
        <v>138</v>
      </c>
      <c r="L26" s="17">
        <f t="shared" si="21"/>
        <v>48</v>
      </c>
      <c r="M26" s="18">
        <f t="shared" si="22"/>
        <v>138</v>
      </c>
      <c r="N26" s="14">
        <f t="shared" si="23"/>
        <v>48</v>
      </c>
      <c r="O26" s="15">
        <f t="shared" si="24"/>
        <v>159</v>
      </c>
      <c r="P26" s="17">
        <f t="shared" si="25"/>
        <v>20</v>
      </c>
      <c r="Q26" s="18">
        <f t="shared" si="26"/>
        <v>159</v>
      </c>
      <c r="R26" s="4" t="s">
        <v>0</v>
      </c>
      <c r="S26" s="16" t="str">
        <f t="shared" si="27"/>
        <v>03-18</v>
      </c>
      <c r="T26" s="14">
        <f t="shared" si="28"/>
        <v>20</v>
      </c>
      <c r="U26" s="18">
        <f t="shared" si="29"/>
        <v>612</v>
      </c>
      <c r="V26" s="14">
        <f t="shared" si="30"/>
        <v>48</v>
      </c>
      <c r="W26" s="18">
        <f t="shared" si="31"/>
        <v>612</v>
      </c>
      <c r="X26" s="14">
        <f t="shared" si="32"/>
        <v>48</v>
      </c>
      <c r="Y26" s="18">
        <f t="shared" si="33"/>
        <v>591</v>
      </c>
      <c r="Z26" s="14">
        <f t="shared" si="34"/>
        <v>20</v>
      </c>
      <c r="AA26" s="18">
        <f t="shared" si="35"/>
        <v>591</v>
      </c>
      <c r="AB26" s="4" t="s">
        <v>0</v>
      </c>
    </row>
    <row r="27" spans="1:28">
      <c r="A27" s="9" t="s">
        <v>157</v>
      </c>
      <c r="B27" s="24"/>
      <c r="C27" s="26"/>
      <c r="D27" s="25">
        <f t="shared" ref="D27:F28" si="40">D12</f>
        <v>48</v>
      </c>
      <c r="E27" s="29">
        <f t="shared" ref="E27:G28" si="41">E26</f>
        <v>138</v>
      </c>
      <c r="F27" s="25">
        <f t="shared" si="40"/>
        <v>76</v>
      </c>
      <c r="G27" s="29">
        <f t="shared" si="41"/>
        <v>159</v>
      </c>
      <c r="H27" s="4" t="s">
        <v>0</v>
      </c>
      <c r="I27" s="16" t="str">
        <f t="shared" si="18"/>
        <v>03-17</v>
      </c>
      <c r="J27" s="14">
        <f t="shared" si="19"/>
        <v>48</v>
      </c>
      <c r="K27" s="15">
        <f t="shared" si="20"/>
        <v>138</v>
      </c>
      <c r="L27" s="17">
        <f t="shared" si="21"/>
        <v>76</v>
      </c>
      <c r="M27" s="18">
        <f t="shared" si="22"/>
        <v>138</v>
      </c>
      <c r="N27" s="14">
        <f t="shared" si="23"/>
        <v>76</v>
      </c>
      <c r="O27" s="15">
        <f t="shared" si="24"/>
        <v>159</v>
      </c>
      <c r="P27" s="17">
        <f t="shared" si="25"/>
        <v>48</v>
      </c>
      <c r="Q27" s="18">
        <f t="shared" si="26"/>
        <v>159</v>
      </c>
      <c r="R27" s="4" t="s">
        <v>0</v>
      </c>
      <c r="S27" s="16" t="str">
        <f t="shared" si="27"/>
        <v>03-17</v>
      </c>
      <c r="T27" s="14">
        <f t="shared" si="28"/>
        <v>48</v>
      </c>
      <c r="U27" s="18">
        <f t="shared" si="29"/>
        <v>612</v>
      </c>
      <c r="V27" s="14">
        <f t="shared" si="30"/>
        <v>76</v>
      </c>
      <c r="W27" s="18">
        <f t="shared" si="31"/>
        <v>612</v>
      </c>
      <c r="X27" s="14">
        <f t="shared" si="32"/>
        <v>76</v>
      </c>
      <c r="Y27" s="18">
        <f t="shared" si="33"/>
        <v>591</v>
      </c>
      <c r="Z27" s="14">
        <f t="shared" si="34"/>
        <v>48</v>
      </c>
      <c r="AA27" s="18">
        <f t="shared" si="35"/>
        <v>591</v>
      </c>
      <c r="AB27" s="4" t="s">
        <v>0</v>
      </c>
    </row>
    <row r="28" spans="1:28">
      <c r="A28" s="9" t="s">
        <v>156</v>
      </c>
      <c r="B28" s="24"/>
      <c r="C28" s="26"/>
      <c r="D28" s="25">
        <f t="shared" si="40"/>
        <v>76</v>
      </c>
      <c r="E28" s="29">
        <f t="shared" si="41"/>
        <v>138</v>
      </c>
      <c r="F28" s="25">
        <f t="shared" si="40"/>
        <v>104</v>
      </c>
      <c r="G28" s="29">
        <f t="shared" si="41"/>
        <v>159</v>
      </c>
      <c r="H28" s="4" t="s">
        <v>0</v>
      </c>
      <c r="I28" s="16" t="str">
        <f t="shared" si="18"/>
        <v>03-16</v>
      </c>
      <c r="J28" s="14">
        <f t="shared" si="19"/>
        <v>76</v>
      </c>
      <c r="K28" s="15">
        <f t="shared" si="20"/>
        <v>138</v>
      </c>
      <c r="L28" s="17">
        <f t="shared" si="21"/>
        <v>104</v>
      </c>
      <c r="M28" s="18">
        <f t="shared" si="22"/>
        <v>138</v>
      </c>
      <c r="N28" s="14">
        <f t="shared" si="23"/>
        <v>104</v>
      </c>
      <c r="O28" s="15">
        <f t="shared" si="24"/>
        <v>159</v>
      </c>
      <c r="P28" s="17">
        <f t="shared" si="25"/>
        <v>76</v>
      </c>
      <c r="Q28" s="18">
        <f t="shared" si="26"/>
        <v>159</v>
      </c>
      <c r="R28" s="4" t="s">
        <v>0</v>
      </c>
      <c r="S28" s="16" t="str">
        <f t="shared" si="27"/>
        <v>03-16</v>
      </c>
      <c r="T28" s="14">
        <f t="shared" si="28"/>
        <v>76</v>
      </c>
      <c r="U28" s="18">
        <f t="shared" si="29"/>
        <v>612</v>
      </c>
      <c r="V28" s="14">
        <f t="shared" si="30"/>
        <v>104</v>
      </c>
      <c r="W28" s="18">
        <f t="shared" si="31"/>
        <v>612</v>
      </c>
      <c r="X28" s="14">
        <f t="shared" si="32"/>
        <v>104</v>
      </c>
      <c r="Y28" s="18">
        <f t="shared" si="33"/>
        <v>591</v>
      </c>
      <c r="Z28" s="14">
        <f t="shared" si="34"/>
        <v>76</v>
      </c>
      <c r="AA28" s="18">
        <f t="shared" si="35"/>
        <v>591</v>
      </c>
      <c r="AB28" s="4" t="s">
        <v>0</v>
      </c>
    </row>
    <row r="29" spans="1:28">
      <c r="A29" s="9" t="s">
        <v>155</v>
      </c>
      <c r="B29" s="24"/>
      <c r="C29" s="26"/>
      <c r="D29" s="25">
        <f t="shared" ref="D29" si="42">D14</f>
        <v>104</v>
      </c>
      <c r="E29" s="29">
        <f t="shared" ref="E29" si="43">E28</f>
        <v>138</v>
      </c>
      <c r="F29" s="25">
        <f t="shared" ref="F29" si="44">F14</f>
        <v>132</v>
      </c>
      <c r="G29" s="29">
        <f t="shared" ref="G29" si="45">G28</f>
        <v>159</v>
      </c>
      <c r="H29" s="4" t="s">
        <v>0</v>
      </c>
      <c r="I29" s="16" t="str">
        <f t="shared" si="18"/>
        <v>03-15</v>
      </c>
      <c r="J29" s="14">
        <f t="shared" si="19"/>
        <v>104</v>
      </c>
      <c r="K29" s="15">
        <f t="shared" si="20"/>
        <v>138</v>
      </c>
      <c r="L29" s="17">
        <f t="shared" si="21"/>
        <v>132</v>
      </c>
      <c r="M29" s="18">
        <f t="shared" si="22"/>
        <v>138</v>
      </c>
      <c r="N29" s="14">
        <f t="shared" si="23"/>
        <v>132</v>
      </c>
      <c r="O29" s="15">
        <f t="shared" si="24"/>
        <v>159</v>
      </c>
      <c r="P29" s="17">
        <f t="shared" si="25"/>
        <v>104</v>
      </c>
      <c r="Q29" s="18">
        <f t="shared" si="26"/>
        <v>159</v>
      </c>
      <c r="R29" s="4" t="s">
        <v>0</v>
      </c>
      <c r="S29" s="16" t="str">
        <f t="shared" si="27"/>
        <v>03-15</v>
      </c>
      <c r="T29" s="14">
        <f t="shared" si="28"/>
        <v>104</v>
      </c>
      <c r="U29" s="18">
        <f t="shared" si="29"/>
        <v>612</v>
      </c>
      <c r="V29" s="14">
        <f t="shared" si="30"/>
        <v>132</v>
      </c>
      <c r="W29" s="18">
        <f t="shared" si="31"/>
        <v>612</v>
      </c>
      <c r="X29" s="14">
        <f t="shared" si="32"/>
        <v>132</v>
      </c>
      <c r="Y29" s="18">
        <f t="shared" si="33"/>
        <v>591</v>
      </c>
      <c r="Z29" s="14">
        <f t="shared" si="34"/>
        <v>104</v>
      </c>
      <c r="AA29" s="18">
        <f t="shared" si="35"/>
        <v>591</v>
      </c>
      <c r="AB29" s="4" t="s">
        <v>0</v>
      </c>
    </row>
    <row r="30" spans="1:28">
      <c r="A30" s="9" t="s">
        <v>154</v>
      </c>
      <c r="B30" s="24"/>
      <c r="C30" s="26"/>
      <c r="D30" s="25">
        <f t="shared" ref="D30" si="46">D15</f>
        <v>132</v>
      </c>
      <c r="E30" s="29">
        <f t="shared" ref="E30" si="47">E29</f>
        <v>138</v>
      </c>
      <c r="F30" s="25">
        <f t="shared" ref="F30" si="48">F15</f>
        <v>160</v>
      </c>
      <c r="G30" s="29">
        <f t="shared" ref="G30" si="49">G29</f>
        <v>159</v>
      </c>
      <c r="H30" s="4" t="s">
        <v>0</v>
      </c>
      <c r="I30" s="16" t="str">
        <f t="shared" si="18"/>
        <v>03-13</v>
      </c>
      <c r="J30" s="14">
        <f t="shared" si="19"/>
        <v>132</v>
      </c>
      <c r="K30" s="15">
        <f t="shared" si="20"/>
        <v>138</v>
      </c>
      <c r="L30" s="17">
        <f t="shared" si="21"/>
        <v>160</v>
      </c>
      <c r="M30" s="18">
        <f t="shared" si="22"/>
        <v>138</v>
      </c>
      <c r="N30" s="14">
        <f t="shared" si="23"/>
        <v>160</v>
      </c>
      <c r="O30" s="15">
        <f t="shared" si="24"/>
        <v>159</v>
      </c>
      <c r="P30" s="17">
        <f t="shared" si="25"/>
        <v>132</v>
      </c>
      <c r="Q30" s="18">
        <f t="shared" si="26"/>
        <v>159</v>
      </c>
      <c r="R30" s="4" t="s">
        <v>0</v>
      </c>
      <c r="S30" s="16" t="str">
        <f t="shared" si="27"/>
        <v>03-13</v>
      </c>
      <c r="T30" s="14">
        <f t="shared" si="28"/>
        <v>132</v>
      </c>
      <c r="U30" s="18">
        <f t="shared" si="29"/>
        <v>612</v>
      </c>
      <c r="V30" s="14">
        <f t="shared" si="30"/>
        <v>160</v>
      </c>
      <c r="W30" s="18">
        <f t="shared" si="31"/>
        <v>612</v>
      </c>
      <c r="X30" s="14">
        <f t="shared" si="32"/>
        <v>160</v>
      </c>
      <c r="Y30" s="18">
        <f t="shared" si="33"/>
        <v>591</v>
      </c>
      <c r="Z30" s="14">
        <f t="shared" si="34"/>
        <v>132</v>
      </c>
      <c r="AA30" s="18">
        <f t="shared" si="35"/>
        <v>591</v>
      </c>
      <c r="AB30" s="4" t="s">
        <v>0</v>
      </c>
    </row>
    <row r="31" spans="1:28">
      <c r="A31" s="9" t="s">
        <v>39</v>
      </c>
      <c r="B31" s="24"/>
      <c r="C31" s="26"/>
      <c r="D31" s="25">
        <f t="shared" ref="D31" si="50">D16</f>
        <v>160</v>
      </c>
      <c r="E31" s="29">
        <f t="shared" ref="E31" si="51">E30</f>
        <v>138</v>
      </c>
      <c r="F31" s="25">
        <f t="shared" ref="F31" si="52">F16</f>
        <v>188</v>
      </c>
      <c r="G31" s="29">
        <f t="shared" ref="G31" si="53">G30</f>
        <v>159</v>
      </c>
      <c r="H31" s="4" t="s">
        <v>0</v>
      </c>
      <c r="I31" s="16" t="str">
        <f t="shared" si="18"/>
        <v>03-12</v>
      </c>
      <c r="J31" s="14">
        <f t="shared" si="19"/>
        <v>160</v>
      </c>
      <c r="K31" s="15">
        <f t="shared" si="20"/>
        <v>138</v>
      </c>
      <c r="L31" s="17">
        <f t="shared" si="21"/>
        <v>188</v>
      </c>
      <c r="M31" s="18">
        <f t="shared" si="22"/>
        <v>138</v>
      </c>
      <c r="N31" s="14">
        <f t="shared" si="23"/>
        <v>188</v>
      </c>
      <c r="O31" s="15">
        <f t="shared" si="24"/>
        <v>159</v>
      </c>
      <c r="P31" s="17">
        <f t="shared" si="25"/>
        <v>160</v>
      </c>
      <c r="Q31" s="18">
        <f t="shared" si="26"/>
        <v>159</v>
      </c>
      <c r="R31" s="4" t="s">
        <v>0</v>
      </c>
      <c r="S31" s="16" t="str">
        <f t="shared" si="27"/>
        <v>03-12</v>
      </c>
      <c r="T31" s="14">
        <f t="shared" si="28"/>
        <v>160</v>
      </c>
      <c r="U31" s="18">
        <f t="shared" si="29"/>
        <v>612</v>
      </c>
      <c r="V31" s="14">
        <f t="shared" si="30"/>
        <v>188</v>
      </c>
      <c r="W31" s="18">
        <f t="shared" si="31"/>
        <v>612</v>
      </c>
      <c r="X31" s="14">
        <f t="shared" si="32"/>
        <v>188</v>
      </c>
      <c r="Y31" s="18">
        <f t="shared" si="33"/>
        <v>591</v>
      </c>
      <c r="Z31" s="14">
        <f t="shared" si="34"/>
        <v>160</v>
      </c>
      <c r="AA31" s="18">
        <f t="shared" si="35"/>
        <v>591</v>
      </c>
      <c r="AB31" s="4" t="s">
        <v>0</v>
      </c>
    </row>
    <row r="32" spans="1:28">
      <c r="A32" s="9" t="s">
        <v>38</v>
      </c>
      <c r="B32" s="24"/>
      <c r="C32" s="26"/>
      <c r="D32" s="25">
        <f t="shared" ref="D32" si="54">D17</f>
        <v>188</v>
      </c>
      <c r="E32" s="29">
        <f t="shared" ref="E32" si="55">E31</f>
        <v>138</v>
      </c>
      <c r="F32" s="25">
        <f t="shared" ref="F32" si="56">F17</f>
        <v>216</v>
      </c>
      <c r="G32" s="29">
        <f t="shared" ref="G32" si="57">G31</f>
        <v>159</v>
      </c>
      <c r="H32" s="4" t="s">
        <v>0</v>
      </c>
      <c r="I32" s="16" t="str">
        <f t="shared" si="18"/>
        <v>03-11</v>
      </c>
      <c r="J32" s="14">
        <f t="shared" si="19"/>
        <v>188</v>
      </c>
      <c r="K32" s="15">
        <f t="shared" si="20"/>
        <v>138</v>
      </c>
      <c r="L32" s="17">
        <f t="shared" si="21"/>
        <v>216</v>
      </c>
      <c r="M32" s="18">
        <f t="shared" si="22"/>
        <v>138</v>
      </c>
      <c r="N32" s="14">
        <f t="shared" si="23"/>
        <v>216</v>
      </c>
      <c r="O32" s="15">
        <f t="shared" si="24"/>
        <v>159</v>
      </c>
      <c r="P32" s="17">
        <f t="shared" si="25"/>
        <v>188</v>
      </c>
      <c r="Q32" s="18">
        <f t="shared" si="26"/>
        <v>159</v>
      </c>
      <c r="R32" s="4" t="s">
        <v>0</v>
      </c>
      <c r="S32" s="16" t="str">
        <f t="shared" si="27"/>
        <v>03-11</v>
      </c>
      <c r="T32" s="14">
        <f t="shared" si="28"/>
        <v>188</v>
      </c>
      <c r="U32" s="18">
        <f t="shared" si="29"/>
        <v>612</v>
      </c>
      <c r="V32" s="14">
        <f t="shared" si="30"/>
        <v>216</v>
      </c>
      <c r="W32" s="18">
        <f t="shared" si="31"/>
        <v>612</v>
      </c>
      <c r="X32" s="14">
        <f t="shared" si="32"/>
        <v>216</v>
      </c>
      <c r="Y32" s="18">
        <f t="shared" si="33"/>
        <v>591</v>
      </c>
      <c r="Z32" s="14">
        <f t="shared" si="34"/>
        <v>188</v>
      </c>
      <c r="AA32" s="18">
        <f t="shared" si="35"/>
        <v>591</v>
      </c>
      <c r="AB32" s="4" t="s">
        <v>0</v>
      </c>
    </row>
    <row r="33" spans="1:28">
      <c r="A33" s="9" t="s">
        <v>37</v>
      </c>
      <c r="B33" s="24"/>
      <c r="C33" s="26"/>
      <c r="D33" s="25">
        <f t="shared" ref="D33" si="58">D18</f>
        <v>256</v>
      </c>
      <c r="E33" s="29">
        <f t="shared" ref="E33" si="59">E32</f>
        <v>138</v>
      </c>
      <c r="F33" s="25">
        <f t="shared" ref="F33" si="60">F18</f>
        <v>284</v>
      </c>
      <c r="G33" s="29">
        <f t="shared" ref="G33" si="61">G32</f>
        <v>159</v>
      </c>
      <c r="H33" s="4" t="s">
        <v>0</v>
      </c>
      <c r="I33" s="16" t="str">
        <f t="shared" si="18"/>
        <v>03-10</v>
      </c>
      <c r="J33" s="14">
        <f t="shared" si="19"/>
        <v>256</v>
      </c>
      <c r="K33" s="15">
        <f t="shared" si="20"/>
        <v>138</v>
      </c>
      <c r="L33" s="17">
        <f t="shared" si="21"/>
        <v>284</v>
      </c>
      <c r="M33" s="18">
        <f t="shared" si="22"/>
        <v>138</v>
      </c>
      <c r="N33" s="14">
        <f t="shared" si="23"/>
        <v>284</v>
      </c>
      <c r="O33" s="15">
        <f t="shared" si="24"/>
        <v>159</v>
      </c>
      <c r="P33" s="17">
        <f t="shared" si="25"/>
        <v>256</v>
      </c>
      <c r="Q33" s="18">
        <f t="shared" si="26"/>
        <v>159</v>
      </c>
      <c r="R33" s="4" t="s">
        <v>0</v>
      </c>
      <c r="S33" s="16" t="str">
        <f t="shared" si="27"/>
        <v>03-10</v>
      </c>
      <c r="T33" s="14">
        <f t="shared" si="28"/>
        <v>256</v>
      </c>
      <c r="U33" s="18">
        <f t="shared" si="29"/>
        <v>612</v>
      </c>
      <c r="V33" s="14">
        <f t="shared" si="30"/>
        <v>284</v>
      </c>
      <c r="W33" s="18">
        <f t="shared" si="31"/>
        <v>612</v>
      </c>
      <c r="X33" s="14">
        <f t="shared" si="32"/>
        <v>284</v>
      </c>
      <c r="Y33" s="18">
        <f t="shared" si="33"/>
        <v>591</v>
      </c>
      <c r="Z33" s="14">
        <f t="shared" si="34"/>
        <v>256</v>
      </c>
      <c r="AA33" s="18">
        <f t="shared" si="35"/>
        <v>591</v>
      </c>
      <c r="AB33" s="4" t="s">
        <v>0</v>
      </c>
    </row>
    <row r="34" spans="1:28">
      <c r="A34" s="9" t="s">
        <v>36</v>
      </c>
      <c r="B34" s="24"/>
      <c r="C34" s="26"/>
      <c r="D34" s="25">
        <f t="shared" ref="D34" si="62">D19</f>
        <v>284</v>
      </c>
      <c r="E34" s="29">
        <f t="shared" ref="E34" si="63">E33</f>
        <v>138</v>
      </c>
      <c r="F34" s="25">
        <f t="shared" ref="F34" si="64">F19</f>
        <v>312</v>
      </c>
      <c r="G34" s="29">
        <f t="shared" ref="G34" si="65">G33</f>
        <v>159</v>
      </c>
      <c r="H34" s="4" t="s">
        <v>0</v>
      </c>
      <c r="I34" s="16" t="str">
        <f t="shared" si="18"/>
        <v>03-08</v>
      </c>
      <c r="J34" s="14">
        <f t="shared" si="19"/>
        <v>284</v>
      </c>
      <c r="K34" s="15">
        <f t="shared" si="20"/>
        <v>138</v>
      </c>
      <c r="L34" s="17">
        <f t="shared" si="21"/>
        <v>312</v>
      </c>
      <c r="M34" s="18">
        <f t="shared" si="22"/>
        <v>138</v>
      </c>
      <c r="N34" s="14">
        <f t="shared" si="23"/>
        <v>312</v>
      </c>
      <c r="O34" s="15">
        <f t="shared" si="24"/>
        <v>159</v>
      </c>
      <c r="P34" s="17">
        <f t="shared" si="25"/>
        <v>284</v>
      </c>
      <c r="Q34" s="18">
        <f t="shared" si="26"/>
        <v>159</v>
      </c>
      <c r="R34" s="4" t="s">
        <v>0</v>
      </c>
      <c r="S34" s="16" t="str">
        <f t="shared" si="27"/>
        <v>03-08</v>
      </c>
      <c r="T34" s="14">
        <f t="shared" si="28"/>
        <v>284</v>
      </c>
      <c r="U34" s="18">
        <f t="shared" si="29"/>
        <v>612</v>
      </c>
      <c r="V34" s="14">
        <f t="shared" si="30"/>
        <v>312</v>
      </c>
      <c r="W34" s="18">
        <f t="shared" si="31"/>
        <v>612</v>
      </c>
      <c r="X34" s="14">
        <f t="shared" si="32"/>
        <v>312</v>
      </c>
      <c r="Y34" s="18">
        <f t="shared" si="33"/>
        <v>591</v>
      </c>
      <c r="Z34" s="14">
        <f t="shared" si="34"/>
        <v>284</v>
      </c>
      <c r="AA34" s="18">
        <f t="shared" si="35"/>
        <v>591</v>
      </c>
      <c r="AB34" s="4" t="s">
        <v>0</v>
      </c>
    </row>
    <row r="35" spans="1:28">
      <c r="A35" s="9" t="s">
        <v>35</v>
      </c>
      <c r="B35" s="24"/>
      <c r="C35" s="26"/>
      <c r="D35" s="25">
        <f t="shared" ref="D35" si="66">D20</f>
        <v>312</v>
      </c>
      <c r="E35" s="29">
        <f t="shared" ref="E35" si="67">E34</f>
        <v>138</v>
      </c>
      <c r="F35" s="25">
        <f t="shared" ref="F35" si="68">F20</f>
        <v>340</v>
      </c>
      <c r="G35" s="29">
        <f t="shared" ref="G35" si="69">G34</f>
        <v>159</v>
      </c>
      <c r="H35" s="4" t="s">
        <v>0</v>
      </c>
      <c r="I35" s="16" t="str">
        <f t="shared" si="18"/>
        <v>03-07</v>
      </c>
      <c r="J35" s="14">
        <f t="shared" si="19"/>
        <v>312</v>
      </c>
      <c r="K35" s="15">
        <f t="shared" si="20"/>
        <v>138</v>
      </c>
      <c r="L35" s="17">
        <f t="shared" si="21"/>
        <v>340</v>
      </c>
      <c r="M35" s="18">
        <f t="shared" si="22"/>
        <v>138</v>
      </c>
      <c r="N35" s="14">
        <f t="shared" si="23"/>
        <v>340</v>
      </c>
      <c r="O35" s="15">
        <f t="shared" si="24"/>
        <v>159</v>
      </c>
      <c r="P35" s="17">
        <f t="shared" si="25"/>
        <v>312</v>
      </c>
      <c r="Q35" s="18">
        <f t="shared" si="26"/>
        <v>159</v>
      </c>
      <c r="R35" s="4" t="s">
        <v>0</v>
      </c>
      <c r="S35" s="16" t="str">
        <f t="shared" si="27"/>
        <v>03-07</v>
      </c>
      <c r="T35" s="14">
        <f t="shared" si="28"/>
        <v>312</v>
      </c>
      <c r="U35" s="18">
        <f t="shared" si="29"/>
        <v>612</v>
      </c>
      <c r="V35" s="14">
        <f t="shared" si="30"/>
        <v>340</v>
      </c>
      <c r="W35" s="18">
        <f t="shared" si="31"/>
        <v>612</v>
      </c>
      <c r="X35" s="14">
        <f t="shared" si="32"/>
        <v>340</v>
      </c>
      <c r="Y35" s="18">
        <f t="shared" si="33"/>
        <v>591</v>
      </c>
      <c r="Z35" s="14">
        <f t="shared" si="34"/>
        <v>312</v>
      </c>
      <c r="AA35" s="18">
        <f t="shared" si="35"/>
        <v>591</v>
      </c>
      <c r="AB35" s="4" t="s">
        <v>0</v>
      </c>
    </row>
    <row r="36" spans="1:28">
      <c r="A36" s="9" t="s">
        <v>34</v>
      </c>
      <c r="B36" s="24"/>
      <c r="C36" s="26"/>
      <c r="D36" s="25">
        <f t="shared" ref="D36" si="70">D21</f>
        <v>340</v>
      </c>
      <c r="E36" s="29">
        <f t="shared" ref="E36" si="71">E35</f>
        <v>138</v>
      </c>
      <c r="F36" s="25">
        <f t="shared" ref="F36" si="72">F21</f>
        <v>368</v>
      </c>
      <c r="G36" s="29">
        <f t="shared" ref="G36" si="73">G35</f>
        <v>159</v>
      </c>
      <c r="H36" s="4" t="s">
        <v>0</v>
      </c>
      <c r="I36" s="16" t="str">
        <f t="shared" si="18"/>
        <v>03-06</v>
      </c>
      <c r="J36" s="14">
        <f t="shared" si="19"/>
        <v>340</v>
      </c>
      <c r="K36" s="15">
        <f t="shared" si="20"/>
        <v>138</v>
      </c>
      <c r="L36" s="17">
        <f t="shared" si="21"/>
        <v>368</v>
      </c>
      <c r="M36" s="18">
        <f t="shared" si="22"/>
        <v>138</v>
      </c>
      <c r="N36" s="14">
        <f t="shared" si="23"/>
        <v>368</v>
      </c>
      <c r="O36" s="15">
        <f t="shared" si="24"/>
        <v>159</v>
      </c>
      <c r="P36" s="17">
        <f t="shared" si="25"/>
        <v>340</v>
      </c>
      <c r="Q36" s="18">
        <f t="shared" si="26"/>
        <v>159</v>
      </c>
      <c r="R36" s="4" t="s">
        <v>0</v>
      </c>
      <c r="S36" s="16" t="str">
        <f t="shared" si="27"/>
        <v>03-06</v>
      </c>
      <c r="T36" s="14">
        <f t="shared" si="28"/>
        <v>340</v>
      </c>
      <c r="U36" s="18">
        <f t="shared" si="29"/>
        <v>612</v>
      </c>
      <c r="V36" s="14">
        <f t="shared" si="30"/>
        <v>368</v>
      </c>
      <c r="W36" s="18">
        <f t="shared" si="31"/>
        <v>612</v>
      </c>
      <c r="X36" s="14">
        <f t="shared" si="32"/>
        <v>368</v>
      </c>
      <c r="Y36" s="18">
        <f t="shared" si="33"/>
        <v>591</v>
      </c>
      <c r="Z36" s="14">
        <f t="shared" si="34"/>
        <v>340</v>
      </c>
      <c r="AA36" s="18">
        <f t="shared" si="35"/>
        <v>591</v>
      </c>
      <c r="AB36" s="4" t="s">
        <v>0</v>
      </c>
    </row>
    <row r="37" spans="1:28">
      <c r="A37" s="9" t="s">
        <v>33</v>
      </c>
      <c r="B37" s="24"/>
      <c r="C37" s="26"/>
      <c r="D37" s="25">
        <f t="shared" ref="D37" si="74">D22</f>
        <v>368</v>
      </c>
      <c r="E37" s="29">
        <f t="shared" ref="E37" si="75">E36</f>
        <v>138</v>
      </c>
      <c r="F37" s="25">
        <f t="shared" ref="F37" si="76">F22</f>
        <v>396</v>
      </c>
      <c r="G37" s="29">
        <f t="shared" ref="G37" si="77">G36</f>
        <v>159</v>
      </c>
      <c r="H37" s="4" t="s">
        <v>0</v>
      </c>
      <c r="I37" s="16" t="str">
        <f t="shared" si="18"/>
        <v>03-05</v>
      </c>
      <c r="J37" s="14">
        <f t="shared" si="19"/>
        <v>368</v>
      </c>
      <c r="K37" s="15">
        <f t="shared" si="20"/>
        <v>138</v>
      </c>
      <c r="L37" s="17">
        <f t="shared" si="21"/>
        <v>396</v>
      </c>
      <c r="M37" s="18">
        <f t="shared" si="22"/>
        <v>138</v>
      </c>
      <c r="N37" s="14">
        <f t="shared" si="23"/>
        <v>396</v>
      </c>
      <c r="O37" s="15">
        <f t="shared" si="24"/>
        <v>159</v>
      </c>
      <c r="P37" s="17">
        <f t="shared" si="25"/>
        <v>368</v>
      </c>
      <c r="Q37" s="18">
        <f t="shared" si="26"/>
        <v>159</v>
      </c>
      <c r="R37" s="4" t="s">
        <v>0</v>
      </c>
      <c r="S37" s="16" t="str">
        <f t="shared" si="27"/>
        <v>03-05</v>
      </c>
      <c r="T37" s="14">
        <f t="shared" si="28"/>
        <v>368</v>
      </c>
      <c r="U37" s="18">
        <f t="shared" si="29"/>
        <v>612</v>
      </c>
      <c r="V37" s="14">
        <f t="shared" si="30"/>
        <v>396</v>
      </c>
      <c r="W37" s="18">
        <f t="shared" si="31"/>
        <v>612</v>
      </c>
      <c r="X37" s="14">
        <f t="shared" si="32"/>
        <v>396</v>
      </c>
      <c r="Y37" s="18">
        <f t="shared" si="33"/>
        <v>591</v>
      </c>
      <c r="Z37" s="14">
        <f t="shared" si="34"/>
        <v>368</v>
      </c>
      <c r="AA37" s="18">
        <f t="shared" si="35"/>
        <v>591</v>
      </c>
      <c r="AB37" s="4" t="s">
        <v>0</v>
      </c>
    </row>
    <row r="38" spans="1:28">
      <c r="A38" s="9" t="s">
        <v>32</v>
      </c>
      <c r="B38" s="24"/>
      <c r="C38" s="26"/>
      <c r="D38" s="25">
        <f t="shared" ref="D38" si="78">D23</f>
        <v>396</v>
      </c>
      <c r="E38" s="29">
        <f t="shared" ref="E38" si="79">E37</f>
        <v>138</v>
      </c>
      <c r="F38" s="25">
        <f t="shared" ref="F38" si="80">F23</f>
        <v>424</v>
      </c>
      <c r="G38" s="29">
        <f t="shared" ref="G38" si="81">G37</f>
        <v>159</v>
      </c>
      <c r="H38" s="4" t="s">
        <v>0</v>
      </c>
      <c r="I38" s="16" t="str">
        <f t="shared" si="18"/>
        <v>03-03</v>
      </c>
      <c r="J38" s="14">
        <f t="shared" si="19"/>
        <v>396</v>
      </c>
      <c r="K38" s="15">
        <f t="shared" si="20"/>
        <v>138</v>
      </c>
      <c r="L38" s="17">
        <f t="shared" si="21"/>
        <v>424</v>
      </c>
      <c r="M38" s="18">
        <f t="shared" si="22"/>
        <v>138</v>
      </c>
      <c r="N38" s="14">
        <f t="shared" si="23"/>
        <v>424</v>
      </c>
      <c r="O38" s="15">
        <f t="shared" si="24"/>
        <v>159</v>
      </c>
      <c r="P38" s="17">
        <f t="shared" si="25"/>
        <v>396</v>
      </c>
      <c r="Q38" s="18">
        <f t="shared" si="26"/>
        <v>159</v>
      </c>
      <c r="R38" s="4" t="s">
        <v>0</v>
      </c>
      <c r="S38" s="16" t="str">
        <f t="shared" si="27"/>
        <v>03-03</v>
      </c>
      <c r="T38" s="14">
        <f t="shared" si="28"/>
        <v>396</v>
      </c>
      <c r="U38" s="18">
        <f t="shared" si="29"/>
        <v>612</v>
      </c>
      <c r="V38" s="14">
        <f t="shared" si="30"/>
        <v>424</v>
      </c>
      <c r="W38" s="18">
        <f t="shared" si="31"/>
        <v>612</v>
      </c>
      <c r="X38" s="14">
        <f t="shared" si="32"/>
        <v>424</v>
      </c>
      <c r="Y38" s="18">
        <f t="shared" si="33"/>
        <v>591</v>
      </c>
      <c r="Z38" s="14">
        <f t="shared" si="34"/>
        <v>396</v>
      </c>
      <c r="AA38" s="18">
        <f t="shared" si="35"/>
        <v>591</v>
      </c>
      <c r="AB38" s="4" t="s">
        <v>0</v>
      </c>
    </row>
    <row r="39" spans="1:28">
      <c r="A39" s="9" t="s">
        <v>31</v>
      </c>
      <c r="B39" s="24"/>
      <c r="C39" s="26"/>
      <c r="D39" s="25">
        <f t="shared" ref="D39" si="82">D24</f>
        <v>424</v>
      </c>
      <c r="E39" s="29">
        <f t="shared" ref="E39" si="83">E38</f>
        <v>138</v>
      </c>
      <c r="F39" s="25">
        <f t="shared" ref="F39" si="84">F24</f>
        <v>452</v>
      </c>
      <c r="G39" s="29">
        <f t="shared" ref="G39" si="85">G38</f>
        <v>159</v>
      </c>
      <c r="H39" s="4" t="s">
        <v>0</v>
      </c>
      <c r="I39" s="16" t="str">
        <f t="shared" si="18"/>
        <v>03-02</v>
      </c>
      <c r="J39" s="14">
        <f t="shared" si="19"/>
        <v>424</v>
      </c>
      <c r="K39" s="15">
        <f t="shared" si="20"/>
        <v>138</v>
      </c>
      <c r="L39" s="17">
        <f t="shared" si="21"/>
        <v>452</v>
      </c>
      <c r="M39" s="18">
        <f t="shared" si="22"/>
        <v>138</v>
      </c>
      <c r="N39" s="14">
        <f t="shared" si="23"/>
        <v>452</v>
      </c>
      <c r="O39" s="15">
        <f t="shared" si="24"/>
        <v>159</v>
      </c>
      <c r="P39" s="17">
        <f t="shared" si="25"/>
        <v>424</v>
      </c>
      <c r="Q39" s="18">
        <f t="shared" si="26"/>
        <v>159</v>
      </c>
      <c r="R39" s="4" t="s">
        <v>0</v>
      </c>
      <c r="S39" s="16" t="str">
        <f t="shared" si="27"/>
        <v>03-02</v>
      </c>
      <c r="T39" s="14">
        <f t="shared" si="28"/>
        <v>424</v>
      </c>
      <c r="U39" s="18">
        <f t="shared" si="29"/>
        <v>612</v>
      </c>
      <c r="V39" s="14">
        <f t="shared" si="30"/>
        <v>452</v>
      </c>
      <c r="W39" s="18">
        <f t="shared" si="31"/>
        <v>612</v>
      </c>
      <c r="X39" s="14">
        <f t="shared" si="32"/>
        <v>452</v>
      </c>
      <c r="Y39" s="18">
        <f t="shared" si="33"/>
        <v>591</v>
      </c>
      <c r="Z39" s="14">
        <f t="shared" si="34"/>
        <v>424</v>
      </c>
      <c r="AA39" s="18">
        <f t="shared" si="35"/>
        <v>591</v>
      </c>
      <c r="AB39" s="4" t="s">
        <v>0</v>
      </c>
    </row>
    <row r="40" spans="1:28">
      <c r="A40" s="9" t="s">
        <v>30</v>
      </c>
      <c r="B40" s="24"/>
      <c r="C40" s="26"/>
      <c r="D40" s="25">
        <f t="shared" ref="D40" si="86">D25</f>
        <v>452</v>
      </c>
      <c r="E40" s="29">
        <f t="shared" ref="E40" si="87">E39</f>
        <v>138</v>
      </c>
      <c r="F40" s="25">
        <f t="shared" ref="F40" si="88">F25</f>
        <v>480</v>
      </c>
      <c r="G40" s="29">
        <f t="shared" ref="G40" si="89">G39</f>
        <v>159</v>
      </c>
      <c r="H40" s="4" t="s">
        <v>0</v>
      </c>
      <c r="I40" s="16" t="str">
        <f t="shared" si="18"/>
        <v>03-01</v>
      </c>
      <c r="J40" s="14">
        <f t="shared" si="19"/>
        <v>452</v>
      </c>
      <c r="K40" s="15">
        <f t="shared" si="20"/>
        <v>138</v>
      </c>
      <c r="L40" s="17">
        <f t="shared" si="21"/>
        <v>480</v>
      </c>
      <c r="M40" s="18">
        <f t="shared" si="22"/>
        <v>138</v>
      </c>
      <c r="N40" s="14">
        <f t="shared" si="23"/>
        <v>480</v>
      </c>
      <c r="O40" s="15">
        <f t="shared" si="24"/>
        <v>159</v>
      </c>
      <c r="P40" s="17">
        <f t="shared" si="25"/>
        <v>452</v>
      </c>
      <c r="Q40" s="18">
        <f t="shared" si="26"/>
        <v>159</v>
      </c>
      <c r="R40" s="4" t="s">
        <v>0</v>
      </c>
      <c r="S40" s="16" t="str">
        <f t="shared" si="27"/>
        <v>03-01</v>
      </c>
      <c r="T40" s="14">
        <f t="shared" si="28"/>
        <v>452</v>
      </c>
      <c r="U40" s="18">
        <f t="shared" si="29"/>
        <v>612</v>
      </c>
      <c r="V40" s="14">
        <f t="shared" si="30"/>
        <v>480</v>
      </c>
      <c r="W40" s="18">
        <f t="shared" si="31"/>
        <v>612</v>
      </c>
      <c r="X40" s="14">
        <f t="shared" si="32"/>
        <v>480</v>
      </c>
      <c r="Y40" s="18">
        <f t="shared" si="33"/>
        <v>591</v>
      </c>
      <c r="Z40" s="14">
        <f t="shared" si="34"/>
        <v>452</v>
      </c>
      <c r="AA40" s="18">
        <f t="shared" si="35"/>
        <v>591</v>
      </c>
      <c r="AB40" s="4" t="s">
        <v>0</v>
      </c>
    </row>
    <row r="41" spans="1:28">
      <c r="A41" s="9" t="s">
        <v>152</v>
      </c>
      <c r="B41" s="24"/>
      <c r="C41" s="26">
        <v>2</v>
      </c>
      <c r="D41" s="25">
        <f t="shared" ref="D41" si="90">D26</f>
        <v>20</v>
      </c>
      <c r="E41" s="28">
        <f t="shared" ref="E41" si="91">ROUND(E$11+27.8*$C41, 0)</f>
        <v>166</v>
      </c>
      <c r="F41" s="25">
        <f t="shared" ref="F41" si="92">F26</f>
        <v>48</v>
      </c>
      <c r="G41" s="28">
        <f t="shared" ref="G41" si="93">ROUND(G$11+27.8*$C41, 0)</f>
        <v>187</v>
      </c>
      <c r="H41" s="4" t="s">
        <v>0</v>
      </c>
      <c r="I41" s="16" t="str">
        <f t="shared" si="18"/>
        <v>02-18</v>
      </c>
      <c r="J41" s="14">
        <f t="shared" si="19"/>
        <v>20</v>
      </c>
      <c r="K41" s="15">
        <f t="shared" si="20"/>
        <v>166</v>
      </c>
      <c r="L41" s="17">
        <f t="shared" si="21"/>
        <v>48</v>
      </c>
      <c r="M41" s="18">
        <f t="shared" si="22"/>
        <v>166</v>
      </c>
      <c r="N41" s="14">
        <f t="shared" si="23"/>
        <v>48</v>
      </c>
      <c r="O41" s="15">
        <f t="shared" si="24"/>
        <v>187</v>
      </c>
      <c r="P41" s="17">
        <f t="shared" si="25"/>
        <v>20</v>
      </c>
      <c r="Q41" s="18">
        <f t="shared" si="26"/>
        <v>187</v>
      </c>
      <c r="R41" s="4" t="s">
        <v>0</v>
      </c>
      <c r="S41" s="16" t="str">
        <f t="shared" si="27"/>
        <v>02-18</v>
      </c>
      <c r="T41" s="14">
        <f t="shared" si="28"/>
        <v>20</v>
      </c>
      <c r="U41" s="18">
        <f t="shared" si="29"/>
        <v>584</v>
      </c>
      <c r="V41" s="14">
        <f t="shared" si="30"/>
        <v>48</v>
      </c>
      <c r="W41" s="18">
        <f t="shared" si="31"/>
        <v>584</v>
      </c>
      <c r="X41" s="14">
        <f t="shared" si="32"/>
        <v>48</v>
      </c>
      <c r="Y41" s="18">
        <f t="shared" si="33"/>
        <v>563</v>
      </c>
      <c r="Z41" s="14">
        <f t="shared" si="34"/>
        <v>20</v>
      </c>
      <c r="AA41" s="18">
        <f t="shared" si="35"/>
        <v>563</v>
      </c>
      <c r="AB41" s="4" t="s">
        <v>0</v>
      </c>
    </row>
    <row r="42" spans="1:28">
      <c r="A42" s="9" t="s">
        <v>151</v>
      </c>
      <c r="B42" s="24"/>
      <c r="C42" s="26"/>
      <c r="D42" s="25">
        <f t="shared" ref="D42" si="94">D27</f>
        <v>48</v>
      </c>
      <c r="E42" s="29">
        <f t="shared" ref="E42" si="95">E41</f>
        <v>166</v>
      </c>
      <c r="F42" s="25">
        <f t="shared" ref="F42" si="96">F27</f>
        <v>76</v>
      </c>
      <c r="G42" s="29">
        <f t="shared" ref="G42" si="97">G41</f>
        <v>187</v>
      </c>
      <c r="H42" s="4" t="s">
        <v>0</v>
      </c>
      <c r="I42" s="16" t="str">
        <f t="shared" si="18"/>
        <v>02-17</v>
      </c>
      <c r="J42" s="14">
        <f t="shared" si="19"/>
        <v>48</v>
      </c>
      <c r="K42" s="15">
        <f t="shared" si="20"/>
        <v>166</v>
      </c>
      <c r="L42" s="17">
        <f t="shared" si="21"/>
        <v>76</v>
      </c>
      <c r="M42" s="18">
        <f t="shared" si="22"/>
        <v>166</v>
      </c>
      <c r="N42" s="14">
        <f t="shared" si="23"/>
        <v>76</v>
      </c>
      <c r="O42" s="15">
        <f t="shared" si="24"/>
        <v>187</v>
      </c>
      <c r="P42" s="17">
        <f t="shared" si="25"/>
        <v>48</v>
      </c>
      <c r="Q42" s="18">
        <f t="shared" si="26"/>
        <v>187</v>
      </c>
      <c r="R42" s="4" t="s">
        <v>0</v>
      </c>
      <c r="S42" s="16" t="str">
        <f t="shared" si="27"/>
        <v>02-17</v>
      </c>
      <c r="T42" s="14">
        <f t="shared" si="28"/>
        <v>48</v>
      </c>
      <c r="U42" s="18">
        <f t="shared" si="29"/>
        <v>584</v>
      </c>
      <c r="V42" s="14">
        <f t="shared" si="30"/>
        <v>76</v>
      </c>
      <c r="W42" s="18">
        <f t="shared" si="31"/>
        <v>584</v>
      </c>
      <c r="X42" s="14">
        <f t="shared" si="32"/>
        <v>76</v>
      </c>
      <c r="Y42" s="18">
        <f t="shared" si="33"/>
        <v>563</v>
      </c>
      <c r="Z42" s="14">
        <f t="shared" si="34"/>
        <v>48</v>
      </c>
      <c r="AA42" s="18">
        <f t="shared" si="35"/>
        <v>563</v>
      </c>
      <c r="AB42" s="4" t="s">
        <v>0</v>
      </c>
    </row>
    <row r="43" spans="1:28">
      <c r="A43" s="9" t="s">
        <v>150</v>
      </c>
      <c r="B43" s="24"/>
      <c r="C43" s="26"/>
      <c r="D43" s="25">
        <f t="shared" ref="D43" si="98">D28</f>
        <v>76</v>
      </c>
      <c r="E43" s="29">
        <f t="shared" ref="E43" si="99">E42</f>
        <v>166</v>
      </c>
      <c r="F43" s="25">
        <f t="shared" ref="F43" si="100">F28</f>
        <v>104</v>
      </c>
      <c r="G43" s="29">
        <f t="shared" ref="G43:G70" si="101">G42</f>
        <v>187</v>
      </c>
      <c r="H43" s="4" t="s">
        <v>0</v>
      </c>
      <c r="I43" s="16" t="str">
        <f t="shared" si="18"/>
        <v>02-16</v>
      </c>
      <c r="J43" s="14">
        <f t="shared" si="19"/>
        <v>76</v>
      </c>
      <c r="K43" s="15">
        <f t="shared" si="20"/>
        <v>166</v>
      </c>
      <c r="L43" s="17">
        <f t="shared" si="21"/>
        <v>104</v>
      </c>
      <c r="M43" s="18">
        <f t="shared" si="22"/>
        <v>166</v>
      </c>
      <c r="N43" s="14">
        <f t="shared" si="23"/>
        <v>104</v>
      </c>
      <c r="O43" s="15">
        <f t="shared" si="24"/>
        <v>187</v>
      </c>
      <c r="P43" s="17">
        <f t="shared" si="25"/>
        <v>76</v>
      </c>
      <c r="Q43" s="18">
        <f t="shared" si="26"/>
        <v>187</v>
      </c>
      <c r="R43" s="4" t="s">
        <v>0</v>
      </c>
      <c r="S43" s="16" t="str">
        <f t="shared" si="27"/>
        <v>02-16</v>
      </c>
      <c r="T43" s="14">
        <f t="shared" si="28"/>
        <v>76</v>
      </c>
      <c r="U43" s="18">
        <f t="shared" si="29"/>
        <v>584</v>
      </c>
      <c r="V43" s="14">
        <f t="shared" si="30"/>
        <v>104</v>
      </c>
      <c r="W43" s="18">
        <f t="shared" si="31"/>
        <v>584</v>
      </c>
      <c r="X43" s="14">
        <f t="shared" si="32"/>
        <v>104</v>
      </c>
      <c r="Y43" s="18">
        <f t="shared" si="33"/>
        <v>563</v>
      </c>
      <c r="Z43" s="14">
        <f t="shared" si="34"/>
        <v>76</v>
      </c>
      <c r="AA43" s="18">
        <f t="shared" si="35"/>
        <v>563</v>
      </c>
      <c r="AB43" s="4" t="s">
        <v>0</v>
      </c>
    </row>
    <row r="44" spans="1:28">
      <c r="A44" s="9" t="s">
        <v>149</v>
      </c>
      <c r="B44" s="24"/>
      <c r="C44" s="26"/>
      <c r="D44" s="25">
        <f t="shared" ref="D44" si="102">D29</f>
        <v>104</v>
      </c>
      <c r="E44" s="29">
        <f t="shared" ref="E44" si="103">E43</f>
        <v>166</v>
      </c>
      <c r="F44" s="25">
        <f t="shared" ref="F44" si="104">F29</f>
        <v>132</v>
      </c>
      <c r="G44" s="29">
        <f t="shared" si="101"/>
        <v>187</v>
      </c>
      <c r="H44" s="4" t="s">
        <v>0</v>
      </c>
      <c r="I44" s="16" t="str">
        <f t="shared" si="18"/>
        <v>02-15</v>
      </c>
      <c r="J44" s="14">
        <f t="shared" si="19"/>
        <v>104</v>
      </c>
      <c r="K44" s="15">
        <f t="shared" si="20"/>
        <v>166</v>
      </c>
      <c r="L44" s="17">
        <f t="shared" si="21"/>
        <v>132</v>
      </c>
      <c r="M44" s="18">
        <f t="shared" si="22"/>
        <v>166</v>
      </c>
      <c r="N44" s="14">
        <f t="shared" si="23"/>
        <v>132</v>
      </c>
      <c r="O44" s="15">
        <f t="shared" si="24"/>
        <v>187</v>
      </c>
      <c r="P44" s="17">
        <f t="shared" si="25"/>
        <v>104</v>
      </c>
      <c r="Q44" s="18">
        <f t="shared" si="26"/>
        <v>187</v>
      </c>
      <c r="R44" s="4" t="s">
        <v>0</v>
      </c>
      <c r="S44" s="16" t="str">
        <f t="shared" si="27"/>
        <v>02-15</v>
      </c>
      <c r="T44" s="14">
        <f t="shared" si="28"/>
        <v>104</v>
      </c>
      <c r="U44" s="18">
        <f t="shared" si="29"/>
        <v>584</v>
      </c>
      <c r="V44" s="14">
        <f t="shared" si="30"/>
        <v>132</v>
      </c>
      <c r="W44" s="18">
        <f t="shared" si="31"/>
        <v>584</v>
      </c>
      <c r="X44" s="14">
        <f t="shared" si="32"/>
        <v>132</v>
      </c>
      <c r="Y44" s="18">
        <f t="shared" si="33"/>
        <v>563</v>
      </c>
      <c r="Z44" s="14">
        <f t="shared" si="34"/>
        <v>104</v>
      </c>
      <c r="AA44" s="18">
        <f t="shared" si="35"/>
        <v>563</v>
      </c>
      <c r="AB44" s="4" t="s">
        <v>0</v>
      </c>
    </row>
    <row r="45" spans="1:28">
      <c r="A45" s="9" t="s">
        <v>148</v>
      </c>
      <c r="B45" s="24"/>
      <c r="C45" s="26"/>
      <c r="D45" s="25">
        <f t="shared" ref="D45" si="105">D30</f>
        <v>132</v>
      </c>
      <c r="E45" s="29">
        <f t="shared" ref="E45" si="106">E44</f>
        <v>166</v>
      </c>
      <c r="F45" s="25">
        <f t="shared" ref="F45" si="107">F30</f>
        <v>160</v>
      </c>
      <c r="G45" s="29">
        <f t="shared" si="101"/>
        <v>187</v>
      </c>
      <c r="H45" s="4" t="s">
        <v>0</v>
      </c>
      <c r="I45" s="16" t="str">
        <f t="shared" si="18"/>
        <v>02-13</v>
      </c>
      <c r="J45" s="14">
        <f t="shared" si="19"/>
        <v>132</v>
      </c>
      <c r="K45" s="15">
        <f t="shared" si="20"/>
        <v>166</v>
      </c>
      <c r="L45" s="17">
        <f t="shared" si="21"/>
        <v>160</v>
      </c>
      <c r="M45" s="18">
        <f t="shared" si="22"/>
        <v>166</v>
      </c>
      <c r="N45" s="14">
        <f t="shared" si="23"/>
        <v>160</v>
      </c>
      <c r="O45" s="15">
        <f t="shared" si="24"/>
        <v>187</v>
      </c>
      <c r="P45" s="17">
        <f t="shared" si="25"/>
        <v>132</v>
      </c>
      <c r="Q45" s="18">
        <f t="shared" si="26"/>
        <v>187</v>
      </c>
      <c r="R45" s="4" t="s">
        <v>0</v>
      </c>
      <c r="S45" s="16" t="str">
        <f t="shared" si="27"/>
        <v>02-13</v>
      </c>
      <c r="T45" s="14">
        <f t="shared" si="28"/>
        <v>132</v>
      </c>
      <c r="U45" s="18">
        <f t="shared" si="29"/>
        <v>584</v>
      </c>
      <c r="V45" s="14">
        <f t="shared" si="30"/>
        <v>160</v>
      </c>
      <c r="W45" s="18">
        <f t="shared" si="31"/>
        <v>584</v>
      </c>
      <c r="X45" s="14">
        <f t="shared" si="32"/>
        <v>160</v>
      </c>
      <c r="Y45" s="18">
        <f t="shared" si="33"/>
        <v>563</v>
      </c>
      <c r="Z45" s="14">
        <f t="shared" si="34"/>
        <v>132</v>
      </c>
      <c r="AA45" s="18">
        <f t="shared" si="35"/>
        <v>563</v>
      </c>
      <c r="AB45" s="4" t="s">
        <v>0</v>
      </c>
    </row>
    <row r="46" spans="1:28">
      <c r="A46" s="9" t="s">
        <v>29</v>
      </c>
      <c r="B46" s="24"/>
      <c r="C46" s="26"/>
      <c r="D46" s="25">
        <f t="shared" ref="D46" si="108">D31</f>
        <v>160</v>
      </c>
      <c r="E46" s="29">
        <f t="shared" ref="E46" si="109">E45</f>
        <v>166</v>
      </c>
      <c r="F46" s="25">
        <f t="shared" ref="F46" si="110">F31</f>
        <v>188</v>
      </c>
      <c r="G46" s="29">
        <f t="shared" si="101"/>
        <v>187</v>
      </c>
      <c r="H46" s="4" t="s">
        <v>0</v>
      </c>
      <c r="I46" s="16" t="str">
        <f t="shared" si="18"/>
        <v>02-12</v>
      </c>
      <c r="J46" s="14">
        <f t="shared" si="19"/>
        <v>160</v>
      </c>
      <c r="K46" s="15">
        <f t="shared" si="20"/>
        <v>166</v>
      </c>
      <c r="L46" s="17">
        <f t="shared" si="21"/>
        <v>188</v>
      </c>
      <c r="M46" s="18">
        <f t="shared" si="22"/>
        <v>166</v>
      </c>
      <c r="N46" s="14">
        <f t="shared" si="23"/>
        <v>188</v>
      </c>
      <c r="O46" s="15">
        <f t="shared" si="24"/>
        <v>187</v>
      </c>
      <c r="P46" s="17">
        <f t="shared" si="25"/>
        <v>160</v>
      </c>
      <c r="Q46" s="18">
        <f t="shared" si="26"/>
        <v>187</v>
      </c>
      <c r="R46" s="4" t="s">
        <v>0</v>
      </c>
      <c r="S46" s="16" t="str">
        <f t="shared" si="27"/>
        <v>02-12</v>
      </c>
      <c r="T46" s="14">
        <f t="shared" si="28"/>
        <v>160</v>
      </c>
      <c r="U46" s="18">
        <f t="shared" si="29"/>
        <v>584</v>
      </c>
      <c r="V46" s="14">
        <f t="shared" si="30"/>
        <v>188</v>
      </c>
      <c r="W46" s="18">
        <f t="shared" si="31"/>
        <v>584</v>
      </c>
      <c r="X46" s="14">
        <f t="shared" si="32"/>
        <v>188</v>
      </c>
      <c r="Y46" s="18">
        <f t="shared" si="33"/>
        <v>563</v>
      </c>
      <c r="Z46" s="14">
        <f t="shared" si="34"/>
        <v>160</v>
      </c>
      <c r="AA46" s="18">
        <f t="shared" si="35"/>
        <v>563</v>
      </c>
      <c r="AB46" s="4" t="s">
        <v>0</v>
      </c>
    </row>
    <row r="47" spans="1:28">
      <c r="A47" s="9" t="s">
        <v>28</v>
      </c>
      <c r="B47" s="24"/>
      <c r="C47" s="26"/>
      <c r="D47" s="25">
        <f t="shared" ref="D47" si="111">D32</f>
        <v>188</v>
      </c>
      <c r="E47" s="29">
        <f t="shared" ref="E47" si="112">E46</f>
        <v>166</v>
      </c>
      <c r="F47" s="25">
        <f t="shared" ref="F47" si="113">F32</f>
        <v>216</v>
      </c>
      <c r="G47" s="29">
        <f t="shared" si="101"/>
        <v>187</v>
      </c>
      <c r="H47" s="4" t="s">
        <v>0</v>
      </c>
      <c r="I47" s="16" t="str">
        <f t="shared" si="18"/>
        <v>02-11</v>
      </c>
      <c r="J47" s="14">
        <f t="shared" si="19"/>
        <v>188</v>
      </c>
      <c r="K47" s="15">
        <f t="shared" si="20"/>
        <v>166</v>
      </c>
      <c r="L47" s="17">
        <f t="shared" si="21"/>
        <v>216</v>
      </c>
      <c r="M47" s="18">
        <f t="shared" si="22"/>
        <v>166</v>
      </c>
      <c r="N47" s="14">
        <f t="shared" si="23"/>
        <v>216</v>
      </c>
      <c r="O47" s="15">
        <f t="shared" si="24"/>
        <v>187</v>
      </c>
      <c r="P47" s="17">
        <f t="shared" si="25"/>
        <v>188</v>
      </c>
      <c r="Q47" s="18">
        <f t="shared" si="26"/>
        <v>187</v>
      </c>
      <c r="R47" s="4" t="s">
        <v>0</v>
      </c>
      <c r="S47" s="16" t="str">
        <f t="shared" si="27"/>
        <v>02-11</v>
      </c>
      <c r="T47" s="14">
        <f t="shared" si="28"/>
        <v>188</v>
      </c>
      <c r="U47" s="18">
        <f t="shared" si="29"/>
        <v>584</v>
      </c>
      <c r="V47" s="14">
        <f t="shared" si="30"/>
        <v>216</v>
      </c>
      <c r="W47" s="18">
        <f t="shared" si="31"/>
        <v>584</v>
      </c>
      <c r="X47" s="14">
        <f t="shared" si="32"/>
        <v>216</v>
      </c>
      <c r="Y47" s="18">
        <f t="shared" si="33"/>
        <v>563</v>
      </c>
      <c r="Z47" s="14">
        <f t="shared" si="34"/>
        <v>188</v>
      </c>
      <c r="AA47" s="18">
        <f t="shared" si="35"/>
        <v>563</v>
      </c>
      <c r="AB47" s="4" t="s">
        <v>0</v>
      </c>
    </row>
    <row r="48" spans="1:28">
      <c r="A48" s="9" t="s">
        <v>27</v>
      </c>
      <c r="B48" s="24"/>
      <c r="C48" s="26"/>
      <c r="D48" s="25">
        <f t="shared" ref="D48" si="114">D33</f>
        <v>256</v>
      </c>
      <c r="E48" s="29">
        <f t="shared" ref="E48" si="115">E47</f>
        <v>166</v>
      </c>
      <c r="F48" s="25">
        <f t="shared" ref="F48" si="116">F33</f>
        <v>284</v>
      </c>
      <c r="G48" s="29">
        <f t="shared" si="101"/>
        <v>187</v>
      </c>
      <c r="H48" s="4" t="s">
        <v>0</v>
      </c>
      <c r="I48" s="16" t="str">
        <f t="shared" si="18"/>
        <v>02-10</v>
      </c>
      <c r="J48" s="14">
        <f t="shared" si="19"/>
        <v>256</v>
      </c>
      <c r="K48" s="15">
        <f t="shared" si="20"/>
        <v>166</v>
      </c>
      <c r="L48" s="17">
        <f t="shared" si="21"/>
        <v>284</v>
      </c>
      <c r="M48" s="18">
        <f t="shared" si="22"/>
        <v>166</v>
      </c>
      <c r="N48" s="14">
        <f t="shared" si="23"/>
        <v>284</v>
      </c>
      <c r="O48" s="15">
        <f t="shared" si="24"/>
        <v>187</v>
      </c>
      <c r="P48" s="17">
        <f t="shared" si="25"/>
        <v>256</v>
      </c>
      <c r="Q48" s="18">
        <f t="shared" si="26"/>
        <v>187</v>
      </c>
      <c r="R48" s="4" t="s">
        <v>0</v>
      </c>
      <c r="S48" s="16" t="str">
        <f t="shared" si="27"/>
        <v>02-10</v>
      </c>
      <c r="T48" s="14">
        <f t="shared" si="28"/>
        <v>256</v>
      </c>
      <c r="U48" s="18">
        <f t="shared" si="29"/>
        <v>584</v>
      </c>
      <c r="V48" s="14">
        <f t="shared" si="30"/>
        <v>284</v>
      </c>
      <c r="W48" s="18">
        <f t="shared" si="31"/>
        <v>584</v>
      </c>
      <c r="X48" s="14">
        <f t="shared" si="32"/>
        <v>284</v>
      </c>
      <c r="Y48" s="18">
        <f t="shared" si="33"/>
        <v>563</v>
      </c>
      <c r="Z48" s="14">
        <f t="shared" si="34"/>
        <v>256</v>
      </c>
      <c r="AA48" s="18">
        <f t="shared" si="35"/>
        <v>563</v>
      </c>
      <c r="AB48" s="4" t="s">
        <v>0</v>
      </c>
    </row>
    <row r="49" spans="1:28">
      <c r="A49" s="9" t="s">
        <v>26</v>
      </c>
      <c r="B49" s="24"/>
      <c r="C49" s="26"/>
      <c r="D49" s="25">
        <f t="shared" ref="D49" si="117">D34</f>
        <v>284</v>
      </c>
      <c r="E49" s="29">
        <f t="shared" ref="E49" si="118">E48</f>
        <v>166</v>
      </c>
      <c r="F49" s="25">
        <f t="shared" ref="F49" si="119">F34</f>
        <v>312</v>
      </c>
      <c r="G49" s="29">
        <f t="shared" si="101"/>
        <v>187</v>
      </c>
      <c r="H49" s="4" t="s">
        <v>0</v>
      </c>
      <c r="I49" s="16" t="str">
        <f t="shared" si="18"/>
        <v>02-08</v>
      </c>
      <c r="J49" s="14">
        <f t="shared" si="19"/>
        <v>284</v>
      </c>
      <c r="K49" s="15">
        <f t="shared" si="20"/>
        <v>166</v>
      </c>
      <c r="L49" s="17">
        <f t="shared" si="21"/>
        <v>312</v>
      </c>
      <c r="M49" s="18">
        <f t="shared" si="22"/>
        <v>166</v>
      </c>
      <c r="N49" s="14">
        <f t="shared" si="23"/>
        <v>312</v>
      </c>
      <c r="O49" s="15">
        <f t="shared" si="24"/>
        <v>187</v>
      </c>
      <c r="P49" s="17">
        <f t="shared" si="25"/>
        <v>284</v>
      </c>
      <c r="Q49" s="18">
        <f t="shared" si="26"/>
        <v>187</v>
      </c>
      <c r="R49" s="4" t="s">
        <v>0</v>
      </c>
      <c r="S49" s="16" t="str">
        <f t="shared" si="27"/>
        <v>02-08</v>
      </c>
      <c r="T49" s="14">
        <f t="shared" si="28"/>
        <v>284</v>
      </c>
      <c r="U49" s="18">
        <f t="shared" si="29"/>
        <v>584</v>
      </c>
      <c r="V49" s="14">
        <f t="shared" si="30"/>
        <v>312</v>
      </c>
      <c r="W49" s="18">
        <f t="shared" si="31"/>
        <v>584</v>
      </c>
      <c r="X49" s="14">
        <f t="shared" si="32"/>
        <v>312</v>
      </c>
      <c r="Y49" s="18">
        <f t="shared" si="33"/>
        <v>563</v>
      </c>
      <c r="Z49" s="14">
        <f t="shared" si="34"/>
        <v>284</v>
      </c>
      <c r="AA49" s="18">
        <f t="shared" si="35"/>
        <v>563</v>
      </c>
      <c r="AB49" s="4" t="s">
        <v>0</v>
      </c>
    </row>
    <row r="50" spans="1:28">
      <c r="A50" s="9" t="s">
        <v>25</v>
      </c>
      <c r="B50" s="24"/>
      <c r="C50" s="26"/>
      <c r="D50" s="25">
        <f t="shared" ref="D50" si="120">D35</f>
        <v>312</v>
      </c>
      <c r="E50" s="29">
        <f t="shared" ref="E50" si="121">E49</f>
        <v>166</v>
      </c>
      <c r="F50" s="25">
        <f t="shared" ref="F50" si="122">F35</f>
        <v>340</v>
      </c>
      <c r="G50" s="29">
        <f t="shared" si="101"/>
        <v>187</v>
      </c>
      <c r="H50" s="4" t="s">
        <v>0</v>
      </c>
      <c r="I50" s="16" t="str">
        <f t="shared" si="18"/>
        <v>02-07</v>
      </c>
      <c r="J50" s="14">
        <f t="shared" si="19"/>
        <v>312</v>
      </c>
      <c r="K50" s="15">
        <f t="shared" si="20"/>
        <v>166</v>
      </c>
      <c r="L50" s="17">
        <f t="shared" si="21"/>
        <v>340</v>
      </c>
      <c r="M50" s="18">
        <f t="shared" si="22"/>
        <v>166</v>
      </c>
      <c r="N50" s="14">
        <f t="shared" si="23"/>
        <v>340</v>
      </c>
      <c r="O50" s="15">
        <f t="shared" si="24"/>
        <v>187</v>
      </c>
      <c r="P50" s="17">
        <f t="shared" si="25"/>
        <v>312</v>
      </c>
      <c r="Q50" s="18">
        <f t="shared" si="26"/>
        <v>187</v>
      </c>
      <c r="R50" s="4" t="s">
        <v>0</v>
      </c>
      <c r="S50" s="16" t="str">
        <f t="shared" si="27"/>
        <v>02-07</v>
      </c>
      <c r="T50" s="14">
        <f t="shared" si="28"/>
        <v>312</v>
      </c>
      <c r="U50" s="18">
        <f t="shared" si="29"/>
        <v>584</v>
      </c>
      <c r="V50" s="14">
        <f t="shared" si="30"/>
        <v>340</v>
      </c>
      <c r="W50" s="18">
        <f t="shared" si="31"/>
        <v>584</v>
      </c>
      <c r="X50" s="14">
        <f t="shared" si="32"/>
        <v>340</v>
      </c>
      <c r="Y50" s="18">
        <f t="shared" si="33"/>
        <v>563</v>
      </c>
      <c r="Z50" s="14">
        <f t="shared" si="34"/>
        <v>312</v>
      </c>
      <c r="AA50" s="18">
        <f t="shared" si="35"/>
        <v>563</v>
      </c>
      <c r="AB50" s="4" t="s">
        <v>0</v>
      </c>
    </row>
    <row r="51" spans="1:28">
      <c r="A51" s="9" t="s">
        <v>24</v>
      </c>
      <c r="B51" s="24"/>
      <c r="C51" s="26"/>
      <c r="D51" s="25">
        <f t="shared" ref="D51" si="123">D36</f>
        <v>340</v>
      </c>
      <c r="E51" s="29">
        <f t="shared" ref="E51" si="124">E50</f>
        <v>166</v>
      </c>
      <c r="F51" s="25">
        <f t="shared" ref="F51" si="125">F36</f>
        <v>368</v>
      </c>
      <c r="G51" s="29">
        <f t="shared" si="101"/>
        <v>187</v>
      </c>
      <c r="H51" s="4" t="s">
        <v>0</v>
      </c>
      <c r="I51" s="16" t="str">
        <f t="shared" si="18"/>
        <v>02-06</v>
      </c>
      <c r="J51" s="14">
        <f t="shared" si="19"/>
        <v>340</v>
      </c>
      <c r="K51" s="15">
        <f t="shared" si="20"/>
        <v>166</v>
      </c>
      <c r="L51" s="17">
        <f t="shared" si="21"/>
        <v>368</v>
      </c>
      <c r="M51" s="18">
        <f t="shared" si="22"/>
        <v>166</v>
      </c>
      <c r="N51" s="14">
        <f t="shared" si="23"/>
        <v>368</v>
      </c>
      <c r="O51" s="15">
        <f t="shared" si="24"/>
        <v>187</v>
      </c>
      <c r="P51" s="17">
        <f t="shared" si="25"/>
        <v>340</v>
      </c>
      <c r="Q51" s="18">
        <f t="shared" si="26"/>
        <v>187</v>
      </c>
      <c r="R51" s="4" t="s">
        <v>0</v>
      </c>
      <c r="S51" s="16" t="str">
        <f t="shared" si="27"/>
        <v>02-06</v>
      </c>
      <c r="T51" s="14">
        <f t="shared" si="28"/>
        <v>340</v>
      </c>
      <c r="U51" s="18">
        <f t="shared" si="29"/>
        <v>584</v>
      </c>
      <c r="V51" s="14">
        <f t="shared" si="30"/>
        <v>368</v>
      </c>
      <c r="W51" s="18">
        <f t="shared" si="31"/>
        <v>584</v>
      </c>
      <c r="X51" s="14">
        <f t="shared" si="32"/>
        <v>368</v>
      </c>
      <c r="Y51" s="18">
        <f t="shared" si="33"/>
        <v>563</v>
      </c>
      <c r="Z51" s="14">
        <f t="shared" si="34"/>
        <v>340</v>
      </c>
      <c r="AA51" s="18">
        <f t="shared" si="35"/>
        <v>563</v>
      </c>
      <c r="AB51" s="4" t="s">
        <v>0</v>
      </c>
    </row>
    <row r="52" spans="1:28">
      <c r="A52" s="9" t="s">
        <v>23</v>
      </c>
      <c r="B52" s="24"/>
      <c r="C52" s="26"/>
      <c r="D52" s="25">
        <f t="shared" ref="D52" si="126">D37</f>
        <v>368</v>
      </c>
      <c r="E52" s="29">
        <f t="shared" ref="E52" si="127">E51</f>
        <v>166</v>
      </c>
      <c r="F52" s="25">
        <f t="shared" ref="F52" si="128">F37</f>
        <v>396</v>
      </c>
      <c r="G52" s="29">
        <f t="shared" si="101"/>
        <v>187</v>
      </c>
      <c r="H52" s="4" t="s">
        <v>0</v>
      </c>
      <c r="I52" s="16" t="str">
        <f t="shared" si="18"/>
        <v>02-05</v>
      </c>
      <c r="J52" s="14">
        <f t="shared" si="19"/>
        <v>368</v>
      </c>
      <c r="K52" s="15">
        <f t="shared" si="20"/>
        <v>166</v>
      </c>
      <c r="L52" s="17">
        <f t="shared" si="21"/>
        <v>396</v>
      </c>
      <c r="M52" s="18">
        <f t="shared" si="22"/>
        <v>166</v>
      </c>
      <c r="N52" s="14">
        <f t="shared" si="23"/>
        <v>396</v>
      </c>
      <c r="O52" s="15">
        <f t="shared" si="24"/>
        <v>187</v>
      </c>
      <c r="P52" s="17">
        <f t="shared" si="25"/>
        <v>368</v>
      </c>
      <c r="Q52" s="18">
        <f t="shared" si="26"/>
        <v>187</v>
      </c>
      <c r="R52" s="4" t="s">
        <v>0</v>
      </c>
      <c r="S52" s="16" t="str">
        <f t="shared" si="27"/>
        <v>02-05</v>
      </c>
      <c r="T52" s="14">
        <f t="shared" si="28"/>
        <v>368</v>
      </c>
      <c r="U52" s="18">
        <f t="shared" si="29"/>
        <v>584</v>
      </c>
      <c r="V52" s="14">
        <f t="shared" si="30"/>
        <v>396</v>
      </c>
      <c r="W52" s="18">
        <f t="shared" si="31"/>
        <v>584</v>
      </c>
      <c r="X52" s="14">
        <f t="shared" si="32"/>
        <v>396</v>
      </c>
      <c r="Y52" s="18">
        <f t="shared" si="33"/>
        <v>563</v>
      </c>
      <c r="Z52" s="14">
        <f t="shared" si="34"/>
        <v>368</v>
      </c>
      <c r="AA52" s="18">
        <f t="shared" si="35"/>
        <v>563</v>
      </c>
      <c r="AB52" s="4" t="s">
        <v>0</v>
      </c>
    </row>
    <row r="53" spans="1:28">
      <c r="A53" s="9" t="s">
        <v>22</v>
      </c>
      <c r="B53" s="24"/>
      <c r="C53" s="26"/>
      <c r="D53" s="25">
        <f t="shared" ref="D53" si="129">D38</f>
        <v>396</v>
      </c>
      <c r="E53" s="29">
        <f t="shared" ref="E53" si="130">E52</f>
        <v>166</v>
      </c>
      <c r="F53" s="25">
        <f t="shared" ref="F53" si="131">F38</f>
        <v>424</v>
      </c>
      <c r="G53" s="29">
        <f t="shared" si="101"/>
        <v>187</v>
      </c>
      <c r="H53" s="4" t="s">
        <v>0</v>
      </c>
      <c r="I53" s="16" t="str">
        <f t="shared" si="18"/>
        <v>02-03</v>
      </c>
      <c r="J53" s="14">
        <f t="shared" si="19"/>
        <v>396</v>
      </c>
      <c r="K53" s="15">
        <f t="shared" si="20"/>
        <v>166</v>
      </c>
      <c r="L53" s="17">
        <f t="shared" si="21"/>
        <v>424</v>
      </c>
      <c r="M53" s="18">
        <f t="shared" si="22"/>
        <v>166</v>
      </c>
      <c r="N53" s="14">
        <f t="shared" si="23"/>
        <v>424</v>
      </c>
      <c r="O53" s="15">
        <f t="shared" si="24"/>
        <v>187</v>
      </c>
      <c r="P53" s="17">
        <f t="shared" si="25"/>
        <v>396</v>
      </c>
      <c r="Q53" s="18">
        <f t="shared" si="26"/>
        <v>187</v>
      </c>
      <c r="R53" s="4" t="s">
        <v>0</v>
      </c>
      <c r="S53" s="16" t="str">
        <f t="shared" si="27"/>
        <v>02-03</v>
      </c>
      <c r="T53" s="14">
        <f t="shared" si="28"/>
        <v>396</v>
      </c>
      <c r="U53" s="18">
        <f t="shared" si="29"/>
        <v>584</v>
      </c>
      <c r="V53" s="14">
        <f t="shared" si="30"/>
        <v>424</v>
      </c>
      <c r="W53" s="18">
        <f t="shared" si="31"/>
        <v>584</v>
      </c>
      <c r="X53" s="14">
        <f t="shared" si="32"/>
        <v>424</v>
      </c>
      <c r="Y53" s="18">
        <f t="shared" si="33"/>
        <v>563</v>
      </c>
      <c r="Z53" s="14">
        <f t="shared" si="34"/>
        <v>396</v>
      </c>
      <c r="AA53" s="18">
        <f t="shared" si="35"/>
        <v>563</v>
      </c>
      <c r="AB53" s="4" t="s">
        <v>0</v>
      </c>
    </row>
    <row r="54" spans="1:28">
      <c r="A54" s="9" t="s">
        <v>21</v>
      </c>
      <c r="B54" s="24"/>
      <c r="C54" s="26"/>
      <c r="D54" s="25">
        <f t="shared" ref="D54" si="132">D39</f>
        <v>424</v>
      </c>
      <c r="E54" s="29">
        <f t="shared" ref="E54" si="133">E53</f>
        <v>166</v>
      </c>
      <c r="F54" s="25">
        <f t="shared" ref="F54" si="134">F39</f>
        <v>452</v>
      </c>
      <c r="G54" s="29">
        <f t="shared" si="101"/>
        <v>187</v>
      </c>
      <c r="H54" s="4" t="s">
        <v>0</v>
      </c>
      <c r="I54" s="16" t="str">
        <f t="shared" si="18"/>
        <v>02-02</v>
      </c>
      <c r="J54" s="14">
        <f t="shared" si="19"/>
        <v>424</v>
      </c>
      <c r="K54" s="15">
        <f t="shared" si="20"/>
        <v>166</v>
      </c>
      <c r="L54" s="17">
        <f t="shared" si="21"/>
        <v>452</v>
      </c>
      <c r="M54" s="18">
        <f t="shared" si="22"/>
        <v>166</v>
      </c>
      <c r="N54" s="14">
        <f t="shared" si="23"/>
        <v>452</v>
      </c>
      <c r="O54" s="15">
        <f t="shared" si="24"/>
        <v>187</v>
      </c>
      <c r="P54" s="17">
        <f t="shared" si="25"/>
        <v>424</v>
      </c>
      <c r="Q54" s="18">
        <f t="shared" si="26"/>
        <v>187</v>
      </c>
      <c r="R54" s="4" t="s">
        <v>0</v>
      </c>
      <c r="S54" s="16" t="str">
        <f t="shared" si="27"/>
        <v>02-02</v>
      </c>
      <c r="T54" s="14">
        <f t="shared" si="28"/>
        <v>424</v>
      </c>
      <c r="U54" s="18">
        <f t="shared" si="29"/>
        <v>584</v>
      </c>
      <c r="V54" s="14">
        <f t="shared" si="30"/>
        <v>452</v>
      </c>
      <c r="W54" s="18">
        <f t="shared" si="31"/>
        <v>584</v>
      </c>
      <c r="X54" s="14">
        <f t="shared" si="32"/>
        <v>452</v>
      </c>
      <c r="Y54" s="18">
        <f t="shared" si="33"/>
        <v>563</v>
      </c>
      <c r="Z54" s="14">
        <f t="shared" si="34"/>
        <v>424</v>
      </c>
      <c r="AA54" s="18">
        <f t="shared" si="35"/>
        <v>563</v>
      </c>
      <c r="AB54" s="4" t="s">
        <v>0</v>
      </c>
    </row>
    <row r="55" spans="1:28">
      <c r="A55" s="9" t="s">
        <v>20</v>
      </c>
      <c r="B55" s="24"/>
      <c r="C55" s="26"/>
      <c r="D55" s="25">
        <f t="shared" ref="D55" si="135">D40</f>
        <v>452</v>
      </c>
      <c r="E55" s="29">
        <f t="shared" ref="E55" si="136">E54</f>
        <v>166</v>
      </c>
      <c r="F55" s="25">
        <f t="shared" ref="F55" si="137">F40</f>
        <v>480</v>
      </c>
      <c r="G55" s="29">
        <f t="shared" si="101"/>
        <v>187</v>
      </c>
      <c r="H55" s="4" t="s">
        <v>0</v>
      </c>
      <c r="I55" s="16" t="str">
        <f t="shared" si="18"/>
        <v>02-01</v>
      </c>
      <c r="J55" s="14">
        <f t="shared" si="19"/>
        <v>452</v>
      </c>
      <c r="K55" s="15">
        <f t="shared" si="20"/>
        <v>166</v>
      </c>
      <c r="L55" s="17">
        <f t="shared" si="21"/>
        <v>480</v>
      </c>
      <c r="M55" s="18">
        <f t="shared" si="22"/>
        <v>166</v>
      </c>
      <c r="N55" s="14">
        <f t="shared" si="23"/>
        <v>480</v>
      </c>
      <c r="O55" s="15">
        <f t="shared" si="24"/>
        <v>187</v>
      </c>
      <c r="P55" s="17">
        <f t="shared" si="25"/>
        <v>452</v>
      </c>
      <c r="Q55" s="18">
        <f t="shared" si="26"/>
        <v>187</v>
      </c>
      <c r="R55" s="4" t="s">
        <v>0</v>
      </c>
      <c r="S55" s="16" t="str">
        <f t="shared" si="27"/>
        <v>02-01</v>
      </c>
      <c r="T55" s="14">
        <f t="shared" si="28"/>
        <v>452</v>
      </c>
      <c r="U55" s="18">
        <f t="shared" si="29"/>
        <v>584</v>
      </c>
      <c r="V55" s="14">
        <f t="shared" si="30"/>
        <v>480</v>
      </c>
      <c r="W55" s="18">
        <f t="shared" si="31"/>
        <v>584</v>
      </c>
      <c r="X55" s="14">
        <f t="shared" si="32"/>
        <v>480</v>
      </c>
      <c r="Y55" s="18">
        <f t="shared" si="33"/>
        <v>563</v>
      </c>
      <c r="Z55" s="14">
        <f t="shared" si="34"/>
        <v>452</v>
      </c>
      <c r="AA55" s="18">
        <f t="shared" si="35"/>
        <v>563</v>
      </c>
      <c r="AB55" s="4" t="s">
        <v>0</v>
      </c>
    </row>
    <row r="56" spans="1:28">
      <c r="A56" s="9" t="s">
        <v>147</v>
      </c>
      <c r="B56" s="24"/>
      <c r="C56" s="26">
        <v>3</v>
      </c>
      <c r="D56" s="25">
        <f t="shared" ref="D56" si="138">D41</f>
        <v>20</v>
      </c>
      <c r="E56" s="28">
        <f t="shared" ref="E56" si="139">ROUND(E$11+27.8*$C56, 0)</f>
        <v>193</v>
      </c>
      <c r="F56" s="25">
        <f t="shared" ref="F56" si="140">F41</f>
        <v>48</v>
      </c>
      <c r="G56" s="28">
        <f t="shared" ref="G56" si="141">ROUND(G$11+27.8*$C56, 0)</f>
        <v>214</v>
      </c>
      <c r="H56" s="4" t="s">
        <v>0</v>
      </c>
      <c r="I56" s="16" t="str">
        <f t="shared" si="18"/>
        <v>01-18</v>
      </c>
      <c r="J56" s="14">
        <f t="shared" si="19"/>
        <v>20</v>
      </c>
      <c r="K56" s="15">
        <f t="shared" si="20"/>
        <v>193</v>
      </c>
      <c r="L56" s="17">
        <f t="shared" si="21"/>
        <v>48</v>
      </c>
      <c r="M56" s="18">
        <f t="shared" si="22"/>
        <v>193</v>
      </c>
      <c r="N56" s="14">
        <f t="shared" si="23"/>
        <v>48</v>
      </c>
      <c r="O56" s="15">
        <f t="shared" si="24"/>
        <v>214</v>
      </c>
      <c r="P56" s="17">
        <f t="shared" si="25"/>
        <v>20</v>
      </c>
      <c r="Q56" s="18">
        <f t="shared" si="26"/>
        <v>214</v>
      </c>
      <c r="R56" s="4" t="s">
        <v>0</v>
      </c>
      <c r="S56" s="16" t="str">
        <f t="shared" si="27"/>
        <v>01-18</v>
      </c>
      <c r="T56" s="14">
        <f t="shared" si="28"/>
        <v>20</v>
      </c>
      <c r="U56" s="18">
        <f t="shared" si="29"/>
        <v>557</v>
      </c>
      <c r="V56" s="14">
        <f t="shared" si="30"/>
        <v>48</v>
      </c>
      <c r="W56" s="18">
        <f t="shared" si="31"/>
        <v>557</v>
      </c>
      <c r="X56" s="14">
        <f t="shared" si="32"/>
        <v>48</v>
      </c>
      <c r="Y56" s="18">
        <f t="shared" si="33"/>
        <v>536</v>
      </c>
      <c r="Z56" s="14">
        <f t="shared" si="34"/>
        <v>20</v>
      </c>
      <c r="AA56" s="18">
        <f t="shared" si="35"/>
        <v>536</v>
      </c>
      <c r="AB56" s="4" t="s">
        <v>0</v>
      </c>
    </row>
    <row r="57" spans="1:28">
      <c r="A57" s="9" t="s">
        <v>146</v>
      </c>
      <c r="B57" s="24"/>
      <c r="C57" s="26"/>
      <c r="D57" s="25">
        <f t="shared" ref="D57" si="142">D42</f>
        <v>48</v>
      </c>
      <c r="E57" s="29">
        <f t="shared" ref="E57" si="143">E56</f>
        <v>193</v>
      </c>
      <c r="F57" s="25">
        <f t="shared" ref="F57" si="144">F42</f>
        <v>76</v>
      </c>
      <c r="G57" s="29">
        <f t="shared" ref="G57" si="145">G56</f>
        <v>214</v>
      </c>
      <c r="H57" s="4" t="s">
        <v>0</v>
      </c>
      <c r="I57" s="16" t="str">
        <f t="shared" si="18"/>
        <v>01-17</v>
      </c>
      <c r="J57" s="14">
        <f t="shared" si="19"/>
        <v>48</v>
      </c>
      <c r="K57" s="15">
        <f t="shared" si="20"/>
        <v>193</v>
      </c>
      <c r="L57" s="17">
        <f t="shared" si="21"/>
        <v>76</v>
      </c>
      <c r="M57" s="18">
        <f t="shared" si="22"/>
        <v>193</v>
      </c>
      <c r="N57" s="14">
        <f t="shared" si="23"/>
        <v>76</v>
      </c>
      <c r="O57" s="15">
        <f t="shared" si="24"/>
        <v>214</v>
      </c>
      <c r="P57" s="17">
        <f t="shared" si="25"/>
        <v>48</v>
      </c>
      <c r="Q57" s="18">
        <f t="shared" si="26"/>
        <v>214</v>
      </c>
      <c r="R57" s="4" t="s">
        <v>0</v>
      </c>
      <c r="S57" s="16" t="str">
        <f t="shared" si="27"/>
        <v>01-17</v>
      </c>
      <c r="T57" s="14">
        <f t="shared" si="28"/>
        <v>48</v>
      </c>
      <c r="U57" s="18">
        <f t="shared" si="29"/>
        <v>557</v>
      </c>
      <c r="V57" s="14">
        <f t="shared" si="30"/>
        <v>76</v>
      </c>
      <c r="W57" s="18">
        <f t="shared" si="31"/>
        <v>557</v>
      </c>
      <c r="X57" s="14">
        <f t="shared" si="32"/>
        <v>76</v>
      </c>
      <c r="Y57" s="18">
        <f t="shared" si="33"/>
        <v>536</v>
      </c>
      <c r="Z57" s="14">
        <f t="shared" si="34"/>
        <v>48</v>
      </c>
      <c r="AA57" s="18">
        <f t="shared" si="35"/>
        <v>536</v>
      </c>
      <c r="AB57" s="4" t="s">
        <v>0</v>
      </c>
    </row>
    <row r="58" spans="1:28">
      <c r="A58" s="9" t="s">
        <v>145</v>
      </c>
      <c r="B58" s="24"/>
      <c r="C58" s="26"/>
      <c r="D58" s="25">
        <f t="shared" ref="D58" si="146">D43</f>
        <v>76</v>
      </c>
      <c r="E58" s="29">
        <f t="shared" ref="E58" si="147">E57</f>
        <v>193</v>
      </c>
      <c r="F58" s="25">
        <f t="shared" ref="F58" si="148">F43</f>
        <v>104</v>
      </c>
      <c r="G58" s="29">
        <f t="shared" ref="G58" si="149">G57</f>
        <v>214</v>
      </c>
      <c r="H58" s="4" t="s">
        <v>0</v>
      </c>
      <c r="I58" s="16" t="str">
        <f t="shared" si="18"/>
        <v>01-16</v>
      </c>
      <c r="J58" s="14">
        <f t="shared" si="19"/>
        <v>76</v>
      </c>
      <c r="K58" s="15">
        <f t="shared" si="20"/>
        <v>193</v>
      </c>
      <c r="L58" s="17">
        <f t="shared" si="21"/>
        <v>104</v>
      </c>
      <c r="M58" s="18">
        <f t="shared" si="22"/>
        <v>193</v>
      </c>
      <c r="N58" s="14">
        <f t="shared" si="23"/>
        <v>104</v>
      </c>
      <c r="O58" s="15">
        <f t="shared" si="24"/>
        <v>214</v>
      </c>
      <c r="P58" s="17">
        <f t="shared" si="25"/>
        <v>76</v>
      </c>
      <c r="Q58" s="18">
        <f t="shared" si="26"/>
        <v>214</v>
      </c>
      <c r="R58" s="4" t="s">
        <v>0</v>
      </c>
      <c r="S58" s="16" t="str">
        <f t="shared" si="27"/>
        <v>01-16</v>
      </c>
      <c r="T58" s="14">
        <f t="shared" si="28"/>
        <v>76</v>
      </c>
      <c r="U58" s="18">
        <f t="shared" si="29"/>
        <v>557</v>
      </c>
      <c r="V58" s="14">
        <f t="shared" si="30"/>
        <v>104</v>
      </c>
      <c r="W58" s="18">
        <f t="shared" si="31"/>
        <v>557</v>
      </c>
      <c r="X58" s="14">
        <f t="shared" si="32"/>
        <v>104</v>
      </c>
      <c r="Y58" s="18">
        <f t="shared" si="33"/>
        <v>536</v>
      </c>
      <c r="Z58" s="14">
        <f t="shared" si="34"/>
        <v>76</v>
      </c>
      <c r="AA58" s="18">
        <f t="shared" si="35"/>
        <v>536</v>
      </c>
      <c r="AB58" s="4" t="s">
        <v>0</v>
      </c>
    </row>
    <row r="59" spans="1:28">
      <c r="A59" s="9" t="s">
        <v>144</v>
      </c>
      <c r="B59" s="24"/>
      <c r="C59" s="26"/>
      <c r="D59" s="25">
        <f t="shared" ref="D59" si="150">D44</f>
        <v>104</v>
      </c>
      <c r="E59" s="29">
        <f t="shared" ref="E59" si="151">E58</f>
        <v>193</v>
      </c>
      <c r="F59" s="25">
        <f t="shared" ref="F59" si="152">F44</f>
        <v>132</v>
      </c>
      <c r="G59" s="29">
        <f t="shared" si="101"/>
        <v>214</v>
      </c>
      <c r="H59" s="4" t="s">
        <v>0</v>
      </c>
      <c r="I59" s="16" t="str">
        <f t="shared" si="18"/>
        <v>01-15</v>
      </c>
      <c r="J59" s="14">
        <f t="shared" si="19"/>
        <v>104</v>
      </c>
      <c r="K59" s="15">
        <f t="shared" si="20"/>
        <v>193</v>
      </c>
      <c r="L59" s="17">
        <f t="shared" si="21"/>
        <v>132</v>
      </c>
      <c r="M59" s="18">
        <f t="shared" si="22"/>
        <v>193</v>
      </c>
      <c r="N59" s="14">
        <f t="shared" si="23"/>
        <v>132</v>
      </c>
      <c r="O59" s="15">
        <f t="shared" si="24"/>
        <v>214</v>
      </c>
      <c r="P59" s="17">
        <f t="shared" si="25"/>
        <v>104</v>
      </c>
      <c r="Q59" s="18">
        <f t="shared" si="26"/>
        <v>214</v>
      </c>
      <c r="R59" s="4" t="s">
        <v>0</v>
      </c>
      <c r="S59" s="16" t="str">
        <f t="shared" si="27"/>
        <v>01-15</v>
      </c>
      <c r="T59" s="14">
        <f t="shared" si="28"/>
        <v>104</v>
      </c>
      <c r="U59" s="18">
        <f t="shared" si="29"/>
        <v>557</v>
      </c>
      <c r="V59" s="14">
        <f t="shared" si="30"/>
        <v>132</v>
      </c>
      <c r="W59" s="18">
        <f t="shared" si="31"/>
        <v>557</v>
      </c>
      <c r="X59" s="14">
        <f t="shared" si="32"/>
        <v>132</v>
      </c>
      <c r="Y59" s="18">
        <f t="shared" si="33"/>
        <v>536</v>
      </c>
      <c r="Z59" s="14">
        <f t="shared" si="34"/>
        <v>104</v>
      </c>
      <c r="AA59" s="18">
        <f t="shared" si="35"/>
        <v>536</v>
      </c>
      <c r="AB59" s="4" t="s">
        <v>0</v>
      </c>
    </row>
    <row r="60" spans="1:28">
      <c r="A60" s="9" t="s">
        <v>143</v>
      </c>
      <c r="B60" s="24"/>
      <c r="C60" s="26"/>
      <c r="D60" s="25">
        <f t="shared" ref="D60" si="153">D45</f>
        <v>132</v>
      </c>
      <c r="E60" s="29">
        <f t="shared" ref="E60" si="154">E59</f>
        <v>193</v>
      </c>
      <c r="F60" s="25">
        <f t="shared" ref="F60" si="155">F45</f>
        <v>160</v>
      </c>
      <c r="G60" s="29">
        <f t="shared" si="101"/>
        <v>214</v>
      </c>
      <c r="H60" s="4" t="s">
        <v>0</v>
      </c>
      <c r="I60" s="16" t="str">
        <f t="shared" si="18"/>
        <v>01-13</v>
      </c>
      <c r="J60" s="14">
        <f t="shared" si="19"/>
        <v>132</v>
      </c>
      <c r="K60" s="15">
        <f t="shared" si="20"/>
        <v>193</v>
      </c>
      <c r="L60" s="17">
        <f t="shared" si="21"/>
        <v>160</v>
      </c>
      <c r="M60" s="18">
        <f t="shared" si="22"/>
        <v>193</v>
      </c>
      <c r="N60" s="14">
        <f t="shared" si="23"/>
        <v>160</v>
      </c>
      <c r="O60" s="15">
        <f t="shared" si="24"/>
        <v>214</v>
      </c>
      <c r="P60" s="17">
        <f t="shared" si="25"/>
        <v>132</v>
      </c>
      <c r="Q60" s="18">
        <f t="shared" si="26"/>
        <v>214</v>
      </c>
      <c r="R60" s="4" t="s">
        <v>0</v>
      </c>
      <c r="S60" s="16" t="str">
        <f t="shared" si="27"/>
        <v>01-13</v>
      </c>
      <c r="T60" s="14">
        <f t="shared" si="28"/>
        <v>132</v>
      </c>
      <c r="U60" s="18">
        <f t="shared" si="29"/>
        <v>557</v>
      </c>
      <c r="V60" s="14">
        <f t="shared" si="30"/>
        <v>160</v>
      </c>
      <c r="W60" s="18">
        <f t="shared" si="31"/>
        <v>557</v>
      </c>
      <c r="X60" s="14">
        <f t="shared" si="32"/>
        <v>160</v>
      </c>
      <c r="Y60" s="18">
        <f t="shared" si="33"/>
        <v>536</v>
      </c>
      <c r="Z60" s="14">
        <f t="shared" si="34"/>
        <v>132</v>
      </c>
      <c r="AA60" s="18">
        <f t="shared" si="35"/>
        <v>536</v>
      </c>
      <c r="AB60" s="4" t="s">
        <v>0</v>
      </c>
    </row>
    <row r="61" spans="1:28">
      <c r="A61" s="9" t="s">
        <v>11</v>
      </c>
      <c r="B61" s="24"/>
      <c r="C61" s="26"/>
      <c r="D61" s="25">
        <f t="shared" ref="D61" si="156">D46</f>
        <v>160</v>
      </c>
      <c r="E61" s="29">
        <f t="shared" ref="E61" si="157">E60</f>
        <v>193</v>
      </c>
      <c r="F61" s="25">
        <f t="shared" ref="F61" si="158">F46</f>
        <v>188</v>
      </c>
      <c r="G61" s="29">
        <f t="shared" si="101"/>
        <v>214</v>
      </c>
      <c r="H61" s="4" t="s">
        <v>0</v>
      </c>
      <c r="I61" s="16" t="str">
        <f t="shared" si="18"/>
        <v>01-12</v>
      </c>
      <c r="J61" s="14">
        <f t="shared" si="19"/>
        <v>160</v>
      </c>
      <c r="K61" s="15">
        <f t="shared" si="20"/>
        <v>193</v>
      </c>
      <c r="L61" s="17">
        <f t="shared" si="21"/>
        <v>188</v>
      </c>
      <c r="M61" s="18">
        <f t="shared" si="22"/>
        <v>193</v>
      </c>
      <c r="N61" s="14">
        <f t="shared" si="23"/>
        <v>188</v>
      </c>
      <c r="O61" s="15">
        <f t="shared" si="24"/>
        <v>214</v>
      </c>
      <c r="P61" s="17">
        <f t="shared" si="25"/>
        <v>160</v>
      </c>
      <c r="Q61" s="18">
        <f t="shared" si="26"/>
        <v>214</v>
      </c>
      <c r="R61" s="4" t="s">
        <v>0</v>
      </c>
      <c r="S61" s="16" t="str">
        <f t="shared" si="27"/>
        <v>01-12</v>
      </c>
      <c r="T61" s="14">
        <f t="shared" si="28"/>
        <v>160</v>
      </c>
      <c r="U61" s="18">
        <f t="shared" si="29"/>
        <v>557</v>
      </c>
      <c r="V61" s="14">
        <f t="shared" si="30"/>
        <v>188</v>
      </c>
      <c r="W61" s="18">
        <f t="shared" si="31"/>
        <v>557</v>
      </c>
      <c r="X61" s="14">
        <f t="shared" si="32"/>
        <v>188</v>
      </c>
      <c r="Y61" s="18">
        <f t="shared" si="33"/>
        <v>536</v>
      </c>
      <c r="Z61" s="14">
        <f t="shared" si="34"/>
        <v>160</v>
      </c>
      <c r="AA61" s="18">
        <f t="shared" si="35"/>
        <v>536</v>
      </c>
      <c r="AB61" s="4" t="s">
        <v>0</v>
      </c>
    </row>
    <row r="62" spans="1:28">
      <c r="A62" s="9" t="s">
        <v>10</v>
      </c>
      <c r="B62" s="24"/>
      <c r="C62" s="26"/>
      <c r="D62" s="25">
        <f t="shared" ref="D62" si="159">D47</f>
        <v>188</v>
      </c>
      <c r="E62" s="29">
        <f t="shared" ref="E62" si="160">E61</f>
        <v>193</v>
      </c>
      <c r="F62" s="25">
        <f t="shared" ref="F62" si="161">F47</f>
        <v>216</v>
      </c>
      <c r="G62" s="29">
        <f t="shared" si="101"/>
        <v>214</v>
      </c>
      <c r="H62" s="4" t="s">
        <v>0</v>
      </c>
      <c r="I62" s="16" t="str">
        <f t="shared" si="18"/>
        <v>01-11</v>
      </c>
      <c r="J62" s="14">
        <f t="shared" si="19"/>
        <v>188</v>
      </c>
      <c r="K62" s="15">
        <f t="shared" si="20"/>
        <v>193</v>
      </c>
      <c r="L62" s="17">
        <f t="shared" si="21"/>
        <v>216</v>
      </c>
      <c r="M62" s="18">
        <f t="shared" si="22"/>
        <v>193</v>
      </c>
      <c r="N62" s="14">
        <f t="shared" si="23"/>
        <v>216</v>
      </c>
      <c r="O62" s="15">
        <f t="shared" si="24"/>
        <v>214</v>
      </c>
      <c r="P62" s="17">
        <f t="shared" si="25"/>
        <v>188</v>
      </c>
      <c r="Q62" s="18">
        <f t="shared" si="26"/>
        <v>214</v>
      </c>
      <c r="R62" s="4" t="s">
        <v>0</v>
      </c>
      <c r="S62" s="16" t="str">
        <f t="shared" si="27"/>
        <v>01-11</v>
      </c>
      <c r="T62" s="14">
        <f t="shared" si="28"/>
        <v>188</v>
      </c>
      <c r="U62" s="18">
        <f t="shared" si="29"/>
        <v>557</v>
      </c>
      <c r="V62" s="14">
        <f t="shared" si="30"/>
        <v>216</v>
      </c>
      <c r="W62" s="18">
        <f t="shared" si="31"/>
        <v>557</v>
      </c>
      <c r="X62" s="14">
        <f t="shared" si="32"/>
        <v>216</v>
      </c>
      <c r="Y62" s="18">
        <f t="shared" si="33"/>
        <v>536</v>
      </c>
      <c r="Z62" s="14">
        <f t="shared" si="34"/>
        <v>188</v>
      </c>
      <c r="AA62" s="18">
        <f t="shared" si="35"/>
        <v>536</v>
      </c>
      <c r="AB62" s="4" t="s">
        <v>0</v>
      </c>
    </row>
    <row r="63" spans="1:28">
      <c r="A63" s="9" t="s">
        <v>9</v>
      </c>
      <c r="B63" s="24"/>
      <c r="C63" s="26"/>
      <c r="D63" s="25">
        <f t="shared" ref="D63" si="162">D48</f>
        <v>256</v>
      </c>
      <c r="E63" s="29">
        <f t="shared" ref="E63" si="163">E62</f>
        <v>193</v>
      </c>
      <c r="F63" s="25">
        <f t="shared" ref="F63" si="164">F48</f>
        <v>284</v>
      </c>
      <c r="G63" s="29">
        <f t="shared" si="101"/>
        <v>214</v>
      </c>
      <c r="H63" s="4" t="s">
        <v>0</v>
      </c>
      <c r="I63" s="16" t="str">
        <f t="shared" si="18"/>
        <v>01-10</v>
      </c>
      <c r="J63" s="14">
        <f t="shared" si="19"/>
        <v>256</v>
      </c>
      <c r="K63" s="15">
        <f t="shared" si="20"/>
        <v>193</v>
      </c>
      <c r="L63" s="17">
        <f t="shared" si="21"/>
        <v>284</v>
      </c>
      <c r="M63" s="18">
        <f t="shared" si="22"/>
        <v>193</v>
      </c>
      <c r="N63" s="14">
        <f t="shared" si="23"/>
        <v>284</v>
      </c>
      <c r="O63" s="15">
        <f t="shared" si="24"/>
        <v>214</v>
      </c>
      <c r="P63" s="17">
        <f t="shared" si="25"/>
        <v>256</v>
      </c>
      <c r="Q63" s="18">
        <f t="shared" si="26"/>
        <v>214</v>
      </c>
      <c r="R63" s="4" t="s">
        <v>0</v>
      </c>
      <c r="S63" s="16" t="str">
        <f t="shared" si="27"/>
        <v>01-10</v>
      </c>
      <c r="T63" s="14">
        <f t="shared" si="28"/>
        <v>256</v>
      </c>
      <c r="U63" s="18">
        <f t="shared" si="29"/>
        <v>557</v>
      </c>
      <c r="V63" s="14">
        <f t="shared" si="30"/>
        <v>284</v>
      </c>
      <c r="W63" s="18">
        <f t="shared" si="31"/>
        <v>557</v>
      </c>
      <c r="X63" s="14">
        <f t="shared" si="32"/>
        <v>284</v>
      </c>
      <c r="Y63" s="18">
        <f t="shared" si="33"/>
        <v>536</v>
      </c>
      <c r="Z63" s="14">
        <f t="shared" si="34"/>
        <v>256</v>
      </c>
      <c r="AA63" s="18">
        <f t="shared" si="35"/>
        <v>536</v>
      </c>
      <c r="AB63" s="4" t="s">
        <v>0</v>
      </c>
    </row>
    <row r="64" spans="1:28">
      <c r="A64" s="9" t="s">
        <v>8</v>
      </c>
      <c r="B64" s="24"/>
      <c r="C64" s="26"/>
      <c r="D64" s="25">
        <f t="shared" ref="D64" si="165">D49</f>
        <v>284</v>
      </c>
      <c r="E64" s="29">
        <f t="shared" ref="E64" si="166">E63</f>
        <v>193</v>
      </c>
      <c r="F64" s="25">
        <f t="shared" ref="F64" si="167">F49</f>
        <v>312</v>
      </c>
      <c r="G64" s="29">
        <f t="shared" si="101"/>
        <v>214</v>
      </c>
      <c r="H64" s="4" t="s">
        <v>0</v>
      </c>
      <c r="I64" s="16" t="str">
        <f t="shared" si="18"/>
        <v>01-08</v>
      </c>
      <c r="J64" s="14">
        <f t="shared" si="19"/>
        <v>284</v>
      </c>
      <c r="K64" s="15">
        <f t="shared" si="20"/>
        <v>193</v>
      </c>
      <c r="L64" s="17">
        <f t="shared" si="21"/>
        <v>312</v>
      </c>
      <c r="M64" s="18">
        <f t="shared" si="22"/>
        <v>193</v>
      </c>
      <c r="N64" s="14">
        <f t="shared" si="23"/>
        <v>312</v>
      </c>
      <c r="O64" s="15">
        <f t="shared" si="24"/>
        <v>214</v>
      </c>
      <c r="P64" s="17">
        <f t="shared" si="25"/>
        <v>284</v>
      </c>
      <c r="Q64" s="18">
        <f t="shared" si="26"/>
        <v>214</v>
      </c>
      <c r="R64" s="4" t="s">
        <v>0</v>
      </c>
      <c r="S64" s="16" t="str">
        <f t="shared" si="27"/>
        <v>01-08</v>
      </c>
      <c r="T64" s="14">
        <f t="shared" si="28"/>
        <v>284</v>
      </c>
      <c r="U64" s="18">
        <f t="shared" si="29"/>
        <v>557</v>
      </c>
      <c r="V64" s="14">
        <f t="shared" si="30"/>
        <v>312</v>
      </c>
      <c r="W64" s="18">
        <f t="shared" si="31"/>
        <v>557</v>
      </c>
      <c r="X64" s="14">
        <f t="shared" si="32"/>
        <v>312</v>
      </c>
      <c r="Y64" s="18">
        <f t="shared" si="33"/>
        <v>536</v>
      </c>
      <c r="Z64" s="14">
        <f t="shared" si="34"/>
        <v>284</v>
      </c>
      <c r="AA64" s="18">
        <f t="shared" si="35"/>
        <v>536</v>
      </c>
      <c r="AB64" s="4" t="s">
        <v>0</v>
      </c>
    </row>
    <row r="65" spans="1:28">
      <c r="A65" s="9" t="s">
        <v>7</v>
      </c>
      <c r="B65" s="24"/>
      <c r="C65" s="26"/>
      <c r="D65" s="25">
        <f t="shared" ref="D65" si="168">D50</f>
        <v>312</v>
      </c>
      <c r="E65" s="29">
        <f t="shared" ref="E65" si="169">E64</f>
        <v>193</v>
      </c>
      <c r="F65" s="25">
        <f t="shared" ref="F65" si="170">F50</f>
        <v>340</v>
      </c>
      <c r="G65" s="29">
        <f t="shared" si="101"/>
        <v>214</v>
      </c>
      <c r="H65" s="4" t="s">
        <v>0</v>
      </c>
      <c r="I65" s="16" t="str">
        <f t="shared" si="18"/>
        <v>01-07</v>
      </c>
      <c r="J65" s="14">
        <f t="shared" si="19"/>
        <v>312</v>
      </c>
      <c r="K65" s="15">
        <f t="shared" si="20"/>
        <v>193</v>
      </c>
      <c r="L65" s="17">
        <f t="shared" si="21"/>
        <v>340</v>
      </c>
      <c r="M65" s="18">
        <f t="shared" si="22"/>
        <v>193</v>
      </c>
      <c r="N65" s="14">
        <f t="shared" si="23"/>
        <v>340</v>
      </c>
      <c r="O65" s="15">
        <f t="shared" si="24"/>
        <v>214</v>
      </c>
      <c r="P65" s="17">
        <f t="shared" si="25"/>
        <v>312</v>
      </c>
      <c r="Q65" s="18">
        <f t="shared" si="26"/>
        <v>214</v>
      </c>
      <c r="R65" s="4" t="s">
        <v>0</v>
      </c>
      <c r="S65" s="16" t="str">
        <f t="shared" si="27"/>
        <v>01-07</v>
      </c>
      <c r="T65" s="14">
        <f t="shared" si="28"/>
        <v>312</v>
      </c>
      <c r="U65" s="18">
        <f t="shared" si="29"/>
        <v>557</v>
      </c>
      <c r="V65" s="14">
        <f t="shared" si="30"/>
        <v>340</v>
      </c>
      <c r="W65" s="18">
        <f t="shared" si="31"/>
        <v>557</v>
      </c>
      <c r="X65" s="14">
        <f t="shared" si="32"/>
        <v>340</v>
      </c>
      <c r="Y65" s="18">
        <f t="shared" si="33"/>
        <v>536</v>
      </c>
      <c r="Z65" s="14">
        <f t="shared" si="34"/>
        <v>312</v>
      </c>
      <c r="AA65" s="18">
        <f t="shared" si="35"/>
        <v>536</v>
      </c>
      <c r="AB65" s="4" t="s">
        <v>0</v>
      </c>
    </row>
    <row r="66" spans="1:28">
      <c r="A66" s="9" t="s">
        <v>6</v>
      </c>
      <c r="B66" s="24"/>
      <c r="C66" s="26"/>
      <c r="D66" s="25">
        <f t="shared" ref="D66" si="171">D51</f>
        <v>340</v>
      </c>
      <c r="E66" s="29">
        <f t="shared" ref="E66" si="172">E65</f>
        <v>193</v>
      </c>
      <c r="F66" s="25">
        <f t="shared" ref="F66" si="173">F51</f>
        <v>368</v>
      </c>
      <c r="G66" s="29">
        <f t="shared" si="101"/>
        <v>214</v>
      </c>
      <c r="H66" s="4" t="s">
        <v>0</v>
      </c>
      <c r="I66" s="16" t="str">
        <f t="shared" si="18"/>
        <v>01-06</v>
      </c>
      <c r="J66" s="14">
        <f t="shared" si="19"/>
        <v>340</v>
      </c>
      <c r="K66" s="15">
        <f t="shared" si="20"/>
        <v>193</v>
      </c>
      <c r="L66" s="17">
        <f t="shared" si="21"/>
        <v>368</v>
      </c>
      <c r="M66" s="18">
        <f t="shared" si="22"/>
        <v>193</v>
      </c>
      <c r="N66" s="14">
        <f t="shared" si="23"/>
        <v>368</v>
      </c>
      <c r="O66" s="15">
        <f t="shared" si="24"/>
        <v>214</v>
      </c>
      <c r="P66" s="17">
        <f t="shared" si="25"/>
        <v>340</v>
      </c>
      <c r="Q66" s="18">
        <f t="shared" si="26"/>
        <v>214</v>
      </c>
      <c r="R66" s="4" t="s">
        <v>0</v>
      </c>
      <c r="S66" s="16" t="str">
        <f t="shared" si="27"/>
        <v>01-06</v>
      </c>
      <c r="T66" s="14">
        <f t="shared" si="28"/>
        <v>340</v>
      </c>
      <c r="U66" s="18">
        <f t="shared" si="29"/>
        <v>557</v>
      </c>
      <c r="V66" s="14">
        <f t="shared" si="30"/>
        <v>368</v>
      </c>
      <c r="W66" s="18">
        <f t="shared" si="31"/>
        <v>557</v>
      </c>
      <c r="X66" s="14">
        <f t="shared" si="32"/>
        <v>368</v>
      </c>
      <c r="Y66" s="18">
        <f t="shared" si="33"/>
        <v>536</v>
      </c>
      <c r="Z66" s="14">
        <f t="shared" si="34"/>
        <v>340</v>
      </c>
      <c r="AA66" s="18">
        <f t="shared" si="35"/>
        <v>536</v>
      </c>
      <c r="AB66" s="4" t="s">
        <v>0</v>
      </c>
    </row>
    <row r="67" spans="1:28">
      <c r="A67" s="9" t="s">
        <v>5</v>
      </c>
      <c r="B67" s="24"/>
      <c r="C67" s="26"/>
      <c r="D67" s="25">
        <f t="shared" ref="D67" si="174">D52</f>
        <v>368</v>
      </c>
      <c r="E67" s="29">
        <f t="shared" ref="E67" si="175">E66</f>
        <v>193</v>
      </c>
      <c r="F67" s="25">
        <f t="shared" ref="F67" si="176">F52</f>
        <v>396</v>
      </c>
      <c r="G67" s="29">
        <f t="shared" si="101"/>
        <v>214</v>
      </c>
      <c r="H67" s="4" t="s">
        <v>0</v>
      </c>
      <c r="I67" s="16" t="str">
        <f t="shared" si="18"/>
        <v>01-05</v>
      </c>
      <c r="J67" s="14">
        <f t="shared" si="19"/>
        <v>368</v>
      </c>
      <c r="K67" s="15">
        <f t="shared" si="20"/>
        <v>193</v>
      </c>
      <c r="L67" s="17">
        <f t="shared" si="21"/>
        <v>396</v>
      </c>
      <c r="M67" s="18">
        <f t="shared" si="22"/>
        <v>193</v>
      </c>
      <c r="N67" s="14">
        <f t="shared" si="23"/>
        <v>396</v>
      </c>
      <c r="O67" s="15">
        <f t="shared" si="24"/>
        <v>214</v>
      </c>
      <c r="P67" s="17">
        <f t="shared" si="25"/>
        <v>368</v>
      </c>
      <c r="Q67" s="18">
        <f t="shared" si="26"/>
        <v>214</v>
      </c>
      <c r="R67" s="4" t="s">
        <v>0</v>
      </c>
      <c r="S67" s="16" t="str">
        <f t="shared" si="27"/>
        <v>01-05</v>
      </c>
      <c r="T67" s="14">
        <f t="shared" si="28"/>
        <v>368</v>
      </c>
      <c r="U67" s="18">
        <f t="shared" si="29"/>
        <v>557</v>
      </c>
      <c r="V67" s="14">
        <f t="shared" si="30"/>
        <v>396</v>
      </c>
      <c r="W67" s="18">
        <f t="shared" si="31"/>
        <v>557</v>
      </c>
      <c r="X67" s="14">
        <f t="shared" si="32"/>
        <v>396</v>
      </c>
      <c r="Y67" s="18">
        <f t="shared" si="33"/>
        <v>536</v>
      </c>
      <c r="Z67" s="14">
        <f t="shared" si="34"/>
        <v>368</v>
      </c>
      <c r="AA67" s="18">
        <f t="shared" si="35"/>
        <v>536</v>
      </c>
      <c r="AB67" s="4" t="s">
        <v>0</v>
      </c>
    </row>
    <row r="68" spans="1:28">
      <c r="A68" s="9" t="s">
        <v>4</v>
      </c>
      <c r="B68" s="24"/>
      <c r="C68" s="26"/>
      <c r="D68" s="25">
        <f t="shared" ref="D68" si="177">D53</f>
        <v>396</v>
      </c>
      <c r="E68" s="29">
        <f t="shared" ref="E68" si="178">E67</f>
        <v>193</v>
      </c>
      <c r="F68" s="25">
        <f t="shared" ref="F68" si="179">F53</f>
        <v>424</v>
      </c>
      <c r="G68" s="29">
        <f t="shared" si="101"/>
        <v>214</v>
      </c>
      <c r="H68" s="4" t="s">
        <v>0</v>
      </c>
      <c r="I68" s="16" t="str">
        <f t="shared" si="18"/>
        <v>01-03</v>
      </c>
      <c r="J68" s="14">
        <f t="shared" si="19"/>
        <v>396</v>
      </c>
      <c r="K68" s="15">
        <f t="shared" si="20"/>
        <v>193</v>
      </c>
      <c r="L68" s="17">
        <f t="shared" si="21"/>
        <v>424</v>
      </c>
      <c r="M68" s="18">
        <f t="shared" si="22"/>
        <v>193</v>
      </c>
      <c r="N68" s="14">
        <f t="shared" si="23"/>
        <v>424</v>
      </c>
      <c r="O68" s="15">
        <f t="shared" si="24"/>
        <v>214</v>
      </c>
      <c r="P68" s="17">
        <f t="shared" si="25"/>
        <v>396</v>
      </c>
      <c r="Q68" s="18">
        <f t="shared" si="26"/>
        <v>214</v>
      </c>
      <c r="R68" s="4" t="s">
        <v>0</v>
      </c>
      <c r="S68" s="16" t="str">
        <f t="shared" si="27"/>
        <v>01-03</v>
      </c>
      <c r="T68" s="14">
        <f t="shared" si="28"/>
        <v>396</v>
      </c>
      <c r="U68" s="18">
        <f t="shared" si="29"/>
        <v>557</v>
      </c>
      <c r="V68" s="14">
        <f t="shared" si="30"/>
        <v>424</v>
      </c>
      <c r="W68" s="18">
        <f t="shared" si="31"/>
        <v>557</v>
      </c>
      <c r="X68" s="14">
        <f t="shared" si="32"/>
        <v>424</v>
      </c>
      <c r="Y68" s="18">
        <f t="shared" si="33"/>
        <v>536</v>
      </c>
      <c r="Z68" s="14">
        <f t="shared" si="34"/>
        <v>396</v>
      </c>
      <c r="AA68" s="18">
        <f t="shared" si="35"/>
        <v>536</v>
      </c>
      <c r="AB68" s="4" t="s">
        <v>0</v>
      </c>
    </row>
    <row r="69" spans="1:28">
      <c r="A69" s="9" t="s">
        <v>142</v>
      </c>
      <c r="B69" s="24"/>
      <c r="C69" s="26"/>
      <c r="D69" s="25">
        <f t="shared" ref="D69" si="180">D54</f>
        <v>424</v>
      </c>
      <c r="E69" s="29">
        <f t="shared" ref="E69" si="181">E68</f>
        <v>193</v>
      </c>
      <c r="F69" s="25">
        <f t="shared" ref="F69" si="182">F54</f>
        <v>452</v>
      </c>
      <c r="G69" s="29">
        <f t="shared" si="101"/>
        <v>214</v>
      </c>
      <c r="H69" s="4" t="s">
        <v>0</v>
      </c>
      <c r="I69" s="16" t="str">
        <f t="shared" si="18"/>
        <v>01-02</v>
      </c>
      <c r="J69" s="14">
        <f t="shared" si="19"/>
        <v>424</v>
      </c>
      <c r="K69" s="15">
        <f t="shared" si="20"/>
        <v>193</v>
      </c>
      <c r="L69" s="17">
        <f t="shared" si="21"/>
        <v>452</v>
      </c>
      <c r="M69" s="18">
        <f t="shared" si="22"/>
        <v>193</v>
      </c>
      <c r="N69" s="14">
        <f t="shared" si="23"/>
        <v>452</v>
      </c>
      <c r="O69" s="15">
        <f t="shared" si="24"/>
        <v>214</v>
      </c>
      <c r="P69" s="17">
        <f t="shared" si="25"/>
        <v>424</v>
      </c>
      <c r="Q69" s="18">
        <f t="shared" si="26"/>
        <v>214</v>
      </c>
      <c r="R69" s="4" t="s">
        <v>0</v>
      </c>
      <c r="S69" s="16" t="str">
        <f t="shared" si="27"/>
        <v>01-02</v>
      </c>
      <c r="T69" s="14">
        <f t="shared" si="28"/>
        <v>424</v>
      </c>
      <c r="U69" s="18">
        <f t="shared" si="29"/>
        <v>557</v>
      </c>
      <c r="V69" s="14">
        <f t="shared" si="30"/>
        <v>452</v>
      </c>
      <c r="W69" s="18">
        <f t="shared" si="31"/>
        <v>557</v>
      </c>
      <c r="X69" s="14">
        <f t="shared" si="32"/>
        <v>452</v>
      </c>
      <c r="Y69" s="18">
        <f t="shared" si="33"/>
        <v>536</v>
      </c>
      <c r="Z69" s="14">
        <f t="shared" si="34"/>
        <v>424</v>
      </c>
      <c r="AA69" s="18">
        <f t="shared" si="35"/>
        <v>536</v>
      </c>
      <c r="AB69" s="4" t="s">
        <v>0</v>
      </c>
    </row>
    <row r="70" spans="1:28">
      <c r="A70" s="9" t="s">
        <v>141</v>
      </c>
      <c r="B70" s="24"/>
      <c r="C70" s="26"/>
      <c r="D70" s="25">
        <f t="shared" ref="D70" si="183">D55</f>
        <v>452</v>
      </c>
      <c r="E70" s="29">
        <f t="shared" ref="E70" si="184">E69</f>
        <v>193</v>
      </c>
      <c r="F70" s="25">
        <f t="shared" ref="F70" si="185">F55</f>
        <v>480</v>
      </c>
      <c r="G70" s="29">
        <f t="shared" si="101"/>
        <v>214</v>
      </c>
      <c r="H70" s="4" t="s">
        <v>0</v>
      </c>
      <c r="I70" s="16" t="str">
        <f t="shared" si="18"/>
        <v>01-01</v>
      </c>
      <c r="J70" s="14">
        <f t="shared" si="19"/>
        <v>452</v>
      </c>
      <c r="K70" s="15">
        <f t="shared" si="20"/>
        <v>193</v>
      </c>
      <c r="L70" s="17">
        <f t="shared" si="21"/>
        <v>480</v>
      </c>
      <c r="M70" s="18">
        <f t="shared" si="22"/>
        <v>193</v>
      </c>
      <c r="N70" s="14">
        <f t="shared" si="23"/>
        <v>480</v>
      </c>
      <c r="O70" s="15">
        <f t="shared" si="24"/>
        <v>214</v>
      </c>
      <c r="P70" s="17">
        <f t="shared" si="25"/>
        <v>452</v>
      </c>
      <c r="Q70" s="18">
        <f t="shared" si="26"/>
        <v>214</v>
      </c>
      <c r="R70" s="4" t="s">
        <v>0</v>
      </c>
      <c r="S70" s="16" t="str">
        <f t="shared" si="27"/>
        <v>01-01</v>
      </c>
      <c r="T70" s="14">
        <f t="shared" si="28"/>
        <v>452</v>
      </c>
      <c r="U70" s="18">
        <f t="shared" si="29"/>
        <v>557</v>
      </c>
      <c r="V70" s="14">
        <f t="shared" si="30"/>
        <v>480</v>
      </c>
      <c r="W70" s="18">
        <f t="shared" si="31"/>
        <v>557</v>
      </c>
      <c r="X70" s="14">
        <f t="shared" si="32"/>
        <v>480</v>
      </c>
      <c r="Y70" s="18">
        <f t="shared" si="33"/>
        <v>536</v>
      </c>
      <c r="Z70" s="14">
        <f t="shared" si="34"/>
        <v>452</v>
      </c>
      <c r="AA70" s="18">
        <f t="shared" si="35"/>
        <v>536</v>
      </c>
      <c r="AB70" s="4" t="s">
        <v>0</v>
      </c>
    </row>
  </sheetData>
  <autoFilter ref="A10:AB70" xr:uid="{00000000-0001-0000-0000-000000000000}"/>
  <mergeCells count="2">
    <mergeCell ref="D3:G3"/>
    <mergeCell ref="D4:G4"/>
  </mergeCells>
  <phoneticPr fontId="1"/>
  <hyperlinks>
    <hyperlink ref="N4" r:id="rId1" xr:uid="{54A57438-B192-4543-BA79-A5747AE7479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654D3-B606-43BB-93EF-AC62B14BCFB4}">
  <sheetPr codeName="Sheet16">
    <pageSetUpPr fitToPage="1"/>
  </sheetPr>
  <dimension ref="A1:AB7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SEC_11_3_釈F.json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SEC_11_3_釈F.png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釈F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173</v>
      </c>
      <c r="B11" s="30" t="s">
        <v>698</v>
      </c>
      <c r="C11" s="4" t="s">
        <v>0</v>
      </c>
      <c r="D11" s="27">
        <v>22</v>
      </c>
      <c r="E11" s="31">
        <v>87</v>
      </c>
      <c r="F11" s="31">
        <v>60</v>
      </c>
      <c r="G11" s="31">
        <v>130</v>
      </c>
      <c r="H11" s="4" t="s">
        <v>0</v>
      </c>
      <c r="I11" s="16" t="str">
        <f t="shared" ref="I11" si="0">A11</f>
        <v>07-13</v>
      </c>
      <c r="J11" s="14">
        <f>IF(D11&lt;&gt;"",D11,0)</f>
        <v>22</v>
      </c>
      <c r="K11" s="15">
        <f>IF(E11&lt;&gt;"",E11,0)</f>
        <v>87</v>
      </c>
      <c r="L11" s="17">
        <f>N11</f>
        <v>60</v>
      </c>
      <c r="M11" s="18">
        <f>K11</f>
        <v>87</v>
      </c>
      <c r="N11" s="14">
        <f>IF(F11&lt;&gt;"",F11,0)</f>
        <v>60</v>
      </c>
      <c r="O11" s="15">
        <f>IF(G11&lt;&gt;"",G11,0)</f>
        <v>130</v>
      </c>
      <c r="P11" s="17">
        <f>J11</f>
        <v>22</v>
      </c>
      <c r="Q11" s="18">
        <f>O11</f>
        <v>130</v>
      </c>
      <c r="R11" s="4" t="s">
        <v>0</v>
      </c>
      <c r="S11" s="16" t="str">
        <f>I11</f>
        <v>07-13</v>
      </c>
      <c r="T11" s="14">
        <f>IF(J11&lt;&gt;"",J11,"")</f>
        <v>22</v>
      </c>
      <c r="U11" s="18">
        <f>IF(K11&lt;&gt;"",U$6-K11,"")</f>
        <v>663</v>
      </c>
      <c r="V11" s="14">
        <f t="shared" ref="V11:Z11" si="1">IF(L11&lt;&gt;"",L11,"")</f>
        <v>60</v>
      </c>
      <c r="W11" s="18">
        <f>IF(M11&lt;&gt;"",W$6-M11,"")</f>
        <v>663</v>
      </c>
      <c r="X11" s="14">
        <f t="shared" si="1"/>
        <v>60</v>
      </c>
      <c r="Y11" s="18">
        <f>IF(O11&lt;&gt;"",Y$6-O11,"")</f>
        <v>620</v>
      </c>
      <c r="Z11" s="14">
        <f t="shared" si="1"/>
        <v>22</v>
      </c>
      <c r="AA11" s="18">
        <f>IF(Q11&lt;&gt;"",AA$6-Q11,"")</f>
        <v>620</v>
      </c>
      <c r="AB11" s="4" t="s">
        <v>0</v>
      </c>
    </row>
    <row r="12" spans="1:28">
      <c r="A12" s="9" t="s">
        <v>68</v>
      </c>
      <c r="B12" s="24"/>
      <c r="C12" s="26">
        <v>1</v>
      </c>
      <c r="D12" s="28">
        <f>ROUND(D$11+38*$C12, 0)</f>
        <v>60</v>
      </c>
      <c r="E12" s="29">
        <f>E$11</f>
        <v>87</v>
      </c>
      <c r="F12" s="28">
        <f>ROUND(F$11+38*$C12, 0)</f>
        <v>98</v>
      </c>
      <c r="G12" s="29">
        <f>G$11</f>
        <v>130</v>
      </c>
      <c r="H12" s="4" t="s">
        <v>0</v>
      </c>
      <c r="I12" s="16" t="str">
        <f t="shared" ref="I12:I73" si="2">A12</f>
        <v>07-12</v>
      </c>
      <c r="J12" s="14">
        <f t="shared" ref="J12:J73" si="3">IF(D12&lt;&gt;"",D12,0)</f>
        <v>60</v>
      </c>
      <c r="K12" s="15">
        <f t="shared" ref="K12:K73" si="4">IF(E12&lt;&gt;"",E12,0)</f>
        <v>87</v>
      </c>
      <c r="L12" s="17">
        <f t="shared" ref="L12:L73" si="5">N12</f>
        <v>98</v>
      </c>
      <c r="M12" s="18">
        <f t="shared" ref="M12:M73" si="6">K12</f>
        <v>87</v>
      </c>
      <c r="N12" s="14">
        <f t="shared" ref="N12:N73" si="7">IF(F12&lt;&gt;"",F12,0)</f>
        <v>98</v>
      </c>
      <c r="O12" s="15">
        <f t="shared" ref="O12:O73" si="8">IF(G12&lt;&gt;"",G12,0)</f>
        <v>130</v>
      </c>
      <c r="P12" s="17">
        <f t="shared" ref="P12:P73" si="9">J12</f>
        <v>60</v>
      </c>
      <c r="Q12" s="18">
        <f t="shared" ref="Q12:Q73" si="10">O12</f>
        <v>130</v>
      </c>
      <c r="R12" s="4" t="s">
        <v>0</v>
      </c>
      <c r="S12" s="16" t="str">
        <f t="shared" ref="S12:S73" si="11">I12</f>
        <v>07-12</v>
      </c>
      <c r="T12" s="14">
        <f t="shared" ref="T12:T73" si="12">IF(J12&lt;&gt;"",J12,"")</f>
        <v>60</v>
      </c>
      <c r="U12" s="18">
        <f t="shared" ref="U12:U73" si="13">IF(K12&lt;&gt;"",U$6-K12,"")</f>
        <v>663</v>
      </c>
      <c r="V12" s="14">
        <f t="shared" ref="V12:V73" si="14">IF(L12&lt;&gt;"",L12,"")</f>
        <v>98</v>
      </c>
      <c r="W12" s="18">
        <f t="shared" ref="W12:W73" si="15">IF(M12&lt;&gt;"",W$6-M12,"")</f>
        <v>663</v>
      </c>
      <c r="X12" s="14">
        <f t="shared" ref="X12:X73" si="16">IF(N12&lt;&gt;"",N12,"")</f>
        <v>98</v>
      </c>
      <c r="Y12" s="18">
        <f t="shared" ref="Y12:Y73" si="17">IF(O12&lt;&gt;"",Y$6-O12,"")</f>
        <v>620</v>
      </c>
      <c r="Z12" s="14">
        <f t="shared" ref="Z12:Z73" si="18">IF(P12&lt;&gt;"",P12,"")</f>
        <v>60</v>
      </c>
      <c r="AA12" s="18">
        <f t="shared" ref="AA12:AA73" si="19">IF(Q12&lt;&gt;"",AA$6-Q12,"")</f>
        <v>620</v>
      </c>
      <c r="AB12" s="4" t="s">
        <v>0</v>
      </c>
    </row>
    <row r="13" spans="1:28">
      <c r="A13" s="9" t="s">
        <v>67</v>
      </c>
      <c r="B13" s="24"/>
      <c r="C13" s="26">
        <v>2</v>
      </c>
      <c r="D13" s="28">
        <f t="shared" ref="D13:D15" si="20">ROUND(D$11+38*$C13, 0)</f>
        <v>98</v>
      </c>
      <c r="E13" s="29">
        <f t="shared" ref="E13:E15" si="21">E$11</f>
        <v>87</v>
      </c>
      <c r="F13" s="28">
        <f t="shared" ref="F13:F15" si="22">ROUND(F$11+38*$C13, 0)</f>
        <v>136</v>
      </c>
      <c r="G13" s="29">
        <f t="shared" ref="G13:G15" si="23">G$11</f>
        <v>130</v>
      </c>
      <c r="H13" s="4" t="s">
        <v>0</v>
      </c>
      <c r="I13" s="16" t="str">
        <f t="shared" si="2"/>
        <v>07-11</v>
      </c>
      <c r="J13" s="14">
        <f t="shared" si="3"/>
        <v>98</v>
      </c>
      <c r="K13" s="15">
        <f t="shared" si="4"/>
        <v>87</v>
      </c>
      <c r="L13" s="17">
        <f t="shared" si="5"/>
        <v>136</v>
      </c>
      <c r="M13" s="18">
        <f t="shared" si="6"/>
        <v>87</v>
      </c>
      <c r="N13" s="14">
        <f t="shared" si="7"/>
        <v>136</v>
      </c>
      <c r="O13" s="15">
        <f t="shared" si="8"/>
        <v>130</v>
      </c>
      <c r="P13" s="17">
        <f t="shared" si="9"/>
        <v>98</v>
      </c>
      <c r="Q13" s="18">
        <f t="shared" si="10"/>
        <v>130</v>
      </c>
      <c r="R13" s="4" t="s">
        <v>0</v>
      </c>
      <c r="S13" s="16" t="str">
        <f t="shared" si="11"/>
        <v>07-11</v>
      </c>
      <c r="T13" s="14">
        <f t="shared" si="12"/>
        <v>98</v>
      </c>
      <c r="U13" s="18">
        <f t="shared" si="13"/>
        <v>663</v>
      </c>
      <c r="V13" s="14">
        <f t="shared" si="14"/>
        <v>136</v>
      </c>
      <c r="W13" s="18">
        <f t="shared" si="15"/>
        <v>663</v>
      </c>
      <c r="X13" s="14">
        <f t="shared" si="16"/>
        <v>136</v>
      </c>
      <c r="Y13" s="18">
        <f t="shared" si="17"/>
        <v>620</v>
      </c>
      <c r="Z13" s="14">
        <f t="shared" si="18"/>
        <v>98</v>
      </c>
      <c r="AA13" s="18">
        <f t="shared" si="19"/>
        <v>620</v>
      </c>
      <c r="AB13" s="4" t="s">
        <v>0</v>
      </c>
    </row>
    <row r="14" spans="1:28">
      <c r="A14" s="9" t="s">
        <v>66</v>
      </c>
      <c r="B14" s="24"/>
      <c r="C14" s="26">
        <v>3</v>
      </c>
      <c r="D14" s="28">
        <f t="shared" si="20"/>
        <v>136</v>
      </c>
      <c r="E14" s="29">
        <f t="shared" si="21"/>
        <v>87</v>
      </c>
      <c r="F14" s="28">
        <f t="shared" si="22"/>
        <v>174</v>
      </c>
      <c r="G14" s="29">
        <f t="shared" si="23"/>
        <v>130</v>
      </c>
      <c r="H14" s="4" t="s">
        <v>0</v>
      </c>
      <c r="I14" s="16" t="str">
        <f t="shared" si="2"/>
        <v>07-10</v>
      </c>
      <c r="J14" s="14">
        <f t="shared" si="3"/>
        <v>136</v>
      </c>
      <c r="K14" s="15">
        <f t="shared" si="4"/>
        <v>87</v>
      </c>
      <c r="L14" s="17">
        <f t="shared" si="5"/>
        <v>174</v>
      </c>
      <c r="M14" s="18">
        <f t="shared" si="6"/>
        <v>87</v>
      </c>
      <c r="N14" s="14">
        <f t="shared" si="7"/>
        <v>174</v>
      </c>
      <c r="O14" s="15">
        <f t="shared" si="8"/>
        <v>130</v>
      </c>
      <c r="P14" s="17">
        <f t="shared" si="9"/>
        <v>136</v>
      </c>
      <c r="Q14" s="18">
        <f t="shared" si="10"/>
        <v>130</v>
      </c>
      <c r="R14" s="4" t="s">
        <v>0</v>
      </c>
      <c r="S14" s="16" t="str">
        <f t="shared" si="11"/>
        <v>07-10</v>
      </c>
      <c r="T14" s="14">
        <f t="shared" si="12"/>
        <v>136</v>
      </c>
      <c r="U14" s="18">
        <f t="shared" si="13"/>
        <v>663</v>
      </c>
      <c r="V14" s="14">
        <f t="shared" si="14"/>
        <v>174</v>
      </c>
      <c r="W14" s="18">
        <f t="shared" si="15"/>
        <v>663</v>
      </c>
      <c r="X14" s="14">
        <f t="shared" si="16"/>
        <v>174</v>
      </c>
      <c r="Y14" s="18">
        <f t="shared" si="17"/>
        <v>620</v>
      </c>
      <c r="Z14" s="14">
        <f t="shared" si="18"/>
        <v>136</v>
      </c>
      <c r="AA14" s="18">
        <f t="shared" si="19"/>
        <v>620</v>
      </c>
      <c r="AB14" s="4" t="s">
        <v>0</v>
      </c>
    </row>
    <row r="15" spans="1:28">
      <c r="A15" s="9" t="s">
        <v>65</v>
      </c>
      <c r="B15" s="24"/>
      <c r="C15" s="26">
        <v>4</v>
      </c>
      <c r="D15" s="28">
        <f t="shared" si="20"/>
        <v>174</v>
      </c>
      <c r="E15" s="29">
        <f t="shared" si="21"/>
        <v>87</v>
      </c>
      <c r="F15" s="28">
        <f t="shared" si="22"/>
        <v>212</v>
      </c>
      <c r="G15" s="29">
        <f t="shared" si="23"/>
        <v>130</v>
      </c>
      <c r="H15" s="4" t="s">
        <v>0</v>
      </c>
      <c r="I15" s="16" t="str">
        <f t="shared" si="2"/>
        <v>07-08</v>
      </c>
      <c r="J15" s="14">
        <f t="shared" si="3"/>
        <v>174</v>
      </c>
      <c r="K15" s="15">
        <f t="shared" si="4"/>
        <v>87</v>
      </c>
      <c r="L15" s="17">
        <f t="shared" si="5"/>
        <v>212</v>
      </c>
      <c r="M15" s="18">
        <f t="shared" si="6"/>
        <v>87</v>
      </c>
      <c r="N15" s="14">
        <f t="shared" si="7"/>
        <v>212</v>
      </c>
      <c r="O15" s="15">
        <f t="shared" si="8"/>
        <v>130</v>
      </c>
      <c r="P15" s="17">
        <f t="shared" si="9"/>
        <v>174</v>
      </c>
      <c r="Q15" s="18">
        <f t="shared" si="10"/>
        <v>130</v>
      </c>
      <c r="R15" s="4" t="s">
        <v>0</v>
      </c>
      <c r="S15" s="16" t="str">
        <f t="shared" si="11"/>
        <v>07-08</v>
      </c>
      <c r="T15" s="14">
        <f t="shared" si="12"/>
        <v>174</v>
      </c>
      <c r="U15" s="18">
        <f t="shared" si="13"/>
        <v>663</v>
      </c>
      <c r="V15" s="14">
        <f t="shared" si="14"/>
        <v>212</v>
      </c>
      <c r="W15" s="18">
        <f t="shared" si="15"/>
        <v>663</v>
      </c>
      <c r="X15" s="14">
        <f t="shared" si="16"/>
        <v>212</v>
      </c>
      <c r="Y15" s="18">
        <f t="shared" si="17"/>
        <v>620</v>
      </c>
      <c r="Z15" s="14">
        <f t="shared" si="18"/>
        <v>174</v>
      </c>
      <c r="AA15" s="18">
        <f t="shared" si="19"/>
        <v>620</v>
      </c>
      <c r="AB15" s="4" t="s">
        <v>0</v>
      </c>
    </row>
    <row r="16" spans="1:28">
      <c r="A16" s="9" t="s">
        <v>64</v>
      </c>
      <c r="B16" s="24"/>
      <c r="C16" s="26"/>
      <c r="D16" s="27">
        <v>262</v>
      </c>
      <c r="E16" s="31">
        <v>87</v>
      </c>
      <c r="F16" s="31">
        <v>300</v>
      </c>
      <c r="G16" s="31">
        <v>130</v>
      </c>
      <c r="H16" s="4" t="s">
        <v>0</v>
      </c>
      <c r="I16" s="16" t="str">
        <f t="shared" si="2"/>
        <v>07-07</v>
      </c>
      <c r="J16" s="14">
        <f t="shared" si="3"/>
        <v>262</v>
      </c>
      <c r="K16" s="15">
        <f t="shared" si="4"/>
        <v>87</v>
      </c>
      <c r="L16" s="17">
        <f t="shared" si="5"/>
        <v>300</v>
      </c>
      <c r="M16" s="18">
        <f t="shared" si="6"/>
        <v>87</v>
      </c>
      <c r="N16" s="14">
        <f t="shared" si="7"/>
        <v>300</v>
      </c>
      <c r="O16" s="15">
        <f t="shared" si="8"/>
        <v>130</v>
      </c>
      <c r="P16" s="17">
        <f t="shared" si="9"/>
        <v>262</v>
      </c>
      <c r="Q16" s="18">
        <f t="shared" si="10"/>
        <v>130</v>
      </c>
      <c r="R16" s="4" t="s">
        <v>0</v>
      </c>
      <c r="S16" s="16" t="str">
        <f t="shared" si="11"/>
        <v>07-07</v>
      </c>
      <c r="T16" s="14">
        <f t="shared" si="12"/>
        <v>262</v>
      </c>
      <c r="U16" s="18">
        <f t="shared" si="13"/>
        <v>663</v>
      </c>
      <c r="V16" s="14">
        <f t="shared" si="14"/>
        <v>300</v>
      </c>
      <c r="W16" s="18">
        <f t="shared" si="15"/>
        <v>663</v>
      </c>
      <c r="X16" s="14">
        <f t="shared" si="16"/>
        <v>300</v>
      </c>
      <c r="Y16" s="18">
        <f t="shared" si="17"/>
        <v>620</v>
      </c>
      <c r="Z16" s="14">
        <f t="shared" si="18"/>
        <v>262</v>
      </c>
      <c r="AA16" s="18">
        <f t="shared" si="19"/>
        <v>620</v>
      </c>
      <c r="AB16" s="4" t="s">
        <v>0</v>
      </c>
    </row>
    <row r="17" spans="1:28">
      <c r="A17" s="9" t="s">
        <v>63</v>
      </c>
      <c r="B17" s="24"/>
      <c r="C17" s="26">
        <v>1</v>
      </c>
      <c r="D17" s="28">
        <f>ROUND(D$16+38*$C17, 0)</f>
        <v>300</v>
      </c>
      <c r="E17" s="29">
        <f>E$11</f>
        <v>87</v>
      </c>
      <c r="F17" s="28">
        <f>ROUND(F$16+38*$C17, 0)</f>
        <v>338</v>
      </c>
      <c r="G17" s="29">
        <f>G$11</f>
        <v>130</v>
      </c>
      <c r="H17" s="4" t="s">
        <v>0</v>
      </c>
      <c r="I17" s="16" t="str">
        <f t="shared" si="2"/>
        <v>07-06</v>
      </c>
      <c r="J17" s="14">
        <f t="shared" si="3"/>
        <v>300</v>
      </c>
      <c r="K17" s="15">
        <f t="shared" si="4"/>
        <v>87</v>
      </c>
      <c r="L17" s="17">
        <f t="shared" si="5"/>
        <v>338</v>
      </c>
      <c r="M17" s="18">
        <f t="shared" si="6"/>
        <v>87</v>
      </c>
      <c r="N17" s="14">
        <f t="shared" si="7"/>
        <v>338</v>
      </c>
      <c r="O17" s="15">
        <f t="shared" si="8"/>
        <v>130</v>
      </c>
      <c r="P17" s="17">
        <f t="shared" si="9"/>
        <v>300</v>
      </c>
      <c r="Q17" s="18">
        <f t="shared" si="10"/>
        <v>130</v>
      </c>
      <c r="R17" s="4" t="s">
        <v>0</v>
      </c>
      <c r="S17" s="16" t="str">
        <f t="shared" si="11"/>
        <v>07-06</v>
      </c>
      <c r="T17" s="14">
        <f t="shared" si="12"/>
        <v>300</v>
      </c>
      <c r="U17" s="18">
        <f t="shared" si="13"/>
        <v>663</v>
      </c>
      <c r="V17" s="14">
        <f t="shared" si="14"/>
        <v>338</v>
      </c>
      <c r="W17" s="18">
        <f t="shared" si="15"/>
        <v>663</v>
      </c>
      <c r="X17" s="14">
        <f t="shared" si="16"/>
        <v>338</v>
      </c>
      <c r="Y17" s="18">
        <f t="shared" si="17"/>
        <v>620</v>
      </c>
      <c r="Z17" s="14">
        <f t="shared" si="18"/>
        <v>300</v>
      </c>
      <c r="AA17" s="18">
        <f t="shared" si="19"/>
        <v>620</v>
      </c>
      <c r="AB17" s="4" t="s">
        <v>0</v>
      </c>
    </row>
    <row r="18" spans="1:28">
      <c r="A18" s="9" t="s">
        <v>62</v>
      </c>
      <c r="B18" s="24"/>
      <c r="C18" s="26">
        <v>2</v>
      </c>
      <c r="D18" s="28">
        <f t="shared" ref="D18:D21" si="24">ROUND(D$16+38*$C18, 0)</f>
        <v>338</v>
      </c>
      <c r="E18" s="29">
        <f t="shared" ref="E18:E21" si="25">E$11</f>
        <v>87</v>
      </c>
      <c r="F18" s="28">
        <f t="shared" ref="F18:F21" si="26">ROUND(F$16+38*$C18, 0)</f>
        <v>376</v>
      </c>
      <c r="G18" s="29">
        <f t="shared" ref="G18:G21" si="27">G$11</f>
        <v>130</v>
      </c>
      <c r="H18" s="4" t="s">
        <v>0</v>
      </c>
      <c r="I18" s="16" t="str">
        <f t="shared" si="2"/>
        <v>07-05</v>
      </c>
      <c r="J18" s="14">
        <f t="shared" si="3"/>
        <v>338</v>
      </c>
      <c r="K18" s="15">
        <f t="shared" si="4"/>
        <v>87</v>
      </c>
      <c r="L18" s="17">
        <f t="shared" si="5"/>
        <v>376</v>
      </c>
      <c r="M18" s="18">
        <f t="shared" si="6"/>
        <v>87</v>
      </c>
      <c r="N18" s="14">
        <f t="shared" si="7"/>
        <v>376</v>
      </c>
      <c r="O18" s="15">
        <f t="shared" si="8"/>
        <v>130</v>
      </c>
      <c r="P18" s="17">
        <f t="shared" si="9"/>
        <v>338</v>
      </c>
      <c r="Q18" s="18">
        <f t="shared" si="10"/>
        <v>130</v>
      </c>
      <c r="R18" s="4" t="s">
        <v>0</v>
      </c>
      <c r="S18" s="16" t="str">
        <f t="shared" si="11"/>
        <v>07-05</v>
      </c>
      <c r="T18" s="14">
        <f t="shared" si="12"/>
        <v>338</v>
      </c>
      <c r="U18" s="18">
        <f t="shared" si="13"/>
        <v>663</v>
      </c>
      <c r="V18" s="14">
        <f t="shared" si="14"/>
        <v>376</v>
      </c>
      <c r="W18" s="18">
        <f t="shared" si="15"/>
        <v>663</v>
      </c>
      <c r="X18" s="14">
        <f t="shared" si="16"/>
        <v>376</v>
      </c>
      <c r="Y18" s="18">
        <f t="shared" si="17"/>
        <v>620</v>
      </c>
      <c r="Z18" s="14">
        <f t="shared" si="18"/>
        <v>338</v>
      </c>
      <c r="AA18" s="18">
        <f t="shared" si="19"/>
        <v>620</v>
      </c>
      <c r="AB18" s="4" t="s">
        <v>0</v>
      </c>
    </row>
    <row r="19" spans="1:28">
      <c r="A19" s="9" t="s">
        <v>3</v>
      </c>
      <c r="B19" s="24"/>
      <c r="C19" s="26">
        <v>3</v>
      </c>
      <c r="D19" s="28">
        <f t="shared" si="24"/>
        <v>376</v>
      </c>
      <c r="E19" s="29">
        <f t="shared" si="25"/>
        <v>87</v>
      </c>
      <c r="F19" s="28">
        <f t="shared" si="26"/>
        <v>414</v>
      </c>
      <c r="G19" s="29">
        <f t="shared" si="27"/>
        <v>130</v>
      </c>
      <c r="H19" s="4" t="s">
        <v>0</v>
      </c>
      <c r="I19" s="16" t="str">
        <f t="shared" si="2"/>
        <v>07-03</v>
      </c>
      <c r="J19" s="14">
        <f t="shared" si="3"/>
        <v>376</v>
      </c>
      <c r="K19" s="15">
        <f t="shared" si="4"/>
        <v>87</v>
      </c>
      <c r="L19" s="17">
        <f t="shared" si="5"/>
        <v>414</v>
      </c>
      <c r="M19" s="18">
        <f t="shared" si="6"/>
        <v>87</v>
      </c>
      <c r="N19" s="14">
        <f t="shared" si="7"/>
        <v>414</v>
      </c>
      <c r="O19" s="15">
        <f t="shared" si="8"/>
        <v>130</v>
      </c>
      <c r="P19" s="17">
        <f t="shared" si="9"/>
        <v>376</v>
      </c>
      <c r="Q19" s="18">
        <f t="shared" si="10"/>
        <v>130</v>
      </c>
      <c r="R19" s="4" t="s">
        <v>0</v>
      </c>
      <c r="S19" s="16" t="str">
        <f t="shared" si="11"/>
        <v>07-03</v>
      </c>
      <c r="T19" s="14">
        <f t="shared" si="12"/>
        <v>376</v>
      </c>
      <c r="U19" s="18">
        <f t="shared" si="13"/>
        <v>663</v>
      </c>
      <c r="V19" s="14">
        <f t="shared" si="14"/>
        <v>414</v>
      </c>
      <c r="W19" s="18">
        <f t="shared" si="15"/>
        <v>663</v>
      </c>
      <c r="X19" s="14">
        <f t="shared" si="16"/>
        <v>414</v>
      </c>
      <c r="Y19" s="18">
        <f t="shared" si="17"/>
        <v>620</v>
      </c>
      <c r="Z19" s="14">
        <f t="shared" si="18"/>
        <v>376</v>
      </c>
      <c r="AA19" s="18">
        <f t="shared" si="19"/>
        <v>620</v>
      </c>
      <c r="AB19" s="4" t="s">
        <v>0</v>
      </c>
    </row>
    <row r="20" spans="1:28">
      <c r="A20" s="9" t="s">
        <v>61</v>
      </c>
      <c r="B20" s="24"/>
      <c r="C20" s="26">
        <v>4</v>
      </c>
      <c r="D20" s="28">
        <f t="shared" si="24"/>
        <v>414</v>
      </c>
      <c r="E20" s="29">
        <f t="shared" si="25"/>
        <v>87</v>
      </c>
      <c r="F20" s="28">
        <f t="shared" si="26"/>
        <v>452</v>
      </c>
      <c r="G20" s="29">
        <f t="shared" si="27"/>
        <v>130</v>
      </c>
      <c r="H20" s="4" t="s">
        <v>0</v>
      </c>
      <c r="I20" s="16" t="str">
        <f t="shared" si="2"/>
        <v>07-02</v>
      </c>
      <c r="J20" s="14">
        <f t="shared" si="3"/>
        <v>414</v>
      </c>
      <c r="K20" s="15">
        <f t="shared" si="4"/>
        <v>87</v>
      </c>
      <c r="L20" s="17">
        <f t="shared" si="5"/>
        <v>452</v>
      </c>
      <c r="M20" s="18">
        <f t="shared" si="6"/>
        <v>87</v>
      </c>
      <c r="N20" s="14">
        <f t="shared" si="7"/>
        <v>452</v>
      </c>
      <c r="O20" s="15">
        <f t="shared" si="8"/>
        <v>130</v>
      </c>
      <c r="P20" s="17">
        <f t="shared" si="9"/>
        <v>414</v>
      </c>
      <c r="Q20" s="18">
        <f t="shared" si="10"/>
        <v>130</v>
      </c>
      <c r="R20" s="4" t="s">
        <v>0</v>
      </c>
      <c r="S20" s="16" t="str">
        <f t="shared" si="11"/>
        <v>07-02</v>
      </c>
      <c r="T20" s="14">
        <f t="shared" si="12"/>
        <v>414</v>
      </c>
      <c r="U20" s="18">
        <f t="shared" si="13"/>
        <v>663</v>
      </c>
      <c r="V20" s="14">
        <f t="shared" si="14"/>
        <v>452</v>
      </c>
      <c r="W20" s="18">
        <f t="shared" si="15"/>
        <v>663</v>
      </c>
      <c r="X20" s="14">
        <f t="shared" si="16"/>
        <v>452</v>
      </c>
      <c r="Y20" s="18">
        <f t="shared" si="17"/>
        <v>620</v>
      </c>
      <c r="Z20" s="14">
        <f t="shared" si="18"/>
        <v>414</v>
      </c>
      <c r="AA20" s="18">
        <f t="shared" si="19"/>
        <v>620</v>
      </c>
      <c r="AB20" s="4" t="s">
        <v>0</v>
      </c>
    </row>
    <row r="21" spans="1:28">
      <c r="A21" s="9" t="s">
        <v>60</v>
      </c>
      <c r="B21" s="24"/>
      <c r="C21" s="26">
        <v>5</v>
      </c>
      <c r="D21" s="28">
        <f t="shared" si="24"/>
        <v>452</v>
      </c>
      <c r="E21" s="29">
        <f t="shared" si="25"/>
        <v>87</v>
      </c>
      <c r="F21" s="28">
        <f t="shared" si="26"/>
        <v>490</v>
      </c>
      <c r="G21" s="29">
        <f t="shared" si="27"/>
        <v>130</v>
      </c>
      <c r="H21" s="4" t="s">
        <v>0</v>
      </c>
      <c r="I21" s="16" t="str">
        <f t="shared" si="2"/>
        <v>07-01</v>
      </c>
      <c r="J21" s="14">
        <f t="shared" si="3"/>
        <v>452</v>
      </c>
      <c r="K21" s="15">
        <f t="shared" si="4"/>
        <v>87</v>
      </c>
      <c r="L21" s="17">
        <f t="shared" si="5"/>
        <v>490</v>
      </c>
      <c r="M21" s="18">
        <f t="shared" si="6"/>
        <v>87</v>
      </c>
      <c r="N21" s="14">
        <f t="shared" si="7"/>
        <v>490</v>
      </c>
      <c r="O21" s="15">
        <f t="shared" si="8"/>
        <v>130</v>
      </c>
      <c r="P21" s="17">
        <f t="shared" si="9"/>
        <v>452</v>
      </c>
      <c r="Q21" s="18">
        <f t="shared" si="10"/>
        <v>130</v>
      </c>
      <c r="R21" s="4" t="s">
        <v>0</v>
      </c>
      <c r="S21" s="16" t="str">
        <f t="shared" si="11"/>
        <v>07-01</v>
      </c>
      <c r="T21" s="14">
        <f t="shared" si="12"/>
        <v>452</v>
      </c>
      <c r="U21" s="18">
        <f t="shared" si="13"/>
        <v>663</v>
      </c>
      <c r="V21" s="14">
        <f t="shared" si="14"/>
        <v>490</v>
      </c>
      <c r="W21" s="18">
        <f t="shared" si="15"/>
        <v>663</v>
      </c>
      <c r="X21" s="14">
        <f t="shared" si="16"/>
        <v>490</v>
      </c>
      <c r="Y21" s="18">
        <f t="shared" si="17"/>
        <v>620</v>
      </c>
      <c r="Z21" s="14">
        <f t="shared" si="18"/>
        <v>452</v>
      </c>
      <c r="AA21" s="18">
        <f t="shared" si="19"/>
        <v>620</v>
      </c>
      <c r="AB21" s="4" t="s">
        <v>0</v>
      </c>
    </row>
    <row r="22" spans="1:28">
      <c r="A22" s="9" t="s">
        <v>167</v>
      </c>
      <c r="B22" s="24"/>
      <c r="C22" s="26">
        <v>1</v>
      </c>
      <c r="D22" s="25">
        <f>D11</f>
        <v>22</v>
      </c>
      <c r="E22" s="28">
        <f>ROUND(E$11+60.8*$C22, 0)</f>
        <v>148</v>
      </c>
      <c r="F22" s="25">
        <f>F11</f>
        <v>60</v>
      </c>
      <c r="G22" s="28">
        <f>ROUND(G$11+60.8*$C22, 0)</f>
        <v>191</v>
      </c>
      <c r="H22" s="4" t="s">
        <v>0</v>
      </c>
      <c r="I22" s="16" t="str">
        <f t="shared" si="2"/>
        <v>06-13</v>
      </c>
      <c r="J22" s="14">
        <f t="shared" si="3"/>
        <v>22</v>
      </c>
      <c r="K22" s="15">
        <f t="shared" si="4"/>
        <v>148</v>
      </c>
      <c r="L22" s="17">
        <f t="shared" si="5"/>
        <v>60</v>
      </c>
      <c r="M22" s="18">
        <f t="shared" si="6"/>
        <v>148</v>
      </c>
      <c r="N22" s="14">
        <f t="shared" si="7"/>
        <v>60</v>
      </c>
      <c r="O22" s="15">
        <f t="shared" si="8"/>
        <v>191</v>
      </c>
      <c r="P22" s="17">
        <f t="shared" si="9"/>
        <v>22</v>
      </c>
      <c r="Q22" s="18">
        <f t="shared" si="10"/>
        <v>191</v>
      </c>
      <c r="R22" s="4" t="s">
        <v>0</v>
      </c>
      <c r="S22" s="16" t="str">
        <f t="shared" si="11"/>
        <v>06-13</v>
      </c>
      <c r="T22" s="14">
        <f t="shared" si="12"/>
        <v>22</v>
      </c>
      <c r="U22" s="18">
        <f t="shared" si="13"/>
        <v>602</v>
      </c>
      <c r="V22" s="14">
        <f t="shared" si="14"/>
        <v>60</v>
      </c>
      <c r="W22" s="18">
        <f t="shared" si="15"/>
        <v>602</v>
      </c>
      <c r="X22" s="14">
        <f t="shared" si="16"/>
        <v>60</v>
      </c>
      <c r="Y22" s="18">
        <f t="shared" si="17"/>
        <v>559</v>
      </c>
      <c r="Z22" s="14">
        <f t="shared" si="18"/>
        <v>22</v>
      </c>
      <c r="AA22" s="18">
        <f t="shared" si="19"/>
        <v>559</v>
      </c>
      <c r="AB22" s="4" t="s">
        <v>0</v>
      </c>
    </row>
    <row r="23" spans="1:28">
      <c r="A23" s="9" t="s">
        <v>59</v>
      </c>
      <c r="B23" s="24"/>
      <c r="C23" s="26"/>
      <c r="D23" s="25">
        <f t="shared" ref="D23:D76" si="28">D12</f>
        <v>60</v>
      </c>
      <c r="E23" s="29">
        <f t="shared" ref="E23:G25" si="29">E22</f>
        <v>148</v>
      </c>
      <c r="F23" s="25">
        <f t="shared" ref="F23:F76" si="30">F12</f>
        <v>98</v>
      </c>
      <c r="G23" s="29">
        <f t="shared" si="29"/>
        <v>191</v>
      </c>
      <c r="H23" s="4" t="s">
        <v>0</v>
      </c>
      <c r="I23" s="16" t="str">
        <f t="shared" si="2"/>
        <v>06-12</v>
      </c>
      <c r="J23" s="14">
        <f t="shared" si="3"/>
        <v>60</v>
      </c>
      <c r="K23" s="15">
        <f t="shared" si="4"/>
        <v>148</v>
      </c>
      <c r="L23" s="17">
        <f t="shared" si="5"/>
        <v>98</v>
      </c>
      <c r="M23" s="18">
        <f t="shared" si="6"/>
        <v>148</v>
      </c>
      <c r="N23" s="14">
        <f t="shared" si="7"/>
        <v>98</v>
      </c>
      <c r="O23" s="15">
        <f t="shared" si="8"/>
        <v>191</v>
      </c>
      <c r="P23" s="17">
        <f t="shared" si="9"/>
        <v>60</v>
      </c>
      <c r="Q23" s="18">
        <f t="shared" si="10"/>
        <v>191</v>
      </c>
      <c r="R23" s="4" t="s">
        <v>0</v>
      </c>
      <c r="S23" s="16" t="str">
        <f t="shared" si="11"/>
        <v>06-12</v>
      </c>
      <c r="T23" s="14">
        <f t="shared" si="12"/>
        <v>60</v>
      </c>
      <c r="U23" s="18">
        <f t="shared" si="13"/>
        <v>602</v>
      </c>
      <c r="V23" s="14">
        <f t="shared" si="14"/>
        <v>98</v>
      </c>
      <c r="W23" s="18">
        <f t="shared" si="15"/>
        <v>602</v>
      </c>
      <c r="X23" s="14">
        <f t="shared" si="16"/>
        <v>98</v>
      </c>
      <c r="Y23" s="18">
        <f t="shared" si="17"/>
        <v>559</v>
      </c>
      <c r="Z23" s="14">
        <f t="shared" si="18"/>
        <v>60</v>
      </c>
      <c r="AA23" s="18">
        <f t="shared" si="19"/>
        <v>559</v>
      </c>
      <c r="AB23" s="4" t="s">
        <v>0</v>
      </c>
    </row>
    <row r="24" spans="1:28">
      <c r="A24" s="9" t="s">
        <v>58</v>
      </c>
      <c r="B24" s="24"/>
      <c r="C24" s="26"/>
      <c r="D24" s="25">
        <f t="shared" si="28"/>
        <v>98</v>
      </c>
      <c r="E24" s="29">
        <f t="shared" si="29"/>
        <v>148</v>
      </c>
      <c r="F24" s="25">
        <f t="shared" si="30"/>
        <v>136</v>
      </c>
      <c r="G24" s="29">
        <f t="shared" si="29"/>
        <v>191</v>
      </c>
      <c r="H24" s="4" t="s">
        <v>0</v>
      </c>
      <c r="I24" s="16" t="str">
        <f t="shared" si="2"/>
        <v>06-11</v>
      </c>
      <c r="J24" s="14">
        <f t="shared" si="3"/>
        <v>98</v>
      </c>
      <c r="K24" s="15">
        <f t="shared" si="4"/>
        <v>148</v>
      </c>
      <c r="L24" s="17">
        <f t="shared" si="5"/>
        <v>136</v>
      </c>
      <c r="M24" s="18">
        <f t="shared" si="6"/>
        <v>148</v>
      </c>
      <c r="N24" s="14">
        <f t="shared" si="7"/>
        <v>136</v>
      </c>
      <c r="O24" s="15">
        <f t="shared" si="8"/>
        <v>191</v>
      </c>
      <c r="P24" s="17">
        <f t="shared" si="9"/>
        <v>98</v>
      </c>
      <c r="Q24" s="18">
        <f t="shared" si="10"/>
        <v>191</v>
      </c>
      <c r="R24" s="4" t="s">
        <v>0</v>
      </c>
      <c r="S24" s="16" t="str">
        <f t="shared" si="11"/>
        <v>06-11</v>
      </c>
      <c r="T24" s="14">
        <f t="shared" si="12"/>
        <v>98</v>
      </c>
      <c r="U24" s="18">
        <f t="shared" si="13"/>
        <v>602</v>
      </c>
      <c r="V24" s="14">
        <f t="shared" si="14"/>
        <v>136</v>
      </c>
      <c r="W24" s="18">
        <f t="shared" si="15"/>
        <v>602</v>
      </c>
      <c r="X24" s="14">
        <f t="shared" si="16"/>
        <v>136</v>
      </c>
      <c r="Y24" s="18">
        <f t="shared" si="17"/>
        <v>559</v>
      </c>
      <c r="Z24" s="14">
        <f t="shared" si="18"/>
        <v>98</v>
      </c>
      <c r="AA24" s="18">
        <f t="shared" si="19"/>
        <v>559</v>
      </c>
      <c r="AB24" s="4" t="s">
        <v>0</v>
      </c>
    </row>
    <row r="25" spans="1:28">
      <c r="A25" s="9" t="s">
        <v>57</v>
      </c>
      <c r="B25" s="24"/>
      <c r="C25" s="26"/>
      <c r="D25" s="25">
        <f t="shared" si="28"/>
        <v>136</v>
      </c>
      <c r="E25" s="29">
        <f t="shared" si="29"/>
        <v>148</v>
      </c>
      <c r="F25" s="25">
        <f t="shared" si="30"/>
        <v>174</v>
      </c>
      <c r="G25" s="29">
        <f t="shared" si="29"/>
        <v>191</v>
      </c>
      <c r="H25" s="4" t="s">
        <v>0</v>
      </c>
      <c r="I25" s="16" t="str">
        <f t="shared" si="2"/>
        <v>06-10</v>
      </c>
      <c r="J25" s="14">
        <f t="shared" si="3"/>
        <v>136</v>
      </c>
      <c r="K25" s="15">
        <f t="shared" si="4"/>
        <v>148</v>
      </c>
      <c r="L25" s="17">
        <f t="shared" si="5"/>
        <v>174</v>
      </c>
      <c r="M25" s="18">
        <f t="shared" si="6"/>
        <v>148</v>
      </c>
      <c r="N25" s="14">
        <f t="shared" si="7"/>
        <v>174</v>
      </c>
      <c r="O25" s="15">
        <f t="shared" si="8"/>
        <v>191</v>
      </c>
      <c r="P25" s="17">
        <f t="shared" si="9"/>
        <v>136</v>
      </c>
      <c r="Q25" s="18">
        <f t="shared" si="10"/>
        <v>191</v>
      </c>
      <c r="R25" s="4" t="s">
        <v>0</v>
      </c>
      <c r="S25" s="16" t="str">
        <f t="shared" si="11"/>
        <v>06-10</v>
      </c>
      <c r="T25" s="14">
        <f t="shared" si="12"/>
        <v>136</v>
      </c>
      <c r="U25" s="18">
        <f t="shared" si="13"/>
        <v>602</v>
      </c>
      <c r="V25" s="14">
        <f t="shared" si="14"/>
        <v>174</v>
      </c>
      <c r="W25" s="18">
        <f t="shared" si="15"/>
        <v>602</v>
      </c>
      <c r="X25" s="14">
        <f t="shared" si="16"/>
        <v>174</v>
      </c>
      <c r="Y25" s="18">
        <f t="shared" si="17"/>
        <v>559</v>
      </c>
      <c r="Z25" s="14">
        <f t="shared" si="18"/>
        <v>136</v>
      </c>
      <c r="AA25" s="18">
        <f t="shared" si="19"/>
        <v>559</v>
      </c>
      <c r="AB25" s="4" t="s">
        <v>0</v>
      </c>
    </row>
    <row r="26" spans="1:28">
      <c r="A26" s="9" t="s">
        <v>56</v>
      </c>
      <c r="B26" s="24"/>
      <c r="C26" s="26"/>
      <c r="D26" s="25">
        <f t="shared" si="28"/>
        <v>174</v>
      </c>
      <c r="E26" s="29">
        <f t="shared" ref="E26" si="31">E25</f>
        <v>148</v>
      </c>
      <c r="F26" s="25">
        <f t="shared" si="30"/>
        <v>212</v>
      </c>
      <c r="G26" s="29">
        <f t="shared" ref="G26" si="32">G25</f>
        <v>191</v>
      </c>
      <c r="H26" s="4" t="s">
        <v>0</v>
      </c>
      <c r="I26" s="16" t="str">
        <f t="shared" si="2"/>
        <v>06-08</v>
      </c>
      <c r="J26" s="14">
        <f t="shared" si="3"/>
        <v>174</v>
      </c>
      <c r="K26" s="15">
        <f t="shared" si="4"/>
        <v>148</v>
      </c>
      <c r="L26" s="17">
        <f t="shared" si="5"/>
        <v>212</v>
      </c>
      <c r="M26" s="18">
        <f t="shared" si="6"/>
        <v>148</v>
      </c>
      <c r="N26" s="14">
        <f t="shared" si="7"/>
        <v>212</v>
      </c>
      <c r="O26" s="15">
        <f t="shared" si="8"/>
        <v>191</v>
      </c>
      <c r="P26" s="17">
        <f t="shared" si="9"/>
        <v>174</v>
      </c>
      <c r="Q26" s="18">
        <f t="shared" si="10"/>
        <v>191</v>
      </c>
      <c r="R26" s="4" t="s">
        <v>0</v>
      </c>
      <c r="S26" s="16" t="str">
        <f t="shared" si="11"/>
        <v>06-08</v>
      </c>
      <c r="T26" s="14">
        <f t="shared" si="12"/>
        <v>174</v>
      </c>
      <c r="U26" s="18">
        <f t="shared" si="13"/>
        <v>602</v>
      </c>
      <c r="V26" s="14">
        <f t="shared" si="14"/>
        <v>212</v>
      </c>
      <c r="W26" s="18">
        <f t="shared" si="15"/>
        <v>602</v>
      </c>
      <c r="X26" s="14">
        <f t="shared" si="16"/>
        <v>212</v>
      </c>
      <c r="Y26" s="18">
        <f t="shared" si="17"/>
        <v>559</v>
      </c>
      <c r="Z26" s="14">
        <f t="shared" si="18"/>
        <v>174</v>
      </c>
      <c r="AA26" s="18">
        <f t="shared" si="19"/>
        <v>559</v>
      </c>
      <c r="AB26" s="4" t="s">
        <v>0</v>
      </c>
    </row>
    <row r="27" spans="1:28">
      <c r="A27" s="9" t="s">
        <v>55</v>
      </c>
      <c r="B27" s="24"/>
      <c r="C27" s="26"/>
      <c r="D27" s="25">
        <f t="shared" si="28"/>
        <v>262</v>
      </c>
      <c r="E27" s="29">
        <f t="shared" ref="E27" si="33">E26</f>
        <v>148</v>
      </c>
      <c r="F27" s="25">
        <f t="shared" si="30"/>
        <v>300</v>
      </c>
      <c r="G27" s="29">
        <f t="shared" ref="G27" si="34">G26</f>
        <v>191</v>
      </c>
      <c r="H27" s="4" t="s">
        <v>0</v>
      </c>
      <c r="I27" s="16" t="str">
        <f t="shared" si="2"/>
        <v>06-07</v>
      </c>
      <c r="J27" s="14">
        <f t="shared" si="3"/>
        <v>262</v>
      </c>
      <c r="K27" s="15">
        <f t="shared" si="4"/>
        <v>148</v>
      </c>
      <c r="L27" s="17">
        <f t="shared" si="5"/>
        <v>300</v>
      </c>
      <c r="M27" s="18">
        <f t="shared" si="6"/>
        <v>148</v>
      </c>
      <c r="N27" s="14">
        <f t="shared" si="7"/>
        <v>300</v>
      </c>
      <c r="O27" s="15">
        <f t="shared" si="8"/>
        <v>191</v>
      </c>
      <c r="P27" s="17">
        <f t="shared" si="9"/>
        <v>262</v>
      </c>
      <c r="Q27" s="18">
        <f t="shared" si="10"/>
        <v>191</v>
      </c>
      <c r="R27" s="4" t="s">
        <v>0</v>
      </c>
      <c r="S27" s="16" t="str">
        <f t="shared" si="11"/>
        <v>06-07</v>
      </c>
      <c r="T27" s="14">
        <f t="shared" si="12"/>
        <v>262</v>
      </c>
      <c r="U27" s="18">
        <f t="shared" si="13"/>
        <v>602</v>
      </c>
      <c r="V27" s="14">
        <f t="shared" si="14"/>
        <v>300</v>
      </c>
      <c r="W27" s="18">
        <f t="shared" si="15"/>
        <v>602</v>
      </c>
      <c r="X27" s="14">
        <f t="shared" si="16"/>
        <v>300</v>
      </c>
      <c r="Y27" s="18">
        <f t="shared" si="17"/>
        <v>559</v>
      </c>
      <c r="Z27" s="14">
        <f t="shared" si="18"/>
        <v>262</v>
      </c>
      <c r="AA27" s="18">
        <f t="shared" si="19"/>
        <v>559</v>
      </c>
      <c r="AB27" s="4" t="s">
        <v>0</v>
      </c>
    </row>
    <row r="28" spans="1:28">
      <c r="A28" s="9" t="s">
        <v>54</v>
      </c>
      <c r="B28" s="24"/>
      <c r="C28" s="26"/>
      <c r="D28" s="25">
        <f t="shared" si="28"/>
        <v>300</v>
      </c>
      <c r="E28" s="29">
        <f t="shared" ref="E28" si="35">E27</f>
        <v>148</v>
      </c>
      <c r="F28" s="25">
        <f t="shared" si="30"/>
        <v>338</v>
      </c>
      <c r="G28" s="29">
        <f t="shared" ref="G28" si="36">G27</f>
        <v>191</v>
      </c>
      <c r="H28" s="4" t="s">
        <v>0</v>
      </c>
      <c r="I28" s="16" t="str">
        <f t="shared" si="2"/>
        <v>06-06</v>
      </c>
      <c r="J28" s="14">
        <f t="shared" si="3"/>
        <v>300</v>
      </c>
      <c r="K28" s="15">
        <f t="shared" si="4"/>
        <v>148</v>
      </c>
      <c r="L28" s="17">
        <f t="shared" si="5"/>
        <v>338</v>
      </c>
      <c r="M28" s="18">
        <f t="shared" si="6"/>
        <v>148</v>
      </c>
      <c r="N28" s="14">
        <f t="shared" si="7"/>
        <v>338</v>
      </c>
      <c r="O28" s="15">
        <f t="shared" si="8"/>
        <v>191</v>
      </c>
      <c r="P28" s="17">
        <f t="shared" si="9"/>
        <v>300</v>
      </c>
      <c r="Q28" s="18">
        <f t="shared" si="10"/>
        <v>191</v>
      </c>
      <c r="R28" s="4" t="s">
        <v>0</v>
      </c>
      <c r="S28" s="16" t="str">
        <f t="shared" si="11"/>
        <v>06-06</v>
      </c>
      <c r="T28" s="14">
        <f t="shared" si="12"/>
        <v>300</v>
      </c>
      <c r="U28" s="18">
        <f t="shared" si="13"/>
        <v>602</v>
      </c>
      <c r="V28" s="14">
        <f t="shared" si="14"/>
        <v>338</v>
      </c>
      <c r="W28" s="18">
        <f t="shared" si="15"/>
        <v>602</v>
      </c>
      <c r="X28" s="14">
        <f t="shared" si="16"/>
        <v>338</v>
      </c>
      <c r="Y28" s="18">
        <f t="shared" si="17"/>
        <v>559</v>
      </c>
      <c r="Z28" s="14">
        <f t="shared" si="18"/>
        <v>300</v>
      </c>
      <c r="AA28" s="18">
        <f t="shared" si="19"/>
        <v>559</v>
      </c>
      <c r="AB28" s="4" t="s">
        <v>0</v>
      </c>
    </row>
    <row r="29" spans="1:28">
      <c r="A29" s="9" t="s">
        <v>53</v>
      </c>
      <c r="B29" s="24"/>
      <c r="C29" s="26"/>
      <c r="D29" s="25">
        <f t="shared" si="28"/>
        <v>338</v>
      </c>
      <c r="E29" s="29">
        <f t="shared" ref="E29" si="37">E28</f>
        <v>148</v>
      </c>
      <c r="F29" s="25">
        <f t="shared" si="30"/>
        <v>376</v>
      </c>
      <c r="G29" s="29">
        <f t="shared" ref="G29" si="38">G28</f>
        <v>191</v>
      </c>
      <c r="H29" s="4" t="s">
        <v>0</v>
      </c>
      <c r="I29" s="16" t="str">
        <f t="shared" si="2"/>
        <v>06-05</v>
      </c>
      <c r="J29" s="14">
        <f t="shared" si="3"/>
        <v>338</v>
      </c>
      <c r="K29" s="15">
        <f t="shared" si="4"/>
        <v>148</v>
      </c>
      <c r="L29" s="17">
        <f t="shared" si="5"/>
        <v>376</v>
      </c>
      <c r="M29" s="18">
        <f t="shared" si="6"/>
        <v>148</v>
      </c>
      <c r="N29" s="14">
        <f t="shared" si="7"/>
        <v>376</v>
      </c>
      <c r="O29" s="15">
        <f t="shared" si="8"/>
        <v>191</v>
      </c>
      <c r="P29" s="17">
        <f t="shared" si="9"/>
        <v>338</v>
      </c>
      <c r="Q29" s="18">
        <f t="shared" si="10"/>
        <v>191</v>
      </c>
      <c r="R29" s="4" t="s">
        <v>0</v>
      </c>
      <c r="S29" s="16" t="str">
        <f t="shared" si="11"/>
        <v>06-05</v>
      </c>
      <c r="T29" s="14">
        <f t="shared" si="12"/>
        <v>338</v>
      </c>
      <c r="U29" s="18">
        <f t="shared" si="13"/>
        <v>602</v>
      </c>
      <c r="V29" s="14">
        <f t="shared" si="14"/>
        <v>376</v>
      </c>
      <c r="W29" s="18">
        <f t="shared" si="15"/>
        <v>602</v>
      </c>
      <c r="X29" s="14">
        <f t="shared" si="16"/>
        <v>376</v>
      </c>
      <c r="Y29" s="18">
        <f t="shared" si="17"/>
        <v>559</v>
      </c>
      <c r="Z29" s="14">
        <f t="shared" si="18"/>
        <v>338</v>
      </c>
      <c r="AA29" s="18">
        <f t="shared" si="19"/>
        <v>559</v>
      </c>
      <c r="AB29" s="4" t="s">
        <v>0</v>
      </c>
    </row>
    <row r="30" spans="1:28">
      <c r="A30" s="9" t="s">
        <v>52</v>
      </c>
      <c r="B30" s="24"/>
      <c r="C30" s="26"/>
      <c r="D30" s="25">
        <f t="shared" si="28"/>
        <v>376</v>
      </c>
      <c r="E30" s="29">
        <f t="shared" ref="E30" si="39">E29</f>
        <v>148</v>
      </c>
      <c r="F30" s="25">
        <f t="shared" si="30"/>
        <v>414</v>
      </c>
      <c r="G30" s="29">
        <f t="shared" ref="G30" si="40">G29</f>
        <v>191</v>
      </c>
      <c r="H30" s="4" t="s">
        <v>0</v>
      </c>
      <c r="I30" s="16" t="str">
        <f t="shared" si="2"/>
        <v>06-03</v>
      </c>
      <c r="J30" s="14">
        <f t="shared" si="3"/>
        <v>376</v>
      </c>
      <c r="K30" s="15">
        <f t="shared" si="4"/>
        <v>148</v>
      </c>
      <c r="L30" s="17">
        <f t="shared" si="5"/>
        <v>414</v>
      </c>
      <c r="M30" s="18">
        <f t="shared" si="6"/>
        <v>148</v>
      </c>
      <c r="N30" s="14">
        <f t="shared" si="7"/>
        <v>414</v>
      </c>
      <c r="O30" s="15">
        <f t="shared" si="8"/>
        <v>191</v>
      </c>
      <c r="P30" s="17">
        <f t="shared" si="9"/>
        <v>376</v>
      </c>
      <c r="Q30" s="18">
        <f t="shared" si="10"/>
        <v>191</v>
      </c>
      <c r="R30" s="4" t="s">
        <v>0</v>
      </c>
      <c r="S30" s="16" t="str">
        <f t="shared" si="11"/>
        <v>06-03</v>
      </c>
      <c r="T30" s="14">
        <f t="shared" si="12"/>
        <v>376</v>
      </c>
      <c r="U30" s="18">
        <f t="shared" si="13"/>
        <v>602</v>
      </c>
      <c r="V30" s="14">
        <f t="shared" si="14"/>
        <v>414</v>
      </c>
      <c r="W30" s="18">
        <f t="shared" si="15"/>
        <v>602</v>
      </c>
      <c r="X30" s="14">
        <f t="shared" si="16"/>
        <v>414</v>
      </c>
      <c r="Y30" s="18">
        <f t="shared" si="17"/>
        <v>559</v>
      </c>
      <c r="Z30" s="14">
        <f t="shared" si="18"/>
        <v>376</v>
      </c>
      <c r="AA30" s="18">
        <f t="shared" si="19"/>
        <v>559</v>
      </c>
      <c r="AB30" s="4" t="s">
        <v>0</v>
      </c>
    </row>
    <row r="31" spans="1:28">
      <c r="A31" s="9" t="s">
        <v>51</v>
      </c>
      <c r="B31" s="24"/>
      <c r="C31" s="26"/>
      <c r="D31" s="25">
        <f t="shared" si="28"/>
        <v>414</v>
      </c>
      <c r="E31" s="29">
        <f t="shared" ref="E31" si="41">E30</f>
        <v>148</v>
      </c>
      <c r="F31" s="25">
        <f t="shared" si="30"/>
        <v>452</v>
      </c>
      <c r="G31" s="29">
        <f t="shared" ref="G31" si="42">G30</f>
        <v>191</v>
      </c>
      <c r="H31" s="4" t="s">
        <v>0</v>
      </c>
      <c r="I31" s="16" t="str">
        <f t="shared" si="2"/>
        <v>06-02</v>
      </c>
      <c r="J31" s="14">
        <f t="shared" si="3"/>
        <v>414</v>
      </c>
      <c r="K31" s="15">
        <f t="shared" si="4"/>
        <v>148</v>
      </c>
      <c r="L31" s="17">
        <f t="shared" si="5"/>
        <v>452</v>
      </c>
      <c r="M31" s="18">
        <f t="shared" si="6"/>
        <v>148</v>
      </c>
      <c r="N31" s="14">
        <f t="shared" si="7"/>
        <v>452</v>
      </c>
      <c r="O31" s="15">
        <f t="shared" si="8"/>
        <v>191</v>
      </c>
      <c r="P31" s="17">
        <f t="shared" si="9"/>
        <v>414</v>
      </c>
      <c r="Q31" s="18">
        <f t="shared" si="10"/>
        <v>191</v>
      </c>
      <c r="R31" s="4" t="s">
        <v>0</v>
      </c>
      <c r="S31" s="16" t="str">
        <f t="shared" si="11"/>
        <v>06-02</v>
      </c>
      <c r="T31" s="14">
        <f t="shared" si="12"/>
        <v>414</v>
      </c>
      <c r="U31" s="18">
        <f t="shared" si="13"/>
        <v>602</v>
      </c>
      <c r="V31" s="14">
        <f t="shared" si="14"/>
        <v>452</v>
      </c>
      <c r="W31" s="18">
        <f t="shared" si="15"/>
        <v>602</v>
      </c>
      <c r="X31" s="14">
        <f t="shared" si="16"/>
        <v>452</v>
      </c>
      <c r="Y31" s="18">
        <f t="shared" si="17"/>
        <v>559</v>
      </c>
      <c r="Z31" s="14">
        <f t="shared" si="18"/>
        <v>414</v>
      </c>
      <c r="AA31" s="18">
        <f t="shared" si="19"/>
        <v>559</v>
      </c>
      <c r="AB31" s="4" t="s">
        <v>0</v>
      </c>
    </row>
    <row r="32" spans="1:28">
      <c r="A32" s="9" t="s">
        <v>50</v>
      </c>
      <c r="B32" s="24"/>
      <c r="C32" s="26"/>
      <c r="D32" s="25">
        <f t="shared" si="28"/>
        <v>452</v>
      </c>
      <c r="E32" s="29">
        <f t="shared" ref="E32" si="43">E31</f>
        <v>148</v>
      </c>
      <c r="F32" s="25">
        <f t="shared" si="30"/>
        <v>490</v>
      </c>
      <c r="G32" s="29">
        <f t="shared" ref="G32" si="44">G31</f>
        <v>191</v>
      </c>
      <c r="H32" s="4" t="s">
        <v>0</v>
      </c>
      <c r="I32" s="16" t="str">
        <f t="shared" si="2"/>
        <v>06-01</v>
      </c>
      <c r="J32" s="14">
        <f t="shared" si="3"/>
        <v>452</v>
      </c>
      <c r="K32" s="15">
        <f t="shared" si="4"/>
        <v>148</v>
      </c>
      <c r="L32" s="17">
        <f t="shared" si="5"/>
        <v>490</v>
      </c>
      <c r="M32" s="18">
        <f t="shared" si="6"/>
        <v>148</v>
      </c>
      <c r="N32" s="14">
        <f t="shared" si="7"/>
        <v>490</v>
      </c>
      <c r="O32" s="15">
        <f t="shared" si="8"/>
        <v>191</v>
      </c>
      <c r="P32" s="17">
        <f t="shared" si="9"/>
        <v>452</v>
      </c>
      <c r="Q32" s="18">
        <f t="shared" si="10"/>
        <v>191</v>
      </c>
      <c r="R32" s="4" t="s">
        <v>0</v>
      </c>
      <c r="S32" s="16" t="str">
        <f t="shared" si="11"/>
        <v>06-01</v>
      </c>
      <c r="T32" s="14">
        <f t="shared" si="12"/>
        <v>452</v>
      </c>
      <c r="U32" s="18">
        <f t="shared" si="13"/>
        <v>602</v>
      </c>
      <c r="V32" s="14">
        <f t="shared" si="14"/>
        <v>490</v>
      </c>
      <c r="W32" s="18">
        <f t="shared" si="15"/>
        <v>602</v>
      </c>
      <c r="X32" s="14">
        <f t="shared" si="16"/>
        <v>490</v>
      </c>
      <c r="Y32" s="18">
        <f t="shared" si="17"/>
        <v>559</v>
      </c>
      <c r="Z32" s="14">
        <f t="shared" si="18"/>
        <v>452</v>
      </c>
      <c r="AA32" s="18">
        <f t="shared" si="19"/>
        <v>559</v>
      </c>
      <c r="AB32" s="4" t="s">
        <v>0</v>
      </c>
    </row>
    <row r="33" spans="1:28">
      <c r="A33" s="9" t="s">
        <v>161</v>
      </c>
      <c r="B33" s="24"/>
      <c r="C33" s="26">
        <v>2</v>
      </c>
      <c r="D33" s="25">
        <f t="shared" si="28"/>
        <v>22</v>
      </c>
      <c r="E33" s="28">
        <f t="shared" ref="E33" si="45">ROUND(E$11+60.8*$C33, 0)</f>
        <v>209</v>
      </c>
      <c r="F33" s="25">
        <f t="shared" si="30"/>
        <v>60</v>
      </c>
      <c r="G33" s="28">
        <f t="shared" ref="G33" si="46">ROUND(G$11+60.8*$C33, 0)</f>
        <v>252</v>
      </c>
      <c r="H33" s="4" t="s">
        <v>0</v>
      </c>
      <c r="I33" s="16" t="str">
        <f t="shared" si="2"/>
        <v>05-13</v>
      </c>
      <c r="J33" s="14">
        <f t="shared" si="3"/>
        <v>22</v>
      </c>
      <c r="K33" s="15">
        <f t="shared" si="4"/>
        <v>209</v>
      </c>
      <c r="L33" s="17">
        <f t="shared" si="5"/>
        <v>60</v>
      </c>
      <c r="M33" s="18">
        <f t="shared" si="6"/>
        <v>209</v>
      </c>
      <c r="N33" s="14">
        <f t="shared" si="7"/>
        <v>60</v>
      </c>
      <c r="O33" s="15">
        <f t="shared" si="8"/>
        <v>252</v>
      </c>
      <c r="P33" s="17">
        <f t="shared" si="9"/>
        <v>22</v>
      </c>
      <c r="Q33" s="18">
        <f t="shared" si="10"/>
        <v>252</v>
      </c>
      <c r="R33" s="4" t="s">
        <v>0</v>
      </c>
      <c r="S33" s="16" t="str">
        <f t="shared" si="11"/>
        <v>05-13</v>
      </c>
      <c r="T33" s="14">
        <f t="shared" si="12"/>
        <v>22</v>
      </c>
      <c r="U33" s="18">
        <f t="shared" si="13"/>
        <v>541</v>
      </c>
      <c r="V33" s="14">
        <f t="shared" si="14"/>
        <v>60</v>
      </c>
      <c r="W33" s="18">
        <f t="shared" si="15"/>
        <v>541</v>
      </c>
      <c r="X33" s="14">
        <f t="shared" si="16"/>
        <v>60</v>
      </c>
      <c r="Y33" s="18">
        <f t="shared" si="17"/>
        <v>498</v>
      </c>
      <c r="Z33" s="14">
        <f t="shared" si="18"/>
        <v>22</v>
      </c>
      <c r="AA33" s="18">
        <f t="shared" si="19"/>
        <v>498</v>
      </c>
      <c r="AB33" s="4" t="s">
        <v>0</v>
      </c>
    </row>
    <row r="34" spans="1:28">
      <c r="A34" s="9" t="s">
        <v>49</v>
      </c>
      <c r="B34" s="24"/>
      <c r="C34" s="26"/>
      <c r="D34" s="25">
        <f t="shared" si="28"/>
        <v>60</v>
      </c>
      <c r="E34" s="29">
        <f t="shared" ref="E34" si="47">E33</f>
        <v>209</v>
      </c>
      <c r="F34" s="25">
        <f t="shared" si="30"/>
        <v>98</v>
      </c>
      <c r="G34" s="29">
        <f t="shared" ref="G34" si="48">G33</f>
        <v>252</v>
      </c>
      <c r="H34" s="4" t="s">
        <v>0</v>
      </c>
      <c r="I34" s="16" t="str">
        <f t="shared" si="2"/>
        <v>05-12</v>
      </c>
      <c r="J34" s="14">
        <f t="shared" si="3"/>
        <v>60</v>
      </c>
      <c r="K34" s="15">
        <f t="shared" si="4"/>
        <v>209</v>
      </c>
      <c r="L34" s="17">
        <f t="shared" si="5"/>
        <v>98</v>
      </c>
      <c r="M34" s="18">
        <f t="shared" si="6"/>
        <v>209</v>
      </c>
      <c r="N34" s="14">
        <f t="shared" si="7"/>
        <v>98</v>
      </c>
      <c r="O34" s="15">
        <f t="shared" si="8"/>
        <v>252</v>
      </c>
      <c r="P34" s="17">
        <f t="shared" si="9"/>
        <v>60</v>
      </c>
      <c r="Q34" s="18">
        <f t="shared" si="10"/>
        <v>252</v>
      </c>
      <c r="R34" s="4" t="s">
        <v>0</v>
      </c>
      <c r="S34" s="16" t="str">
        <f t="shared" si="11"/>
        <v>05-12</v>
      </c>
      <c r="T34" s="14">
        <f t="shared" si="12"/>
        <v>60</v>
      </c>
      <c r="U34" s="18">
        <f t="shared" si="13"/>
        <v>541</v>
      </c>
      <c r="V34" s="14">
        <f t="shared" si="14"/>
        <v>98</v>
      </c>
      <c r="W34" s="18">
        <f t="shared" si="15"/>
        <v>541</v>
      </c>
      <c r="X34" s="14">
        <f t="shared" si="16"/>
        <v>98</v>
      </c>
      <c r="Y34" s="18">
        <f t="shared" si="17"/>
        <v>498</v>
      </c>
      <c r="Z34" s="14">
        <f t="shared" si="18"/>
        <v>60</v>
      </c>
      <c r="AA34" s="18">
        <f t="shared" si="19"/>
        <v>498</v>
      </c>
      <c r="AB34" s="4" t="s">
        <v>0</v>
      </c>
    </row>
    <row r="35" spans="1:28">
      <c r="A35" s="9" t="s">
        <v>48</v>
      </c>
      <c r="B35" s="24"/>
      <c r="C35" s="26"/>
      <c r="D35" s="25">
        <f t="shared" si="28"/>
        <v>98</v>
      </c>
      <c r="E35" s="29">
        <f t="shared" ref="E35" si="49">E34</f>
        <v>209</v>
      </c>
      <c r="F35" s="25">
        <f t="shared" si="30"/>
        <v>136</v>
      </c>
      <c r="G35" s="29">
        <f t="shared" ref="G35" si="50">G34</f>
        <v>252</v>
      </c>
      <c r="H35" s="4" t="s">
        <v>0</v>
      </c>
      <c r="I35" s="16" t="str">
        <f t="shared" si="2"/>
        <v>05-11</v>
      </c>
      <c r="J35" s="14">
        <f t="shared" si="3"/>
        <v>98</v>
      </c>
      <c r="K35" s="15">
        <f t="shared" si="4"/>
        <v>209</v>
      </c>
      <c r="L35" s="17">
        <f t="shared" si="5"/>
        <v>136</v>
      </c>
      <c r="M35" s="18">
        <f t="shared" si="6"/>
        <v>209</v>
      </c>
      <c r="N35" s="14">
        <f t="shared" si="7"/>
        <v>136</v>
      </c>
      <c r="O35" s="15">
        <f t="shared" si="8"/>
        <v>252</v>
      </c>
      <c r="P35" s="17">
        <f t="shared" si="9"/>
        <v>98</v>
      </c>
      <c r="Q35" s="18">
        <f t="shared" si="10"/>
        <v>252</v>
      </c>
      <c r="R35" s="4" t="s">
        <v>0</v>
      </c>
      <c r="S35" s="16" t="str">
        <f t="shared" si="11"/>
        <v>05-11</v>
      </c>
      <c r="T35" s="14">
        <f t="shared" si="12"/>
        <v>98</v>
      </c>
      <c r="U35" s="18">
        <f t="shared" si="13"/>
        <v>541</v>
      </c>
      <c r="V35" s="14">
        <f t="shared" si="14"/>
        <v>136</v>
      </c>
      <c r="W35" s="18">
        <f t="shared" si="15"/>
        <v>541</v>
      </c>
      <c r="X35" s="14">
        <f t="shared" si="16"/>
        <v>136</v>
      </c>
      <c r="Y35" s="18">
        <f t="shared" si="17"/>
        <v>498</v>
      </c>
      <c r="Z35" s="14">
        <f t="shared" si="18"/>
        <v>98</v>
      </c>
      <c r="AA35" s="18">
        <f t="shared" si="19"/>
        <v>498</v>
      </c>
      <c r="AB35" s="4" t="s">
        <v>0</v>
      </c>
    </row>
    <row r="36" spans="1:28">
      <c r="A36" s="9" t="s">
        <v>47</v>
      </c>
      <c r="B36" s="24"/>
      <c r="C36" s="26"/>
      <c r="D36" s="25">
        <f t="shared" si="28"/>
        <v>136</v>
      </c>
      <c r="E36" s="29">
        <f t="shared" ref="E36" si="51">E35</f>
        <v>209</v>
      </c>
      <c r="F36" s="25">
        <f t="shared" si="30"/>
        <v>174</v>
      </c>
      <c r="G36" s="29">
        <f t="shared" ref="G36:G76" si="52">G35</f>
        <v>252</v>
      </c>
      <c r="H36" s="4" t="s">
        <v>0</v>
      </c>
      <c r="I36" s="16" t="str">
        <f t="shared" si="2"/>
        <v>05-10</v>
      </c>
      <c r="J36" s="14">
        <f t="shared" si="3"/>
        <v>136</v>
      </c>
      <c r="K36" s="15">
        <f t="shared" si="4"/>
        <v>209</v>
      </c>
      <c r="L36" s="17">
        <f t="shared" si="5"/>
        <v>174</v>
      </c>
      <c r="M36" s="18">
        <f t="shared" si="6"/>
        <v>209</v>
      </c>
      <c r="N36" s="14">
        <f t="shared" si="7"/>
        <v>174</v>
      </c>
      <c r="O36" s="15">
        <f t="shared" si="8"/>
        <v>252</v>
      </c>
      <c r="P36" s="17">
        <f t="shared" si="9"/>
        <v>136</v>
      </c>
      <c r="Q36" s="18">
        <f t="shared" si="10"/>
        <v>252</v>
      </c>
      <c r="R36" s="4" t="s">
        <v>0</v>
      </c>
      <c r="S36" s="16" t="str">
        <f t="shared" si="11"/>
        <v>05-10</v>
      </c>
      <c r="T36" s="14">
        <f t="shared" si="12"/>
        <v>136</v>
      </c>
      <c r="U36" s="18">
        <f t="shared" si="13"/>
        <v>541</v>
      </c>
      <c r="V36" s="14">
        <f t="shared" si="14"/>
        <v>174</v>
      </c>
      <c r="W36" s="18">
        <f t="shared" si="15"/>
        <v>541</v>
      </c>
      <c r="X36" s="14">
        <f t="shared" si="16"/>
        <v>174</v>
      </c>
      <c r="Y36" s="18">
        <f t="shared" si="17"/>
        <v>498</v>
      </c>
      <c r="Z36" s="14">
        <f t="shared" si="18"/>
        <v>136</v>
      </c>
      <c r="AA36" s="18">
        <f t="shared" si="19"/>
        <v>498</v>
      </c>
      <c r="AB36" s="4" t="s">
        <v>0</v>
      </c>
    </row>
    <row r="37" spans="1:28">
      <c r="A37" s="9" t="s">
        <v>46</v>
      </c>
      <c r="B37" s="24"/>
      <c r="C37" s="26"/>
      <c r="D37" s="25">
        <f t="shared" si="28"/>
        <v>174</v>
      </c>
      <c r="E37" s="29">
        <f t="shared" ref="E37" si="53">E36</f>
        <v>209</v>
      </c>
      <c r="F37" s="25">
        <f t="shared" si="30"/>
        <v>212</v>
      </c>
      <c r="G37" s="29">
        <f t="shared" si="52"/>
        <v>252</v>
      </c>
      <c r="H37" s="4" t="s">
        <v>0</v>
      </c>
      <c r="I37" s="16" t="str">
        <f t="shared" si="2"/>
        <v>05-08</v>
      </c>
      <c r="J37" s="14">
        <f t="shared" si="3"/>
        <v>174</v>
      </c>
      <c r="K37" s="15">
        <f t="shared" si="4"/>
        <v>209</v>
      </c>
      <c r="L37" s="17">
        <f t="shared" si="5"/>
        <v>212</v>
      </c>
      <c r="M37" s="18">
        <f t="shared" si="6"/>
        <v>209</v>
      </c>
      <c r="N37" s="14">
        <f t="shared" si="7"/>
        <v>212</v>
      </c>
      <c r="O37" s="15">
        <f t="shared" si="8"/>
        <v>252</v>
      </c>
      <c r="P37" s="17">
        <f t="shared" si="9"/>
        <v>174</v>
      </c>
      <c r="Q37" s="18">
        <f t="shared" si="10"/>
        <v>252</v>
      </c>
      <c r="R37" s="4" t="s">
        <v>0</v>
      </c>
      <c r="S37" s="16" t="str">
        <f t="shared" si="11"/>
        <v>05-08</v>
      </c>
      <c r="T37" s="14">
        <f t="shared" si="12"/>
        <v>174</v>
      </c>
      <c r="U37" s="18">
        <f t="shared" si="13"/>
        <v>541</v>
      </c>
      <c r="V37" s="14">
        <f t="shared" si="14"/>
        <v>212</v>
      </c>
      <c r="W37" s="18">
        <f t="shared" si="15"/>
        <v>541</v>
      </c>
      <c r="X37" s="14">
        <f t="shared" si="16"/>
        <v>212</v>
      </c>
      <c r="Y37" s="18">
        <f t="shared" si="17"/>
        <v>498</v>
      </c>
      <c r="Z37" s="14">
        <f t="shared" si="18"/>
        <v>174</v>
      </c>
      <c r="AA37" s="18">
        <f t="shared" si="19"/>
        <v>498</v>
      </c>
      <c r="AB37" s="4" t="s">
        <v>0</v>
      </c>
    </row>
    <row r="38" spans="1:28">
      <c r="A38" s="9" t="s">
        <v>45</v>
      </c>
      <c r="B38" s="24"/>
      <c r="C38" s="26"/>
      <c r="D38" s="25">
        <f t="shared" si="28"/>
        <v>262</v>
      </c>
      <c r="E38" s="29">
        <f t="shared" ref="E38" si="54">E37</f>
        <v>209</v>
      </c>
      <c r="F38" s="25">
        <f t="shared" si="30"/>
        <v>300</v>
      </c>
      <c r="G38" s="29">
        <f t="shared" si="52"/>
        <v>252</v>
      </c>
      <c r="H38" s="4" t="s">
        <v>0</v>
      </c>
      <c r="I38" s="16" t="str">
        <f t="shared" si="2"/>
        <v>05-07</v>
      </c>
      <c r="J38" s="14">
        <f t="shared" si="3"/>
        <v>262</v>
      </c>
      <c r="K38" s="15">
        <f t="shared" si="4"/>
        <v>209</v>
      </c>
      <c r="L38" s="17">
        <f t="shared" si="5"/>
        <v>300</v>
      </c>
      <c r="M38" s="18">
        <f t="shared" si="6"/>
        <v>209</v>
      </c>
      <c r="N38" s="14">
        <f t="shared" si="7"/>
        <v>300</v>
      </c>
      <c r="O38" s="15">
        <f t="shared" si="8"/>
        <v>252</v>
      </c>
      <c r="P38" s="17">
        <f t="shared" si="9"/>
        <v>262</v>
      </c>
      <c r="Q38" s="18">
        <f t="shared" si="10"/>
        <v>252</v>
      </c>
      <c r="R38" s="4" t="s">
        <v>0</v>
      </c>
      <c r="S38" s="16" t="str">
        <f t="shared" si="11"/>
        <v>05-07</v>
      </c>
      <c r="T38" s="14">
        <f t="shared" si="12"/>
        <v>262</v>
      </c>
      <c r="U38" s="18">
        <f t="shared" si="13"/>
        <v>541</v>
      </c>
      <c r="V38" s="14">
        <f t="shared" si="14"/>
        <v>300</v>
      </c>
      <c r="W38" s="18">
        <f t="shared" si="15"/>
        <v>541</v>
      </c>
      <c r="X38" s="14">
        <f t="shared" si="16"/>
        <v>300</v>
      </c>
      <c r="Y38" s="18">
        <f t="shared" si="17"/>
        <v>498</v>
      </c>
      <c r="Z38" s="14">
        <f t="shared" si="18"/>
        <v>262</v>
      </c>
      <c r="AA38" s="18">
        <f t="shared" si="19"/>
        <v>498</v>
      </c>
      <c r="AB38" s="4" t="s">
        <v>0</v>
      </c>
    </row>
    <row r="39" spans="1:28">
      <c r="A39" s="9" t="s">
        <v>44</v>
      </c>
      <c r="B39" s="24"/>
      <c r="C39" s="26"/>
      <c r="D39" s="25">
        <f t="shared" si="28"/>
        <v>300</v>
      </c>
      <c r="E39" s="29">
        <f t="shared" ref="E39" si="55">E38</f>
        <v>209</v>
      </c>
      <c r="F39" s="25">
        <f t="shared" si="30"/>
        <v>338</v>
      </c>
      <c r="G39" s="29">
        <f t="shared" si="52"/>
        <v>252</v>
      </c>
      <c r="H39" s="4" t="s">
        <v>0</v>
      </c>
      <c r="I39" s="16" t="str">
        <f t="shared" si="2"/>
        <v>05-06</v>
      </c>
      <c r="J39" s="14">
        <f t="shared" si="3"/>
        <v>300</v>
      </c>
      <c r="K39" s="15">
        <f t="shared" si="4"/>
        <v>209</v>
      </c>
      <c r="L39" s="17">
        <f t="shared" si="5"/>
        <v>338</v>
      </c>
      <c r="M39" s="18">
        <f t="shared" si="6"/>
        <v>209</v>
      </c>
      <c r="N39" s="14">
        <f t="shared" si="7"/>
        <v>338</v>
      </c>
      <c r="O39" s="15">
        <f t="shared" si="8"/>
        <v>252</v>
      </c>
      <c r="P39" s="17">
        <f t="shared" si="9"/>
        <v>300</v>
      </c>
      <c r="Q39" s="18">
        <f t="shared" si="10"/>
        <v>252</v>
      </c>
      <c r="R39" s="4" t="s">
        <v>0</v>
      </c>
      <c r="S39" s="16" t="str">
        <f t="shared" si="11"/>
        <v>05-06</v>
      </c>
      <c r="T39" s="14">
        <f t="shared" si="12"/>
        <v>300</v>
      </c>
      <c r="U39" s="18">
        <f t="shared" si="13"/>
        <v>541</v>
      </c>
      <c r="V39" s="14">
        <f t="shared" si="14"/>
        <v>338</v>
      </c>
      <c r="W39" s="18">
        <f t="shared" si="15"/>
        <v>541</v>
      </c>
      <c r="X39" s="14">
        <f t="shared" si="16"/>
        <v>338</v>
      </c>
      <c r="Y39" s="18">
        <f t="shared" si="17"/>
        <v>498</v>
      </c>
      <c r="Z39" s="14">
        <f t="shared" si="18"/>
        <v>300</v>
      </c>
      <c r="AA39" s="18">
        <f t="shared" si="19"/>
        <v>498</v>
      </c>
      <c r="AB39" s="4" t="s">
        <v>0</v>
      </c>
    </row>
    <row r="40" spans="1:28">
      <c r="A40" s="9" t="s">
        <v>43</v>
      </c>
      <c r="B40" s="24"/>
      <c r="C40" s="26"/>
      <c r="D40" s="25">
        <f t="shared" si="28"/>
        <v>338</v>
      </c>
      <c r="E40" s="29">
        <f t="shared" ref="E40" si="56">E39</f>
        <v>209</v>
      </c>
      <c r="F40" s="25">
        <f t="shared" si="30"/>
        <v>376</v>
      </c>
      <c r="G40" s="29">
        <f t="shared" si="52"/>
        <v>252</v>
      </c>
      <c r="H40" s="4" t="s">
        <v>0</v>
      </c>
      <c r="I40" s="16" t="str">
        <f t="shared" si="2"/>
        <v>05-05</v>
      </c>
      <c r="J40" s="14">
        <f t="shared" si="3"/>
        <v>338</v>
      </c>
      <c r="K40" s="15">
        <f t="shared" si="4"/>
        <v>209</v>
      </c>
      <c r="L40" s="17">
        <f t="shared" si="5"/>
        <v>376</v>
      </c>
      <c r="M40" s="18">
        <f t="shared" si="6"/>
        <v>209</v>
      </c>
      <c r="N40" s="14">
        <f t="shared" si="7"/>
        <v>376</v>
      </c>
      <c r="O40" s="15">
        <f t="shared" si="8"/>
        <v>252</v>
      </c>
      <c r="P40" s="17">
        <f t="shared" si="9"/>
        <v>338</v>
      </c>
      <c r="Q40" s="18">
        <f t="shared" si="10"/>
        <v>252</v>
      </c>
      <c r="R40" s="4" t="s">
        <v>0</v>
      </c>
      <c r="S40" s="16" t="str">
        <f t="shared" si="11"/>
        <v>05-05</v>
      </c>
      <c r="T40" s="14">
        <f t="shared" si="12"/>
        <v>338</v>
      </c>
      <c r="U40" s="18">
        <f t="shared" si="13"/>
        <v>541</v>
      </c>
      <c r="V40" s="14">
        <f t="shared" si="14"/>
        <v>376</v>
      </c>
      <c r="W40" s="18">
        <f t="shared" si="15"/>
        <v>541</v>
      </c>
      <c r="X40" s="14">
        <f t="shared" si="16"/>
        <v>376</v>
      </c>
      <c r="Y40" s="18">
        <f t="shared" si="17"/>
        <v>498</v>
      </c>
      <c r="Z40" s="14">
        <f t="shared" si="18"/>
        <v>338</v>
      </c>
      <c r="AA40" s="18">
        <f t="shared" si="19"/>
        <v>498</v>
      </c>
      <c r="AB40" s="4" t="s">
        <v>0</v>
      </c>
    </row>
    <row r="41" spans="1:28">
      <c r="A41" s="9" t="s">
        <v>42</v>
      </c>
      <c r="B41" s="24"/>
      <c r="C41" s="26"/>
      <c r="D41" s="25">
        <f t="shared" si="28"/>
        <v>376</v>
      </c>
      <c r="E41" s="29">
        <f t="shared" ref="E41" si="57">E40</f>
        <v>209</v>
      </c>
      <c r="F41" s="25">
        <f t="shared" si="30"/>
        <v>414</v>
      </c>
      <c r="G41" s="29">
        <f t="shared" si="52"/>
        <v>252</v>
      </c>
      <c r="H41" s="4" t="s">
        <v>0</v>
      </c>
      <c r="I41" s="16" t="str">
        <f t="shared" si="2"/>
        <v>05-03</v>
      </c>
      <c r="J41" s="14">
        <f t="shared" si="3"/>
        <v>376</v>
      </c>
      <c r="K41" s="15">
        <f t="shared" si="4"/>
        <v>209</v>
      </c>
      <c r="L41" s="17">
        <f t="shared" si="5"/>
        <v>414</v>
      </c>
      <c r="M41" s="18">
        <f t="shared" si="6"/>
        <v>209</v>
      </c>
      <c r="N41" s="14">
        <f t="shared" si="7"/>
        <v>414</v>
      </c>
      <c r="O41" s="15">
        <f t="shared" si="8"/>
        <v>252</v>
      </c>
      <c r="P41" s="17">
        <f t="shared" si="9"/>
        <v>376</v>
      </c>
      <c r="Q41" s="18">
        <f t="shared" si="10"/>
        <v>252</v>
      </c>
      <c r="R41" s="4" t="s">
        <v>0</v>
      </c>
      <c r="S41" s="16" t="str">
        <f t="shared" si="11"/>
        <v>05-03</v>
      </c>
      <c r="T41" s="14">
        <f t="shared" si="12"/>
        <v>376</v>
      </c>
      <c r="U41" s="18">
        <f t="shared" si="13"/>
        <v>541</v>
      </c>
      <c r="V41" s="14">
        <f t="shared" si="14"/>
        <v>414</v>
      </c>
      <c r="W41" s="18">
        <f t="shared" si="15"/>
        <v>541</v>
      </c>
      <c r="X41" s="14">
        <f t="shared" si="16"/>
        <v>414</v>
      </c>
      <c r="Y41" s="18">
        <f t="shared" si="17"/>
        <v>498</v>
      </c>
      <c r="Z41" s="14">
        <f t="shared" si="18"/>
        <v>376</v>
      </c>
      <c r="AA41" s="18">
        <f t="shared" si="19"/>
        <v>498</v>
      </c>
      <c r="AB41" s="4" t="s">
        <v>0</v>
      </c>
    </row>
    <row r="42" spans="1:28">
      <c r="A42" s="9" t="s">
        <v>41</v>
      </c>
      <c r="B42" s="24"/>
      <c r="C42" s="26"/>
      <c r="D42" s="25">
        <f t="shared" si="28"/>
        <v>414</v>
      </c>
      <c r="E42" s="29">
        <f t="shared" ref="E42" si="58">E41</f>
        <v>209</v>
      </c>
      <c r="F42" s="25">
        <f t="shared" si="30"/>
        <v>452</v>
      </c>
      <c r="G42" s="29">
        <f t="shared" si="52"/>
        <v>252</v>
      </c>
      <c r="H42" s="4" t="s">
        <v>0</v>
      </c>
      <c r="I42" s="16" t="str">
        <f t="shared" si="2"/>
        <v>05-02</v>
      </c>
      <c r="J42" s="14">
        <f t="shared" si="3"/>
        <v>414</v>
      </c>
      <c r="K42" s="15">
        <f t="shared" si="4"/>
        <v>209</v>
      </c>
      <c r="L42" s="17">
        <f t="shared" si="5"/>
        <v>452</v>
      </c>
      <c r="M42" s="18">
        <f t="shared" si="6"/>
        <v>209</v>
      </c>
      <c r="N42" s="14">
        <f t="shared" si="7"/>
        <v>452</v>
      </c>
      <c r="O42" s="15">
        <f t="shared" si="8"/>
        <v>252</v>
      </c>
      <c r="P42" s="17">
        <f t="shared" si="9"/>
        <v>414</v>
      </c>
      <c r="Q42" s="18">
        <f t="shared" si="10"/>
        <v>252</v>
      </c>
      <c r="R42" s="4" t="s">
        <v>0</v>
      </c>
      <c r="S42" s="16" t="str">
        <f t="shared" si="11"/>
        <v>05-02</v>
      </c>
      <c r="T42" s="14">
        <f t="shared" si="12"/>
        <v>414</v>
      </c>
      <c r="U42" s="18">
        <f t="shared" si="13"/>
        <v>541</v>
      </c>
      <c r="V42" s="14">
        <f t="shared" si="14"/>
        <v>452</v>
      </c>
      <c r="W42" s="18">
        <f t="shared" si="15"/>
        <v>541</v>
      </c>
      <c r="X42" s="14">
        <f t="shared" si="16"/>
        <v>452</v>
      </c>
      <c r="Y42" s="18">
        <f t="shared" si="17"/>
        <v>498</v>
      </c>
      <c r="Z42" s="14">
        <f t="shared" si="18"/>
        <v>414</v>
      </c>
      <c r="AA42" s="18">
        <f t="shared" si="19"/>
        <v>498</v>
      </c>
      <c r="AB42" s="4" t="s">
        <v>0</v>
      </c>
    </row>
    <row r="43" spans="1:28">
      <c r="A43" s="9" t="s">
        <v>40</v>
      </c>
      <c r="B43" s="24"/>
      <c r="C43" s="26"/>
      <c r="D43" s="25">
        <f t="shared" si="28"/>
        <v>452</v>
      </c>
      <c r="E43" s="29">
        <f t="shared" ref="E43" si="59">E42</f>
        <v>209</v>
      </c>
      <c r="F43" s="25">
        <f t="shared" si="30"/>
        <v>490</v>
      </c>
      <c r="G43" s="29">
        <f t="shared" si="52"/>
        <v>252</v>
      </c>
      <c r="H43" s="4" t="s">
        <v>0</v>
      </c>
      <c r="I43" s="16" t="str">
        <f t="shared" si="2"/>
        <v>05-01</v>
      </c>
      <c r="J43" s="14">
        <f t="shared" si="3"/>
        <v>452</v>
      </c>
      <c r="K43" s="15">
        <f t="shared" si="4"/>
        <v>209</v>
      </c>
      <c r="L43" s="17">
        <f t="shared" si="5"/>
        <v>490</v>
      </c>
      <c r="M43" s="18">
        <f t="shared" si="6"/>
        <v>209</v>
      </c>
      <c r="N43" s="14">
        <f t="shared" si="7"/>
        <v>490</v>
      </c>
      <c r="O43" s="15">
        <f t="shared" si="8"/>
        <v>252</v>
      </c>
      <c r="P43" s="17">
        <f t="shared" si="9"/>
        <v>452</v>
      </c>
      <c r="Q43" s="18">
        <f t="shared" si="10"/>
        <v>252</v>
      </c>
      <c r="R43" s="4" t="s">
        <v>0</v>
      </c>
      <c r="S43" s="16" t="str">
        <f t="shared" si="11"/>
        <v>05-01</v>
      </c>
      <c r="T43" s="14">
        <f t="shared" si="12"/>
        <v>452</v>
      </c>
      <c r="U43" s="18">
        <f t="shared" si="13"/>
        <v>541</v>
      </c>
      <c r="V43" s="14">
        <f t="shared" si="14"/>
        <v>490</v>
      </c>
      <c r="W43" s="18">
        <f t="shared" si="15"/>
        <v>541</v>
      </c>
      <c r="X43" s="14">
        <f t="shared" si="16"/>
        <v>490</v>
      </c>
      <c r="Y43" s="18">
        <f t="shared" si="17"/>
        <v>498</v>
      </c>
      <c r="Z43" s="14">
        <f t="shared" si="18"/>
        <v>452</v>
      </c>
      <c r="AA43" s="18">
        <f t="shared" si="19"/>
        <v>498</v>
      </c>
      <c r="AB43" s="4" t="s">
        <v>0</v>
      </c>
    </row>
    <row r="44" spans="1:28">
      <c r="A44" s="9" t="s">
        <v>154</v>
      </c>
      <c r="B44" s="24"/>
      <c r="C44" s="26">
        <v>3</v>
      </c>
      <c r="D44" s="25">
        <f t="shared" si="28"/>
        <v>22</v>
      </c>
      <c r="E44" s="28">
        <f t="shared" ref="E44" si="60">ROUND(E$11+60.8*$C44, 0)</f>
        <v>269</v>
      </c>
      <c r="F44" s="25">
        <f t="shared" si="30"/>
        <v>60</v>
      </c>
      <c r="G44" s="28">
        <f t="shared" ref="G44" si="61">ROUND(G$11+60.8*$C44, 0)</f>
        <v>312</v>
      </c>
      <c r="H44" s="4" t="s">
        <v>0</v>
      </c>
      <c r="I44" s="16" t="str">
        <f t="shared" si="2"/>
        <v>03-13</v>
      </c>
      <c r="J44" s="14">
        <f t="shared" si="3"/>
        <v>22</v>
      </c>
      <c r="K44" s="15">
        <f t="shared" si="4"/>
        <v>269</v>
      </c>
      <c r="L44" s="17">
        <f t="shared" si="5"/>
        <v>60</v>
      </c>
      <c r="M44" s="18">
        <f t="shared" si="6"/>
        <v>269</v>
      </c>
      <c r="N44" s="14">
        <f t="shared" si="7"/>
        <v>60</v>
      </c>
      <c r="O44" s="15">
        <f t="shared" si="8"/>
        <v>312</v>
      </c>
      <c r="P44" s="17">
        <f t="shared" si="9"/>
        <v>22</v>
      </c>
      <c r="Q44" s="18">
        <f t="shared" si="10"/>
        <v>312</v>
      </c>
      <c r="R44" s="4" t="s">
        <v>0</v>
      </c>
      <c r="S44" s="16" t="str">
        <f t="shared" si="11"/>
        <v>03-13</v>
      </c>
      <c r="T44" s="14">
        <f t="shared" si="12"/>
        <v>22</v>
      </c>
      <c r="U44" s="18">
        <f t="shared" si="13"/>
        <v>481</v>
      </c>
      <c r="V44" s="14">
        <f t="shared" si="14"/>
        <v>60</v>
      </c>
      <c r="W44" s="18">
        <f t="shared" si="15"/>
        <v>481</v>
      </c>
      <c r="X44" s="14">
        <f t="shared" si="16"/>
        <v>60</v>
      </c>
      <c r="Y44" s="18">
        <f t="shared" si="17"/>
        <v>438</v>
      </c>
      <c r="Z44" s="14">
        <f t="shared" si="18"/>
        <v>22</v>
      </c>
      <c r="AA44" s="18">
        <f t="shared" si="19"/>
        <v>438</v>
      </c>
      <c r="AB44" s="4" t="s">
        <v>0</v>
      </c>
    </row>
    <row r="45" spans="1:28">
      <c r="A45" s="9" t="s">
        <v>39</v>
      </c>
      <c r="B45" s="24"/>
      <c r="C45" s="26"/>
      <c r="D45" s="25">
        <f t="shared" si="28"/>
        <v>60</v>
      </c>
      <c r="E45" s="29">
        <f t="shared" ref="E45" si="62">E44</f>
        <v>269</v>
      </c>
      <c r="F45" s="25">
        <f t="shared" si="30"/>
        <v>98</v>
      </c>
      <c r="G45" s="29">
        <f t="shared" ref="G45" si="63">G44</f>
        <v>312</v>
      </c>
      <c r="H45" s="4" t="s">
        <v>0</v>
      </c>
      <c r="I45" s="16" t="str">
        <f t="shared" si="2"/>
        <v>03-12</v>
      </c>
      <c r="J45" s="14">
        <f t="shared" si="3"/>
        <v>60</v>
      </c>
      <c r="K45" s="15">
        <f t="shared" si="4"/>
        <v>269</v>
      </c>
      <c r="L45" s="17">
        <f t="shared" si="5"/>
        <v>98</v>
      </c>
      <c r="M45" s="18">
        <f t="shared" si="6"/>
        <v>269</v>
      </c>
      <c r="N45" s="14">
        <f t="shared" si="7"/>
        <v>98</v>
      </c>
      <c r="O45" s="15">
        <f t="shared" si="8"/>
        <v>312</v>
      </c>
      <c r="P45" s="17">
        <f t="shared" si="9"/>
        <v>60</v>
      </c>
      <c r="Q45" s="18">
        <f t="shared" si="10"/>
        <v>312</v>
      </c>
      <c r="R45" s="4" t="s">
        <v>0</v>
      </c>
      <c r="S45" s="16" t="str">
        <f t="shared" si="11"/>
        <v>03-12</v>
      </c>
      <c r="T45" s="14">
        <f t="shared" si="12"/>
        <v>60</v>
      </c>
      <c r="U45" s="18">
        <f t="shared" si="13"/>
        <v>481</v>
      </c>
      <c r="V45" s="14">
        <f t="shared" si="14"/>
        <v>98</v>
      </c>
      <c r="W45" s="18">
        <f t="shared" si="15"/>
        <v>481</v>
      </c>
      <c r="X45" s="14">
        <f t="shared" si="16"/>
        <v>98</v>
      </c>
      <c r="Y45" s="18">
        <f t="shared" si="17"/>
        <v>438</v>
      </c>
      <c r="Z45" s="14">
        <f t="shared" si="18"/>
        <v>60</v>
      </c>
      <c r="AA45" s="18">
        <f t="shared" si="19"/>
        <v>438</v>
      </c>
      <c r="AB45" s="4" t="s">
        <v>0</v>
      </c>
    </row>
    <row r="46" spans="1:28">
      <c r="A46" s="9" t="s">
        <v>38</v>
      </c>
      <c r="B46" s="24"/>
      <c r="C46" s="26"/>
      <c r="D46" s="25">
        <f t="shared" si="28"/>
        <v>98</v>
      </c>
      <c r="E46" s="29">
        <f t="shared" ref="E46" si="64">E45</f>
        <v>269</v>
      </c>
      <c r="F46" s="25">
        <f t="shared" si="30"/>
        <v>136</v>
      </c>
      <c r="G46" s="29">
        <f t="shared" ref="G46" si="65">G45</f>
        <v>312</v>
      </c>
      <c r="H46" s="4" t="s">
        <v>0</v>
      </c>
      <c r="I46" s="16" t="str">
        <f t="shared" si="2"/>
        <v>03-11</v>
      </c>
      <c r="J46" s="14">
        <f t="shared" si="3"/>
        <v>98</v>
      </c>
      <c r="K46" s="15">
        <f t="shared" si="4"/>
        <v>269</v>
      </c>
      <c r="L46" s="17">
        <f t="shared" si="5"/>
        <v>136</v>
      </c>
      <c r="M46" s="18">
        <f t="shared" si="6"/>
        <v>269</v>
      </c>
      <c r="N46" s="14">
        <f t="shared" si="7"/>
        <v>136</v>
      </c>
      <c r="O46" s="15">
        <f t="shared" si="8"/>
        <v>312</v>
      </c>
      <c r="P46" s="17">
        <f t="shared" si="9"/>
        <v>98</v>
      </c>
      <c r="Q46" s="18">
        <f t="shared" si="10"/>
        <v>312</v>
      </c>
      <c r="R46" s="4" t="s">
        <v>0</v>
      </c>
      <c r="S46" s="16" t="str">
        <f t="shared" si="11"/>
        <v>03-11</v>
      </c>
      <c r="T46" s="14">
        <f t="shared" si="12"/>
        <v>98</v>
      </c>
      <c r="U46" s="18">
        <f t="shared" si="13"/>
        <v>481</v>
      </c>
      <c r="V46" s="14">
        <f t="shared" si="14"/>
        <v>136</v>
      </c>
      <c r="W46" s="18">
        <f t="shared" si="15"/>
        <v>481</v>
      </c>
      <c r="X46" s="14">
        <f t="shared" si="16"/>
        <v>136</v>
      </c>
      <c r="Y46" s="18">
        <f t="shared" si="17"/>
        <v>438</v>
      </c>
      <c r="Z46" s="14">
        <f t="shared" si="18"/>
        <v>98</v>
      </c>
      <c r="AA46" s="18">
        <f t="shared" si="19"/>
        <v>438</v>
      </c>
      <c r="AB46" s="4" t="s">
        <v>0</v>
      </c>
    </row>
    <row r="47" spans="1:28">
      <c r="A47" s="9" t="s">
        <v>37</v>
      </c>
      <c r="B47" s="24"/>
      <c r="C47" s="26"/>
      <c r="D47" s="25">
        <f t="shared" si="28"/>
        <v>136</v>
      </c>
      <c r="E47" s="29">
        <f t="shared" ref="E47" si="66">E46</f>
        <v>269</v>
      </c>
      <c r="F47" s="25">
        <f t="shared" si="30"/>
        <v>174</v>
      </c>
      <c r="G47" s="29">
        <f t="shared" ref="G47" si="67">G46</f>
        <v>312</v>
      </c>
      <c r="H47" s="4" t="s">
        <v>0</v>
      </c>
      <c r="I47" s="16" t="str">
        <f t="shared" si="2"/>
        <v>03-10</v>
      </c>
      <c r="J47" s="14">
        <f t="shared" si="3"/>
        <v>136</v>
      </c>
      <c r="K47" s="15">
        <f t="shared" si="4"/>
        <v>269</v>
      </c>
      <c r="L47" s="17">
        <f t="shared" si="5"/>
        <v>174</v>
      </c>
      <c r="M47" s="18">
        <f t="shared" si="6"/>
        <v>269</v>
      </c>
      <c r="N47" s="14">
        <f t="shared" si="7"/>
        <v>174</v>
      </c>
      <c r="O47" s="15">
        <f t="shared" si="8"/>
        <v>312</v>
      </c>
      <c r="P47" s="17">
        <f t="shared" si="9"/>
        <v>136</v>
      </c>
      <c r="Q47" s="18">
        <f t="shared" si="10"/>
        <v>312</v>
      </c>
      <c r="R47" s="4" t="s">
        <v>0</v>
      </c>
      <c r="S47" s="16" t="str">
        <f t="shared" si="11"/>
        <v>03-10</v>
      </c>
      <c r="T47" s="14">
        <f t="shared" si="12"/>
        <v>136</v>
      </c>
      <c r="U47" s="18">
        <f t="shared" si="13"/>
        <v>481</v>
      </c>
      <c r="V47" s="14">
        <f t="shared" si="14"/>
        <v>174</v>
      </c>
      <c r="W47" s="18">
        <f t="shared" si="15"/>
        <v>481</v>
      </c>
      <c r="X47" s="14">
        <f t="shared" si="16"/>
        <v>174</v>
      </c>
      <c r="Y47" s="18">
        <f t="shared" si="17"/>
        <v>438</v>
      </c>
      <c r="Z47" s="14">
        <f t="shared" si="18"/>
        <v>136</v>
      </c>
      <c r="AA47" s="18">
        <f t="shared" si="19"/>
        <v>438</v>
      </c>
      <c r="AB47" s="4" t="s">
        <v>0</v>
      </c>
    </row>
    <row r="48" spans="1:28">
      <c r="A48" s="9" t="s">
        <v>36</v>
      </c>
      <c r="B48" s="24"/>
      <c r="C48" s="26"/>
      <c r="D48" s="25">
        <f t="shared" si="28"/>
        <v>174</v>
      </c>
      <c r="E48" s="29">
        <f t="shared" ref="E48" si="68">E47</f>
        <v>269</v>
      </c>
      <c r="F48" s="25">
        <f t="shared" si="30"/>
        <v>212</v>
      </c>
      <c r="G48" s="29">
        <f t="shared" si="52"/>
        <v>312</v>
      </c>
      <c r="H48" s="4" t="s">
        <v>0</v>
      </c>
      <c r="I48" s="16" t="str">
        <f t="shared" si="2"/>
        <v>03-08</v>
      </c>
      <c r="J48" s="14">
        <f t="shared" si="3"/>
        <v>174</v>
      </c>
      <c r="K48" s="15">
        <f t="shared" si="4"/>
        <v>269</v>
      </c>
      <c r="L48" s="17">
        <f t="shared" si="5"/>
        <v>212</v>
      </c>
      <c r="M48" s="18">
        <f t="shared" si="6"/>
        <v>269</v>
      </c>
      <c r="N48" s="14">
        <f t="shared" si="7"/>
        <v>212</v>
      </c>
      <c r="O48" s="15">
        <f t="shared" si="8"/>
        <v>312</v>
      </c>
      <c r="P48" s="17">
        <f t="shared" si="9"/>
        <v>174</v>
      </c>
      <c r="Q48" s="18">
        <f t="shared" si="10"/>
        <v>312</v>
      </c>
      <c r="R48" s="4" t="s">
        <v>0</v>
      </c>
      <c r="S48" s="16" t="str">
        <f t="shared" si="11"/>
        <v>03-08</v>
      </c>
      <c r="T48" s="14">
        <f t="shared" si="12"/>
        <v>174</v>
      </c>
      <c r="U48" s="18">
        <f t="shared" si="13"/>
        <v>481</v>
      </c>
      <c r="V48" s="14">
        <f t="shared" si="14"/>
        <v>212</v>
      </c>
      <c r="W48" s="18">
        <f t="shared" si="15"/>
        <v>481</v>
      </c>
      <c r="X48" s="14">
        <f t="shared" si="16"/>
        <v>212</v>
      </c>
      <c r="Y48" s="18">
        <f t="shared" si="17"/>
        <v>438</v>
      </c>
      <c r="Z48" s="14">
        <f t="shared" si="18"/>
        <v>174</v>
      </c>
      <c r="AA48" s="18">
        <f t="shared" si="19"/>
        <v>438</v>
      </c>
      <c r="AB48" s="4" t="s">
        <v>0</v>
      </c>
    </row>
    <row r="49" spans="1:28">
      <c r="A49" s="9" t="s">
        <v>35</v>
      </c>
      <c r="B49" s="24"/>
      <c r="C49" s="26"/>
      <c r="D49" s="25">
        <f t="shared" si="28"/>
        <v>262</v>
      </c>
      <c r="E49" s="29">
        <f t="shared" ref="E49" si="69">E48</f>
        <v>269</v>
      </c>
      <c r="F49" s="25">
        <f t="shared" si="30"/>
        <v>300</v>
      </c>
      <c r="G49" s="29">
        <f t="shared" si="52"/>
        <v>312</v>
      </c>
      <c r="H49" s="4" t="s">
        <v>0</v>
      </c>
      <c r="I49" s="16" t="str">
        <f t="shared" si="2"/>
        <v>03-07</v>
      </c>
      <c r="J49" s="14">
        <f t="shared" si="3"/>
        <v>262</v>
      </c>
      <c r="K49" s="15">
        <f t="shared" si="4"/>
        <v>269</v>
      </c>
      <c r="L49" s="17">
        <f t="shared" si="5"/>
        <v>300</v>
      </c>
      <c r="M49" s="18">
        <f t="shared" si="6"/>
        <v>269</v>
      </c>
      <c r="N49" s="14">
        <f t="shared" si="7"/>
        <v>300</v>
      </c>
      <c r="O49" s="15">
        <f t="shared" si="8"/>
        <v>312</v>
      </c>
      <c r="P49" s="17">
        <f t="shared" si="9"/>
        <v>262</v>
      </c>
      <c r="Q49" s="18">
        <f t="shared" si="10"/>
        <v>312</v>
      </c>
      <c r="R49" s="4" t="s">
        <v>0</v>
      </c>
      <c r="S49" s="16" t="str">
        <f t="shared" si="11"/>
        <v>03-07</v>
      </c>
      <c r="T49" s="14">
        <f t="shared" si="12"/>
        <v>262</v>
      </c>
      <c r="U49" s="18">
        <f t="shared" si="13"/>
        <v>481</v>
      </c>
      <c r="V49" s="14">
        <f t="shared" si="14"/>
        <v>300</v>
      </c>
      <c r="W49" s="18">
        <f t="shared" si="15"/>
        <v>481</v>
      </c>
      <c r="X49" s="14">
        <f t="shared" si="16"/>
        <v>300</v>
      </c>
      <c r="Y49" s="18">
        <f t="shared" si="17"/>
        <v>438</v>
      </c>
      <c r="Z49" s="14">
        <f t="shared" si="18"/>
        <v>262</v>
      </c>
      <c r="AA49" s="18">
        <f t="shared" si="19"/>
        <v>438</v>
      </c>
      <c r="AB49" s="4" t="s">
        <v>0</v>
      </c>
    </row>
    <row r="50" spans="1:28">
      <c r="A50" s="9" t="s">
        <v>34</v>
      </c>
      <c r="B50" s="24"/>
      <c r="C50" s="26"/>
      <c r="D50" s="25">
        <f t="shared" si="28"/>
        <v>300</v>
      </c>
      <c r="E50" s="29">
        <f t="shared" ref="E50" si="70">E49</f>
        <v>269</v>
      </c>
      <c r="F50" s="25">
        <f t="shared" si="30"/>
        <v>338</v>
      </c>
      <c r="G50" s="29">
        <f t="shared" si="52"/>
        <v>312</v>
      </c>
      <c r="H50" s="4" t="s">
        <v>0</v>
      </c>
      <c r="I50" s="16" t="str">
        <f t="shared" si="2"/>
        <v>03-06</v>
      </c>
      <c r="J50" s="14">
        <f t="shared" si="3"/>
        <v>300</v>
      </c>
      <c r="K50" s="15">
        <f t="shared" si="4"/>
        <v>269</v>
      </c>
      <c r="L50" s="17">
        <f t="shared" si="5"/>
        <v>338</v>
      </c>
      <c r="M50" s="18">
        <f t="shared" si="6"/>
        <v>269</v>
      </c>
      <c r="N50" s="14">
        <f t="shared" si="7"/>
        <v>338</v>
      </c>
      <c r="O50" s="15">
        <f t="shared" si="8"/>
        <v>312</v>
      </c>
      <c r="P50" s="17">
        <f t="shared" si="9"/>
        <v>300</v>
      </c>
      <c r="Q50" s="18">
        <f t="shared" si="10"/>
        <v>312</v>
      </c>
      <c r="R50" s="4" t="s">
        <v>0</v>
      </c>
      <c r="S50" s="16" t="str">
        <f t="shared" si="11"/>
        <v>03-06</v>
      </c>
      <c r="T50" s="14">
        <f t="shared" si="12"/>
        <v>300</v>
      </c>
      <c r="U50" s="18">
        <f t="shared" si="13"/>
        <v>481</v>
      </c>
      <c r="V50" s="14">
        <f t="shared" si="14"/>
        <v>338</v>
      </c>
      <c r="W50" s="18">
        <f t="shared" si="15"/>
        <v>481</v>
      </c>
      <c r="X50" s="14">
        <f t="shared" si="16"/>
        <v>338</v>
      </c>
      <c r="Y50" s="18">
        <f t="shared" si="17"/>
        <v>438</v>
      </c>
      <c r="Z50" s="14">
        <f t="shared" si="18"/>
        <v>300</v>
      </c>
      <c r="AA50" s="18">
        <f t="shared" si="19"/>
        <v>438</v>
      </c>
      <c r="AB50" s="4" t="s">
        <v>0</v>
      </c>
    </row>
    <row r="51" spans="1:28">
      <c r="A51" s="9" t="s">
        <v>33</v>
      </c>
      <c r="B51" s="24"/>
      <c r="C51" s="26"/>
      <c r="D51" s="25">
        <f t="shared" si="28"/>
        <v>338</v>
      </c>
      <c r="E51" s="29">
        <f t="shared" ref="E51" si="71">E50</f>
        <v>269</v>
      </c>
      <c r="F51" s="25">
        <f t="shared" si="30"/>
        <v>376</v>
      </c>
      <c r="G51" s="29">
        <f t="shared" si="52"/>
        <v>312</v>
      </c>
      <c r="H51" s="4" t="s">
        <v>0</v>
      </c>
      <c r="I51" s="16" t="str">
        <f t="shared" si="2"/>
        <v>03-05</v>
      </c>
      <c r="J51" s="14">
        <f t="shared" si="3"/>
        <v>338</v>
      </c>
      <c r="K51" s="15">
        <f t="shared" si="4"/>
        <v>269</v>
      </c>
      <c r="L51" s="17">
        <f t="shared" si="5"/>
        <v>376</v>
      </c>
      <c r="M51" s="18">
        <f t="shared" si="6"/>
        <v>269</v>
      </c>
      <c r="N51" s="14">
        <f t="shared" si="7"/>
        <v>376</v>
      </c>
      <c r="O51" s="15">
        <f t="shared" si="8"/>
        <v>312</v>
      </c>
      <c r="P51" s="17">
        <f t="shared" si="9"/>
        <v>338</v>
      </c>
      <c r="Q51" s="18">
        <f t="shared" si="10"/>
        <v>312</v>
      </c>
      <c r="R51" s="4" t="s">
        <v>0</v>
      </c>
      <c r="S51" s="16" t="str">
        <f t="shared" si="11"/>
        <v>03-05</v>
      </c>
      <c r="T51" s="14">
        <f t="shared" si="12"/>
        <v>338</v>
      </c>
      <c r="U51" s="18">
        <f t="shared" si="13"/>
        <v>481</v>
      </c>
      <c r="V51" s="14">
        <f t="shared" si="14"/>
        <v>376</v>
      </c>
      <c r="W51" s="18">
        <f t="shared" si="15"/>
        <v>481</v>
      </c>
      <c r="X51" s="14">
        <f t="shared" si="16"/>
        <v>376</v>
      </c>
      <c r="Y51" s="18">
        <f t="shared" si="17"/>
        <v>438</v>
      </c>
      <c r="Z51" s="14">
        <f t="shared" si="18"/>
        <v>338</v>
      </c>
      <c r="AA51" s="18">
        <f t="shared" si="19"/>
        <v>438</v>
      </c>
      <c r="AB51" s="4" t="s">
        <v>0</v>
      </c>
    </row>
    <row r="52" spans="1:28">
      <c r="A52" s="9" t="s">
        <v>32</v>
      </c>
      <c r="B52" s="24"/>
      <c r="C52" s="26"/>
      <c r="D52" s="25">
        <f t="shared" si="28"/>
        <v>376</v>
      </c>
      <c r="E52" s="29">
        <f t="shared" ref="E52" si="72">E51</f>
        <v>269</v>
      </c>
      <c r="F52" s="25">
        <f t="shared" si="30"/>
        <v>414</v>
      </c>
      <c r="G52" s="29">
        <f t="shared" si="52"/>
        <v>312</v>
      </c>
      <c r="H52" s="4" t="s">
        <v>0</v>
      </c>
      <c r="I52" s="16" t="str">
        <f t="shared" si="2"/>
        <v>03-03</v>
      </c>
      <c r="J52" s="14">
        <f t="shared" si="3"/>
        <v>376</v>
      </c>
      <c r="K52" s="15">
        <f t="shared" si="4"/>
        <v>269</v>
      </c>
      <c r="L52" s="17">
        <f t="shared" si="5"/>
        <v>414</v>
      </c>
      <c r="M52" s="18">
        <f t="shared" si="6"/>
        <v>269</v>
      </c>
      <c r="N52" s="14">
        <f t="shared" si="7"/>
        <v>414</v>
      </c>
      <c r="O52" s="15">
        <f t="shared" si="8"/>
        <v>312</v>
      </c>
      <c r="P52" s="17">
        <f t="shared" si="9"/>
        <v>376</v>
      </c>
      <c r="Q52" s="18">
        <f t="shared" si="10"/>
        <v>312</v>
      </c>
      <c r="R52" s="4" t="s">
        <v>0</v>
      </c>
      <c r="S52" s="16" t="str">
        <f t="shared" si="11"/>
        <v>03-03</v>
      </c>
      <c r="T52" s="14">
        <f t="shared" si="12"/>
        <v>376</v>
      </c>
      <c r="U52" s="18">
        <f t="shared" si="13"/>
        <v>481</v>
      </c>
      <c r="V52" s="14">
        <f t="shared" si="14"/>
        <v>414</v>
      </c>
      <c r="W52" s="18">
        <f t="shared" si="15"/>
        <v>481</v>
      </c>
      <c r="X52" s="14">
        <f t="shared" si="16"/>
        <v>414</v>
      </c>
      <c r="Y52" s="18">
        <f t="shared" si="17"/>
        <v>438</v>
      </c>
      <c r="Z52" s="14">
        <f t="shared" si="18"/>
        <v>376</v>
      </c>
      <c r="AA52" s="18">
        <f t="shared" si="19"/>
        <v>438</v>
      </c>
      <c r="AB52" s="4" t="s">
        <v>0</v>
      </c>
    </row>
    <row r="53" spans="1:28">
      <c r="A53" s="9" t="s">
        <v>31</v>
      </c>
      <c r="B53" s="24"/>
      <c r="C53" s="26"/>
      <c r="D53" s="25">
        <f t="shared" si="28"/>
        <v>414</v>
      </c>
      <c r="E53" s="29">
        <f t="shared" ref="E53" si="73">E52</f>
        <v>269</v>
      </c>
      <c r="F53" s="25">
        <f t="shared" si="30"/>
        <v>452</v>
      </c>
      <c r="G53" s="29">
        <f t="shared" si="52"/>
        <v>312</v>
      </c>
      <c r="H53" s="4" t="s">
        <v>0</v>
      </c>
      <c r="I53" s="16" t="str">
        <f t="shared" si="2"/>
        <v>03-02</v>
      </c>
      <c r="J53" s="14">
        <f t="shared" si="3"/>
        <v>414</v>
      </c>
      <c r="K53" s="15">
        <f t="shared" si="4"/>
        <v>269</v>
      </c>
      <c r="L53" s="17">
        <f t="shared" si="5"/>
        <v>452</v>
      </c>
      <c r="M53" s="18">
        <f t="shared" si="6"/>
        <v>269</v>
      </c>
      <c r="N53" s="14">
        <f t="shared" si="7"/>
        <v>452</v>
      </c>
      <c r="O53" s="15">
        <f t="shared" si="8"/>
        <v>312</v>
      </c>
      <c r="P53" s="17">
        <f t="shared" si="9"/>
        <v>414</v>
      </c>
      <c r="Q53" s="18">
        <f t="shared" si="10"/>
        <v>312</v>
      </c>
      <c r="R53" s="4" t="s">
        <v>0</v>
      </c>
      <c r="S53" s="16" t="str">
        <f t="shared" si="11"/>
        <v>03-02</v>
      </c>
      <c r="T53" s="14">
        <f t="shared" si="12"/>
        <v>414</v>
      </c>
      <c r="U53" s="18">
        <f t="shared" si="13"/>
        <v>481</v>
      </c>
      <c r="V53" s="14">
        <f t="shared" si="14"/>
        <v>452</v>
      </c>
      <c r="W53" s="18">
        <f t="shared" si="15"/>
        <v>481</v>
      </c>
      <c r="X53" s="14">
        <f t="shared" si="16"/>
        <v>452</v>
      </c>
      <c r="Y53" s="18">
        <f t="shared" si="17"/>
        <v>438</v>
      </c>
      <c r="Z53" s="14">
        <f t="shared" si="18"/>
        <v>414</v>
      </c>
      <c r="AA53" s="18">
        <f t="shared" si="19"/>
        <v>438</v>
      </c>
      <c r="AB53" s="4" t="s">
        <v>0</v>
      </c>
    </row>
    <row r="54" spans="1:28">
      <c r="A54" s="9" t="s">
        <v>30</v>
      </c>
      <c r="B54" s="24"/>
      <c r="C54" s="26"/>
      <c r="D54" s="25">
        <f t="shared" si="28"/>
        <v>452</v>
      </c>
      <c r="E54" s="29">
        <f t="shared" ref="E54" si="74">E53</f>
        <v>269</v>
      </c>
      <c r="F54" s="25">
        <f t="shared" si="30"/>
        <v>490</v>
      </c>
      <c r="G54" s="29">
        <f t="shared" si="52"/>
        <v>312</v>
      </c>
      <c r="H54" s="4" t="s">
        <v>0</v>
      </c>
      <c r="I54" s="16" t="str">
        <f t="shared" si="2"/>
        <v>03-01</v>
      </c>
      <c r="J54" s="14">
        <f t="shared" si="3"/>
        <v>452</v>
      </c>
      <c r="K54" s="15">
        <f t="shared" si="4"/>
        <v>269</v>
      </c>
      <c r="L54" s="17">
        <f t="shared" si="5"/>
        <v>490</v>
      </c>
      <c r="M54" s="18">
        <f t="shared" si="6"/>
        <v>269</v>
      </c>
      <c r="N54" s="14">
        <f t="shared" si="7"/>
        <v>490</v>
      </c>
      <c r="O54" s="15">
        <f t="shared" si="8"/>
        <v>312</v>
      </c>
      <c r="P54" s="17">
        <f t="shared" si="9"/>
        <v>452</v>
      </c>
      <c r="Q54" s="18">
        <f t="shared" si="10"/>
        <v>312</v>
      </c>
      <c r="R54" s="4" t="s">
        <v>0</v>
      </c>
      <c r="S54" s="16" t="str">
        <f t="shared" si="11"/>
        <v>03-01</v>
      </c>
      <c r="T54" s="14">
        <f t="shared" si="12"/>
        <v>452</v>
      </c>
      <c r="U54" s="18">
        <f t="shared" si="13"/>
        <v>481</v>
      </c>
      <c r="V54" s="14">
        <f t="shared" si="14"/>
        <v>490</v>
      </c>
      <c r="W54" s="18">
        <f t="shared" si="15"/>
        <v>481</v>
      </c>
      <c r="X54" s="14">
        <f t="shared" si="16"/>
        <v>490</v>
      </c>
      <c r="Y54" s="18">
        <f t="shared" si="17"/>
        <v>438</v>
      </c>
      <c r="Z54" s="14">
        <f t="shared" si="18"/>
        <v>452</v>
      </c>
      <c r="AA54" s="18">
        <f t="shared" si="19"/>
        <v>438</v>
      </c>
      <c r="AB54" s="4" t="s">
        <v>0</v>
      </c>
    </row>
    <row r="55" spans="1:28">
      <c r="A55" s="9" t="s">
        <v>148</v>
      </c>
      <c r="B55" s="24"/>
      <c r="C55" s="26">
        <v>4</v>
      </c>
      <c r="D55" s="25">
        <f t="shared" si="28"/>
        <v>22</v>
      </c>
      <c r="E55" s="28">
        <f t="shared" ref="E55" si="75">ROUND(E$11+60.8*$C55, 0)</f>
        <v>330</v>
      </c>
      <c r="F55" s="25">
        <f t="shared" si="30"/>
        <v>60</v>
      </c>
      <c r="G55" s="28">
        <f t="shared" ref="G55" si="76">ROUND(G$11+60.8*$C55, 0)</f>
        <v>373</v>
      </c>
      <c r="H55" s="4" t="s">
        <v>0</v>
      </c>
      <c r="I55" s="16" t="str">
        <f t="shared" si="2"/>
        <v>02-13</v>
      </c>
      <c r="J55" s="14">
        <f t="shared" si="3"/>
        <v>22</v>
      </c>
      <c r="K55" s="15">
        <f t="shared" si="4"/>
        <v>330</v>
      </c>
      <c r="L55" s="17">
        <f t="shared" si="5"/>
        <v>60</v>
      </c>
      <c r="M55" s="18">
        <f t="shared" si="6"/>
        <v>330</v>
      </c>
      <c r="N55" s="14">
        <f t="shared" si="7"/>
        <v>60</v>
      </c>
      <c r="O55" s="15">
        <f t="shared" si="8"/>
        <v>373</v>
      </c>
      <c r="P55" s="17">
        <f t="shared" si="9"/>
        <v>22</v>
      </c>
      <c r="Q55" s="18">
        <f t="shared" si="10"/>
        <v>373</v>
      </c>
      <c r="R55" s="4" t="s">
        <v>0</v>
      </c>
      <c r="S55" s="16" t="str">
        <f t="shared" si="11"/>
        <v>02-13</v>
      </c>
      <c r="T55" s="14">
        <f t="shared" si="12"/>
        <v>22</v>
      </c>
      <c r="U55" s="18">
        <f t="shared" si="13"/>
        <v>420</v>
      </c>
      <c r="V55" s="14">
        <f t="shared" si="14"/>
        <v>60</v>
      </c>
      <c r="W55" s="18">
        <f t="shared" si="15"/>
        <v>420</v>
      </c>
      <c r="X55" s="14">
        <f t="shared" si="16"/>
        <v>60</v>
      </c>
      <c r="Y55" s="18">
        <f t="shared" si="17"/>
        <v>377</v>
      </c>
      <c r="Z55" s="14">
        <f t="shared" si="18"/>
        <v>22</v>
      </c>
      <c r="AA55" s="18">
        <f t="shared" si="19"/>
        <v>377</v>
      </c>
      <c r="AB55" s="4" t="s">
        <v>0</v>
      </c>
    </row>
    <row r="56" spans="1:28">
      <c r="A56" s="9" t="s">
        <v>29</v>
      </c>
      <c r="B56" s="24"/>
      <c r="C56" s="26"/>
      <c r="D56" s="25">
        <f t="shared" si="28"/>
        <v>60</v>
      </c>
      <c r="E56" s="29">
        <f t="shared" ref="E56" si="77">E55</f>
        <v>330</v>
      </c>
      <c r="F56" s="25">
        <f t="shared" si="30"/>
        <v>98</v>
      </c>
      <c r="G56" s="29">
        <f t="shared" ref="G56" si="78">G55</f>
        <v>373</v>
      </c>
      <c r="H56" s="4" t="s">
        <v>0</v>
      </c>
      <c r="I56" s="16" t="str">
        <f t="shared" si="2"/>
        <v>02-12</v>
      </c>
      <c r="J56" s="14">
        <f t="shared" si="3"/>
        <v>60</v>
      </c>
      <c r="K56" s="15">
        <f t="shared" si="4"/>
        <v>330</v>
      </c>
      <c r="L56" s="17">
        <f t="shared" si="5"/>
        <v>98</v>
      </c>
      <c r="M56" s="18">
        <f t="shared" si="6"/>
        <v>330</v>
      </c>
      <c r="N56" s="14">
        <f t="shared" si="7"/>
        <v>98</v>
      </c>
      <c r="O56" s="15">
        <f t="shared" si="8"/>
        <v>373</v>
      </c>
      <c r="P56" s="17">
        <f t="shared" si="9"/>
        <v>60</v>
      </c>
      <c r="Q56" s="18">
        <f t="shared" si="10"/>
        <v>373</v>
      </c>
      <c r="R56" s="4" t="s">
        <v>0</v>
      </c>
      <c r="S56" s="16" t="str">
        <f t="shared" si="11"/>
        <v>02-12</v>
      </c>
      <c r="T56" s="14">
        <f t="shared" si="12"/>
        <v>60</v>
      </c>
      <c r="U56" s="18">
        <f t="shared" si="13"/>
        <v>420</v>
      </c>
      <c r="V56" s="14">
        <f t="shared" si="14"/>
        <v>98</v>
      </c>
      <c r="W56" s="18">
        <f t="shared" si="15"/>
        <v>420</v>
      </c>
      <c r="X56" s="14">
        <f t="shared" si="16"/>
        <v>98</v>
      </c>
      <c r="Y56" s="18">
        <f t="shared" si="17"/>
        <v>377</v>
      </c>
      <c r="Z56" s="14">
        <f t="shared" si="18"/>
        <v>60</v>
      </c>
      <c r="AA56" s="18">
        <f t="shared" si="19"/>
        <v>377</v>
      </c>
      <c r="AB56" s="4" t="s">
        <v>0</v>
      </c>
    </row>
    <row r="57" spans="1:28">
      <c r="A57" s="9" t="s">
        <v>28</v>
      </c>
      <c r="B57" s="24"/>
      <c r="C57" s="26"/>
      <c r="D57" s="25">
        <f t="shared" si="28"/>
        <v>98</v>
      </c>
      <c r="E57" s="29">
        <f t="shared" ref="E57" si="79">E56</f>
        <v>330</v>
      </c>
      <c r="F57" s="25">
        <f t="shared" si="30"/>
        <v>136</v>
      </c>
      <c r="G57" s="29">
        <f t="shared" ref="G57" si="80">G56</f>
        <v>373</v>
      </c>
      <c r="H57" s="4" t="s">
        <v>0</v>
      </c>
      <c r="I57" s="16" t="str">
        <f t="shared" si="2"/>
        <v>02-11</v>
      </c>
      <c r="J57" s="14">
        <f t="shared" si="3"/>
        <v>98</v>
      </c>
      <c r="K57" s="15">
        <f t="shared" si="4"/>
        <v>330</v>
      </c>
      <c r="L57" s="17">
        <f t="shared" si="5"/>
        <v>136</v>
      </c>
      <c r="M57" s="18">
        <f t="shared" si="6"/>
        <v>330</v>
      </c>
      <c r="N57" s="14">
        <f t="shared" si="7"/>
        <v>136</v>
      </c>
      <c r="O57" s="15">
        <f t="shared" si="8"/>
        <v>373</v>
      </c>
      <c r="P57" s="17">
        <f t="shared" si="9"/>
        <v>98</v>
      </c>
      <c r="Q57" s="18">
        <f t="shared" si="10"/>
        <v>373</v>
      </c>
      <c r="R57" s="4" t="s">
        <v>0</v>
      </c>
      <c r="S57" s="16" t="str">
        <f t="shared" si="11"/>
        <v>02-11</v>
      </c>
      <c r="T57" s="14">
        <f t="shared" si="12"/>
        <v>98</v>
      </c>
      <c r="U57" s="18">
        <f t="shared" si="13"/>
        <v>420</v>
      </c>
      <c r="V57" s="14">
        <f t="shared" si="14"/>
        <v>136</v>
      </c>
      <c r="W57" s="18">
        <f t="shared" si="15"/>
        <v>420</v>
      </c>
      <c r="X57" s="14">
        <f t="shared" si="16"/>
        <v>136</v>
      </c>
      <c r="Y57" s="18">
        <f t="shared" si="17"/>
        <v>377</v>
      </c>
      <c r="Z57" s="14">
        <f t="shared" si="18"/>
        <v>98</v>
      </c>
      <c r="AA57" s="18">
        <f t="shared" si="19"/>
        <v>377</v>
      </c>
      <c r="AB57" s="4" t="s">
        <v>0</v>
      </c>
    </row>
    <row r="58" spans="1:28">
      <c r="A58" s="9" t="s">
        <v>27</v>
      </c>
      <c r="B58" s="24"/>
      <c r="C58" s="26"/>
      <c r="D58" s="25">
        <f t="shared" si="28"/>
        <v>136</v>
      </c>
      <c r="E58" s="29">
        <f t="shared" ref="E58" si="81">E57</f>
        <v>330</v>
      </c>
      <c r="F58" s="25">
        <f t="shared" si="30"/>
        <v>174</v>
      </c>
      <c r="G58" s="29">
        <f t="shared" ref="G58" si="82">G57</f>
        <v>373</v>
      </c>
      <c r="H58" s="4" t="s">
        <v>0</v>
      </c>
      <c r="I58" s="16" t="str">
        <f t="shared" si="2"/>
        <v>02-10</v>
      </c>
      <c r="J58" s="14">
        <f t="shared" si="3"/>
        <v>136</v>
      </c>
      <c r="K58" s="15">
        <f t="shared" si="4"/>
        <v>330</v>
      </c>
      <c r="L58" s="17">
        <f t="shared" si="5"/>
        <v>174</v>
      </c>
      <c r="M58" s="18">
        <f t="shared" si="6"/>
        <v>330</v>
      </c>
      <c r="N58" s="14">
        <f t="shared" si="7"/>
        <v>174</v>
      </c>
      <c r="O58" s="15">
        <f t="shared" si="8"/>
        <v>373</v>
      </c>
      <c r="P58" s="17">
        <f t="shared" si="9"/>
        <v>136</v>
      </c>
      <c r="Q58" s="18">
        <f t="shared" si="10"/>
        <v>373</v>
      </c>
      <c r="R58" s="4" t="s">
        <v>0</v>
      </c>
      <c r="S58" s="16" t="str">
        <f t="shared" si="11"/>
        <v>02-10</v>
      </c>
      <c r="T58" s="14">
        <f t="shared" si="12"/>
        <v>136</v>
      </c>
      <c r="U58" s="18">
        <f t="shared" si="13"/>
        <v>420</v>
      </c>
      <c r="V58" s="14">
        <f t="shared" si="14"/>
        <v>174</v>
      </c>
      <c r="W58" s="18">
        <f t="shared" si="15"/>
        <v>420</v>
      </c>
      <c r="X58" s="14">
        <f t="shared" si="16"/>
        <v>174</v>
      </c>
      <c r="Y58" s="18">
        <f t="shared" si="17"/>
        <v>377</v>
      </c>
      <c r="Z58" s="14">
        <f t="shared" si="18"/>
        <v>136</v>
      </c>
      <c r="AA58" s="18">
        <f t="shared" si="19"/>
        <v>377</v>
      </c>
      <c r="AB58" s="4" t="s">
        <v>0</v>
      </c>
    </row>
    <row r="59" spans="1:28">
      <c r="A59" s="9" t="s">
        <v>26</v>
      </c>
      <c r="B59" s="24"/>
      <c r="C59" s="26"/>
      <c r="D59" s="25">
        <f t="shared" si="28"/>
        <v>174</v>
      </c>
      <c r="E59" s="29">
        <f t="shared" ref="E59" si="83">E58</f>
        <v>330</v>
      </c>
      <c r="F59" s="25">
        <f t="shared" si="30"/>
        <v>212</v>
      </c>
      <c r="G59" s="29">
        <f t="shared" si="52"/>
        <v>373</v>
      </c>
      <c r="H59" s="4" t="s">
        <v>0</v>
      </c>
      <c r="I59" s="16" t="str">
        <f t="shared" si="2"/>
        <v>02-08</v>
      </c>
      <c r="J59" s="14">
        <f t="shared" si="3"/>
        <v>174</v>
      </c>
      <c r="K59" s="15">
        <f t="shared" si="4"/>
        <v>330</v>
      </c>
      <c r="L59" s="17">
        <f t="shared" si="5"/>
        <v>212</v>
      </c>
      <c r="M59" s="18">
        <f t="shared" si="6"/>
        <v>330</v>
      </c>
      <c r="N59" s="14">
        <f t="shared" si="7"/>
        <v>212</v>
      </c>
      <c r="O59" s="15">
        <f t="shared" si="8"/>
        <v>373</v>
      </c>
      <c r="P59" s="17">
        <f t="shared" si="9"/>
        <v>174</v>
      </c>
      <c r="Q59" s="18">
        <f t="shared" si="10"/>
        <v>373</v>
      </c>
      <c r="R59" s="4" t="s">
        <v>0</v>
      </c>
      <c r="S59" s="16" t="str">
        <f t="shared" si="11"/>
        <v>02-08</v>
      </c>
      <c r="T59" s="14">
        <f t="shared" si="12"/>
        <v>174</v>
      </c>
      <c r="U59" s="18">
        <f t="shared" si="13"/>
        <v>420</v>
      </c>
      <c r="V59" s="14">
        <f t="shared" si="14"/>
        <v>212</v>
      </c>
      <c r="W59" s="18">
        <f t="shared" si="15"/>
        <v>420</v>
      </c>
      <c r="X59" s="14">
        <f t="shared" si="16"/>
        <v>212</v>
      </c>
      <c r="Y59" s="18">
        <f t="shared" si="17"/>
        <v>377</v>
      </c>
      <c r="Z59" s="14">
        <f t="shared" si="18"/>
        <v>174</v>
      </c>
      <c r="AA59" s="18">
        <f t="shared" si="19"/>
        <v>377</v>
      </c>
      <c r="AB59" s="4" t="s">
        <v>0</v>
      </c>
    </row>
    <row r="60" spans="1:28">
      <c r="A60" s="9" t="s">
        <v>25</v>
      </c>
      <c r="B60" s="24"/>
      <c r="C60" s="26"/>
      <c r="D60" s="25">
        <f t="shared" si="28"/>
        <v>262</v>
      </c>
      <c r="E60" s="29">
        <f t="shared" ref="E60" si="84">E59</f>
        <v>330</v>
      </c>
      <c r="F60" s="25">
        <f t="shared" si="30"/>
        <v>300</v>
      </c>
      <c r="G60" s="29">
        <f t="shared" si="52"/>
        <v>373</v>
      </c>
      <c r="H60" s="4" t="s">
        <v>0</v>
      </c>
      <c r="I60" s="16" t="str">
        <f t="shared" si="2"/>
        <v>02-07</v>
      </c>
      <c r="J60" s="14">
        <f t="shared" si="3"/>
        <v>262</v>
      </c>
      <c r="K60" s="15">
        <f t="shared" si="4"/>
        <v>330</v>
      </c>
      <c r="L60" s="17">
        <f t="shared" si="5"/>
        <v>300</v>
      </c>
      <c r="M60" s="18">
        <f t="shared" si="6"/>
        <v>330</v>
      </c>
      <c r="N60" s="14">
        <f t="shared" si="7"/>
        <v>300</v>
      </c>
      <c r="O60" s="15">
        <f t="shared" si="8"/>
        <v>373</v>
      </c>
      <c r="P60" s="17">
        <f t="shared" si="9"/>
        <v>262</v>
      </c>
      <c r="Q60" s="18">
        <f t="shared" si="10"/>
        <v>373</v>
      </c>
      <c r="R60" s="4" t="s">
        <v>0</v>
      </c>
      <c r="S60" s="16" t="str">
        <f t="shared" si="11"/>
        <v>02-07</v>
      </c>
      <c r="T60" s="14">
        <f t="shared" si="12"/>
        <v>262</v>
      </c>
      <c r="U60" s="18">
        <f t="shared" si="13"/>
        <v>420</v>
      </c>
      <c r="V60" s="14">
        <f t="shared" si="14"/>
        <v>300</v>
      </c>
      <c r="W60" s="18">
        <f t="shared" si="15"/>
        <v>420</v>
      </c>
      <c r="X60" s="14">
        <f t="shared" si="16"/>
        <v>300</v>
      </c>
      <c r="Y60" s="18">
        <f t="shared" si="17"/>
        <v>377</v>
      </c>
      <c r="Z60" s="14">
        <f t="shared" si="18"/>
        <v>262</v>
      </c>
      <c r="AA60" s="18">
        <f t="shared" si="19"/>
        <v>377</v>
      </c>
      <c r="AB60" s="4" t="s">
        <v>0</v>
      </c>
    </row>
    <row r="61" spans="1:28">
      <c r="A61" s="9" t="s">
        <v>24</v>
      </c>
      <c r="B61" s="24"/>
      <c r="C61" s="26"/>
      <c r="D61" s="25">
        <f t="shared" si="28"/>
        <v>300</v>
      </c>
      <c r="E61" s="29">
        <f t="shared" ref="E61" si="85">E60</f>
        <v>330</v>
      </c>
      <c r="F61" s="25">
        <f t="shared" si="30"/>
        <v>338</v>
      </c>
      <c r="G61" s="29">
        <f t="shared" si="52"/>
        <v>373</v>
      </c>
      <c r="H61" s="4" t="s">
        <v>0</v>
      </c>
      <c r="I61" s="16" t="str">
        <f t="shared" si="2"/>
        <v>02-06</v>
      </c>
      <c r="J61" s="14">
        <f t="shared" si="3"/>
        <v>300</v>
      </c>
      <c r="K61" s="15">
        <f t="shared" si="4"/>
        <v>330</v>
      </c>
      <c r="L61" s="17">
        <f t="shared" si="5"/>
        <v>338</v>
      </c>
      <c r="M61" s="18">
        <f t="shared" si="6"/>
        <v>330</v>
      </c>
      <c r="N61" s="14">
        <f t="shared" si="7"/>
        <v>338</v>
      </c>
      <c r="O61" s="15">
        <f t="shared" si="8"/>
        <v>373</v>
      </c>
      <c r="P61" s="17">
        <f t="shared" si="9"/>
        <v>300</v>
      </c>
      <c r="Q61" s="18">
        <f t="shared" si="10"/>
        <v>373</v>
      </c>
      <c r="R61" s="4" t="s">
        <v>0</v>
      </c>
      <c r="S61" s="16" t="str">
        <f t="shared" si="11"/>
        <v>02-06</v>
      </c>
      <c r="T61" s="14">
        <f t="shared" si="12"/>
        <v>300</v>
      </c>
      <c r="U61" s="18">
        <f t="shared" si="13"/>
        <v>420</v>
      </c>
      <c r="V61" s="14">
        <f t="shared" si="14"/>
        <v>338</v>
      </c>
      <c r="W61" s="18">
        <f t="shared" si="15"/>
        <v>420</v>
      </c>
      <c r="X61" s="14">
        <f t="shared" si="16"/>
        <v>338</v>
      </c>
      <c r="Y61" s="18">
        <f t="shared" si="17"/>
        <v>377</v>
      </c>
      <c r="Z61" s="14">
        <f t="shared" si="18"/>
        <v>300</v>
      </c>
      <c r="AA61" s="18">
        <f t="shared" si="19"/>
        <v>377</v>
      </c>
      <c r="AB61" s="4" t="s">
        <v>0</v>
      </c>
    </row>
    <row r="62" spans="1:28">
      <c r="A62" s="9" t="s">
        <v>23</v>
      </c>
      <c r="B62" s="24"/>
      <c r="C62" s="26"/>
      <c r="D62" s="25">
        <f t="shared" si="28"/>
        <v>338</v>
      </c>
      <c r="E62" s="29">
        <f t="shared" ref="E62" si="86">E61</f>
        <v>330</v>
      </c>
      <c r="F62" s="25">
        <f t="shared" si="30"/>
        <v>376</v>
      </c>
      <c r="G62" s="29">
        <f t="shared" si="52"/>
        <v>373</v>
      </c>
      <c r="H62" s="4" t="s">
        <v>0</v>
      </c>
      <c r="I62" s="16" t="str">
        <f t="shared" si="2"/>
        <v>02-05</v>
      </c>
      <c r="J62" s="14">
        <f t="shared" si="3"/>
        <v>338</v>
      </c>
      <c r="K62" s="15">
        <f t="shared" si="4"/>
        <v>330</v>
      </c>
      <c r="L62" s="17">
        <f t="shared" si="5"/>
        <v>376</v>
      </c>
      <c r="M62" s="18">
        <f t="shared" si="6"/>
        <v>330</v>
      </c>
      <c r="N62" s="14">
        <f t="shared" si="7"/>
        <v>376</v>
      </c>
      <c r="O62" s="15">
        <f t="shared" si="8"/>
        <v>373</v>
      </c>
      <c r="P62" s="17">
        <f t="shared" si="9"/>
        <v>338</v>
      </c>
      <c r="Q62" s="18">
        <f t="shared" si="10"/>
        <v>373</v>
      </c>
      <c r="R62" s="4" t="s">
        <v>0</v>
      </c>
      <c r="S62" s="16" t="str">
        <f t="shared" si="11"/>
        <v>02-05</v>
      </c>
      <c r="T62" s="14">
        <f t="shared" si="12"/>
        <v>338</v>
      </c>
      <c r="U62" s="18">
        <f t="shared" si="13"/>
        <v>420</v>
      </c>
      <c r="V62" s="14">
        <f t="shared" si="14"/>
        <v>376</v>
      </c>
      <c r="W62" s="18">
        <f t="shared" si="15"/>
        <v>420</v>
      </c>
      <c r="X62" s="14">
        <f t="shared" si="16"/>
        <v>376</v>
      </c>
      <c r="Y62" s="18">
        <f t="shared" si="17"/>
        <v>377</v>
      </c>
      <c r="Z62" s="14">
        <f t="shared" si="18"/>
        <v>338</v>
      </c>
      <c r="AA62" s="18">
        <f t="shared" si="19"/>
        <v>377</v>
      </c>
      <c r="AB62" s="4" t="s">
        <v>0</v>
      </c>
    </row>
    <row r="63" spans="1:28">
      <c r="A63" s="9" t="s">
        <v>22</v>
      </c>
      <c r="B63" s="24"/>
      <c r="C63" s="26"/>
      <c r="D63" s="25">
        <f t="shared" si="28"/>
        <v>376</v>
      </c>
      <c r="E63" s="29">
        <f t="shared" ref="E63" si="87">E62</f>
        <v>330</v>
      </c>
      <c r="F63" s="25">
        <f t="shared" si="30"/>
        <v>414</v>
      </c>
      <c r="G63" s="29">
        <f t="shared" si="52"/>
        <v>373</v>
      </c>
      <c r="H63" s="4" t="s">
        <v>0</v>
      </c>
      <c r="I63" s="16" t="str">
        <f t="shared" si="2"/>
        <v>02-03</v>
      </c>
      <c r="J63" s="14">
        <f t="shared" si="3"/>
        <v>376</v>
      </c>
      <c r="K63" s="15">
        <f t="shared" si="4"/>
        <v>330</v>
      </c>
      <c r="L63" s="17">
        <f t="shared" si="5"/>
        <v>414</v>
      </c>
      <c r="M63" s="18">
        <f t="shared" si="6"/>
        <v>330</v>
      </c>
      <c r="N63" s="14">
        <f t="shared" si="7"/>
        <v>414</v>
      </c>
      <c r="O63" s="15">
        <f t="shared" si="8"/>
        <v>373</v>
      </c>
      <c r="P63" s="17">
        <f t="shared" si="9"/>
        <v>376</v>
      </c>
      <c r="Q63" s="18">
        <f t="shared" si="10"/>
        <v>373</v>
      </c>
      <c r="R63" s="4" t="s">
        <v>0</v>
      </c>
      <c r="S63" s="16" t="str">
        <f t="shared" si="11"/>
        <v>02-03</v>
      </c>
      <c r="T63" s="14">
        <f t="shared" si="12"/>
        <v>376</v>
      </c>
      <c r="U63" s="18">
        <f t="shared" si="13"/>
        <v>420</v>
      </c>
      <c r="V63" s="14">
        <f t="shared" si="14"/>
        <v>414</v>
      </c>
      <c r="W63" s="18">
        <f t="shared" si="15"/>
        <v>420</v>
      </c>
      <c r="X63" s="14">
        <f t="shared" si="16"/>
        <v>414</v>
      </c>
      <c r="Y63" s="18">
        <f t="shared" si="17"/>
        <v>377</v>
      </c>
      <c r="Z63" s="14">
        <f t="shared" si="18"/>
        <v>376</v>
      </c>
      <c r="AA63" s="18">
        <f t="shared" si="19"/>
        <v>377</v>
      </c>
      <c r="AB63" s="4" t="s">
        <v>0</v>
      </c>
    </row>
    <row r="64" spans="1:28">
      <c r="A64" s="9" t="s">
        <v>21</v>
      </c>
      <c r="B64" s="24"/>
      <c r="C64" s="26"/>
      <c r="D64" s="25">
        <f t="shared" si="28"/>
        <v>414</v>
      </c>
      <c r="E64" s="29">
        <f t="shared" ref="E64" si="88">E63</f>
        <v>330</v>
      </c>
      <c r="F64" s="25">
        <f t="shared" si="30"/>
        <v>452</v>
      </c>
      <c r="G64" s="29">
        <f t="shared" si="52"/>
        <v>373</v>
      </c>
      <c r="H64" s="4" t="s">
        <v>0</v>
      </c>
      <c r="I64" s="16" t="str">
        <f t="shared" si="2"/>
        <v>02-02</v>
      </c>
      <c r="J64" s="14">
        <f t="shared" si="3"/>
        <v>414</v>
      </c>
      <c r="K64" s="15">
        <f t="shared" si="4"/>
        <v>330</v>
      </c>
      <c r="L64" s="17">
        <f t="shared" si="5"/>
        <v>452</v>
      </c>
      <c r="M64" s="18">
        <f t="shared" si="6"/>
        <v>330</v>
      </c>
      <c r="N64" s="14">
        <f t="shared" si="7"/>
        <v>452</v>
      </c>
      <c r="O64" s="15">
        <f t="shared" si="8"/>
        <v>373</v>
      </c>
      <c r="P64" s="17">
        <f t="shared" si="9"/>
        <v>414</v>
      </c>
      <c r="Q64" s="18">
        <f t="shared" si="10"/>
        <v>373</v>
      </c>
      <c r="R64" s="4" t="s">
        <v>0</v>
      </c>
      <c r="S64" s="16" t="str">
        <f t="shared" si="11"/>
        <v>02-02</v>
      </c>
      <c r="T64" s="14">
        <f t="shared" si="12"/>
        <v>414</v>
      </c>
      <c r="U64" s="18">
        <f t="shared" si="13"/>
        <v>420</v>
      </c>
      <c r="V64" s="14">
        <f t="shared" si="14"/>
        <v>452</v>
      </c>
      <c r="W64" s="18">
        <f t="shared" si="15"/>
        <v>420</v>
      </c>
      <c r="X64" s="14">
        <f t="shared" si="16"/>
        <v>452</v>
      </c>
      <c r="Y64" s="18">
        <f t="shared" si="17"/>
        <v>377</v>
      </c>
      <c r="Z64" s="14">
        <f t="shared" si="18"/>
        <v>414</v>
      </c>
      <c r="AA64" s="18">
        <f t="shared" si="19"/>
        <v>377</v>
      </c>
      <c r="AB64" s="4" t="s">
        <v>0</v>
      </c>
    </row>
    <row r="65" spans="1:28">
      <c r="A65" s="9" t="s">
        <v>20</v>
      </c>
      <c r="B65" s="24"/>
      <c r="C65" s="26"/>
      <c r="D65" s="25">
        <f t="shared" si="28"/>
        <v>452</v>
      </c>
      <c r="E65" s="29">
        <f t="shared" ref="E65" si="89">E64</f>
        <v>330</v>
      </c>
      <c r="F65" s="25">
        <f t="shared" si="30"/>
        <v>490</v>
      </c>
      <c r="G65" s="29">
        <f t="shared" si="52"/>
        <v>373</v>
      </c>
      <c r="H65" s="4" t="s">
        <v>0</v>
      </c>
      <c r="I65" s="16" t="str">
        <f t="shared" si="2"/>
        <v>02-01</v>
      </c>
      <c r="J65" s="14">
        <f t="shared" si="3"/>
        <v>452</v>
      </c>
      <c r="K65" s="15">
        <f t="shared" si="4"/>
        <v>330</v>
      </c>
      <c r="L65" s="17">
        <f t="shared" si="5"/>
        <v>490</v>
      </c>
      <c r="M65" s="18">
        <f t="shared" si="6"/>
        <v>330</v>
      </c>
      <c r="N65" s="14">
        <f t="shared" si="7"/>
        <v>490</v>
      </c>
      <c r="O65" s="15">
        <f t="shared" si="8"/>
        <v>373</v>
      </c>
      <c r="P65" s="17">
        <f t="shared" si="9"/>
        <v>452</v>
      </c>
      <c r="Q65" s="18">
        <f t="shared" si="10"/>
        <v>373</v>
      </c>
      <c r="R65" s="4" t="s">
        <v>0</v>
      </c>
      <c r="S65" s="16" t="str">
        <f t="shared" si="11"/>
        <v>02-01</v>
      </c>
      <c r="T65" s="14">
        <f t="shared" si="12"/>
        <v>452</v>
      </c>
      <c r="U65" s="18">
        <f t="shared" si="13"/>
        <v>420</v>
      </c>
      <c r="V65" s="14">
        <f t="shared" si="14"/>
        <v>490</v>
      </c>
      <c r="W65" s="18">
        <f t="shared" si="15"/>
        <v>420</v>
      </c>
      <c r="X65" s="14">
        <f t="shared" si="16"/>
        <v>490</v>
      </c>
      <c r="Y65" s="18">
        <f t="shared" si="17"/>
        <v>377</v>
      </c>
      <c r="Z65" s="14">
        <f t="shared" si="18"/>
        <v>452</v>
      </c>
      <c r="AA65" s="18">
        <f t="shared" si="19"/>
        <v>377</v>
      </c>
      <c r="AB65" s="4" t="s">
        <v>0</v>
      </c>
    </row>
    <row r="66" spans="1:28">
      <c r="A66" s="9" t="s">
        <v>143</v>
      </c>
      <c r="B66" s="24"/>
      <c r="C66" s="26">
        <v>5</v>
      </c>
      <c r="D66" s="25">
        <f t="shared" si="28"/>
        <v>22</v>
      </c>
      <c r="E66" s="28">
        <f t="shared" ref="E66" si="90">ROUND(E$11+60.8*$C66, 0)</f>
        <v>391</v>
      </c>
      <c r="F66" s="25">
        <f t="shared" si="30"/>
        <v>60</v>
      </c>
      <c r="G66" s="28">
        <f t="shared" ref="G66" si="91">ROUND(G$11+60.8*$C66, 0)</f>
        <v>434</v>
      </c>
      <c r="H66" s="4" t="s">
        <v>0</v>
      </c>
      <c r="I66" s="16" t="str">
        <f t="shared" si="2"/>
        <v>01-13</v>
      </c>
      <c r="J66" s="14">
        <f t="shared" si="3"/>
        <v>22</v>
      </c>
      <c r="K66" s="15">
        <f t="shared" si="4"/>
        <v>391</v>
      </c>
      <c r="L66" s="17">
        <f t="shared" si="5"/>
        <v>60</v>
      </c>
      <c r="M66" s="18">
        <f t="shared" si="6"/>
        <v>391</v>
      </c>
      <c r="N66" s="14">
        <f t="shared" si="7"/>
        <v>60</v>
      </c>
      <c r="O66" s="15">
        <f t="shared" si="8"/>
        <v>434</v>
      </c>
      <c r="P66" s="17">
        <f t="shared" si="9"/>
        <v>22</v>
      </c>
      <c r="Q66" s="18">
        <f t="shared" si="10"/>
        <v>434</v>
      </c>
      <c r="R66" s="4" t="s">
        <v>0</v>
      </c>
      <c r="S66" s="16" t="str">
        <f t="shared" si="11"/>
        <v>01-13</v>
      </c>
      <c r="T66" s="14">
        <f t="shared" si="12"/>
        <v>22</v>
      </c>
      <c r="U66" s="18">
        <f t="shared" si="13"/>
        <v>359</v>
      </c>
      <c r="V66" s="14">
        <f t="shared" si="14"/>
        <v>60</v>
      </c>
      <c r="W66" s="18">
        <f t="shared" si="15"/>
        <v>359</v>
      </c>
      <c r="X66" s="14">
        <f t="shared" si="16"/>
        <v>60</v>
      </c>
      <c r="Y66" s="18">
        <f t="shared" si="17"/>
        <v>316</v>
      </c>
      <c r="Z66" s="14">
        <f t="shared" si="18"/>
        <v>22</v>
      </c>
      <c r="AA66" s="18">
        <f t="shared" si="19"/>
        <v>316</v>
      </c>
      <c r="AB66" s="4" t="s">
        <v>0</v>
      </c>
    </row>
    <row r="67" spans="1:28">
      <c r="A67" s="9" t="s">
        <v>11</v>
      </c>
      <c r="B67" s="24"/>
      <c r="C67" s="26"/>
      <c r="D67" s="25">
        <f t="shared" si="28"/>
        <v>60</v>
      </c>
      <c r="E67" s="29">
        <f t="shared" ref="E67" si="92">E66</f>
        <v>391</v>
      </c>
      <c r="F67" s="25">
        <f t="shared" si="30"/>
        <v>98</v>
      </c>
      <c r="G67" s="29">
        <f t="shared" ref="G67" si="93">G66</f>
        <v>434</v>
      </c>
      <c r="H67" s="4" t="s">
        <v>0</v>
      </c>
      <c r="I67" s="16" t="str">
        <f t="shared" si="2"/>
        <v>01-12</v>
      </c>
      <c r="J67" s="14">
        <f t="shared" si="3"/>
        <v>60</v>
      </c>
      <c r="K67" s="15">
        <f t="shared" si="4"/>
        <v>391</v>
      </c>
      <c r="L67" s="17">
        <f t="shared" si="5"/>
        <v>98</v>
      </c>
      <c r="M67" s="18">
        <f t="shared" si="6"/>
        <v>391</v>
      </c>
      <c r="N67" s="14">
        <f t="shared" si="7"/>
        <v>98</v>
      </c>
      <c r="O67" s="15">
        <f t="shared" si="8"/>
        <v>434</v>
      </c>
      <c r="P67" s="17">
        <f t="shared" si="9"/>
        <v>60</v>
      </c>
      <c r="Q67" s="18">
        <f t="shared" si="10"/>
        <v>434</v>
      </c>
      <c r="R67" s="4" t="s">
        <v>0</v>
      </c>
      <c r="S67" s="16" t="str">
        <f t="shared" si="11"/>
        <v>01-12</v>
      </c>
      <c r="T67" s="14">
        <f t="shared" si="12"/>
        <v>60</v>
      </c>
      <c r="U67" s="18">
        <f t="shared" si="13"/>
        <v>359</v>
      </c>
      <c r="V67" s="14">
        <f t="shared" si="14"/>
        <v>98</v>
      </c>
      <c r="W67" s="18">
        <f t="shared" si="15"/>
        <v>359</v>
      </c>
      <c r="X67" s="14">
        <f t="shared" si="16"/>
        <v>98</v>
      </c>
      <c r="Y67" s="18">
        <f t="shared" si="17"/>
        <v>316</v>
      </c>
      <c r="Z67" s="14">
        <f t="shared" si="18"/>
        <v>60</v>
      </c>
      <c r="AA67" s="18">
        <f t="shared" si="19"/>
        <v>316</v>
      </c>
      <c r="AB67" s="4" t="s">
        <v>0</v>
      </c>
    </row>
    <row r="68" spans="1:28">
      <c r="A68" s="9" t="s">
        <v>10</v>
      </c>
      <c r="B68" s="24"/>
      <c r="C68" s="26"/>
      <c r="D68" s="25">
        <f t="shared" si="28"/>
        <v>98</v>
      </c>
      <c r="E68" s="29">
        <f t="shared" ref="E68" si="94">E67</f>
        <v>391</v>
      </c>
      <c r="F68" s="25">
        <f t="shared" si="30"/>
        <v>136</v>
      </c>
      <c r="G68" s="29">
        <f t="shared" ref="G68" si="95">G67</f>
        <v>434</v>
      </c>
      <c r="H68" s="4" t="s">
        <v>0</v>
      </c>
      <c r="I68" s="16" t="str">
        <f t="shared" si="2"/>
        <v>01-11</v>
      </c>
      <c r="J68" s="14">
        <f t="shared" si="3"/>
        <v>98</v>
      </c>
      <c r="K68" s="15">
        <f t="shared" si="4"/>
        <v>391</v>
      </c>
      <c r="L68" s="17">
        <f t="shared" si="5"/>
        <v>136</v>
      </c>
      <c r="M68" s="18">
        <f t="shared" si="6"/>
        <v>391</v>
      </c>
      <c r="N68" s="14">
        <f t="shared" si="7"/>
        <v>136</v>
      </c>
      <c r="O68" s="15">
        <f t="shared" si="8"/>
        <v>434</v>
      </c>
      <c r="P68" s="17">
        <f t="shared" si="9"/>
        <v>98</v>
      </c>
      <c r="Q68" s="18">
        <f t="shared" si="10"/>
        <v>434</v>
      </c>
      <c r="R68" s="4" t="s">
        <v>0</v>
      </c>
      <c r="S68" s="16" t="str">
        <f t="shared" si="11"/>
        <v>01-11</v>
      </c>
      <c r="T68" s="14">
        <f t="shared" si="12"/>
        <v>98</v>
      </c>
      <c r="U68" s="18">
        <f t="shared" si="13"/>
        <v>359</v>
      </c>
      <c r="V68" s="14">
        <f t="shared" si="14"/>
        <v>136</v>
      </c>
      <c r="W68" s="18">
        <f t="shared" si="15"/>
        <v>359</v>
      </c>
      <c r="X68" s="14">
        <f t="shared" si="16"/>
        <v>136</v>
      </c>
      <c r="Y68" s="18">
        <f t="shared" si="17"/>
        <v>316</v>
      </c>
      <c r="Z68" s="14">
        <f t="shared" si="18"/>
        <v>98</v>
      </c>
      <c r="AA68" s="18">
        <f t="shared" si="19"/>
        <v>316</v>
      </c>
      <c r="AB68" s="4" t="s">
        <v>0</v>
      </c>
    </row>
    <row r="69" spans="1:28">
      <c r="A69" s="9" t="s">
        <v>9</v>
      </c>
      <c r="B69" s="24"/>
      <c r="C69" s="26"/>
      <c r="D69" s="25">
        <f t="shared" si="28"/>
        <v>136</v>
      </c>
      <c r="E69" s="29">
        <f t="shared" ref="E69" si="96">E68</f>
        <v>391</v>
      </c>
      <c r="F69" s="25">
        <f t="shared" si="30"/>
        <v>174</v>
      </c>
      <c r="G69" s="29">
        <f t="shared" ref="G69" si="97">G68</f>
        <v>434</v>
      </c>
      <c r="H69" s="4" t="s">
        <v>0</v>
      </c>
      <c r="I69" s="16" t="str">
        <f t="shared" si="2"/>
        <v>01-10</v>
      </c>
      <c r="J69" s="14">
        <f t="shared" si="3"/>
        <v>136</v>
      </c>
      <c r="K69" s="15">
        <f t="shared" si="4"/>
        <v>391</v>
      </c>
      <c r="L69" s="17">
        <f t="shared" si="5"/>
        <v>174</v>
      </c>
      <c r="M69" s="18">
        <f t="shared" si="6"/>
        <v>391</v>
      </c>
      <c r="N69" s="14">
        <f t="shared" si="7"/>
        <v>174</v>
      </c>
      <c r="O69" s="15">
        <f t="shared" si="8"/>
        <v>434</v>
      </c>
      <c r="P69" s="17">
        <f t="shared" si="9"/>
        <v>136</v>
      </c>
      <c r="Q69" s="18">
        <f t="shared" si="10"/>
        <v>434</v>
      </c>
      <c r="R69" s="4" t="s">
        <v>0</v>
      </c>
      <c r="S69" s="16" t="str">
        <f t="shared" si="11"/>
        <v>01-10</v>
      </c>
      <c r="T69" s="14">
        <f t="shared" si="12"/>
        <v>136</v>
      </c>
      <c r="U69" s="18">
        <f t="shared" si="13"/>
        <v>359</v>
      </c>
      <c r="V69" s="14">
        <f t="shared" si="14"/>
        <v>174</v>
      </c>
      <c r="W69" s="18">
        <f t="shared" si="15"/>
        <v>359</v>
      </c>
      <c r="X69" s="14">
        <f t="shared" si="16"/>
        <v>174</v>
      </c>
      <c r="Y69" s="18">
        <f t="shared" si="17"/>
        <v>316</v>
      </c>
      <c r="Z69" s="14">
        <f t="shared" si="18"/>
        <v>136</v>
      </c>
      <c r="AA69" s="18">
        <f t="shared" si="19"/>
        <v>316</v>
      </c>
      <c r="AB69" s="4" t="s">
        <v>0</v>
      </c>
    </row>
    <row r="70" spans="1:28">
      <c r="A70" s="9" t="s">
        <v>8</v>
      </c>
      <c r="B70" s="24"/>
      <c r="C70" s="26"/>
      <c r="D70" s="25">
        <f t="shared" si="28"/>
        <v>174</v>
      </c>
      <c r="E70" s="29">
        <f t="shared" ref="E70" si="98">E69</f>
        <v>391</v>
      </c>
      <c r="F70" s="25">
        <f t="shared" si="30"/>
        <v>212</v>
      </c>
      <c r="G70" s="29">
        <f t="shared" si="52"/>
        <v>434</v>
      </c>
      <c r="H70" s="4" t="s">
        <v>0</v>
      </c>
      <c r="I70" s="16" t="str">
        <f t="shared" si="2"/>
        <v>01-08</v>
      </c>
      <c r="J70" s="14">
        <f t="shared" si="3"/>
        <v>174</v>
      </c>
      <c r="K70" s="15">
        <f t="shared" si="4"/>
        <v>391</v>
      </c>
      <c r="L70" s="17">
        <f t="shared" si="5"/>
        <v>212</v>
      </c>
      <c r="M70" s="18">
        <f t="shared" si="6"/>
        <v>391</v>
      </c>
      <c r="N70" s="14">
        <f t="shared" si="7"/>
        <v>212</v>
      </c>
      <c r="O70" s="15">
        <f t="shared" si="8"/>
        <v>434</v>
      </c>
      <c r="P70" s="17">
        <f t="shared" si="9"/>
        <v>174</v>
      </c>
      <c r="Q70" s="18">
        <f t="shared" si="10"/>
        <v>434</v>
      </c>
      <c r="R70" s="4" t="s">
        <v>0</v>
      </c>
      <c r="S70" s="16" t="str">
        <f t="shared" si="11"/>
        <v>01-08</v>
      </c>
      <c r="T70" s="14">
        <f t="shared" si="12"/>
        <v>174</v>
      </c>
      <c r="U70" s="18">
        <f t="shared" si="13"/>
        <v>359</v>
      </c>
      <c r="V70" s="14">
        <f t="shared" si="14"/>
        <v>212</v>
      </c>
      <c r="W70" s="18">
        <f t="shared" si="15"/>
        <v>359</v>
      </c>
      <c r="X70" s="14">
        <f t="shared" si="16"/>
        <v>212</v>
      </c>
      <c r="Y70" s="18">
        <f t="shared" si="17"/>
        <v>316</v>
      </c>
      <c r="Z70" s="14">
        <f t="shared" si="18"/>
        <v>174</v>
      </c>
      <c r="AA70" s="18">
        <f t="shared" si="19"/>
        <v>316</v>
      </c>
      <c r="AB70" s="4" t="s">
        <v>0</v>
      </c>
    </row>
    <row r="71" spans="1:28">
      <c r="A71" s="9" t="s">
        <v>7</v>
      </c>
      <c r="B71" s="24"/>
      <c r="C71" s="26"/>
      <c r="D71" s="25">
        <f t="shared" si="28"/>
        <v>262</v>
      </c>
      <c r="E71" s="29">
        <f t="shared" ref="E71" si="99">E70</f>
        <v>391</v>
      </c>
      <c r="F71" s="25">
        <f t="shared" si="30"/>
        <v>300</v>
      </c>
      <c r="G71" s="29">
        <f t="shared" si="52"/>
        <v>434</v>
      </c>
      <c r="H71" s="4" t="s">
        <v>0</v>
      </c>
      <c r="I71" s="16" t="str">
        <f t="shared" si="2"/>
        <v>01-07</v>
      </c>
      <c r="J71" s="14">
        <f t="shared" si="3"/>
        <v>262</v>
      </c>
      <c r="K71" s="15">
        <f t="shared" si="4"/>
        <v>391</v>
      </c>
      <c r="L71" s="17">
        <f t="shared" si="5"/>
        <v>300</v>
      </c>
      <c r="M71" s="18">
        <f t="shared" si="6"/>
        <v>391</v>
      </c>
      <c r="N71" s="14">
        <f t="shared" si="7"/>
        <v>300</v>
      </c>
      <c r="O71" s="15">
        <f t="shared" si="8"/>
        <v>434</v>
      </c>
      <c r="P71" s="17">
        <f t="shared" si="9"/>
        <v>262</v>
      </c>
      <c r="Q71" s="18">
        <f t="shared" si="10"/>
        <v>434</v>
      </c>
      <c r="R71" s="4" t="s">
        <v>0</v>
      </c>
      <c r="S71" s="16" t="str">
        <f t="shared" si="11"/>
        <v>01-07</v>
      </c>
      <c r="T71" s="14">
        <f t="shared" si="12"/>
        <v>262</v>
      </c>
      <c r="U71" s="18">
        <f t="shared" si="13"/>
        <v>359</v>
      </c>
      <c r="V71" s="14">
        <f t="shared" si="14"/>
        <v>300</v>
      </c>
      <c r="W71" s="18">
        <f t="shared" si="15"/>
        <v>359</v>
      </c>
      <c r="X71" s="14">
        <f t="shared" si="16"/>
        <v>300</v>
      </c>
      <c r="Y71" s="18">
        <f t="shared" si="17"/>
        <v>316</v>
      </c>
      <c r="Z71" s="14">
        <f t="shared" si="18"/>
        <v>262</v>
      </c>
      <c r="AA71" s="18">
        <f t="shared" si="19"/>
        <v>316</v>
      </c>
      <c r="AB71" s="4" t="s">
        <v>0</v>
      </c>
    </row>
    <row r="72" spans="1:28">
      <c r="A72" s="9" t="s">
        <v>699</v>
      </c>
      <c r="B72" s="24"/>
      <c r="C72" s="26"/>
      <c r="D72" s="25">
        <f t="shared" si="28"/>
        <v>300</v>
      </c>
      <c r="E72" s="29">
        <f t="shared" ref="E72" si="100">E71</f>
        <v>391</v>
      </c>
      <c r="F72" s="25">
        <f t="shared" si="30"/>
        <v>338</v>
      </c>
      <c r="G72" s="29">
        <f t="shared" si="52"/>
        <v>434</v>
      </c>
      <c r="H72" s="4" t="s">
        <v>0</v>
      </c>
      <c r="I72" s="16" t="str">
        <f t="shared" ref="I72" si="101">A72</f>
        <v>01-06</v>
      </c>
      <c r="J72" s="14">
        <f t="shared" ref="J72" si="102">IF(D72&lt;&gt;"",D72,0)</f>
        <v>300</v>
      </c>
      <c r="K72" s="15">
        <f t="shared" ref="K72" si="103">IF(E72&lt;&gt;"",E72,0)</f>
        <v>391</v>
      </c>
      <c r="L72" s="17">
        <f t="shared" ref="L72" si="104">N72</f>
        <v>338</v>
      </c>
      <c r="M72" s="18">
        <f t="shared" ref="M72" si="105">K72</f>
        <v>391</v>
      </c>
      <c r="N72" s="14">
        <f t="shared" ref="N72" si="106">IF(F72&lt;&gt;"",F72,0)</f>
        <v>338</v>
      </c>
      <c r="O72" s="15">
        <f t="shared" ref="O72" si="107">IF(G72&lt;&gt;"",G72,0)</f>
        <v>434</v>
      </c>
      <c r="P72" s="17">
        <f t="shared" ref="P72" si="108">J72</f>
        <v>300</v>
      </c>
      <c r="Q72" s="18">
        <f t="shared" ref="Q72" si="109">O72</f>
        <v>434</v>
      </c>
      <c r="R72" s="4" t="s">
        <v>0</v>
      </c>
      <c r="S72" s="16" t="str">
        <f t="shared" ref="S72" si="110">I72</f>
        <v>01-06</v>
      </c>
      <c r="T72" s="14">
        <f t="shared" ref="T72" si="111">IF(J72&lt;&gt;"",J72,"")</f>
        <v>300</v>
      </c>
      <c r="U72" s="18">
        <f t="shared" ref="U72" si="112">IF(K72&lt;&gt;"",U$6-K72,"")</f>
        <v>359</v>
      </c>
      <c r="V72" s="14">
        <f t="shared" ref="V72" si="113">IF(L72&lt;&gt;"",L72,"")</f>
        <v>338</v>
      </c>
      <c r="W72" s="18">
        <f t="shared" ref="W72" si="114">IF(M72&lt;&gt;"",W$6-M72,"")</f>
        <v>359</v>
      </c>
      <c r="X72" s="14">
        <f t="shared" ref="X72" si="115">IF(N72&lt;&gt;"",N72,"")</f>
        <v>338</v>
      </c>
      <c r="Y72" s="18">
        <f t="shared" ref="Y72" si="116">IF(O72&lt;&gt;"",Y$6-O72,"")</f>
        <v>316</v>
      </c>
      <c r="Z72" s="14">
        <f t="shared" ref="Z72" si="117">IF(P72&lt;&gt;"",P72,"")</f>
        <v>300</v>
      </c>
      <c r="AA72" s="18">
        <f t="shared" ref="AA72" si="118">IF(Q72&lt;&gt;"",AA$6-Q72,"")</f>
        <v>316</v>
      </c>
      <c r="AB72" s="4" t="s">
        <v>0</v>
      </c>
    </row>
    <row r="73" spans="1:28">
      <c r="A73" s="9" t="s">
        <v>5</v>
      </c>
      <c r="B73" s="24"/>
      <c r="C73" s="26"/>
      <c r="D73" s="25">
        <f t="shared" si="28"/>
        <v>338</v>
      </c>
      <c r="E73" s="29">
        <f t="shared" ref="E73" si="119">E72</f>
        <v>391</v>
      </c>
      <c r="F73" s="25">
        <f t="shared" si="30"/>
        <v>376</v>
      </c>
      <c r="G73" s="29">
        <f t="shared" si="52"/>
        <v>434</v>
      </c>
      <c r="H73" s="4" t="s">
        <v>0</v>
      </c>
      <c r="I73" s="16" t="str">
        <f t="shared" si="2"/>
        <v>01-05</v>
      </c>
      <c r="J73" s="14">
        <f t="shared" si="3"/>
        <v>338</v>
      </c>
      <c r="K73" s="15">
        <f t="shared" si="4"/>
        <v>391</v>
      </c>
      <c r="L73" s="17">
        <f t="shared" si="5"/>
        <v>376</v>
      </c>
      <c r="M73" s="18">
        <f t="shared" si="6"/>
        <v>391</v>
      </c>
      <c r="N73" s="14">
        <f t="shared" si="7"/>
        <v>376</v>
      </c>
      <c r="O73" s="15">
        <f t="shared" si="8"/>
        <v>434</v>
      </c>
      <c r="P73" s="17">
        <f t="shared" si="9"/>
        <v>338</v>
      </c>
      <c r="Q73" s="18">
        <f t="shared" si="10"/>
        <v>434</v>
      </c>
      <c r="R73" s="4" t="s">
        <v>0</v>
      </c>
      <c r="S73" s="16" t="str">
        <f t="shared" si="11"/>
        <v>01-05</v>
      </c>
      <c r="T73" s="14">
        <f t="shared" si="12"/>
        <v>338</v>
      </c>
      <c r="U73" s="18">
        <f t="shared" si="13"/>
        <v>359</v>
      </c>
      <c r="V73" s="14">
        <f t="shared" si="14"/>
        <v>376</v>
      </c>
      <c r="W73" s="18">
        <f t="shared" si="15"/>
        <v>359</v>
      </c>
      <c r="X73" s="14">
        <f t="shared" si="16"/>
        <v>376</v>
      </c>
      <c r="Y73" s="18">
        <f t="shared" si="17"/>
        <v>316</v>
      </c>
      <c r="Z73" s="14">
        <f t="shared" si="18"/>
        <v>338</v>
      </c>
      <c r="AA73" s="18">
        <f t="shared" si="19"/>
        <v>316</v>
      </c>
      <c r="AB73" s="4" t="s">
        <v>0</v>
      </c>
    </row>
    <row r="74" spans="1:28">
      <c r="A74" s="9" t="s">
        <v>4</v>
      </c>
      <c r="B74" s="24"/>
      <c r="C74" s="26"/>
      <c r="D74" s="25">
        <f t="shared" si="28"/>
        <v>376</v>
      </c>
      <c r="E74" s="29">
        <f t="shared" ref="E74" si="120">E73</f>
        <v>391</v>
      </c>
      <c r="F74" s="25">
        <f t="shared" si="30"/>
        <v>414</v>
      </c>
      <c r="G74" s="29">
        <f t="shared" si="52"/>
        <v>434</v>
      </c>
      <c r="H74" s="4" t="s">
        <v>0</v>
      </c>
      <c r="I74" s="16" t="str">
        <f t="shared" ref="I74:I76" si="121">A74</f>
        <v>01-03</v>
      </c>
      <c r="J74" s="14">
        <f t="shared" ref="J74:J76" si="122">IF(D74&lt;&gt;"",D74,0)</f>
        <v>376</v>
      </c>
      <c r="K74" s="15">
        <f t="shared" ref="K74:K76" si="123">IF(E74&lt;&gt;"",E74,0)</f>
        <v>391</v>
      </c>
      <c r="L74" s="17">
        <f t="shared" ref="L74:L76" si="124">N74</f>
        <v>414</v>
      </c>
      <c r="M74" s="18">
        <f t="shared" ref="M74:M76" si="125">K74</f>
        <v>391</v>
      </c>
      <c r="N74" s="14">
        <f t="shared" ref="N74:N76" si="126">IF(F74&lt;&gt;"",F74,0)</f>
        <v>414</v>
      </c>
      <c r="O74" s="15">
        <f t="shared" ref="O74:O76" si="127">IF(G74&lt;&gt;"",G74,0)</f>
        <v>434</v>
      </c>
      <c r="P74" s="17">
        <f t="shared" ref="P74:P76" si="128">J74</f>
        <v>376</v>
      </c>
      <c r="Q74" s="18">
        <f t="shared" ref="Q74:Q76" si="129">O74</f>
        <v>434</v>
      </c>
      <c r="R74" s="4" t="s">
        <v>0</v>
      </c>
      <c r="S74" s="16" t="str">
        <f t="shared" ref="S74:S76" si="130">I74</f>
        <v>01-03</v>
      </c>
      <c r="T74" s="14">
        <f t="shared" ref="T74:T76" si="131">IF(J74&lt;&gt;"",J74,"")</f>
        <v>376</v>
      </c>
      <c r="U74" s="18">
        <f t="shared" ref="U74:U76" si="132">IF(K74&lt;&gt;"",U$6-K74,"")</f>
        <v>359</v>
      </c>
      <c r="V74" s="14">
        <f t="shared" ref="V74:V76" si="133">IF(L74&lt;&gt;"",L74,"")</f>
        <v>414</v>
      </c>
      <c r="W74" s="18">
        <f t="shared" ref="W74:W76" si="134">IF(M74&lt;&gt;"",W$6-M74,"")</f>
        <v>359</v>
      </c>
      <c r="X74" s="14">
        <f t="shared" ref="X74:X76" si="135">IF(N74&lt;&gt;"",N74,"")</f>
        <v>414</v>
      </c>
      <c r="Y74" s="18">
        <f t="shared" ref="Y74:Y76" si="136">IF(O74&lt;&gt;"",Y$6-O74,"")</f>
        <v>316</v>
      </c>
      <c r="Z74" s="14">
        <f t="shared" ref="Z74:Z76" si="137">IF(P74&lt;&gt;"",P74,"")</f>
        <v>376</v>
      </c>
      <c r="AA74" s="18">
        <f t="shared" ref="AA74:AA76" si="138">IF(Q74&lt;&gt;"",AA$6-Q74,"")</f>
        <v>316</v>
      </c>
      <c r="AB74" s="4" t="s">
        <v>0</v>
      </c>
    </row>
    <row r="75" spans="1:28">
      <c r="A75" s="9" t="s">
        <v>142</v>
      </c>
      <c r="B75" s="24"/>
      <c r="C75" s="26"/>
      <c r="D75" s="25">
        <f t="shared" si="28"/>
        <v>414</v>
      </c>
      <c r="E75" s="29">
        <f t="shared" ref="E75" si="139">E74</f>
        <v>391</v>
      </c>
      <c r="F75" s="25">
        <f t="shared" si="30"/>
        <v>452</v>
      </c>
      <c r="G75" s="29">
        <f t="shared" si="52"/>
        <v>434</v>
      </c>
      <c r="H75" s="4" t="s">
        <v>0</v>
      </c>
      <c r="I75" s="16" t="str">
        <f t="shared" si="121"/>
        <v>01-02</v>
      </c>
      <c r="J75" s="14">
        <f t="shared" si="122"/>
        <v>414</v>
      </c>
      <c r="K75" s="15">
        <f t="shared" si="123"/>
        <v>391</v>
      </c>
      <c r="L75" s="17">
        <f t="shared" si="124"/>
        <v>452</v>
      </c>
      <c r="M75" s="18">
        <f t="shared" si="125"/>
        <v>391</v>
      </c>
      <c r="N75" s="14">
        <f t="shared" si="126"/>
        <v>452</v>
      </c>
      <c r="O75" s="15">
        <f t="shared" si="127"/>
        <v>434</v>
      </c>
      <c r="P75" s="17">
        <f t="shared" si="128"/>
        <v>414</v>
      </c>
      <c r="Q75" s="18">
        <f t="shared" si="129"/>
        <v>434</v>
      </c>
      <c r="R75" s="4" t="s">
        <v>0</v>
      </c>
      <c r="S75" s="16" t="str">
        <f t="shared" si="130"/>
        <v>01-02</v>
      </c>
      <c r="T75" s="14">
        <f t="shared" si="131"/>
        <v>414</v>
      </c>
      <c r="U75" s="18">
        <f t="shared" si="132"/>
        <v>359</v>
      </c>
      <c r="V75" s="14">
        <f t="shared" si="133"/>
        <v>452</v>
      </c>
      <c r="W75" s="18">
        <f t="shared" si="134"/>
        <v>359</v>
      </c>
      <c r="X75" s="14">
        <f t="shared" si="135"/>
        <v>452</v>
      </c>
      <c r="Y75" s="18">
        <f t="shared" si="136"/>
        <v>316</v>
      </c>
      <c r="Z75" s="14">
        <f t="shared" si="137"/>
        <v>414</v>
      </c>
      <c r="AA75" s="18">
        <f t="shared" si="138"/>
        <v>316</v>
      </c>
      <c r="AB75" s="4" t="s">
        <v>0</v>
      </c>
    </row>
    <row r="76" spans="1:28">
      <c r="A76" s="9" t="s">
        <v>141</v>
      </c>
      <c r="B76" s="24"/>
      <c r="C76" s="26"/>
      <c r="D76" s="25">
        <f t="shared" si="28"/>
        <v>452</v>
      </c>
      <c r="E76" s="29">
        <f t="shared" ref="E76" si="140">E75</f>
        <v>391</v>
      </c>
      <c r="F76" s="25">
        <f t="shared" si="30"/>
        <v>490</v>
      </c>
      <c r="G76" s="29">
        <f t="shared" si="52"/>
        <v>434</v>
      </c>
      <c r="H76" s="4" t="s">
        <v>0</v>
      </c>
      <c r="I76" s="16" t="str">
        <f t="shared" si="121"/>
        <v>01-01</v>
      </c>
      <c r="J76" s="14">
        <f t="shared" si="122"/>
        <v>452</v>
      </c>
      <c r="K76" s="15">
        <f t="shared" si="123"/>
        <v>391</v>
      </c>
      <c r="L76" s="17">
        <f t="shared" si="124"/>
        <v>490</v>
      </c>
      <c r="M76" s="18">
        <f t="shared" si="125"/>
        <v>391</v>
      </c>
      <c r="N76" s="14">
        <f t="shared" si="126"/>
        <v>490</v>
      </c>
      <c r="O76" s="15">
        <f t="shared" si="127"/>
        <v>434</v>
      </c>
      <c r="P76" s="17">
        <f t="shared" si="128"/>
        <v>452</v>
      </c>
      <c r="Q76" s="18">
        <f t="shared" si="129"/>
        <v>434</v>
      </c>
      <c r="R76" s="4" t="s">
        <v>0</v>
      </c>
      <c r="S76" s="16" t="str">
        <f t="shared" si="130"/>
        <v>01-01</v>
      </c>
      <c r="T76" s="14">
        <f t="shared" si="131"/>
        <v>452</v>
      </c>
      <c r="U76" s="18">
        <f t="shared" si="132"/>
        <v>359</v>
      </c>
      <c r="V76" s="14">
        <f t="shared" si="133"/>
        <v>490</v>
      </c>
      <c r="W76" s="18">
        <f t="shared" si="134"/>
        <v>359</v>
      </c>
      <c r="X76" s="14">
        <f t="shared" si="135"/>
        <v>490</v>
      </c>
      <c r="Y76" s="18">
        <f t="shared" si="136"/>
        <v>316</v>
      </c>
      <c r="Z76" s="14">
        <f t="shared" si="137"/>
        <v>452</v>
      </c>
      <c r="AA76" s="18">
        <f t="shared" si="138"/>
        <v>316</v>
      </c>
      <c r="AB76" s="4" t="s">
        <v>0</v>
      </c>
    </row>
  </sheetData>
  <autoFilter ref="A10:AB76" xr:uid="{00000000-0001-0000-0000-000000000000}"/>
  <mergeCells count="2">
    <mergeCell ref="D3:G3"/>
    <mergeCell ref="D4:G4"/>
  </mergeCells>
  <phoneticPr fontId="1"/>
  <hyperlinks>
    <hyperlink ref="N4" r:id="rId1" xr:uid="{1D450759-5C0B-458D-BE68-2F827D1A934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F0BBD-F827-4DF5-9EB6-35D1CEE7F9F2}">
  <sheetPr codeName="Sheet17">
    <pageSetUpPr fitToPage="1"/>
  </sheetPr>
  <dimension ref="A1:AB54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SEC_11_3_釈ｼﾝB.json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SEC_11_3_釈ｼﾝB.png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623</v>
      </c>
      <c r="B11" s="30" t="s">
        <v>698</v>
      </c>
      <c r="C11" s="4" t="s">
        <v>0</v>
      </c>
      <c r="D11" s="27">
        <v>172</v>
      </c>
      <c r="E11" s="31">
        <v>203</v>
      </c>
      <c r="F11" s="27">
        <v>189</v>
      </c>
      <c r="G11" s="31">
        <v>219</v>
      </c>
      <c r="H11" s="4" t="s">
        <v>0</v>
      </c>
      <c r="I11" s="16" t="str">
        <f t="shared" ref="I11:I12" si="0">A11</f>
        <v>65-1㎡</v>
      </c>
      <c r="J11" s="14">
        <f>IF(D11&lt;&gt;"",D11,0)</f>
        <v>172</v>
      </c>
      <c r="K11" s="15">
        <f>IF(E11&lt;&gt;"",E11,0)</f>
        <v>203</v>
      </c>
      <c r="L11" s="17">
        <f>N11</f>
        <v>189</v>
      </c>
      <c r="M11" s="18">
        <f>K11</f>
        <v>203</v>
      </c>
      <c r="N11" s="14">
        <f>IF(F11&lt;&gt;"",F11,0)</f>
        <v>189</v>
      </c>
      <c r="O11" s="15">
        <f>IF(G11&lt;&gt;"",G11,0)</f>
        <v>219</v>
      </c>
      <c r="P11" s="17">
        <f>J11</f>
        <v>172</v>
      </c>
      <c r="Q11" s="18">
        <f>O11</f>
        <v>219</v>
      </c>
      <c r="R11" s="4" t="s">
        <v>0</v>
      </c>
      <c r="S11" s="16" t="str">
        <f>I11</f>
        <v>65-1㎡</v>
      </c>
      <c r="T11" s="14">
        <f>IF(J11&lt;&gt;"",J11,"")</f>
        <v>172</v>
      </c>
      <c r="U11" s="18">
        <f>IF(K11&lt;&gt;"",U$6-K11,"")</f>
        <v>547</v>
      </c>
      <c r="V11" s="14">
        <f t="shared" ref="V11:Z12" si="1">IF(L11&lt;&gt;"",L11,"")</f>
        <v>189</v>
      </c>
      <c r="W11" s="18">
        <f>IF(M11&lt;&gt;"",W$6-M11,"")</f>
        <v>547</v>
      </c>
      <c r="X11" s="14">
        <f t="shared" si="1"/>
        <v>189</v>
      </c>
      <c r="Y11" s="18">
        <f>IF(O11&lt;&gt;"",Y$6-O11,"")</f>
        <v>531</v>
      </c>
      <c r="Z11" s="14">
        <f t="shared" si="1"/>
        <v>172</v>
      </c>
      <c r="AA11" s="18">
        <f>IF(Q11&lt;&gt;"",AA$6-Q11,"")</f>
        <v>531</v>
      </c>
      <c r="AB11" s="4" t="s">
        <v>0</v>
      </c>
    </row>
    <row r="12" spans="1:28">
      <c r="A12" s="9" t="s">
        <v>622</v>
      </c>
      <c r="B12" s="24"/>
      <c r="C12" s="4" t="s">
        <v>0</v>
      </c>
      <c r="D12" s="27">
        <v>189</v>
      </c>
      <c r="E12" s="31">
        <v>163</v>
      </c>
      <c r="F12" s="27">
        <v>206</v>
      </c>
      <c r="G12" s="31">
        <v>179</v>
      </c>
      <c r="H12" s="4" t="s">
        <v>0</v>
      </c>
      <c r="I12" s="16" t="str">
        <f t="shared" si="0"/>
        <v>63-1㎡</v>
      </c>
      <c r="J12" s="14">
        <f t="shared" ref="J12:K12" si="2">IF(D12&lt;&gt;"",D12,0)</f>
        <v>189</v>
      </c>
      <c r="K12" s="15">
        <f t="shared" si="2"/>
        <v>163</v>
      </c>
      <c r="L12" s="17">
        <f t="shared" ref="L12" si="3">N12</f>
        <v>206</v>
      </c>
      <c r="M12" s="18">
        <f t="shared" ref="M12" si="4">K12</f>
        <v>163</v>
      </c>
      <c r="N12" s="14">
        <f t="shared" ref="N12:O12" si="5">IF(F12&lt;&gt;"",F12,0)</f>
        <v>206</v>
      </c>
      <c r="O12" s="15">
        <f t="shared" si="5"/>
        <v>179</v>
      </c>
      <c r="P12" s="17">
        <f t="shared" ref="P12" si="6">J12</f>
        <v>189</v>
      </c>
      <c r="Q12" s="18">
        <f t="shared" ref="Q12" si="7">O12</f>
        <v>179</v>
      </c>
      <c r="R12" s="4" t="s">
        <v>0</v>
      </c>
      <c r="S12" s="16" t="str">
        <f t="shared" ref="S12" si="8">I12</f>
        <v>63-1㎡</v>
      </c>
      <c r="T12" s="14">
        <f t="shared" ref="T12" si="9">IF(J12&lt;&gt;"",J12,"")</f>
        <v>189</v>
      </c>
      <c r="U12" s="18">
        <f t="shared" ref="U12" si="10">IF(K12&lt;&gt;"",U$6-K12,"")</f>
        <v>587</v>
      </c>
      <c r="V12" s="14">
        <f t="shared" si="1"/>
        <v>206</v>
      </c>
      <c r="W12" s="18">
        <f t="shared" ref="W12" si="11">IF(M12&lt;&gt;"",W$6-M12,"")</f>
        <v>587</v>
      </c>
      <c r="X12" s="14">
        <f t="shared" si="1"/>
        <v>206</v>
      </c>
      <c r="Y12" s="18">
        <f t="shared" ref="Y12" si="12">IF(O12&lt;&gt;"",Y$6-O12,"")</f>
        <v>571</v>
      </c>
      <c r="Z12" s="14">
        <f t="shared" si="1"/>
        <v>189</v>
      </c>
      <c r="AA12" s="18">
        <f t="shared" ref="AA12" si="13">IF(Q12&lt;&gt;"",AA$6-Q12,"")</f>
        <v>571</v>
      </c>
      <c r="AB12" s="4" t="s">
        <v>0</v>
      </c>
    </row>
    <row r="13" spans="1:28">
      <c r="A13" s="9" t="s">
        <v>621</v>
      </c>
      <c r="B13" s="24"/>
      <c r="C13" s="4" t="s">
        <v>0</v>
      </c>
      <c r="D13" s="27">
        <v>189</v>
      </c>
      <c r="E13" s="31">
        <v>203</v>
      </c>
      <c r="F13" s="27">
        <v>206</v>
      </c>
      <c r="G13" s="31">
        <v>219</v>
      </c>
      <c r="H13" s="4" t="s">
        <v>0</v>
      </c>
      <c r="I13" s="16" t="str">
        <f t="shared" ref="I13:I54" si="14">A13</f>
        <v>62-1㎡</v>
      </c>
      <c r="J13" s="14">
        <f t="shared" ref="J13:J54" si="15">IF(D13&lt;&gt;"",D13,0)</f>
        <v>189</v>
      </c>
      <c r="K13" s="15">
        <f t="shared" ref="K13:K54" si="16">IF(E13&lt;&gt;"",E13,0)</f>
        <v>203</v>
      </c>
      <c r="L13" s="17">
        <f t="shared" ref="L13:L54" si="17">N13</f>
        <v>206</v>
      </c>
      <c r="M13" s="18">
        <f t="shared" ref="M13:M54" si="18">K13</f>
        <v>203</v>
      </c>
      <c r="N13" s="14">
        <f t="shared" ref="N13:N54" si="19">IF(F13&lt;&gt;"",F13,0)</f>
        <v>206</v>
      </c>
      <c r="O13" s="15">
        <f t="shared" ref="O13:O54" si="20">IF(G13&lt;&gt;"",G13,0)</f>
        <v>219</v>
      </c>
      <c r="P13" s="17">
        <f t="shared" ref="P13:P54" si="21">J13</f>
        <v>189</v>
      </c>
      <c r="Q13" s="18">
        <f t="shared" ref="Q13:Q54" si="22">O13</f>
        <v>219</v>
      </c>
      <c r="R13" s="4" t="s">
        <v>0</v>
      </c>
      <c r="S13" s="16" t="str">
        <f t="shared" ref="S13:S54" si="23">I13</f>
        <v>62-1㎡</v>
      </c>
      <c r="T13" s="14">
        <f t="shared" ref="T13:T54" si="24">IF(J13&lt;&gt;"",J13,"")</f>
        <v>189</v>
      </c>
      <c r="U13" s="18">
        <f t="shared" ref="U13:U54" si="25">IF(K13&lt;&gt;"",U$6-K13,"")</f>
        <v>547</v>
      </c>
      <c r="V13" s="14">
        <f t="shared" ref="V13:V54" si="26">IF(L13&lt;&gt;"",L13,"")</f>
        <v>206</v>
      </c>
      <c r="W13" s="18">
        <f t="shared" ref="W13:W54" si="27">IF(M13&lt;&gt;"",W$6-M13,"")</f>
        <v>547</v>
      </c>
      <c r="X13" s="14">
        <f t="shared" ref="X13:X54" si="28">IF(N13&lt;&gt;"",N13,"")</f>
        <v>206</v>
      </c>
      <c r="Y13" s="18">
        <f t="shared" ref="Y13:Y54" si="29">IF(O13&lt;&gt;"",Y$6-O13,"")</f>
        <v>531</v>
      </c>
      <c r="Z13" s="14">
        <f t="shared" ref="Z13:Z54" si="30">IF(P13&lt;&gt;"",P13,"")</f>
        <v>189</v>
      </c>
      <c r="AA13" s="18">
        <f t="shared" ref="AA13:AA54" si="31">IF(Q13&lt;&gt;"",AA$6-Q13,"")</f>
        <v>531</v>
      </c>
      <c r="AB13" s="4" t="s">
        <v>0</v>
      </c>
    </row>
    <row r="14" spans="1:28">
      <c r="A14" s="9" t="s">
        <v>620</v>
      </c>
      <c r="B14" s="24"/>
      <c r="C14" s="4" t="s">
        <v>0</v>
      </c>
      <c r="D14" s="27">
        <v>189</v>
      </c>
      <c r="E14" s="31">
        <v>219</v>
      </c>
      <c r="F14" s="27">
        <v>206</v>
      </c>
      <c r="G14" s="31">
        <v>235</v>
      </c>
      <c r="H14" s="4" t="s">
        <v>0</v>
      </c>
      <c r="I14" s="16" t="str">
        <f t="shared" si="14"/>
        <v>61-1㎡</v>
      </c>
      <c r="J14" s="14">
        <f t="shared" si="15"/>
        <v>189</v>
      </c>
      <c r="K14" s="15">
        <f t="shared" si="16"/>
        <v>219</v>
      </c>
      <c r="L14" s="17">
        <f t="shared" si="17"/>
        <v>206</v>
      </c>
      <c r="M14" s="18">
        <f t="shared" si="18"/>
        <v>219</v>
      </c>
      <c r="N14" s="14">
        <f t="shared" si="19"/>
        <v>206</v>
      </c>
      <c r="O14" s="15">
        <f t="shared" si="20"/>
        <v>235</v>
      </c>
      <c r="P14" s="17">
        <f t="shared" si="21"/>
        <v>189</v>
      </c>
      <c r="Q14" s="18">
        <f t="shared" si="22"/>
        <v>235</v>
      </c>
      <c r="R14" s="4" t="s">
        <v>0</v>
      </c>
      <c r="S14" s="16" t="str">
        <f t="shared" si="23"/>
        <v>61-1㎡</v>
      </c>
      <c r="T14" s="14">
        <f t="shared" si="24"/>
        <v>189</v>
      </c>
      <c r="U14" s="18">
        <f t="shared" si="25"/>
        <v>531</v>
      </c>
      <c r="V14" s="14">
        <f t="shared" si="26"/>
        <v>206</v>
      </c>
      <c r="W14" s="18">
        <f t="shared" si="27"/>
        <v>531</v>
      </c>
      <c r="X14" s="14">
        <f t="shared" si="28"/>
        <v>206</v>
      </c>
      <c r="Y14" s="18">
        <f t="shared" si="29"/>
        <v>515</v>
      </c>
      <c r="Z14" s="14">
        <f t="shared" si="30"/>
        <v>189</v>
      </c>
      <c r="AA14" s="18">
        <f t="shared" si="31"/>
        <v>515</v>
      </c>
      <c r="AB14" s="4" t="s">
        <v>0</v>
      </c>
    </row>
    <row r="15" spans="1:28">
      <c r="A15" s="9" t="s">
        <v>619</v>
      </c>
      <c r="B15" s="24"/>
      <c r="C15" s="4" t="s">
        <v>0</v>
      </c>
      <c r="D15" s="27">
        <v>222</v>
      </c>
      <c r="E15" s="31">
        <v>101</v>
      </c>
      <c r="F15" s="31">
        <v>239</v>
      </c>
      <c r="G15" s="31">
        <v>117</v>
      </c>
      <c r="H15" s="4" t="s">
        <v>0</v>
      </c>
      <c r="I15" s="16" t="str">
        <f t="shared" si="14"/>
        <v>60-1㎡</v>
      </c>
      <c r="J15" s="14">
        <f t="shared" si="15"/>
        <v>222</v>
      </c>
      <c r="K15" s="15">
        <f t="shared" si="16"/>
        <v>101</v>
      </c>
      <c r="L15" s="17">
        <f t="shared" si="17"/>
        <v>239</v>
      </c>
      <c r="M15" s="18">
        <f t="shared" si="18"/>
        <v>101</v>
      </c>
      <c r="N15" s="14">
        <f t="shared" si="19"/>
        <v>239</v>
      </c>
      <c r="O15" s="15">
        <f t="shared" si="20"/>
        <v>117</v>
      </c>
      <c r="P15" s="17">
        <f t="shared" si="21"/>
        <v>222</v>
      </c>
      <c r="Q15" s="18">
        <f t="shared" si="22"/>
        <v>117</v>
      </c>
      <c r="R15" s="4" t="s">
        <v>0</v>
      </c>
      <c r="S15" s="16" t="str">
        <f t="shared" si="23"/>
        <v>60-1㎡</v>
      </c>
      <c r="T15" s="14">
        <f t="shared" si="24"/>
        <v>222</v>
      </c>
      <c r="U15" s="18">
        <f t="shared" si="25"/>
        <v>649</v>
      </c>
      <c r="V15" s="14">
        <f t="shared" si="26"/>
        <v>239</v>
      </c>
      <c r="W15" s="18">
        <f t="shared" si="27"/>
        <v>649</v>
      </c>
      <c r="X15" s="14">
        <f t="shared" si="28"/>
        <v>239</v>
      </c>
      <c r="Y15" s="18">
        <f t="shared" si="29"/>
        <v>633</v>
      </c>
      <c r="Z15" s="14">
        <f t="shared" si="30"/>
        <v>222</v>
      </c>
      <c r="AA15" s="18">
        <f t="shared" si="31"/>
        <v>633</v>
      </c>
      <c r="AB15" s="4" t="s">
        <v>0</v>
      </c>
    </row>
    <row r="16" spans="1:28">
      <c r="A16" s="9" t="s">
        <v>611</v>
      </c>
      <c r="B16" s="24"/>
      <c r="C16" s="26">
        <v>1</v>
      </c>
      <c r="D16" s="28">
        <f>ROUND(D$15+17*$C16, 0)</f>
        <v>239</v>
      </c>
      <c r="E16" s="29">
        <f t="shared" ref="E16" si="32">E15</f>
        <v>101</v>
      </c>
      <c r="F16" s="28">
        <f>ROUND(F$15+17*$C16, 0)</f>
        <v>256</v>
      </c>
      <c r="G16" s="29">
        <f t="shared" ref="G16" si="33">G15</f>
        <v>117</v>
      </c>
      <c r="H16" s="4" t="s">
        <v>0</v>
      </c>
      <c r="I16" s="16" t="str">
        <f t="shared" si="14"/>
        <v>50-1㎡</v>
      </c>
      <c r="J16" s="14">
        <f t="shared" si="15"/>
        <v>239</v>
      </c>
      <c r="K16" s="15">
        <f t="shared" si="16"/>
        <v>101</v>
      </c>
      <c r="L16" s="17">
        <f t="shared" si="17"/>
        <v>256</v>
      </c>
      <c r="M16" s="18">
        <f t="shared" si="18"/>
        <v>101</v>
      </c>
      <c r="N16" s="14">
        <f t="shared" si="19"/>
        <v>256</v>
      </c>
      <c r="O16" s="15">
        <f t="shared" si="20"/>
        <v>117</v>
      </c>
      <c r="P16" s="17">
        <f t="shared" si="21"/>
        <v>239</v>
      </c>
      <c r="Q16" s="18">
        <f t="shared" si="22"/>
        <v>117</v>
      </c>
      <c r="R16" s="4" t="s">
        <v>0</v>
      </c>
      <c r="S16" s="16" t="str">
        <f t="shared" si="23"/>
        <v>50-1㎡</v>
      </c>
      <c r="T16" s="14">
        <f t="shared" si="24"/>
        <v>239</v>
      </c>
      <c r="U16" s="18">
        <f t="shared" si="25"/>
        <v>649</v>
      </c>
      <c r="V16" s="14">
        <f t="shared" si="26"/>
        <v>256</v>
      </c>
      <c r="W16" s="18">
        <f t="shared" si="27"/>
        <v>649</v>
      </c>
      <c r="X16" s="14">
        <f t="shared" si="28"/>
        <v>256</v>
      </c>
      <c r="Y16" s="18">
        <f t="shared" si="29"/>
        <v>633</v>
      </c>
      <c r="Z16" s="14">
        <f t="shared" si="30"/>
        <v>239</v>
      </c>
      <c r="AA16" s="18">
        <f t="shared" si="31"/>
        <v>633</v>
      </c>
      <c r="AB16" s="4" t="s">
        <v>0</v>
      </c>
    </row>
    <row r="17" spans="1:28">
      <c r="A17" s="9" t="s">
        <v>602</v>
      </c>
      <c r="B17" s="24"/>
      <c r="C17" s="26"/>
      <c r="D17" s="27">
        <v>272</v>
      </c>
      <c r="E17" s="31">
        <v>101</v>
      </c>
      <c r="F17" s="31">
        <v>289</v>
      </c>
      <c r="G17" s="31">
        <v>117</v>
      </c>
      <c r="H17" s="4" t="s">
        <v>0</v>
      </c>
      <c r="I17" s="16" t="str">
        <f t="shared" si="14"/>
        <v>28-1㎡</v>
      </c>
      <c r="J17" s="14">
        <f t="shared" si="15"/>
        <v>272</v>
      </c>
      <c r="K17" s="15">
        <f t="shared" si="16"/>
        <v>101</v>
      </c>
      <c r="L17" s="17">
        <f t="shared" si="17"/>
        <v>289</v>
      </c>
      <c r="M17" s="18">
        <f t="shared" si="18"/>
        <v>101</v>
      </c>
      <c r="N17" s="14">
        <f t="shared" si="19"/>
        <v>289</v>
      </c>
      <c r="O17" s="15">
        <f t="shared" si="20"/>
        <v>117</v>
      </c>
      <c r="P17" s="17">
        <f t="shared" si="21"/>
        <v>272</v>
      </c>
      <c r="Q17" s="18">
        <f t="shared" si="22"/>
        <v>117</v>
      </c>
      <c r="R17" s="4" t="s">
        <v>0</v>
      </c>
      <c r="S17" s="16" t="str">
        <f t="shared" si="23"/>
        <v>28-1㎡</v>
      </c>
      <c r="T17" s="14">
        <f t="shared" si="24"/>
        <v>272</v>
      </c>
      <c r="U17" s="18">
        <f t="shared" si="25"/>
        <v>649</v>
      </c>
      <c r="V17" s="14">
        <f t="shared" si="26"/>
        <v>289</v>
      </c>
      <c r="W17" s="18">
        <f t="shared" si="27"/>
        <v>649</v>
      </c>
      <c r="X17" s="14">
        <f t="shared" si="28"/>
        <v>289</v>
      </c>
      <c r="Y17" s="18">
        <f t="shared" si="29"/>
        <v>633</v>
      </c>
      <c r="Z17" s="14">
        <f t="shared" si="30"/>
        <v>272</v>
      </c>
      <c r="AA17" s="18">
        <f t="shared" si="31"/>
        <v>633</v>
      </c>
      <c r="AB17" s="4" t="s">
        <v>0</v>
      </c>
    </row>
    <row r="18" spans="1:28">
      <c r="A18" s="9" t="s">
        <v>591</v>
      </c>
      <c r="B18" s="24"/>
      <c r="C18" s="26">
        <v>1</v>
      </c>
      <c r="D18" s="28">
        <f>ROUND(D$17+17*$C18, 0)</f>
        <v>289</v>
      </c>
      <c r="E18" s="29">
        <f t="shared" ref="E18" si="34">E17</f>
        <v>101</v>
      </c>
      <c r="F18" s="28">
        <f>ROUND(F$17+17*$C18, 0)</f>
        <v>306</v>
      </c>
      <c r="G18" s="29">
        <f t="shared" ref="G18" si="35">G17</f>
        <v>117</v>
      </c>
      <c r="H18" s="4" t="s">
        <v>0</v>
      </c>
      <c r="I18" s="16" t="str">
        <f t="shared" si="14"/>
        <v>15-1㎡</v>
      </c>
      <c r="J18" s="14">
        <f t="shared" si="15"/>
        <v>289</v>
      </c>
      <c r="K18" s="15">
        <f t="shared" si="16"/>
        <v>101</v>
      </c>
      <c r="L18" s="17">
        <f t="shared" si="17"/>
        <v>306</v>
      </c>
      <c r="M18" s="18">
        <f t="shared" si="18"/>
        <v>101</v>
      </c>
      <c r="N18" s="14">
        <f t="shared" si="19"/>
        <v>306</v>
      </c>
      <c r="O18" s="15">
        <f t="shared" si="20"/>
        <v>117</v>
      </c>
      <c r="P18" s="17">
        <f t="shared" si="21"/>
        <v>289</v>
      </c>
      <c r="Q18" s="18">
        <f t="shared" si="22"/>
        <v>117</v>
      </c>
      <c r="R18" s="4" t="s">
        <v>0</v>
      </c>
      <c r="S18" s="16" t="str">
        <f t="shared" si="23"/>
        <v>15-1㎡</v>
      </c>
      <c r="T18" s="14">
        <f t="shared" si="24"/>
        <v>289</v>
      </c>
      <c r="U18" s="18">
        <f t="shared" si="25"/>
        <v>649</v>
      </c>
      <c r="V18" s="14">
        <f t="shared" si="26"/>
        <v>306</v>
      </c>
      <c r="W18" s="18">
        <f t="shared" si="27"/>
        <v>649</v>
      </c>
      <c r="X18" s="14">
        <f t="shared" si="28"/>
        <v>306</v>
      </c>
      <c r="Y18" s="18">
        <f t="shared" si="29"/>
        <v>633</v>
      </c>
      <c r="Z18" s="14">
        <f t="shared" si="30"/>
        <v>289</v>
      </c>
      <c r="AA18" s="18">
        <f t="shared" si="31"/>
        <v>633</v>
      </c>
      <c r="AB18" s="4" t="s">
        <v>0</v>
      </c>
    </row>
    <row r="19" spans="1:28">
      <c r="A19" s="9" t="s">
        <v>618</v>
      </c>
      <c r="B19" s="24"/>
      <c r="C19" s="26">
        <v>1</v>
      </c>
      <c r="D19" s="25">
        <f>D15</f>
        <v>222</v>
      </c>
      <c r="E19" s="28">
        <f>ROUND(E$15+15.6*$C19, 0)</f>
        <v>117</v>
      </c>
      <c r="F19" s="25">
        <f t="shared" ref="F19:F46" si="36">F15</f>
        <v>239</v>
      </c>
      <c r="G19" s="28">
        <f>ROUND(G$15+15.6*$C19, 0)</f>
        <v>133</v>
      </c>
      <c r="H19" s="4" t="s">
        <v>0</v>
      </c>
      <c r="I19" s="16" t="str">
        <f t="shared" si="14"/>
        <v>58-1㎡</v>
      </c>
      <c r="J19" s="14">
        <f t="shared" si="15"/>
        <v>222</v>
      </c>
      <c r="K19" s="15">
        <f t="shared" si="16"/>
        <v>117</v>
      </c>
      <c r="L19" s="17">
        <f t="shared" si="17"/>
        <v>239</v>
      </c>
      <c r="M19" s="18">
        <f t="shared" si="18"/>
        <v>117</v>
      </c>
      <c r="N19" s="14">
        <f t="shared" si="19"/>
        <v>239</v>
      </c>
      <c r="O19" s="15">
        <f t="shared" si="20"/>
        <v>133</v>
      </c>
      <c r="P19" s="17">
        <f t="shared" si="21"/>
        <v>222</v>
      </c>
      <c r="Q19" s="18">
        <f t="shared" si="22"/>
        <v>133</v>
      </c>
      <c r="R19" s="4" t="s">
        <v>0</v>
      </c>
      <c r="S19" s="16" t="str">
        <f t="shared" si="23"/>
        <v>58-1㎡</v>
      </c>
      <c r="T19" s="14">
        <f t="shared" si="24"/>
        <v>222</v>
      </c>
      <c r="U19" s="18">
        <f t="shared" si="25"/>
        <v>633</v>
      </c>
      <c r="V19" s="14">
        <f t="shared" si="26"/>
        <v>239</v>
      </c>
      <c r="W19" s="18">
        <f t="shared" si="27"/>
        <v>633</v>
      </c>
      <c r="X19" s="14">
        <f t="shared" si="28"/>
        <v>239</v>
      </c>
      <c r="Y19" s="18">
        <f t="shared" si="29"/>
        <v>617</v>
      </c>
      <c r="Z19" s="14">
        <f t="shared" si="30"/>
        <v>222</v>
      </c>
      <c r="AA19" s="18">
        <f t="shared" si="31"/>
        <v>617</v>
      </c>
      <c r="AB19" s="4" t="s">
        <v>0</v>
      </c>
    </row>
    <row r="20" spans="1:28">
      <c r="A20" s="9" t="s">
        <v>610</v>
      </c>
      <c r="B20" s="24"/>
      <c r="C20" s="26"/>
      <c r="D20" s="25">
        <f>D16</f>
        <v>239</v>
      </c>
      <c r="E20" s="29">
        <f t="shared" ref="E20:G20" si="37">E19</f>
        <v>117</v>
      </c>
      <c r="F20" s="25">
        <f t="shared" si="36"/>
        <v>256</v>
      </c>
      <c r="G20" s="29">
        <f t="shared" si="37"/>
        <v>133</v>
      </c>
      <c r="H20" s="4" t="s">
        <v>0</v>
      </c>
      <c r="I20" s="16" t="str">
        <f t="shared" si="14"/>
        <v>38-1㎡</v>
      </c>
      <c r="J20" s="14">
        <f t="shared" si="15"/>
        <v>239</v>
      </c>
      <c r="K20" s="15">
        <f t="shared" si="16"/>
        <v>117</v>
      </c>
      <c r="L20" s="17">
        <f t="shared" si="17"/>
        <v>256</v>
      </c>
      <c r="M20" s="18">
        <f t="shared" si="18"/>
        <v>117</v>
      </c>
      <c r="N20" s="14">
        <f t="shared" si="19"/>
        <v>256</v>
      </c>
      <c r="O20" s="15">
        <f t="shared" si="20"/>
        <v>133</v>
      </c>
      <c r="P20" s="17">
        <f t="shared" si="21"/>
        <v>239</v>
      </c>
      <c r="Q20" s="18">
        <f t="shared" si="22"/>
        <v>133</v>
      </c>
      <c r="R20" s="4" t="s">
        <v>0</v>
      </c>
      <c r="S20" s="16" t="str">
        <f t="shared" si="23"/>
        <v>38-1㎡</v>
      </c>
      <c r="T20" s="14">
        <f t="shared" si="24"/>
        <v>239</v>
      </c>
      <c r="U20" s="18">
        <f t="shared" si="25"/>
        <v>633</v>
      </c>
      <c r="V20" s="14">
        <f t="shared" si="26"/>
        <v>256</v>
      </c>
      <c r="W20" s="18">
        <f t="shared" si="27"/>
        <v>633</v>
      </c>
      <c r="X20" s="14">
        <f t="shared" si="28"/>
        <v>256</v>
      </c>
      <c r="Y20" s="18">
        <f t="shared" si="29"/>
        <v>617</v>
      </c>
      <c r="Z20" s="14">
        <f t="shared" si="30"/>
        <v>239</v>
      </c>
      <c r="AA20" s="18">
        <f t="shared" si="31"/>
        <v>617</v>
      </c>
      <c r="AB20" s="4" t="s">
        <v>0</v>
      </c>
    </row>
    <row r="21" spans="1:28">
      <c r="A21" s="9" t="s">
        <v>601</v>
      </c>
      <c r="B21" s="24"/>
      <c r="C21" s="26"/>
      <c r="D21" s="25">
        <f>D17</f>
        <v>272</v>
      </c>
      <c r="E21" s="29">
        <f t="shared" ref="E21" si="38">E20</f>
        <v>117</v>
      </c>
      <c r="F21" s="25">
        <f t="shared" si="36"/>
        <v>289</v>
      </c>
      <c r="G21" s="29">
        <f t="shared" ref="G21" si="39">G20</f>
        <v>133</v>
      </c>
      <c r="H21" s="4" t="s">
        <v>0</v>
      </c>
      <c r="I21" s="16" t="str">
        <f t="shared" si="14"/>
        <v>27-1㎡</v>
      </c>
      <c r="J21" s="14">
        <f t="shared" si="15"/>
        <v>272</v>
      </c>
      <c r="K21" s="15">
        <f t="shared" si="16"/>
        <v>117</v>
      </c>
      <c r="L21" s="17">
        <f t="shared" si="17"/>
        <v>289</v>
      </c>
      <c r="M21" s="18">
        <f t="shared" si="18"/>
        <v>117</v>
      </c>
      <c r="N21" s="14">
        <f t="shared" si="19"/>
        <v>289</v>
      </c>
      <c r="O21" s="15">
        <f t="shared" si="20"/>
        <v>133</v>
      </c>
      <c r="P21" s="17">
        <f t="shared" si="21"/>
        <v>272</v>
      </c>
      <c r="Q21" s="18">
        <f t="shared" si="22"/>
        <v>133</v>
      </c>
      <c r="R21" s="4" t="s">
        <v>0</v>
      </c>
      <c r="S21" s="16" t="str">
        <f t="shared" si="23"/>
        <v>27-1㎡</v>
      </c>
      <c r="T21" s="14">
        <f t="shared" si="24"/>
        <v>272</v>
      </c>
      <c r="U21" s="18">
        <f t="shared" si="25"/>
        <v>633</v>
      </c>
      <c r="V21" s="14">
        <f t="shared" si="26"/>
        <v>289</v>
      </c>
      <c r="W21" s="18">
        <f t="shared" si="27"/>
        <v>633</v>
      </c>
      <c r="X21" s="14">
        <f t="shared" si="28"/>
        <v>289</v>
      </c>
      <c r="Y21" s="18">
        <f t="shared" si="29"/>
        <v>617</v>
      </c>
      <c r="Z21" s="14">
        <f t="shared" si="30"/>
        <v>272</v>
      </c>
      <c r="AA21" s="18">
        <f t="shared" si="31"/>
        <v>617</v>
      </c>
      <c r="AB21" s="4" t="s">
        <v>0</v>
      </c>
    </row>
    <row r="22" spans="1:28">
      <c r="A22" s="9" t="s">
        <v>590</v>
      </c>
      <c r="B22" s="24"/>
      <c r="C22" s="26"/>
      <c r="D22" s="25">
        <f>D18</f>
        <v>289</v>
      </c>
      <c r="E22" s="29">
        <f t="shared" ref="E22" si="40">E21</f>
        <v>117</v>
      </c>
      <c r="F22" s="25">
        <f t="shared" si="36"/>
        <v>306</v>
      </c>
      <c r="G22" s="29">
        <f t="shared" ref="G22" si="41">G21</f>
        <v>133</v>
      </c>
      <c r="H22" s="4" t="s">
        <v>0</v>
      </c>
      <c r="I22" s="16" t="str">
        <f t="shared" si="14"/>
        <v>13-1㎡</v>
      </c>
      <c r="J22" s="14">
        <f t="shared" si="15"/>
        <v>289</v>
      </c>
      <c r="K22" s="15">
        <f t="shared" si="16"/>
        <v>117</v>
      </c>
      <c r="L22" s="17">
        <f t="shared" si="17"/>
        <v>306</v>
      </c>
      <c r="M22" s="18">
        <f t="shared" si="18"/>
        <v>117</v>
      </c>
      <c r="N22" s="14">
        <f t="shared" si="19"/>
        <v>306</v>
      </c>
      <c r="O22" s="15">
        <f t="shared" si="20"/>
        <v>133</v>
      </c>
      <c r="P22" s="17">
        <f t="shared" si="21"/>
        <v>289</v>
      </c>
      <c r="Q22" s="18">
        <f t="shared" si="22"/>
        <v>133</v>
      </c>
      <c r="R22" s="4" t="s">
        <v>0</v>
      </c>
      <c r="S22" s="16" t="str">
        <f t="shared" si="23"/>
        <v>13-1㎡</v>
      </c>
      <c r="T22" s="14">
        <f t="shared" si="24"/>
        <v>289</v>
      </c>
      <c r="U22" s="18">
        <f t="shared" si="25"/>
        <v>633</v>
      </c>
      <c r="V22" s="14">
        <f t="shared" si="26"/>
        <v>306</v>
      </c>
      <c r="W22" s="18">
        <f t="shared" si="27"/>
        <v>633</v>
      </c>
      <c r="X22" s="14">
        <f t="shared" si="28"/>
        <v>306</v>
      </c>
      <c r="Y22" s="18">
        <f t="shared" si="29"/>
        <v>617</v>
      </c>
      <c r="Z22" s="14">
        <f t="shared" si="30"/>
        <v>289</v>
      </c>
      <c r="AA22" s="18">
        <f t="shared" si="31"/>
        <v>617</v>
      </c>
      <c r="AB22" s="4" t="s">
        <v>0</v>
      </c>
    </row>
    <row r="23" spans="1:28">
      <c r="A23" s="9" t="s">
        <v>617</v>
      </c>
      <c r="B23" s="24"/>
      <c r="C23" s="26">
        <v>2</v>
      </c>
      <c r="D23" s="25">
        <f t="shared" ref="D23:D34" si="42">D19</f>
        <v>222</v>
      </c>
      <c r="E23" s="28">
        <f t="shared" ref="E23" si="43">ROUND(E$15+15.6*$C23, 0)</f>
        <v>132</v>
      </c>
      <c r="F23" s="25">
        <f t="shared" si="36"/>
        <v>239</v>
      </c>
      <c r="G23" s="28">
        <f t="shared" ref="G23" si="44">ROUND(G$15+15.6*$C23, 0)</f>
        <v>148</v>
      </c>
      <c r="H23" s="4" t="s">
        <v>0</v>
      </c>
      <c r="I23" s="16" t="str">
        <f t="shared" si="14"/>
        <v>57-1㎡</v>
      </c>
      <c r="J23" s="14">
        <f t="shared" si="15"/>
        <v>222</v>
      </c>
      <c r="K23" s="15">
        <f t="shared" si="16"/>
        <v>132</v>
      </c>
      <c r="L23" s="17">
        <f t="shared" si="17"/>
        <v>239</v>
      </c>
      <c r="M23" s="18">
        <f t="shared" si="18"/>
        <v>132</v>
      </c>
      <c r="N23" s="14">
        <f t="shared" si="19"/>
        <v>239</v>
      </c>
      <c r="O23" s="15">
        <f t="shared" si="20"/>
        <v>148</v>
      </c>
      <c r="P23" s="17">
        <f t="shared" si="21"/>
        <v>222</v>
      </c>
      <c r="Q23" s="18">
        <f t="shared" si="22"/>
        <v>148</v>
      </c>
      <c r="R23" s="4" t="s">
        <v>0</v>
      </c>
      <c r="S23" s="16" t="str">
        <f t="shared" si="23"/>
        <v>57-1㎡</v>
      </c>
      <c r="T23" s="14">
        <f t="shared" si="24"/>
        <v>222</v>
      </c>
      <c r="U23" s="18">
        <f t="shared" si="25"/>
        <v>618</v>
      </c>
      <c r="V23" s="14">
        <f t="shared" si="26"/>
        <v>239</v>
      </c>
      <c r="W23" s="18">
        <f t="shared" si="27"/>
        <v>618</v>
      </c>
      <c r="X23" s="14">
        <f t="shared" si="28"/>
        <v>239</v>
      </c>
      <c r="Y23" s="18">
        <f t="shared" si="29"/>
        <v>602</v>
      </c>
      <c r="Z23" s="14">
        <f t="shared" si="30"/>
        <v>222</v>
      </c>
      <c r="AA23" s="18">
        <f t="shared" si="31"/>
        <v>602</v>
      </c>
      <c r="AB23" s="4" t="s">
        <v>0</v>
      </c>
    </row>
    <row r="24" spans="1:28">
      <c r="A24" s="9" t="s">
        <v>609</v>
      </c>
      <c r="B24" s="24"/>
      <c r="C24" s="26"/>
      <c r="D24" s="25">
        <f t="shared" si="42"/>
        <v>239</v>
      </c>
      <c r="E24" s="29">
        <f t="shared" ref="E24:E34" si="45">E23</f>
        <v>132</v>
      </c>
      <c r="F24" s="25">
        <f t="shared" si="36"/>
        <v>256</v>
      </c>
      <c r="G24" s="29">
        <f t="shared" ref="G24:G34" si="46">G23</f>
        <v>148</v>
      </c>
      <c r="H24" s="4" t="s">
        <v>0</v>
      </c>
      <c r="I24" s="16" t="str">
        <f t="shared" si="14"/>
        <v>37-1㎡</v>
      </c>
      <c r="J24" s="14">
        <f t="shared" si="15"/>
        <v>239</v>
      </c>
      <c r="K24" s="15">
        <f t="shared" si="16"/>
        <v>132</v>
      </c>
      <c r="L24" s="17">
        <f t="shared" si="17"/>
        <v>256</v>
      </c>
      <c r="M24" s="18">
        <f t="shared" si="18"/>
        <v>132</v>
      </c>
      <c r="N24" s="14">
        <f t="shared" si="19"/>
        <v>256</v>
      </c>
      <c r="O24" s="15">
        <f t="shared" si="20"/>
        <v>148</v>
      </c>
      <c r="P24" s="17">
        <f t="shared" si="21"/>
        <v>239</v>
      </c>
      <c r="Q24" s="18">
        <f t="shared" si="22"/>
        <v>148</v>
      </c>
      <c r="R24" s="4" t="s">
        <v>0</v>
      </c>
      <c r="S24" s="16" t="str">
        <f t="shared" si="23"/>
        <v>37-1㎡</v>
      </c>
      <c r="T24" s="14">
        <f t="shared" si="24"/>
        <v>239</v>
      </c>
      <c r="U24" s="18">
        <f t="shared" si="25"/>
        <v>618</v>
      </c>
      <c r="V24" s="14">
        <f t="shared" si="26"/>
        <v>256</v>
      </c>
      <c r="W24" s="18">
        <f t="shared" si="27"/>
        <v>618</v>
      </c>
      <c r="X24" s="14">
        <f t="shared" si="28"/>
        <v>256</v>
      </c>
      <c r="Y24" s="18">
        <f t="shared" si="29"/>
        <v>602</v>
      </c>
      <c r="Z24" s="14">
        <f t="shared" si="30"/>
        <v>239</v>
      </c>
      <c r="AA24" s="18">
        <f t="shared" si="31"/>
        <v>602</v>
      </c>
      <c r="AB24" s="4" t="s">
        <v>0</v>
      </c>
    </row>
    <row r="25" spans="1:28">
      <c r="A25" s="9" t="s">
        <v>600</v>
      </c>
      <c r="B25" s="24"/>
      <c r="C25" s="26"/>
      <c r="D25" s="25">
        <f t="shared" si="42"/>
        <v>272</v>
      </c>
      <c r="E25" s="29">
        <f t="shared" si="45"/>
        <v>132</v>
      </c>
      <c r="F25" s="25">
        <f t="shared" si="36"/>
        <v>289</v>
      </c>
      <c r="G25" s="29">
        <f t="shared" si="46"/>
        <v>148</v>
      </c>
      <c r="H25" s="4" t="s">
        <v>0</v>
      </c>
      <c r="I25" s="16" t="str">
        <f t="shared" si="14"/>
        <v>26-1㎡</v>
      </c>
      <c r="J25" s="14">
        <f t="shared" si="15"/>
        <v>272</v>
      </c>
      <c r="K25" s="15">
        <f t="shared" si="16"/>
        <v>132</v>
      </c>
      <c r="L25" s="17">
        <f t="shared" si="17"/>
        <v>289</v>
      </c>
      <c r="M25" s="18">
        <f t="shared" si="18"/>
        <v>132</v>
      </c>
      <c r="N25" s="14">
        <f t="shared" si="19"/>
        <v>289</v>
      </c>
      <c r="O25" s="15">
        <f t="shared" si="20"/>
        <v>148</v>
      </c>
      <c r="P25" s="17">
        <f t="shared" si="21"/>
        <v>272</v>
      </c>
      <c r="Q25" s="18">
        <f t="shared" si="22"/>
        <v>148</v>
      </c>
      <c r="R25" s="4" t="s">
        <v>0</v>
      </c>
      <c r="S25" s="16" t="str">
        <f t="shared" si="23"/>
        <v>26-1㎡</v>
      </c>
      <c r="T25" s="14">
        <f t="shared" si="24"/>
        <v>272</v>
      </c>
      <c r="U25" s="18">
        <f t="shared" si="25"/>
        <v>618</v>
      </c>
      <c r="V25" s="14">
        <f t="shared" si="26"/>
        <v>289</v>
      </c>
      <c r="W25" s="18">
        <f t="shared" si="27"/>
        <v>618</v>
      </c>
      <c r="X25" s="14">
        <f t="shared" si="28"/>
        <v>289</v>
      </c>
      <c r="Y25" s="18">
        <f t="shared" si="29"/>
        <v>602</v>
      </c>
      <c r="Z25" s="14">
        <f t="shared" si="30"/>
        <v>272</v>
      </c>
      <c r="AA25" s="18">
        <f t="shared" si="31"/>
        <v>602</v>
      </c>
      <c r="AB25" s="4" t="s">
        <v>0</v>
      </c>
    </row>
    <row r="26" spans="1:28">
      <c r="A26" s="9" t="s">
        <v>589</v>
      </c>
      <c r="B26" s="24"/>
      <c r="C26" s="26"/>
      <c r="D26" s="25">
        <f t="shared" si="42"/>
        <v>289</v>
      </c>
      <c r="E26" s="29">
        <f t="shared" si="45"/>
        <v>132</v>
      </c>
      <c r="F26" s="25">
        <f t="shared" si="36"/>
        <v>306</v>
      </c>
      <c r="G26" s="29">
        <f t="shared" si="46"/>
        <v>148</v>
      </c>
      <c r="H26" s="4" t="s">
        <v>0</v>
      </c>
      <c r="I26" s="16" t="str">
        <f t="shared" si="14"/>
        <v>12-1㎡</v>
      </c>
      <c r="J26" s="14">
        <f t="shared" si="15"/>
        <v>289</v>
      </c>
      <c r="K26" s="15">
        <f t="shared" si="16"/>
        <v>132</v>
      </c>
      <c r="L26" s="17">
        <f t="shared" si="17"/>
        <v>306</v>
      </c>
      <c r="M26" s="18">
        <f t="shared" si="18"/>
        <v>132</v>
      </c>
      <c r="N26" s="14">
        <f t="shared" si="19"/>
        <v>306</v>
      </c>
      <c r="O26" s="15">
        <f t="shared" si="20"/>
        <v>148</v>
      </c>
      <c r="P26" s="17">
        <f t="shared" si="21"/>
        <v>289</v>
      </c>
      <c r="Q26" s="18">
        <f t="shared" si="22"/>
        <v>148</v>
      </c>
      <c r="R26" s="4" t="s">
        <v>0</v>
      </c>
      <c r="S26" s="16" t="str">
        <f t="shared" si="23"/>
        <v>12-1㎡</v>
      </c>
      <c r="T26" s="14">
        <f t="shared" si="24"/>
        <v>289</v>
      </c>
      <c r="U26" s="18">
        <f t="shared" si="25"/>
        <v>618</v>
      </c>
      <c r="V26" s="14">
        <f t="shared" si="26"/>
        <v>306</v>
      </c>
      <c r="W26" s="18">
        <f t="shared" si="27"/>
        <v>618</v>
      </c>
      <c r="X26" s="14">
        <f t="shared" si="28"/>
        <v>306</v>
      </c>
      <c r="Y26" s="18">
        <f t="shared" si="29"/>
        <v>602</v>
      </c>
      <c r="Z26" s="14">
        <f t="shared" si="30"/>
        <v>289</v>
      </c>
      <c r="AA26" s="18">
        <f t="shared" si="31"/>
        <v>602</v>
      </c>
      <c r="AB26" s="4" t="s">
        <v>0</v>
      </c>
    </row>
    <row r="27" spans="1:28">
      <c r="A27" s="9" t="s">
        <v>616</v>
      </c>
      <c r="B27" s="24"/>
      <c r="C27" s="26">
        <v>3</v>
      </c>
      <c r="D27" s="25">
        <f t="shared" si="42"/>
        <v>222</v>
      </c>
      <c r="E27" s="28">
        <f t="shared" ref="E27" si="47">ROUND(E$15+15.6*$C27, 0)</f>
        <v>148</v>
      </c>
      <c r="F27" s="25">
        <f t="shared" si="36"/>
        <v>239</v>
      </c>
      <c r="G27" s="28">
        <f t="shared" ref="G27" si="48">ROUND(G$15+15.6*$C27, 0)</f>
        <v>164</v>
      </c>
      <c r="H27" s="4" t="s">
        <v>0</v>
      </c>
      <c r="I27" s="16" t="str">
        <f t="shared" si="14"/>
        <v>56-1㎡</v>
      </c>
      <c r="J27" s="14">
        <f t="shared" si="15"/>
        <v>222</v>
      </c>
      <c r="K27" s="15">
        <f t="shared" si="16"/>
        <v>148</v>
      </c>
      <c r="L27" s="17">
        <f t="shared" si="17"/>
        <v>239</v>
      </c>
      <c r="M27" s="18">
        <f t="shared" si="18"/>
        <v>148</v>
      </c>
      <c r="N27" s="14">
        <f t="shared" si="19"/>
        <v>239</v>
      </c>
      <c r="O27" s="15">
        <f t="shared" si="20"/>
        <v>164</v>
      </c>
      <c r="P27" s="17">
        <f t="shared" si="21"/>
        <v>222</v>
      </c>
      <c r="Q27" s="18">
        <f t="shared" si="22"/>
        <v>164</v>
      </c>
      <c r="R27" s="4" t="s">
        <v>0</v>
      </c>
      <c r="S27" s="16" t="str">
        <f t="shared" si="23"/>
        <v>56-1㎡</v>
      </c>
      <c r="T27" s="14">
        <f t="shared" si="24"/>
        <v>222</v>
      </c>
      <c r="U27" s="18">
        <f t="shared" si="25"/>
        <v>602</v>
      </c>
      <c r="V27" s="14">
        <f t="shared" si="26"/>
        <v>239</v>
      </c>
      <c r="W27" s="18">
        <f t="shared" si="27"/>
        <v>602</v>
      </c>
      <c r="X27" s="14">
        <f t="shared" si="28"/>
        <v>239</v>
      </c>
      <c r="Y27" s="18">
        <f t="shared" si="29"/>
        <v>586</v>
      </c>
      <c r="Z27" s="14">
        <f t="shared" si="30"/>
        <v>222</v>
      </c>
      <c r="AA27" s="18">
        <f t="shared" si="31"/>
        <v>586</v>
      </c>
      <c r="AB27" s="4" t="s">
        <v>0</v>
      </c>
    </row>
    <row r="28" spans="1:28">
      <c r="A28" s="9" t="s">
        <v>608</v>
      </c>
      <c r="B28" s="24"/>
      <c r="C28" s="26"/>
      <c r="D28" s="25">
        <f t="shared" si="42"/>
        <v>239</v>
      </c>
      <c r="E28" s="29">
        <f t="shared" ref="E28" si="49">E27</f>
        <v>148</v>
      </c>
      <c r="F28" s="25">
        <f t="shared" si="36"/>
        <v>256</v>
      </c>
      <c r="G28" s="29">
        <f t="shared" ref="G28" si="50">G27</f>
        <v>164</v>
      </c>
      <c r="H28" s="4" t="s">
        <v>0</v>
      </c>
      <c r="I28" s="16" t="str">
        <f t="shared" si="14"/>
        <v>36-1㎡</v>
      </c>
      <c r="J28" s="14">
        <f t="shared" si="15"/>
        <v>239</v>
      </c>
      <c r="K28" s="15">
        <f t="shared" si="16"/>
        <v>148</v>
      </c>
      <c r="L28" s="17">
        <f t="shared" si="17"/>
        <v>256</v>
      </c>
      <c r="M28" s="18">
        <f t="shared" si="18"/>
        <v>148</v>
      </c>
      <c r="N28" s="14">
        <f t="shared" si="19"/>
        <v>256</v>
      </c>
      <c r="O28" s="15">
        <f t="shared" si="20"/>
        <v>164</v>
      </c>
      <c r="P28" s="17">
        <f t="shared" si="21"/>
        <v>239</v>
      </c>
      <c r="Q28" s="18">
        <f t="shared" si="22"/>
        <v>164</v>
      </c>
      <c r="R28" s="4" t="s">
        <v>0</v>
      </c>
      <c r="S28" s="16" t="str">
        <f t="shared" si="23"/>
        <v>36-1㎡</v>
      </c>
      <c r="T28" s="14">
        <f t="shared" si="24"/>
        <v>239</v>
      </c>
      <c r="U28" s="18">
        <f t="shared" si="25"/>
        <v>602</v>
      </c>
      <c r="V28" s="14">
        <f t="shared" si="26"/>
        <v>256</v>
      </c>
      <c r="W28" s="18">
        <f t="shared" si="27"/>
        <v>602</v>
      </c>
      <c r="X28" s="14">
        <f t="shared" si="28"/>
        <v>256</v>
      </c>
      <c r="Y28" s="18">
        <f t="shared" si="29"/>
        <v>586</v>
      </c>
      <c r="Z28" s="14">
        <f t="shared" si="30"/>
        <v>239</v>
      </c>
      <c r="AA28" s="18">
        <f t="shared" si="31"/>
        <v>586</v>
      </c>
      <c r="AB28" s="4" t="s">
        <v>0</v>
      </c>
    </row>
    <row r="29" spans="1:28">
      <c r="A29" s="9" t="s">
        <v>599</v>
      </c>
      <c r="B29" s="24"/>
      <c r="C29" s="26"/>
      <c r="D29" s="25">
        <f t="shared" si="42"/>
        <v>272</v>
      </c>
      <c r="E29" s="29">
        <f t="shared" si="45"/>
        <v>148</v>
      </c>
      <c r="F29" s="25">
        <f t="shared" si="36"/>
        <v>289</v>
      </c>
      <c r="G29" s="29">
        <f t="shared" si="46"/>
        <v>164</v>
      </c>
      <c r="H29" s="4" t="s">
        <v>0</v>
      </c>
      <c r="I29" s="16" t="str">
        <f t="shared" si="14"/>
        <v>25-1㎡</v>
      </c>
      <c r="J29" s="14">
        <f t="shared" si="15"/>
        <v>272</v>
      </c>
      <c r="K29" s="15">
        <f t="shared" si="16"/>
        <v>148</v>
      </c>
      <c r="L29" s="17">
        <f t="shared" si="17"/>
        <v>289</v>
      </c>
      <c r="M29" s="18">
        <f t="shared" si="18"/>
        <v>148</v>
      </c>
      <c r="N29" s="14">
        <f t="shared" si="19"/>
        <v>289</v>
      </c>
      <c r="O29" s="15">
        <f t="shared" si="20"/>
        <v>164</v>
      </c>
      <c r="P29" s="17">
        <f t="shared" si="21"/>
        <v>272</v>
      </c>
      <c r="Q29" s="18">
        <f t="shared" si="22"/>
        <v>164</v>
      </c>
      <c r="R29" s="4" t="s">
        <v>0</v>
      </c>
      <c r="S29" s="16" t="str">
        <f t="shared" si="23"/>
        <v>25-1㎡</v>
      </c>
      <c r="T29" s="14">
        <f t="shared" si="24"/>
        <v>272</v>
      </c>
      <c r="U29" s="18">
        <f t="shared" si="25"/>
        <v>602</v>
      </c>
      <c r="V29" s="14">
        <f t="shared" si="26"/>
        <v>289</v>
      </c>
      <c r="W29" s="18">
        <f t="shared" si="27"/>
        <v>602</v>
      </c>
      <c r="X29" s="14">
        <f t="shared" si="28"/>
        <v>289</v>
      </c>
      <c r="Y29" s="18">
        <f t="shared" si="29"/>
        <v>586</v>
      </c>
      <c r="Z29" s="14">
        <f t="shared" si="30"/>
        <v>272</v>
      </c>
      <c r="AA29" s="18">
        <f t="shared" si="31"/>
        <v>586</v>
      </c>
      <c r="AB29" s="4" t="s">
        <v>0</v>
      </c>
    </row>
    <row r="30" spans="1:28">
      <c r="A30" s="9" t="s">
        <v>588</v>
      </c>
      <c r="B30" s="24"/>
      <c r="C30" s="26"/>
      <c r="D30" s="25">
        <f t="shared" si="42"/>
        <v>289</v>
      </c>
      <c r="E30" s="29">
        <f t="shared" si="45"/>
        <v>148</v>
      </c>
      <c r="F30" s="25">
        <f t="shared" si="36"/>
        <v>306</v>
      </c>
      <c r="G30" s="29">
        <f t="shared" si="46"/>
        <v>164</v>
      </c>
      <c r="H30" s="4" t="s">
        <v>0</v>
      </c>
      <c r="I30" s="16" t="str">
        <f t="shared" si="14"/>
        <v>11-1㎡</v>
      </c>
      <c r="J30" s="14">
        <f t="shared" si="15"/>
        <v>289</v>
      </c>
      <c r="K30" s="15">
        <f t="shared" si="16"/>
        <v>148</v>
      </c>
      <c r="L30" s="17">
        <f t="shared" si="17"/>
        <v>306</v>
      </c>
      <c r="M30" s="18">
        <f t="shared" si="18"/>
        <v>148</v>
      </c>
      <c r="N30" s="14">
        <f t="shared" si="19"/>
        <v>306</v>
      </c>
      <c r="O30" s="15">
        <f t="shared" si="20"/>
        <v>164</v>
      </c>
      <c r="P30" s="17">
        <f t="shared" si="21"/>
        <v>289</v>
      </c>
      <c r="Q30" s="18">
        <f t="shared" si="22"/>
        <v>164</v>
      </c>
      <c r="R30" s="4" t="s">
        <v>0</v>
      </c>
      <c r="S30" s="16" t="str">
        <f t="shared" si="23"/>
        <v>11-1㎡</v>
      </c>
      <c r="T30" s="14">
        <f t="shared" si="24"/>
        <v>289</v>
      </c>
      <c r="U30" s="18">
        <f t="shared" si="25"/>
        <v>602</v>
      </c>
      <c r="V30" s="14">
        <f t="shared" si="26"/>
        <v>306</v>
      </c>
      <c r="W30" s="18">
        <f t="shared" si="27"/>
        <v>602</v>
      </c>
      <c r="X30" s="14">
        <f t="shared" si="28"/>
        <v>306</v>
      </c>
      <c r="Y30" s="18">
        <f t="shared" si="29"/>
        <v>586</v>
      </c>
      <c r="Z30" s="14">
        <f t="shared" si="30"/>
        <v>289</v>
      </c>
      <c r="AA30" s="18">
        <f t="shared" si="31"/>
        <v>586</v>
      </c>
      <c r="AB30" s="4" t="s">
        <v>0</v>
      </c>
    </row>
    <row r="31" spans="1:28">
      <c r="A31" s="9" t="s">
        <v>615</v>
      </c>
      <c r="B31" s="24"/>
      <c r="C31" s="26">
        <v>4</v>
      </c>
      <c r="D31" s="25">
        <f t="shared" si="42"/>
        <v>222</v>
      </c>
      <c r="E31" s="28">
        <f t="shared" ref="E31" si="51">ROUND(E$15+15.6*$C31, 0)</f>
        <v>163</v>
      </c>
      <c r="F31" s="25">
        <f t="shared" si="36"/>
        <v>239</v>
      </c>
      <c r="G31" s="28">
        <f t="shared" ref="G31" si="52">ROUND(G$15+15.6*$C31, 0)</f>
        <v>179</v>
      </c>
      <c r="H31" s="4" t="s">
        <v>0</v>
      </c>
      <c r="I31" s="16" t="str">
        <f t="shared" si="14"/>
        <v>55-1㎡</v>
      </c>
      <c r="J31" s="14">
        <f t="shared" si="15"/>
        <v>222</v>
      </c>
      <c r="K31" s="15">
        <f t="shared" si="16"/>
        <v>163</v>
      </c>
      <c r="L31" s="17">
        <f t="shared" si="17"/>
        <v>239</v>
      </c>
      <c r="M31" s="18">
        <f t="shared" si="18"/>
        <v>163</v>
      </c>
      <c r="N31" s="14">
        <f t="shared" si="19"/>
        <v>239</v>
      </c>
      <c r="O31" s="15">
        <f t="shared" si="20"/>
        <v>179</v>
      </c>
      <c r="P31" s="17">
        <f t="shared" si="21"/>
        <v>222</v>
      </c>
      <c r="Q31" s="18">
        <f t="shared" si="22"/>
        <v>179</v>
      </c>
      <c r="R31" s="4" t="s">
        <v>0</v>
      </c>
      <c r="S31" s="16" t="str">
        <f t="shared" si="23"/>
        <v>55-1㎡</v>
      </c>
      <c r="T31" s="14">
        <f t="shared" si="24"/>
        <v>222</v>
      </c>
      <c r="U31" s="18">
        <f t="shared" si="25"/>
        <v>587</v>
      </c>
      <c r="V31" s="14">
        <f t="shared" si="26"/>
        <v>239</v>
      </c>
      <c r="W31" s="18">
        <f t="shared" si="27"/>
        <v>587</v>
      </c>
      <c r="X31" s="14">
        <f t="shared" si="28"/>
        <v>239</v>
      </c>
      <c r="Y31" s="18">
        <f t="shared" si="29"/>
        <v>571</v>
      </c>
      <c r="Z31" s="14">
        <f t="shared" si="30"/>
        <v>222</v>
      </c>
      <c r="AA31" s="18">
        <f t="shared" si="31"/>
        <v>571</v>
      </c>
      <c r="AB31" s="4" t="s">
        <v>0</v>
      </c>
    </row>
    <row r="32" spans="1:28">
      <c r="A32" s="9" t="s">
        <v>607</v>
      </c>
      <c r="B32" s="24"/>
      <c r="C32" s="26"/>
      <c r="D32" s="25">
        <f t="shared" si="42"/>
        <v>239</v>
      </c>
      <c r="E32" s="29">
        <f t="shared" ref="E32" si="53">E31</f>
        <v>163</v>
      </c>
      <c r="F32" s="25">
        <f t="shared" si="36"/>
        <v>256</v>
      </c>
      <c r="G32" s="29">
        <f t="shared" ref="G32" si="54">G31</f>
        <v>179</v>
      </c>
      <c r="H32" s="4" t="s">
        <v>0</v>
      </c>
      <c r="I32" s="16" t="str">
        <f t="shared" si="14"/>
        <v>35-1㎡</v>
      </c>
      <c r="J32" s="14">
        <f t="shared" si="15"/>
        <v>239</v>
      </c>
      <c r="K32" s="15">
        <f t="shared" si="16"/>
        <v>163</v>
      </c>
      <c r="L32" s="17">
        <f t="shared" si="17"/>
        <v>256</v>
      </c>
      <c r="M32" s="18">
        <f t="shared" si="18"/>
        <v>163</v>
      </c>
      <c r="N32" s="14">
        <f t="shared" si="19"/>
        <v>256</v>
      </c>
      <c r="O32" s="15">
        <f t="shared" si="20"/>
        <v>179</v>
      </c>
      <c r="P32" s="17">
        <f t="shared" si="21"/>
        <v>239</v>
      </c>
      <c r="Q32" s="18">
        <f t="shared" si="22"/>
        <v>179</v>
      </c>
      <c r="R32" s="4" t="s">
        <v>0</v>
      </c>
      <c r="S32" s="16" t="str">
        <f t="shared" si="23"/>
        <v>35-1㎡</v>
      </c>
      <c r="T32" s="14">
        <f t="shared" si="24"/>
        <v>239</v>
      </c>
      <c r="U32" s="18">
        <f t="shared" si="25"/>
        <v>587</v>
      </c>
      <c r="V32" s="14">
        <f t="shared" si="26"/>
        <v>256</v>
      </c>
      <c r="W32" s="18">
        <f t="shared" si="27"/>
        <v>587</v>
      </c>
      <c r="X32" s="14">
        <f t="shared" si="28"/>
        <v>256</v>
      </c>
      <c r="Y32" s="18">
        <f t="shared" si="29"/>
        <v>571</v>
      </c>
      <c r="Z32" s="14">
        <f t="shared" si="30"/>
        <v>239</v>
      </c>
      <c r="AA32" s="18">
        <f t="shared" si="31"/>
        <v>571</v>
      </c>
      <c r="AB32" s="4" t="s">
        <v>0</v>
      </c>
    </row>
    <row r="33" spans="1:28">
      <c r="A33" s="9" t="s">
        <v>598</v>
      </c>
      <c r="B33" s="24"/>
      <c r="C33" s="26"/>
      <c r="D33" s="25">
        <f t="shared" si="42"/>
        <v>272</v>
      </c>
      <c r="E33" s="29">
        <f t="shared" si="45"/>
        <v>163</v>
      </c>
      <c r="F33" s="25">
        <f t="shared" si="36"/>
        <v>289</v>
      </c>
      <c r="G33" s="29">
        <f t="shared" si="46"/>
        <v>179</v>
      </c>
      <c r="H33" s="4" t="s">
        <v>0</v>
      </c>
      <c r="I33" s="16" t="str">
        <f t="shared" si="14"/>
        <v>23-1㎡</v>
      </c>
      <c r="J33" s="14">
        <f t="shared" si="15"/>
        <v>272</v>
      </c>
      <c r="K33" s="15">
        <f t="shared" si="16"/>
        <v>163</v>
      </c>
      <c r="L33" s="17">
        <f t="shared" si="17"/>
        <v>289</v>
      </c>
      <c r="M33" s="18">
        <f t="shared" si="18"/>
        <v>163</v>
      </c>
      <c r="N33" s="14">
        <f t="shared" si="19"/>
        <v>289</v>
      </c>
      <c r="O33" s="15">
        <f t="shared" si="20"/>
        <v>179</v>
      </c>
      <c r="P33" s="17">
        <f t="shared" si="21"/>
        <v>272</v>
      </c>
      <c r="Q33" s="18">
        <f t="shared" si="22"/>
        <v>179</v>
      </c>
      <c r="R33" s="4" t="s">
        <v>0</v>
      </c>
      <c r="S33" s="16" t="str">
        <f t="shared" si="23"/>
        <v>23-1㎡</v>
      </c>
      <c r="T33" s="14">
        <f t="shared" si="24"/>
        <v>272</v>
      </c>
      <c r="U33" s="18">
        <f t="shared" si="25"/>
        <v>587</v>
      </c>
      <c r="V33" s="14">
        <f t="shared" si="26"/>
        <v>289</v>
      </c>
      <c r="W33" s="18">
        <f t="shared" si="27"/>
        <v>587</v>
      </c>
      <c r="X33" s="14">
        <f t="shared" si="28"/>
        <v>289</v>
      </c>
      <c r="Y33" s="18">
        <f t="shared" si="29"/>
        <v>571</v>
      </c>
      <c r="Z33" s="14">
        <f t="shared" si="30"/>
        <v>272</v>
      </c>
      <c r="AA33" s="18">
        <f t="shared" si="31"/>
        <v>571</v>
      </c>
      <c r="AB33" s="4" t="s">
        <v>0</v>
      </c>
    </row>
    <row r="34" spans="1:28">
      <c r="A34" s="9" t="s">
        <v>587</v>
      </c>
      <c r="B34" s="24"/>
      <c r="C34" s="26"/>
      <c r="D34" s="25">
        <f t="shared" si="42"/>
        <v>289</v>
      </c>
      <c r="E34" s="29">
        <f t="shared" si="45"/>
        <v>163</v>
      </c>
      <c r="F34" s="25">
        <f t="shared" si="36"/>
        <v>306</v>
      </c>
      <c r="G34" s="29">
        <f t="shared" si="46"/>
        <v>179</v>
      </c>
      <c r="H34" s="4" t="s">
        <v>0</v>
      </c>
      <c r="I34" s="16" t="str">
        <f t="shared" si="14"/>
        <v>10-1㎡</v>
      </c>
      <c r="J34" s="14">
        <f t="shared" si="15"/>
        <v>289</v>
      </c>
      <c r="K34" s="15">
        <f t="shared" si="16"/>
        <v>163</v>
      </c>
      <c r="L34" s="17">
        <f t="shared" si="17"/>
        <v>306</v>
      </c>
      <c r="M34" s="18">
        <f t="shared" si="18"/>
        <v>163</v>
      </c>
      <c r="N34" s="14">
        <f t="shared" si="19"/>
        <v>306</v>
      </c>
      <c r="O34" s="15">
        <f t="shared" si="20"/>
        <v>179</v>
      </c>
      <c r="P34" s="17">
        <f t="shared" si="21"/>
        <v>289</v>
      </c>
      <c r="Q34" s="18">
        <f t="shared" si="22"/>
        <v>179</v>
      </c>
      <c r="R34" s="4" t="s">
        <v>0</v>
      </c>
      <c r="S34" s="16" t="str">
        <f t="shared" si="23"/>
        <v>10-1㎡</v>
      </c>
      <c r="T34" s="14">
        <f t="shared" si="24"/>
        <v>289</v>
      </c>
      <c r="U34" s="18">
        <f t="shared" si="25"/>
        <v>587</v>
      </c>
      <c r="V34" s="14">
        <f t="shared" si="26"/>
        <v>306</v>
      </c>
      <c r="W34" s="18">
        <f t="shared" si="27"/>
        <v>587</v>
      </c>
      <c r="X34" s="14">
        <f t="shared" si="28"/>
        <v>306</v>
      </c>
      <c r="Y34" s="18">
        <f t="shared" si="29"/>
        <v>571</v>
      </c>
      <c r="Z34" s="14">
        <f t="shared" si="30"/>
        <v>289</v>
      </c>
      <c r="AA34" s="18">
        <f t="shared" si="31"/>
        <v>571</v>
      </c>
      <c r="AB34" s="4" t="s">
        <v>0</v>
      </c>
    </row>
    <row r="35" spans="1:28">
      <c r="A35" s="9" t="s">
        <v>614</v>
      </c>
      <c r="B35" s="24"/>
      <c r="C35" s="4" t="s">
        <v>0</v>
      </c>
      <c r="D35" s="27">
        <f t="shared" ref="D35:D46" si="55">D31</f>
        <v>222</v>
      </c>
      <c r="E35" s="31">
        <v>203</v>
      </c>
      <c r="F35" s="27">
        <f>F31</f>
        <v>239</v>
      </c>
      <c r="G35" s="31">
        <v>219</v>
      </c>
      <c r="H35" s="4" t="s">
        <v>0</v>
      </c>
      <c r="I35" s="16" t="str">
        <f t="shared" si="14"/>
        <v>53-1㎡</v>
      </c>
      <c r="J35" s="14">
        <f t="shared" si="15"/>
        <v>222</v>
      </c>
      <c r="K35" s="15">
        <f t="shared" si="16"/>
        <v>203</v>
      </c>
      <c r="L35" s="17">
        <f t="shared" si="17"/>
        <v>239</v>
      </c>
      <c r="M35" s="18">
        <f t="shared" si="18"/>
        <v>203</v>
      </c>
      <c r="N35" s="14">
        <f t="shared" si="19"/>
        <v>239</v>
      </c>
      <c r="O35" s="15">
        <f t="shared" si="20"/>
        <v>219</v>
      </c>
      <c r="P35" s="17">
        <f t="shared" si="21"/>
        <v>222</v>
      </c>
      <c r="Q35" s="18">
        <f t="shared" si="22"/>
        <v>219</v>
      </c>
      <c r="R35" s="4" t="s">
        <v>0</v>
      </c>
      <c r="S35" s="16" t="str">
        <f t="shared" si="23"/>
        <v>53-1㎡</v>
      </c>
      <c r="T35" s="14">
        <f t="shared" si="24"/>
        <v>222</v>
      </c>
      <c r="U35" s="18">
        <f t="shared" si="25"/>
        <v>547</v>
      </c>
      <c r="V35" s="14">
        <f t="shared" si="26"/>
        <v>239</v>
      </c>
      <c r="W35" s="18">
        <f t="shared" si="27"/>
        <v>547</v>
      </c>
      <c r="X35" s="14">
        <f t="shared" si="28"/>
        <v>239</v>
      </c>
      <c r="Y35" s="18">
        <f t="shared" si="29"/>
        <v>531</v>
      </c>
      <c r="Z35" s="14">
        <f t="shared" si="30"/>
        <v>222</v>
      </c>
      <c r="AA35" s="18">
        <f t="shared" si="31"/>
        <v>531</v>
      </c>
      <c r="AB35" s="4" t="s">
        <v>0</v>
      </c>
    </row>
    <row r="36" spans="1:28">
      <c r="A36" s="9" t="s">
        <v>606</v>
      </c>
      <c r="B36" s="24"/>
      <c r="C36" s="26"/>
      <c r="D36" s="25">
        <f t="shared" si="55"/>
        <v>239</v>
      </c>
      <c r="E36" s="29">
        <f t="shared" ref="E36:E38" si="56">E35</f>
        <v>203</v>
      </c>
      <c r="F36" s="25">
        <f>F32</f>
        <v>256</v>
      </c>
      <c r="G36" s="29">
        <f t="shared" ref="G36:G38" si="57">G35</f>
        <v>219</v>
      </c>
      <c r="H36" s="4" t="s">
        <v>0</v>
      </c>
      <c r="I36" s="16" t="str">
        <f t="shared" si="14"/>
        <v>33-1㎡</v>
      </c>
      <c r="J36" s="14">
        <f t="shared" si="15"/>
        <v>239</v>
      </c>
      <c r="K36" s="15">
        <f t="shared" si="16"/>
        <v>203</v>
      </c>
      <c r="L36" s="17">
        <f t="shared" si="17"/>
        <v>256</v>
      </c>
      <c r="M36" s="18">
        <f t="shared" si="18"/>
        <v>203</v>
      </c>
      <c r="N36" s="14">
        <f t="shared" si="19"/>
        <v>256</v>
      </c>
      <c r="O36" s="15">
        <f t="shared" si="20"/>
        <v>219</v>
      </c>
      <c r="P36" s="17">
        <f t="shared" si="21"/>
        <v>239</v>
      </c>
      <c r="Q36" s="18">
        <f t="shared" si="22"/>
        <v>219</v>
      </c>
      <c r="R36" s="4" t="s">
        <v>0</v>
      </c>
      <c r="S36" s="16" t="str">
        <f t="shared" si="23"/>
        <v>33-1㎡</v>
      </c>
      <c r="T36" s="14">
        <f t="shared" si="24"/>
        <v>239</v>
      </c>
      <c r="U36" s="18">
        <f t="shared" si="25"/>
        <v>547</v>
      </c>
      <c r="V36" s="14">
        <f t="shared" si="26"/>
        <v>256</v>
      </c>
      <c r="W36" s="18">
        <f t="shared" si="27"/>
        <v>547</v>
      </c>
      <c r="X36" s="14">
        <f t="shared" si="28"/>
        <v>256</v>
      </c>
      <c r="Y36" s="18">
        <f t="shared" si="29"/>
        <v>531</v>
      </c>
      <c r="Z36" s="14">
        <f t="shared" si="30"/>
        <v>239</v>
      </c>
      <c r="AA36" s="18">
        <f t="shared" si="31"/>
        <v>531</v>
      </c>
      <c r="AB36" s="4" t="s">
        <v>0</v>
      </c>
    </row>
    <row r="37" spans="1:28">
      <c r="A37" s="9" t="s">
        <v>597</v>
      </c>
      <c r="B37" s="24"/>
      <c r="C37" s="26"/>
      <c r="D37" s="25">
        <f t="shared" si="55"/>
        <v>272</v>
      </c>
      <c r="E37" s="29">
        <f t="shared" si="56"/>
        <v>203</v>
      </c>
      <c r="F37" s="25">
        <f>F33</f>
        <v>289</v>
      </c>
      <c r="G37" s="29">
        <f t="shared" si="57"/>
        <v>219</v>
      </c>
      <c r="H37" s="4" t="s">
        <v>0</v>
      </c>
      <c r="I37" s="16" t="str">
        <f t="shared" si="14"/>
        <v>22-1㎡</v>
      </c>
      <c r="J37" s="14">
        <f t="shared" si="15"/>
        <v>272</v>
      </c>
      <c r="K37" s="15">
        <f t="shared" si="16"/>
        <v>203</v>
      </c>
      <c r="L37" s="17">
        <f t="shared" si="17"/>
        <v>289</v>
      </c>
      <c r="M37" s="18">
        <f t="shared" si="18"/>
        <v>203</v>
      </c>
      <c r="N37" s="14">
        <f t="shared" si="19"/>
        <v>289</v>
      </c>
      <c r="O37" s="15">
        <f t="shared" si="20"/>
        <v>219</v>
      </c>
      <c r="P37" s="17">
        <f t="shared" si="21"/>
        <v>272</v>
      </c>
      <c r="Q37" s="18">
        <f t="shared" si="22"/>
        <v>219</v>
      </c>
      <c r="R37" s="4" t="s">
        <v>0</v>
      </c>
      <c r="S37" s="16" t="str">
        <f t="shared" si="23"/>
        <v>22-1㎡</v>
      </c>
      <c r="T37" s="14">
        <f t="shared" si="24"/>
        <v>272</v>
      </c>
      <c r="U37" s="18">
        <f t="shared" si="25"/>
        <v>547</v>
      </c>
      <c r="V37" s="14">
        <f t="shared" si="26"/>
        <v>289</v>
      </c>
      <c r="W37" s="18">
        <f t="shared" si="27"/>
        <v>547</v>
      </c>
      <c r="X37" s="14">
        <f t="shared" si="28"/>
        <v>289</v>
      </c>
      <c r="Y37" s="18">
        <f t="shared" si="29"/>
        <v>531</v>
      </c>
      <c r="Z37" s="14">
        <f t="shared" si="30"/>
        <v>272</v>
      </c>
      <c r="AA37" s="18">
        <f t="shared" si="31"/>
        <v>531</v>
      </c>
      <c r="AB37" s="4" t="s">
        <v>0</v>
      </c>
    </row>
    <row r="38" spans="1:28">
      <c r="A38" s="9" t="s">
        <v>586</v>
      </c>
      <c r="B38" s="24"/>
      <c r="C38" s="26"/>
      <c r="D38" s="25">
        <f t="shared" si="55"/>
        <v>289</v>
      </c>
      <c r="E38" s="29">
        <f t="shared" si="56"/>
        <v>203</v>
      </c>
      <c r="F38" s="25">
        <f>F34</f>
        <v>306</v>
      </c>
      <c r="G38" s="29">
        <f t="shared" si="57"/>
        <v>219</v>
      </c>
      <c r="H38" s="4" t="s">
        <v>0</v>
      </c>
      <c r="I38" s="16" t="str">
        <f t="shared" si="14"/>
        <v>08-1㎡</v>
      </c>
      <c r="J38" s="14">
        <f t="shared" si="15"/>
        <v>289</v>
      </c>
      <c r="K38" s="15">
        <f t="shared" si="16"/>
        <v>203</v>
      </c>
      <c r="L38" s="17">
        <f t="shared" si="17"/>
        <v>306</v>
      </c>
      <c r="M38" s="18">
        <f t="shared" si="18"/>
        <v>203</v>
      </c>
      <c r="N38" s="14">
        <f t="shared" si="19"/>
        <v>306</v>
      </c>
      <c r="O38" s="15">
        <f t="shared" si="20"/>
        <v>219</v>
      </c>
      <c r="P38" s="17">
        <f t="shared" si="21"/>
        <v>289</v>
      </c>
      <c r="Q38" s="18">
        <f t="shared" si="22"/>
        <v>219</v>
      </c>
      <c r="R38" s="4" t="s">
        <v>0</v>
      </c>
      <c r="S38" s="16" t="str">
        <f t="shared" si="23"/>
        <v>08-1㎡</v>
      </c>
      <c r="T38" s="14">
        <f t="shared" si="24"/>
        <v>289</v>
      </c>
      <c r="U38" s="18">
        <f t="shared" si="25"/>
        <v>547</v>
      </c>
      <c r="V38" s="14">
        <f t="shared" si="26"/>
        <v>306</v>
      </c>
      <c r="W38" s="18">
        <f t="shared" si="27"/>
        <v>547</v>
      </c>
      <c r="X38" s="14">
        <f t="shared" si="28"/>
        <v>306</v>
      </c>
      <c r="Y38" s="18">
        <f t="shared" si="29"/>
        <v>531</v>
      </c>
      <c r="Z38" s="14">
        <f t="shared" si="30"/>
        <v>289</v>
      </c>
      <c r="AA38" s="18">
        <f t="shared" si="31"/>
        <v>531</v>
      </c>
      <c r="AB38" s="4" t="s">
        <v>0</v>
      </c>
    </row>
    <row r="39" spans="1:28">
      <c r="A39" s="9" t="s">
        <v>613</v>
      </c>
      <c r="B39" s="24"/>
      <c r="C39" s="26">
        <v>1</v>
      </c>
      <c r="D39" s="25">
        <f t="shared" si="55"/>
        <v>222</v>
      </c>
      <c r="E39" s="28">
        <f>ROUND(E$35+15.6*$C39, 0)</f>
        <v>219</v>
      </c>
      <c r="F39" s="25">
        <f t="shared" si="36"/>
        <v>239</v>
      </c>
      <c r="G39" s="28">
        <f>ROUND(G$35+15.6*$C39, 0)</f>
        <v>235</v>
      </c>
      <c r="H39" s="4" t="s">
        <v>0</v>
      </c>
      <c r="I39" s="16" t="str">
        <f t="shared" si="14"/>
        <v>52-1㎡</v>
      </c>
      <c r="J39" s="14">
        <f t="shared" si="15"/>
        <v>222</v>
      </c>
      <c r="K39" s="15">
        <f t="shared" si="16"/>
        <v>219</v>
      </c>
      <c r="L39" s="17">
        <f t="shared" si="17"/>
        <v>239</v>
      </c>
      <c r="M39" s="18">
        <f t="shared" si="18"/>
        <v>219</v>
      </c>
      <c r="N39" s="14">
        <f t="shared" si="19"/>
        <v>239</v>
      </c>
      <c r="O39" s="15">
        <f t="shared" si="20"/>
        <v>235</v>
      </c>
      <c r="P39" s="17">
        <f t="shared" si="21"/>
        <v>222</v>
      </c>
      <c r="Q39" s="18">
        <f t="shared" si="22"/>
        <v>235</v>
      </c>
      <c r="R39" s="4" t="s">
        <v>0</v>
      </c>
      <c r="S39" s="16" t="str">
        <f t="shared" si="23"/>
        <v>52-1㎡</v>
      </c>
      <c r="T39" s="14">
        <f t="shared" si="24"/>
        <v>222</v>
      </c>
      <c r="U39" s="18">
        <f t="shared" si="25"/>
        <v>531</v>
      </c>
      <c r="V39" s="14">
        <f t="shared" si="26"/>
        <v>239</v>
      </c>
      <c r="W39" s="18">
        <f t="shared" si="27"/>
        <v>531</v>
      </c>
      <c r="X39" s="14">
        <f t="shared" si="28"/>
        <v>239</v>
      </c>
      <c r="Y39" s="18">
        <f t="shared" si="29"/>
        <v>515</v>
      </c>
      <c r="Z39" s="14">
        <f t="shared" si="30"/>
        <v>222</v>
      </c>
      <c r="AA39" s="18">
        <f t="shared" si="31"/>
        <v>515</v>
      </c>
      <c r="AB39" s="4" t="s">
        <v>0</v>
      </c>
    </row>
    <row r="40" spans="1:28">
      <c r="A40" s="9" t="s">
        <v>605</v>
      </c>
      <c r="B40" s="24"/>
      <c r="C40" s="26"/>
      <c r="D40" s="25">
        <f t="shared" si="55"/>
        <v>239</v>
      </c>
      <c r="E40" s="29">
        <f t="shared" ref="E40:E42" si="58">E39</f>
        <v>219</v>
      </c>
      <c r="F40" s="25">
        <f t="shared" si="36"/>
        <v>256</v>
      </c>
      <c r="G40" s="29">
        <f t="shared" ref="G40:G53" si="59">G39</f>
        <v>235</v>
      </c>
      <c r="H40" s="4" t="s">
        <v>0</v>
      </c>
      <c r="I40" s="16" t="str">
        <f t="shared" si="14"/>
        <v>32-1㎡</v>
      </c>
      <c r="J40" s="14">
        <f t="shared" si="15"/>
        <v>239</v>
      </c>
      <c r="K40" s="15">
        <f t="shared" si="16"/>
        <v>219</v>
      </c>
      <c r="L40" s="17">
        <f t="shared" si="17"/>
        <v>256</v>
      </c>
      <c r="M40" s="18">
        <f t="shared" si="18"/>
        <v>219</v>
      </c>
      <c r="N40" s="14">
        <f t="shared" si="19"/>
        <v>256</v>
      </c>
      <c r="O40" s="15">
        <f t="shared" si="20"/>
        <v>235</v>
      </c>
      <c r="P40" s="17">
        <f t="shared" si="21"/>
        <v>239</v>
      </c>
      <c r="Q40" s="18">
        <f t="shared" si="22"/>
        <v>235</v>
      </c>
      <c r="R40" s="4" t="s">
        <v>0</v>
      </c>
      <c r="S40" s="16" t="str">
        <f t="shared" si="23"/>
        <v>32-1㎡</v>
      </c>
      <c r="T40" s="14">
        <f t="shared" si="24"/>
        <v>239</v>
      </c>
      <c r="U40" s="18">
        <f t="shared" si="25"/>
        <v>531</v>
      </c>
      <c r="V40" s="14">
        <f t="shared" si="26"/>
        <v>256</v>
      </c>
      <c r="W40" s="18">
        <f t="shared" si="27"/>
        <v>531</v>
      </c>
      <c r="X40" s="14">
        <f t="shared" si="28"/>
        <v>256</v>
      </c>
      <c r="Y40" s="18">
        <f t="shared" si="29"/>
        <v>515</v>
      </c>
      <c r="Z40" s="14">
        <f t="shared" si="30"/>
        <v>239</v>
      </c>
      <c r="AA40" s="18">
        <f t="shared" si="31"/>
        <v>515</v>
      </c>
      <c r="AB40" s="4" t="s">
        <v>0</v>
      </c>
    </row>
    <row r="41" spans="1:28">
      <c r="A41" s="9" t="s">
        <v>596</v>
      </c>
      <c r="B41" s="24"/>
      <c r="C41" s="26"/>
      <c r="D41" s="25">
        <f t="shared" si="55"/>
        <v>272</v>
      </c>
      <c r="E41" s="29">
        <f t="shared" si="58"/>
        <v>219</v>
      </c>
      <c r="F41" s="25">
        <f t="shared" si="36"/>
        <v>289</v>
      </c>
      <c r="G41" s="29">
        <f t="shared" si="59"/>
        <v>235</v>
      </c>
      <c r="H41" s="4" t="s">
        <v>0</v>
      </c>
      <c r="I41" s="16" t="str">
        <f t="shared" si="14"/>
        <v>21-1㎡</v>
      </c>
      <c r="J41" s="14">
        <f t="shared" si="15"/>
        <v>272</v>
      </c>
      <c r="K41" s="15">
        <f t="shared" si="16"/>
        <v>219</v>
      </c>
      <c r="L41" s="17">
        <f t="shared" si="17"/>
        <v>289</v>
      </c>
      <c r="M41" s="18">
        <f t="shared" si="18"/>
        <v>219</v>
      </c>
      <c r="N41" s="14">
        <f t="shared" si="19"/>
        <v>289</v>
      </c>
      <c r="O41" s="15">
        <f t="shared" si="20"/>
        <v>235</v>
      </c>
      <c r="P41" s="17">
        <f t="shared" si="21"/>
        <v>272</v>
      </c>
      <c r="Q41" s="18">
        <f t="shared" si="22"/>
        <v>235</v>
      </c>
      <c r="R41" s="4" t="s">
        <v>0</v>
      </c>
      <c r="S41" s="16" t="str">
        <f t="shared" si="23"/>
        <v>21-1㎡</v>
      </c>
      <c r="T41" s="14">
        <f t="shared" si="24"/>
        <v>272</v>
      </c>
      <c r="U41" s="18">
        <f t="shared" si="25"/>
        <v>531</v>
      </c>
      <c r="V41" s="14">
        <f t="shared" si="26"/>
        <v>289</v>
      </c>
      <c r="W41" s="18">
        <f t="shared" si="27"/>
        <v>531</v>
      </c>
      <c r="X41" s="14">
        <f t="shared" si="28"/>
        <v>289</v>
      </c>
      <c r="Y41" s="18">
        <f t="shared" si="29"/>
        <v>515</v>
      </c>
      <c r="Z41" s="14">
        <f t="shared" si="30"/>
        <v>272</v>
      </c>
      <c r="AA41" s="18">
        <f t="shared" si="31"/>
        <v>515</v>
      </c>
      <c r="AB41" s="4" t="s">
        <v>0</v>
      </c>
    </row>
    <row r="42" spans="1:28">
      <c r="A42" s="9" t="s">
        <v>585</v>
      </c>
      <c r="B42" s="24"/>
      <c r="C42" s="26"/>
      <c r="D42" s="25">
        <f t="shared" si="55"/>
        <v>289</v>
      </c>
      <c r="E42" s="29">
        <f t="shared" si="58"/>
        <v>219</v>
      </c>
      <c r="F42" s="25">
        <f t="shared" si="36"/>
        <v>306</v>
      </c>
      <c r="G42" s="29">
        <f t="shared" si="59"/>
        <v>235</v>
      </c>
      <c r="H42" s="4" t="s">
        <v>0</v>
      </c>
      <c r="I42" s="16" t="str">
        <f t="shared" si="14"/>
        <v>07-1㎡</v>
      </c>
      <c r="J42" s="14">
        <f t="shared" si="15"/>
        <v>289</v>
      </c>
      <c r="K42" s="15">
        <f t="shared" si="16"/>
        <v>219</v>
      </c>
      <c r="L42" s="17">
        <f t="shared" si="17"/>
        <v>306</v>
      </c>
      <c r="M42" s="18">
        <f t="shared" si="18"/>
        <v>219</v>
      </c>
      <c r="N42" s="14">
        <f t="shared" si="19"/>
        <v>306</v>
      </c>
      <c r="O42" s="15">
        <f t="shared" si="20"/>
        <v>235</v>
      </c>
      <c r="P42" s="17">
        <f t="shared" si="21"/>
        <v>289</v>
      </c>
      <c r="Q42" s="18">
        <f t="shared" si="22"/>
        <v>235</v>
      </c>
      <c r="R42" s="4" t="s">
        <v>0</v>
      </c>
      <c r="S42" s="16" t="str">
        <f t="shared" si="23"/>
        <v>07-1㎡</v>
      </c>
      <c r="T42" s="14">
        <f t="shared" si="24"/>
        <v>289</v>
      </c>
      <c r="U42" s="18">
        <f t="shared" si="25"/>
        <v>531</v>
      </c>
      <c r="V42" s="14">
        <f t="shared" si="26"/>
        <v>306</v>
      </c>
      <c r="W42" s="18">
        <f t="shared" si="27"/>
        <v>531</v>
      </c>
      <c r="X42" s="14">
        <f t="shared" si="28"/>
        <v>306</v>
      </c>
      <c r="Y42" s="18">
        <f t="shared" si="29"/>
        <v>515</v>
      </c>
      <c r="Z42" s="14">
        <f t="shared" si="30"/>
        <v>289</v>
      </c>
      <c r="AA42" s="18">
        <f t="shared" si="31"/>
        <v>515</v>
      </c>
      <c r="AB42" s="4" t="s">
        <v>0</v>
      </c>
    </row>
    <row r="43" spans="1:28">
      <c r="A43" s="9" t="s">
        <v>612</v>
      </c>
      <c r="B43" s="24"/>
      <c r="C43" s="26">
        <v>2</v>
      </c>
      <c r="D43" s="25">
        <f t="shared" si="55"/>
        <v>222</v>
      </c>
      <c r="E43" s="28">
        <f>ROUND(E$35+15.6*$C43, 0)</f>
        <v>234</v>
      </c>
      <c r="F43" s="25">
        <f t="shared" si="36"/>
        <v>239</v>
      </c>
      <c r="G43" s="28">
        <f>ROUND(G$35+15.6*$C43, 0)</f>
        <v>250</v>
      </c>
      <c r="H43" s="4" t="s">
        <v>0</v>
      </c>
      <c r="I43" s="16" t="str">
        <f t="shared" si="14"/>
        <v>51-1㎡</v>
      </c>
      <c r="J43" s="14">
        <f t="shared" si="15"/>
        <v>222</v>
      </c>
      <c r="K43" s="15">
        <f t="shared" si="16"/>
        <v>234</v>
      </c>
      <c r="L43" s="17">
        <f t="shared" si="17"/>
        <v>239</v>
      </c>
      <c r="M43" s="18">
        <f t="shared" si="18"/>
        <v>234</v>
      </c>
      <c r="N43" s="14">
        <f t="shared" si="19"/>
        <v>239</v>
      </c>
      <c r="O43" s="15">
        <f t="shared" si="20"/>
        <v>250</v>
      </c>
      <c r="P43" s="17">
        <f t="shared" si="21"/>
        <v>222</v>
      </c>
      <c r="Q43" s="18">
        <f t="shared" si="22"/>
        <v>250</v>
      </c>
      <c r="R43" s="4" t="s">
        <v>0</v>
      </c>
      <c r="S43" s="16" t="str">
        <f t="shared" si="23"/>
        <v>51-1㎡</v>
      </c>
      <c r="T43" s="14">
        <f t="shared" si="24"/>
        <v>222</v>
      </c>
      <c r="U43" s="18">
        <f t="shared" si="25"/>
        <v>516</v>
      </c>
      <c r="V43" s="14">
        <f t="shared" si="26"/>
        <v>239</v>
      </c>
      <c r="W43" s="18">
        <f t="shared" si="27"/>
        <v>516</v>
      </c>
      <c r="X43" s="14">
        <f t="shared" si="28"/>
        <v>239</v>
      </c>
      <c r="Y43" s="18">
        <f t="shared" si="29"/>
        <v>500</v>
      </c>
      <c r="Z43" s="14">
        <f t="shared" si="30"/>
        <v>222</v>
      </c>
      <c r="AA43" s="18">
        <f t="shared" si="31"/>
        <v>500</v>
      </c>
      <c r="AB43" s="4" t="s">
        <v>0</v>
      </c>
    </row>
    <row r="44" spans="1:28">
      <c r="A44" s="9" t="s">
        <v>604</v>
      </c>
      <c r="B44" s="24"/>
      <c r="C44" s="26"/>
      <c r="D44" s="25">
        <f t="shared" si="55"/>
        <v>239</v>
      </c>
      <c r="E44" s="29">
        <f t="shared" ref="E44" si="60">E43</f>
        <v>234</v>
      </c>
      <c r="F44" s="25">
        <f t="shared" si="36"/>
        <v>256</v>
      </c>
      <c r="G44" s="29">
        <f t="shared" si="59"/>
        <v>250</v>
      </c>
      <c r="H44" s="4" t="s">
        <v>0</v>
      </c>
      <c r="I44" s="16" t="str">
        <f t="shared" si="14"/>
        <v>31-1㎡</v>
      </c>
      <c r="J44" s="14">
        <f t="shared" si="15"/>
        <v>239</v>
      </c>
      <c r="K44" s="15">
        <f t="shared" si="16"/>
        <v>234</v>
      </c>
      <c r="L44" s="17">
        <f t="shared" si="17"/>
        <v>256</v>
      </c>
      <c r="M44" s="18">
        <f t="shared" si="18"/>
        <v>234</v>
      </c>
      <c r="N44" s="14">
        <f t="shared" si="19"/>
        <v>256</v>
      </c>
      <c r="O44" s="15">
        <f t="shared" si="20"/>
        <v>250</v>
      </c>
      <c r="P44" s="17">
        <f t="shared" si="21"/>
        <v>239</v>
      </c>
      <c r="Q44" s="18">
        <f t="shared" si="22"/>
        <v>250</v>
      </c>
      <c r="R44" s="4" t="s">
        <v>0</v>
      </c>
      <c r="S44" s="16" t="str">
        <f t="shared" si="23"/>
        <v>31-1㎡</v>
      </c>
      <c r="T44" s="14">
        <f t="shared" si="24"/>
        <v>239</v>
      </c>
      <c r="U44" s="18">
        <f t="shared" si="25"/>
        <v>516</v>
      </c>
      <c r="V44" s="14">
        <f t="shared" si="26"/>
        <v>256</v>
      </c>
      <c r="W44" s="18">
        <f t="shared" si="27"/>
        <v>516</v>
      </c>
      <c r="X44" s="14">
        <f t="shared" si="28"/>
        <v>256</v>
      </c>
      <c r="Y44" s="18">
        <f t="shared" si="29"/>
        <v>500</v>
      </c>
      <c r="Z44" s="14">
        <f t="shared" si="30"/>
        <v>239</v>
      </c>
      <c r="AA44" s="18">
        <f t="shared" si="31"/>
        <v>500</v>
      </c>
      <c r="AB44" s="4" t="s">
        <v>0</v>
      </c>
    </row>
    <row r="45" spans="1:28">
      <c r="A45" s="9" t="s">
        <v>595</v>
      </c>
      <c r="B45" s="24"/>
      <c r="C45" s="26"/>
      <c r="D45" s="25">
        <f t="shared" si="55"/>
        <v>272</v>
      </c>
      <c r="E45" s="29">
        <f t="shared" ref="E45" si="61">E44</f>
        <v>234</v>
      </c>
      <c r="F45" s="25">
        <f t="shared" si="36"/>
        <v>289</v>
      </c>
      <c r="G45" s="29">
        <f t="shared" si="59"/>
        <v>250</v>
      </c>
      <c r="H45" s="4" t="s">
        <v>0</v>
      </c>
      <c r="I45" s="16" t="str">
        <f t="shared" si="14"/>
        <v>20-1㎡</v>
      </c>
      <c r="J45" s="14">
        <f t="shared" si="15"/>
        <v>272</v>
      </c>
      <c r="K45" s="15">
        <f t="shared" si="16"/>
        <v>234</v>
      </c>
      <c r="L45" s="17">
        <f t="shared" si="17"/>
        <v>289</v>
      </c>
      <c r="M45" s="18">
        <f t="shared" si="18"/>
        <v>234</v>
      </c>
      <c r="N45" s="14">
        <f t="shared" si="19"/>
        <v>289</v>
      </c>
      <c r="O45" s="15">
        <f t="shared" si="20"/>
        <v>250</v>
      </c>
      <c r="P45" s="17">
        <f t="shared" si="21"/>
        <v>272</v>
      </c>
      <c r="Q45" s="18">
        <f t="shared" si="22"/>
        <v>250</v>
      </c>
      <c r="R45" s="4" t="s">
        <v>0</v>
      </c>
      <c r="S45" s="16" t="str">
        <f t="shared" si="23"/>
        <v>20-1㎡</v>
      </c>
      <c r="T45" s="14">
        <f t="shared" si="24"/>
        <v>272</v>
      </c>
      <c r="U45" s="18">
        <f t="shared" si="25"/>
        <v>516</v>
      </c>
      <c r="V45" s="14">
        <f t="shared" si="26"/>
        <v>289</v>
      </c>
      <c r="W45" s="18">
        <f t="shared" si="27"/>
        <v>516</v>
      </c>
      <c r="X45" s="14">
        <f t="shared" si="28"/>
        <v>289</v>
      </c>
      <c r="Y45" s="18">
        <f t="shared" si="29"/>
        <v>500</v>
      </c>
      <c r="Z45" s="14">
        <f t="shared" si="30"/>
        <v>272</v>
      </c>
      <c r="AA45" s="18">
        <f t="shared" si="31"/>
        <v>500</v>
      </c>
      <c r="AB45" s="4" t="s">
        <v>0</v>
      </c>
    </row>
    <row r="46" spans="1:28">
      <c r="A46" s="9" t="s">
        <v>584</v>
      </c>
      <c r="B46" s="24"/>
      <c r="C46" s="26"/>
      <c r="D46" s="25">
        <f t="shared" si="55"/>
        <v>289</v>
      </c>
      <c r="E46" s="29">
        <f t="shared" ref="E46" si="62">E45</f>
        <v>234</v>
      </c>
      <c r="F46" s="25">
        <f t="shared" si="36"/>
        <v>306</v>
      </c>
      <c r="G46" s="29">
        <f t="shared" si="59"/>
        <v>250</v>
      </c>
      <c r="H46" s="4" t="s">
        <v>0</v>
      </c>
      <c r="I46" s="16" t="str">
        <f t="shared" si="14"/>
        <v>06-1㎡</v>
      </c>
      <c r="J46" s="14">
        <f t="shared" si="15"/>
        <v>289</v>
      </c>
      <c r="K46" s="15">
        <f t="shared" si="16"/>
        <v>234</v>
      </c>
      <c r="L46" s="17">
        <f t="shared" si="17"/>
        <v>306</v>
      </c>
      <c r="M46" s="18">
        <f t="shared" si="18"/>
        <v>234</v>
      </c>
      <c r="N46" s="14">
        <f t="shared" si="19"/>
        <v>306</v>
      </c>
      <c r="O46" s="15">
        <f t="shared" si="20"/>
        <v>250</v>
      </c>
      <c r="P46" s="17">
        <f t="shared" si="21"/>
        <v>289</v>
      </c>
      <c r="Q46" s="18">
        <f t="shared" si="22"/>
        <v>250</v>
      </c>
      <c r="R46" s="4" t="s">
        <v>0</v>
      </c>
      <c r="S46" s="16" t="str">
        <f t="shared" si="23"/>
        <v>06-1㎡</v>
      </c>
      <c r="T46" s="14">
        <f t="shared" si="24"/>
        <v>289</v>
      </c>
      <c r="U46" s="18">
        <f t="shared" si="25"/>
        <v>516</v>
      </c>
      <c r="V46" s="14">
        <f t="shared" si="26"/>
        <v>306</v>
      </c>
      <c r="W46" s="18">
        <f t="shared" si="27"/>
        <v>516</v>
      </c>
      <c r="X46" s="14">
        <f t="shared" si="28"/>
        <v>306</v>
      </c>
      <c r="Y46" s="18">
        <f t="shared" si="29"/>
        <v>500</v>
      </c>
      <c r="Z46" s="14">
        <f t="shared" si="30"/>
        <v>289</v>
      </c>
      <c r="AA46" s="18">
        <f t="shared" si="31"/>
        <v>500</v>
      </c>
      <c r="AB46" s="4" t="s">
        <v>0</v>
      </c>
    </row>
    <row r="47" spans="1:28">
      <c r="A47" s="9" t="s">
        <v>603</v>
      </c>
      <c r="B47" s="24"/>
      <c r="C47" s="26">
        <v>3</v>
      </c>
      <c r="D47" s="25">
        <f>D44</f>
        <v>239</v>
      </c>
      <c r="E47" s="28">
        <f>ROUND(E$35+15.6*$C47, 0)</f>
        <v>250</v>
      </c>
      <c r="F47" s="25">
        <f>F44</f>
        <v>256</v>
      </c>
      <c r="G47" s="28">
        <f>ROUND(G$35+15.6*$C47, 0)</f>
        <v>266</v>
      </c>
      <c r="H47" s="4" t="s">
        <v>0</v>
      </c>
      <c r="I47" s="16" t="str">
        <f t="shared" si="14"/>
        <v>30-1㎡</v>
      </c>
      <c r="J47" s="14">
        <f t="shared" si="15"/>
        <v>239</v>
      </c>
      <c r="K47" s="15">
        <f t="shared" si="16"/>
        <v>250</v>
      </c>
      <c r="L47" s="17">
        <f t="shared" si="17"/>
        <v>256</v>
      </c>
      <c r="M47" s="18">
        <f t="shared" si="18"/>
        <v>250</v>
      </c>
      <c r="N47" s="14">
        <f t="shared" si="19"/>
        <v>256</v>
      </c>
      <c r="O47" s="15">
        <f t="shared" si="20"/>
        <v>266</v>
      </c>
      <c r="P47" s="17">
        <f t="shared" si="21"/>
        <v>239</v>
      </c>
      <c r="Q47" s="18">
        <f t="shared" si="22"/>
        <v>266</v>
      </c>
      <c r="R47" s="4" t="s">
        <v>0</v>
      </c>
      <c r="S47" s="16" t="str">
        <f t="shared" si="23"/>
        <v>30-1㎡</v>
      </c>
      <c r="T47" s="14">
        <f t="shared" si="24"/>
        <v>239</v>
      </c>
      <c r="U47" s="18">
        <f t="shared" si="25"/>
        <v>500</v>
      </c>
      <c r="V47" s="14">
        <f t="shared" si="26"/>
        <v>256</v>
      </c>
      <c r="W47" s="18">
        <f t="shared" si="27"/>
        <v>500</v>
      </c>
      <c r="X47" s="14">
        <f t="shared" si="28"/>
        <v>256</v>
      </c>
      <c r="Y47" s="18">
        <f t="shared" si="29"/>
        <v>484</v>
      </c>
      <c r="Z47" s="14">
        <f t="shared" si="30"/>
        <v>239</v>
      </c>
      <c r="AA47" s="18">
        <f t="shared" si="31"/>
        <v>484</v>
      </c>
      <c r="AB47" s="4" t="s">
        <v>0</v>
      </c>
    </row>
    <row r="48" spans="1:28">
      <c r="A48" s="9" t="s">
        <v>594</v>
      </c>
      <c r="B48" s="24"/>
      <c r="C48" s="26"/>
      <c r="D48" s="25">
        <f>D45</f>
        <v>272</v>
      </c>
      <c r="E48" s="29">
        <f t="shared" ref="E48" si="63">E47</f>
        <v>250</v>
      </c>
      <c r="F48" s="25">
        <f>F45</f>
        <v>289</v>
      </c>
      <c r="G48" s="29">
        <f t="shared" si="59"/>
        <v>266</v>
      </c>
      <c r="H48" s="4" t="s">
        <v>0</v>
      </c>
      <c r="I48" s="16" t="str">
        <f t="shared" si="14"/>
        <v>18-1㎡</v>
      </c>
      <c r="J48" s="14">
        <f t="shared" si="15"/>
        <v>272</v>
      </c>
      <c r="K48" s="15">
        <f t="shared" si="16"/>
        <v>250</v>
      </c>
      <c r="L48" s="17">
        <f t="shared" si="17"/>
        <v>289</v>
      </c>
      <c r="M48" s="18">
        <f t="shared" si="18"/>
        <v>250</v>
      </c>
      <c r="N48" s="14">
        <f t="shared" si="19"/>
        <v>289</v>
      </c>
      <c r="O48" s="15">
        <f t="shared" si="20"/>
        <v>266</v>
      </c>
      <c r="P48" s="17">
        <f t="shared" si="21"/>
        <v>272</v>
      </c>
      <c r="Q48" s="18">
        <f t="shared" si="22"/>
        <v>266</v>
      </c>
      <c r="R48" s="4" t="s">
        <v>0</v>
      </c>
      <c r="S48" s="16" t="str">
        <f t="shared" si="23"/>
        <v>18-1㎡</v>
      </c>
      <c r="T48" s="14">
        <f t="shared" si="24"/>
        <v>272</v>
      </c>
      <c r="U48" s="18">
        <f t="shared" si="25"/>
        <v>500</v>
      </c>
      <c r="V48" s="14">
        <f t="shared" si="26"/>
        <v>289</v>
      </c>
      <c r="W48" s="18">
        <f t="shared" si="27"/>
        <v>500</v>
      </c>
      <c r="X48" s="14">
        <f t="shared" si="28"/>
        <v>289</v>
      </c>
      <c r="Y48" s="18">
        <f t="shared" si="29"/>
        <v>484</v>
      </c>
      <c r="Z48" s="14">
        <f t="shared" si="30"/>
        <v>272</v>
      </c>
      <c r="AA48" s="18">
        <f t="shared" si="31"/>
        <v>484</v>
      </c>
      <c r="AB48" s="4" t="s">
        <v>0</v>
      </c>
    </row>
    <row r="49" spans="1:28">
      <c r="A49" s="9" t="s">
        <v>583</v>
      </c>
      <c r="B49" s="24"/>
      <c r="C49" s="26"/>
      <c r="D49" s="25">
        <f>D46</f>
        <v>289</v>
      </c>
      <c r="E49" s="29">
        <f t="shared" ref="E49" si="64">E48</f>
        <v>250</v>
      </c>
      <c r="F49" s="25">
        <f>F46</f>
        <v>306</v>
      </c>
      <c r="G49" s="29">
        <f t="shared" si="59"/>
        <v>266</v>
      </c>
      <c r="H49" s="4" t="s">
        <v>0</v>
      </c>
      <c r="I49" s="16" t="str">
        <f t="shared" si="14"/>
        <v>05-1㎡</v>
      </c>
      <c r="J49" s="14">
        <f t="shared" si="15"/>
        <v>289</v>
      </c>
      <c r="K49" s="15">
        <f t="shared" si="16"/>
        <v>250</v>
      </c>
      <c r="L49" s="17">
        <f t="shared" si="17"/>
        <v>306</v>
      </c>
      <c r="M49" s="18">
        <f t="shared" si="18"/>
        <v>250</v>
      </c>
      <c r="N49" s="14">
        <f t="shared" si="19"/>
        <v>306</v>
      </c>
      <c r="O49" s="15">
        <f t="shared" si="20"/>
        <v>266</v>
      </c>
      <c r="P49" s="17">
        <f t="shared" si="21"/>
        <v>289</v>
      </c>
      <c r="Q49" s="18">
        <f t="shared" si="22"/>
        <v>266</v>
      </c>
      <c r="R49" s="4" t="s">
        <v>0</v>
      </c>
      <c r="S49" s="16" t="str">
        <f t="shared" si="23"/>
        <v>05-1㎡</v>
      </c>
      <c r="T49" s="14">
        <f t="shared" si="24"/>
        <v>289</v>
      </c>
      <c r="U49" s="18">
        <f t="shared" si="25"/>
        <v>500</v>
      </c>
      <c r="V49" s="14">
        <f t="shared" si="26"/>
        <v>306</v>
      </c>
      <c r="W49" s="18">
        <f t="shared" si="27"/>
        <v>500</v>
      </c>
      <c r="X49" s="14">
        <f t="shared" si="28"/>
        <v>306</v>
      </c>
      <c r="Y49" s="18">
        <f t="shared" si="29"/>
        <v>484</v>
      </c>
      <c r="Z49" s="14">
        <f t="shared" si="30"/>
        <v>289</v>
      </c>
      <c r="AA49" s="18">
        <f t="shared" si="31"/>
        <v>484</v>
      </c>
      <c r="AB49" s="4" t="s">
        <v>0</v>
      </c>
    </row>
    <row r="50" spans="1:28">
      <c r="A50" s="9" t="s">
        <v>593</v>
      </c>
      <c r="B50" s="24"/>
      <c r="C50" s="26">
        <v>4</v>
      </c>
      <c r="D50" s="25">
        <f>D48</f>
        <v>272</v>
      </c>
      <c r="E50" s="28">
        <f>ROUND(E$35+15.6*$C50, 0)</f>
        <v>265</v>
      </c>
      <c r="F50" s="25">
        <f>F48</f>
        <v>289</v>
      </c>
      <c r="G50" s="28">
        <f>ROUND(G$35+15.6*$C50, 0)</f>
        <v>281</v>
      </c>
      <c r="H50" s="4" t="s">
        <v>0</v>
      </c>
      <c r="I50" s="16" t="str">
        <f t="shared" si="14"/>
        <v>17-1㎡</v>
      </c>
      <c r="J50" s="14">
        <f t="shared" si="15"/>
        <v>272</v>
      </c>
      <c r="K50" s="15">
        <f t="shared" si="16"/>
        <v>265</v>
      </c>
      <c r="L50" s="17">
        <f t="shared" si="17"/>
        <v>289</v>
      </c>
      <c r="M50" s="18">
        <f t="shared" si="18"/>
        <v>265</v>
      </c>
      <c r="N50" s="14">
        <f t="shared" si="19"/>
        <v>289</v>
      </c>
      <c r="O50" s="15">
        <f t="shared" si="20"/>
        <v>281</v>
      </c>
      <c r="P50" s="17">
        <f t="shared" si="21"/>
        <v>272</v>
      </c>
      <c r="Q50" s="18">
        <f t="shared" si="22"/>
        <v>281</v>
      </c>
      <c r="R50" s="4" t="s">
        <v>0</v>
      </c>
      <c r="S50" s="16" t="str">
        <f t="shared" si="23"/>
        <v>17-1㎡</v>
      </c>
      <c r="T50" s="14">
        <f t="shared" si="24"/>
        <v>272</v>
      </c>
      <c r="U50" s="18">
        <f t="shared" si="25"/>
        <v>485</v>
      </c>
      <c r="V50" s="14">
        <f t="shared" si="26"/>
        <v>289</v>
      </c>
      <c r="W50" s="18">
        <f t="shared" si="27"/>
        <v>485</v>
      </c>
      <c r="X50" s="14">
        <f t="shared" si="28"/>
        <v>289</v>
      </c>
      <c r="Y50" s="18">
        <f t="shared" si="29"/>
        <v>469</v>
      </c>
      <c r="Z50" s="14">
        <f t="shared" si="30"/>
        <v>272</v>
      </c>
      <c r="AA50" s="18">
        <f t="shared" si="31"/>
        <v>469</v>
      </c>
      <c r="AB50" s="4" t="s">
        <v>0</v>
      </c>
    </row>
    <row r="51" spans="1:28">
      <c r="A51" s="9" t="s">
        <v>582</v>
      </c>
      <c r="B51" s="24"/>
      <c r="C51" s="26"/>
      <c r="D51" s="25">
        <f>D49</f>
        <v>289</v>
      </c>
      <c r="E51" s="29">
        <f t="shared" ref="E51" si="65">E50</f>
        <v>265</v>
      </c>
      <c r="F51" s="25">
        <f>F49</f>
        <v>306</v>
      </c>
      <c r="G51" s="29">
        <f t="shared" si="59"/>
        <v>281</v>
      </c>
      <c r="H51" s="4" t="s">
        <v>0</v>
      </c>
      <c r="I51" s="16" t="str">
        <f t="shared" si="14"/>
        <v>03-1㎡</v>
      </c>
      <c r="J51" s="14">
        <f t="shared" si="15"/>
        <v>289</v>
      </c>
      <c r="K51" s="15">
        <f t="shared" si="16"/>
        <v>265</v>
      </c>
      <c r="L51" s="17">
        <f t="shared" si="17"/>
        <v>306</v>
      </c>
      <c r="M51" s="18">
        <f t="shared" si="18"/>
        <v>265</v>
      </c>
      <c r="N51" s="14">
        <f t="shared" si="19"/>
        <v>306</v>
      </c>
      <c r="O51" s="15">
        <f t="shared" si="20"/>
        <v>281</v>
      </c>
      <c r="P51" s="17">
        <f t="shared" si="21"/>
        <v>289</v>
      </c>
      <c r="Q51" s="18">
        <f t="shared" si="22"/>
        <v>281</v>
      </c>
      <c r="R51" s="4" t="s">
        <v>0</v>
      </c>
      <c r="S51" s="16" t="str">
        <f t="shared" si="23"/>
        <v>03-1㎡</v>
      </c>
      <c r="T51" s="14">
        <f t="shared" si="24"/>
        <v>289</v>
      </c>
      <c r="U51" s="18">
        <f t="shared" si="25"/>
        <v>485</v>
      </c>
      <c r="V51" s="14">
        <f t="shared" si="26"/>
        <v>306</v>
      </c>
      <c r="W51" s="18">
        <f t="shared" si="27"/>
        <v>485</v>
      </c>
      <c r="X51" s="14">
        <f t="shared" si="28"/>
        <v>306</v>
      </c>
      <c r="Y51" s="18">
        <f t="shared" si="29"/>
        <v>469</v>
      </c>
      <c r="Z51" s="14">
        <f t="shared" si="30"/>
        <v>289</v>
      </c>
      <c r="AA51" s="18">
        <f t="shared" si="31"/>
        <v>469</v>
      </c>
      <c r="AB51" s="4" t="s">
        <v>0</v>
      </c>
    </row>
    <row r="52" spans="1:28">
      <c r="A52" s="9" t="s">
        <v>592</v>
      </c>
      <c r="B52" s="24"/>
      <c r="C52" s="26">
        <v>5</v>
      </c>
      <c r="D52" s="25">
        <f>D50</f>
        <v>272</v>
      </c>
      <c r="E52" s="28">
        <f>ROUND(E$35+15.6*$C52, 0)</f>
        <v>281</v>
      </c>
      <c r="F52" s="25">
        <f>F50</f>
        <v>289</v>
      </c>
      <c r="G52" s="28">
        <f>ROUND(G$35+15.6*$C52, 0)</f>
        <v>297</v>
      </c>
      <c r="H52" s="4" t="s">
        <v>0</v>
      </c>
      <c r="I52" s="16" t="str">
        <f t="shared" si="14"/>
        <v>16-1㎡</v>
      </c>
      <c r="J52" s="14">
        <f t="shared" si="15"/>
        <v>272</v>
      </c>
      <c r="K52" s="15">
        <f t="shared" si="16"/>
        <v>281</v>
      </c>
      <c r="L52" s="17">
        <f t="shared" si="17"/>
        <v>289</v>
      </c>
      <c r="M52" s="18">
        <f t="shared" si="18"/>
        <v>281</v>
      </c>
      <c r="N52" s="14">
        <f t="shared" si="19"/>
        <v>289</v>
      </c>
      <c r="O52" s="15">
        <f t="shared" si="20"/>
        <v>297</v>
      </c>
      <c r="P52" s="17">
        <f t="shared" si="21"/>
        <v>272</v>
      </c>
      <c r="Q52" s="18">
        <f t="shared" si="22"/>
        <v>297</v>
      </c>
      <c r="R52" s="4" t="s">
        <v>0</v>
      </c>
      <c r="S52" s="16" t="str">
        <f t="shared" si="23"/>
        <v>16-1㎡</v>
      </c>
      <c r="T52" s="14">
        <f t="shared" si="24"/>
        <v>272</v>
      </c>
      <c r="U52" s="18">
        <f t="shared" si="25"/>
        <v>469</v>
      </c>
      <c r="V52" s="14">
        <f t="shared" si="26"/>
        <v>289</v>
      </c>
      <c r="W52" s="18">
        <f t="shared" si="27"/>
        <v>469</v>
      </c>
      <c r="X52" s="14">
        <f t="shared" si="28"/>
        <v>289</v>
      </c>
      <c r="Y52" s="18">
        <f t="shared" si="29"/>
        <v>453</v>
      </c>
      <c r="Z52" s="14">
        <f t="shared" si="30"/>
        <v>272</v>
      </c>
      <c r="AA52" s="18">
        <f t="shared" si="31"/>
        <v>453</v>
      </c>
      <c r="AB52" s="4" t="s">
        <v>0</v>
      </c>
    </row>
    <row r="53" spans="1:28">
      <c r="A53" s="9" t="s">
        <v>581</v>
      </c>
      <c r="B53" s="24"/>
      <c r="C53" s="26"/>
      <c r="D53" s="25">
        <f>D51</f>
        <v>289</v>
      </c>
      <c r="E53" s="29">
        <f t="shared" ref="E53" si="66">E52</f>
        <v>281</v>
      </c>
      <c r="F53" s="25">
        <f>F51</f>
        <v>306</v>
      </c>
      <c r="G53" s="29">
        <f t="shared" si="59"/>
        <v>297</v>
      </c>
      <c r="H53" s="4" t="s">
        <v>0</v>
      </c>
      <c r="I53" s="16" t="str">
        <f t="shared" si="14"/>
        <v>02-1㎡</v>
      </c>
      <c r="J53" s="14">
        <f t="shared" si="15"/>
        <v>289</v>
      </c>
      <c r="K53" s="15">
        <f t="shared" si="16"/>
        <v>281</v>
      </c>
      <c r="L53" s="17">
        <f t="shared" si="17"/>
        <v>306</v>
      </c>
      <c r="M53" s="18">
        <f t="shared" si="18"/>
        <v>281</v>
      </c>
      <c r="N53" s="14">
        <f t="shared" si="19"/>
        <v>306</v>
      </c>
      <c r="O53" s="15">
        <f t="shared" si="20"/>
        <v>297</v>
      </c>
      <c r="P53" s="17">
        <f t="shared" si="21"/>
        <v>289</v>
      </c>
      <c r="Q53" s="18">
        <f t="shared" si="22"/>
        <v>297</v>
      </c>
      <c r="R53" s="4" t="s">
        <v>0</v>
      </c>
      <c r="S53" s="16" t="str">
        <f t="shared" si="23"/>
        <v>02-1㎡</v>
      </c>
      <c r="T53" s="14">
        <f t="shared" si="24"/>
        <v>289</v>
      </c>
      <c r="U53" s="18">
        <f t="shared" si="25"/>
        <v>469</v>
      </c>
      <c r="V53" s="14">
        <f t="shared" si="26"/>
        <v>306</v>
      </c>
      <c r="W53" s="18">
        <f t="shared" si="27"/>
        <v>469</v>
      </c>
      <c r="X53" s="14">
        <f t="shared" si="28"/>
        <v>306</v>
      </c>
      <c r="Y53" s="18">
        <f t="shared" si="29"/>
        <v>453</v>
      </c>
      <c r="Z53" s="14">
        <f t="shared" si="30"/>
        <v>289</v>
      </c>
      <c r="AA53" s="18">
        <f t="shared" si="31"/>
        <v>453</v>
      </c>
      <c r="AB53" s="4" t="s">
        <v>0</v>
      </c>
    </row>
    <row r="54" spans="1:28">
      <c r="A54" s="9" t="s">
        <v>580</v>
      </c>
      <c r="B54" s="24"/>
      <c r="C54" s="26">
        <v>6</v>
      </c>
      <c r="D54" s="25">
        <f>D53</f>
        <v>289</v>
      </c>
      <c r="E54" s="28">
        <f>ROUND(E$35+15.6*$C54, 0)</f>
        <v>297</v>
      </c>
      <c r="F54" s="25">
        <f>F53</f>
        <v>306</v>
      </c>
      <c r="G54" s="28">
        <f>ROUND(G$35+15.6*$C54, 0)</f>
        <v>313</v>
      </c>
      <c r="H54" s="4" t="s">
        <v>0</v>
      </c>
      <c r="I54" s="16" t="str">
        <f t="shared" si="14"/>
        <v>01-1㎡</v>
      </c>
      <c r="J54" s="14">
        <f t="shared" si="15"/>
        <v>289</v>
      </c>
      <c r="K54" s="15">
        <f t="shared" si="16"/>
        <v>297</v>
      </c>
      <c r="L54" s="17">
        <f t="shared" si="17"/>
        <v>306</v>
      </c>
      <c r="M54" s="18">
        <f t="shared" si="18"/>
        <v>297</v>
      </c>
      <c r="N54" s="14">
        <f t="shared" si="19"/>
        <v>306</v>
      </c>
      <c r="O54" s="15">
        <f t="shared" si="20"/>
        <v>313</v>
      </c>
      <c r="P54" s="17">
        <f t="shared" si="21"/>
        <v>289</v>
      </c>
      <c r="Q54" s="18">
        <f t="shared" si="22"/>
        <v>313</v>
      </c>
      <c r="R54" s="4" t="s">
        <v>0</v>
      </c>
      <c r="S54" s="16" t="str">
        <f t="shared" si="23"/>
        <v>01-1㎡</v>
      </c>
      <c r="T54" s="14">
        <f t="shared" si="24"/>
        <v>289</v>
      </c>
      <c r="U54" s="18">
        <f t="shared" si="25"/>
        <v>453</v>
      </c>
      <c r="V54" s="14">
        <f t="shared" si="26"/>
        <v>306</v>
      </c>
      <c r="W54" s="18">
        <f t="shared" si="27"/>
        <v>453</v>
      </c>
      <c r="X54" s="14">
        <f t="shared" si="28"/>
        <v>306</v>
      </c>
      <c r="Y54" s="18">
        <f t="shared" si="29"/>
        <v>437</v>
      </c>
      <c r="Z54" s="14">
        <f t="shared" si="30"/>
        <v>289</v>
      </c>
      <c r="AA54" s="18">
        <f t="shared" si="31"/>
        <v>437</v>
      </c>
      <c r="AB54" s="4" t="s">
        <v>0</v>
      </c>
    </row>
  </sheetData>
  <autoFilter ref="A10:AB54" xr:uid="{00000000-0001-0000-0000-000000000000}"/>
  <mergeCells count="2">
    <mergeCell ref="D3:G3"/>
    <mergeCell ref="D4:G4"/>
  </mergeCells>
  <phoneticPr fontId="1"/>
  <hyperlinks>
    <hyperlink ref="N4" r:id="rId1" xr:uid="{6481813E-DE75-4E68-AD74-012AB272376A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2F7F-3BE2-43D2-ACD6-BC708FF00DDF}">
  <sheetPr codeName="Sheet18">
    <pageSetUpPr fitToPage="1"/>
  </sheetPr>
  <dimension ref="A1:AB34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SEC_11_3_釈ｼﾝC.json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SEC_11_3_釈ｼﾝC.png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647</v>
      </c>
      <c r="B11" s="30" t="s">
        <v>698</v>
      </c>
      <c r="C11" s="4" t="s">
        <v>0</v>
      </c>
      <c r="D11" s="27">
        <v>188</v>
      </c>
      <c r="E11" s="31">
        <v>124</v>
      </c>
      <c r="F11" s="31">
        <v>224</v>
      </c>
      <c r="G11" s="31">
        <v>145</v>
      </c>
      <c r="H11" s="4" t="s">
        <v>0</v>
      </c>
      <c r="I11" s="16" t="str">
        <f t="shared" ref="I11:I12" si="0">A11</f>
        <v>30-225㎡</v>
      </c>
      <c r="J11" s="14">
        <f>IF(D11&lt;&gt;"",D11,0)</f>
        <v>188</v>
      </c>
      <c r="K11" s="15">
        <f>IF(E11&lt;&gt;"",E11,0)</f>
        <v>124</v>
      </c>
      <c r="L11" s="17">
        <f>N11</f>
        <v>224</v>
      </c>
      <c r="M11" s="18">
        <f>K11</f>
        <v>124</v>
      </c>
      <c r="N11" s="14">
        <f>IF(F11&lt;&gt;"",F11,0)</f>
        <v>224</v>
      </c>
      <c r="O11" s="15">
        <f>IF(G11&lt;&gt;"",G11,0)</f>
        <v>145</v>
      </c>
      <c r="P11" s="17">
        <f>J11</f>
        <v>188</v>
      </c>
      <c r="Q11" s="18">
        <f>O11</f>
        <v>145</v>
      </c>
      <c r="R11" s="4" t="s">
        <v>0</v>
      </c>
      <c r="S11" s="16" t="str">
        <f>I11</f>
        <v>30-225㎡</v>
      </c>
      <c r="T11" s="14">
        <f>IF(J11&lt;&gt;"",J11,"")</f>
        <v>188</v>
      </c>
      <c r="U11" s="18">
        <f>IF(K11&lt;&gt;"",U$6-K11,"")</f>
        <v>626</v>
      </c>
      <c r="V11" s="14">
        <f t="shared" ref="V11:Z12" si="1">IF(L11&lt;&gt;"",L11,"")</f>
        <v>224</v>
      </c>
      <c r="W11" s="18">
        <f>IF(M11&lt;&gt;"",W$6-M11,"")</f>
        <v>626</v>
      </c>
      <c r="X11" s="14">
        <f t="shared" si="1"/>
        <v>224</v>
      </c>
      <c r="Y11" s="18">
        <f>IF(O11&lt;&gt;"",Y$6-O11,"")</f>
        <v>605</v>
      </c>
      <c r="Z11" s="14">
        <f t="shared" si="1"/>
        <v>188</v>
      </c>
      <c r="AA11" s="18">
        <f>IF(Q11&lt;&gt;"",AA$6-Q11,"")</f>
        <v>605</v>
      </c>
      <c r="AB11" s="4" t="s">
        <v>0</v>
      </c>
    </row>
    <row r="12" spans="1:28">
      <c r="A12" s="9" t="s">
        <v>639</v>
      </c>
      <c r="B12" s="24"/>
      <c r="C12" s="26">
        <v>1</v>
      </c>
      <c r="D12" s="28">
        <f>ROUND(D$11+36*$C12, 0)</f>
        <v>224</v>
      </c>
      <c r="E12" s="29">
        <f>E$11</f>
        <v>124</v>
      </c>
      <c r="F12" s="28">
        <f>ROUND(F$11+36*$C12, 0)</f>
        <v>260</v>
      </c>
      <c r="G12" s="29">
        <f>G$11</f>
        <v>145</v>
      </c>
      <c r="H12" s="4" t="s">
        <v>0</v>
      </c>
      <c r="I12" s="16" t="str">
        <f t="shared" si="0"/>
        <v>20-225㎡</v>
      </c>
      <c r="J12" s="14">
        <f t="shared" ref="J12:K12" si="2">IF(D12&lt;&gt;"",D12,0)</f>
        <v>224</v>
      </c>
      <c r="K12" s="15">
        <f t="shared" si="2"/>
        <v>124</v>
      </c>
      <c r="L12" s="17">
        <f t="shared" ref="L12" si="3">N12</f>
        <v>260</v>
      </c>
      <c r="M12" s="18">
        <f t="shared" ref="M12" si="4">K12</f>
        <v>124</v>
      </c>
      <c r="N12" s="14">
        <f t="shared" ref="N12:O12" si="5">IF(F12&lt;&gt;"",F12,0)</f>
        <v>260</v>
      </c>
      <c r="O12" s="15">
        <f t="shared" si="5"/>
        <v>145</v>
      </c>
      <c r="P12" s="17">
        <f t="shared" ref="P12" si="6">J12</f>
        <v>224</v>
      </c>
      <c r="Q12" s="18">
        <f t="shared" ref="Q12" si="7">O12</f>
        <v>145</v>
      </c>
      <c r="R12" s="4" t="s">
        <v>0</v>
      </c>
      <c r="S12" s="16" t="str">
        <f t="shared" ref="S12" si="8">I12</f>
        <v>20-225㎡</v>
      </c>
      <c r="T12" s="14">
        <f t="shared" ref="T12" si="9">IF(J12&lt;&gt;"",J12,"")</f>
        <v>224</v>
      </c>
      <c r="U12" s="18">
        <f t="shared" ref="U12" si="10">IF(K12&lt;&gt;"",U$6-K12,"")</f>
        <v>626</v>
      </c>
      <c r="V12" s="14">
        <f t="shared" si="1"/>
        <v>260</v>
      </c>
      <c r="W12" s="18">
        <f t="shared" ref="W12" si="11">IF(M12&lt;&gt;"",W$6-M12,"")</f>
        <v>626</v>
      </c>
      <c r="X12" s="14">
        <f t="shared" si="1"/>
        <v>260</v>
      </c>
      <c r="Y12" s="18">
        <f t="shared" ref="Y12" si="12">IF(O12&lt;&gt;"",Y$6-O12,"")</f>
        <v>605</v>
      </c>
      <c r="Z12" s="14">
        <f t="shared" si="1"/>
        <v>224</v>
      </c>
      <c r="AA12" s="18">
        <f t="shared" ref="AA12" si="13">IF(Q12&lt;&gt;"",AA$6-Q12,"")</f>
        <v>605</v>
      </c>
      <c r="AB12" s="4" t="s">
        <v>0</v>
      </c>
    </row>
    <row r="13" spans="1:28">
      <c r="A13" s="9" t="s">
        <v>631</v>
      </c>
      <c r="B13" s="24"/>
      <c r="C13" s="26">
        <v>2</v>
      </c>
      <c r="D13" s="28">
        <f>ROUND(D$11+36*$C13, 0)</f>
        <v>260</v>
      </c>
      <c r="E13" s="29">
        <f>E$11</f>
        <v>124</v>
      </c>
      <c r="F13" s="28">
        <f>ROUND(F$11+36*$C13, 0)</f>
        <v>296</v>
      </c>
      <c r="G13" s="29">
        <f>G$11</f>
        <v>145</v>
      </c>
      <c r="H13" s="4" t="s">
        <v>0</v>
      </c>
      <c r="I13" s="16" t="str">
        <f t="shared" ref="I13:I34" si="14">A13</f>
        <v>10-3㎡</v>
      </c>
      <c r="J13" s="14">
        <f t="shared" ref="J13:J34" si="15">IF(D13&lt;&gt;"",D13,0)</f>
        <v>260</v>
      </c>
      <c r="K13" s="15">
        <f t="shared" ref="K13:K34" si="16">IF(E13&lt;&gt;"",E13,0)</f>
        <v>124</v>
      </c>
      <c r="L13" s="17">
        <f t="shared" ref="L13:L34" si="17">N13</f>
        <v>296</v>
      </c>
      <c r="M13" s="18">
        <f t="shared" ref="M13:M34" si="18">K13</f>
        <v>124</v>
      </c>
      <c r="N13" s="14">
        <f t="shared" ref="N13:N34" si="19">IF(F13&lt;&gt;"",F13,0)</f>
        <v>296</v>
      </c>
      <c r="O13" s="15">
        <f t="shared" ref="O13:O34" si="20">IF(G13&lt;&gt;"",G13,0)</f>
        <v>145</v>
      </c>
      <c r="P13" s="17">
        <f t="shared" ref="P13:P34" si="21">J13</f>
        <v>260</v>
      </c>
      <c r="Q13" s="18">
        <f t="shared" ref="Q13:Q34" si="22">O13</f>
        <v>145</v>
      </c>
      <c r="R13" s="4" t="s">
        <v>0</v>
      </c>
      <c r="S13" s="16" t="str">
        <f t="shared" ref="S13:S34" si="23">I13</f>
        <v>10-3㎡</v>
      </c>
      <c r="T13" s="14">
        <f t="shared" ref="T13:T34" si="24">IF(J13&lt;&gt;"",J13,"")</f>
        <v>260</v>
      </c>
      <c r="U13" s="18">
        <f t="shared" ref="U13:U34" si="25">IF(K13&lt;&gt;"",U$6-K13,"")</f>
        <v>626</v>
      </c>
      <c r="V13" s="14">
        <f t="shared" ref="V13:V34" si="26">IF(L13&lt;&gt;"",L13,"")</f>
        <v>296</v>
      </c>
      <c r="W13" s="18">
        <f t="shared" ref="W13:W34" si="27">IF(M13&lt;&gt;"",W$6-M13,"")</f>
        <v>626</v>
      </c>
      <c r="X13" s="14">
        <f t="shared" ref="X13:X34" si="28">IF(N13&lt;&gt;"",N13,"")</f>
        <v>296</v>
      </c>
      <c r="Y13" s="18">
        <f t="shared" ref="Y13:Y34" si="29">IF(O13&lt;&gt;"",Y$6-O13,"")</f>
        <v>605</v>
      </c>
      <c r="Z13" s="14">
        <f t="shared" ref="Z13:Z34" si="30">IF(P13&lt;&gt;"",P13,"")</f>
        <v>260</v>
      </c>
      <c r="AA13" s="18">
        <f t="shared" ref="AA13:AA34" si="31">IF(Q13&lt;&gt;"",AA$6-Q13,"")</f>
        <v>605</v>
      </c>
      <c r="AB13" s="4" t="s">
        <v>0</v>
      </c>
    </row>
    <row r="14" spans="1:28">
      <c r="A14" s="9" t="s">
        <v>646</v>
      </c>
      <c r="B14" s="24"/>
      <c r="C14" s="26">
        <v>1</v>
      </c>
      <c r="D14" s="25">
        <f t="shared" ref="D14:D34" si="32">D11</f>
        <v>188</v>
      </c>
      <c r="E14" s="28">
        <f>ROUND(E$11+33*$C14, 0)</f>
        <v>157</v>
      </c>
      <c r="F14" s="25">
        <f t="shared" ref="F14:F34" si="33">F11</f>
        <v>224</v>
      </c>
      <c r="G14" s="28">
        <f>ROUND(G$11+33*$C14, 0)</f>
        <v>178</v>
      </c>
      <c r="H14" s="4" t="s">
        <v>0</v>
      </c>
      <c r="I14" s="16" t="str">
        <f t="shared" si="14"/>
        <v>28-225㎡</v>
      </c>
      <c r="J14" s="14">
        <f t="shared" si="15"/>
        <v>188</v>
      </c>
      <c r="K14" s="15">
        <f t="shared" si="16"/>
        <v>157</v>
      </c>
      <c r="L14" s="17">
        <f t="shared" si="17"/>
        <v>224</v>
      </c>
      <c r="M14" s="18">
        <f t="shared" si="18"/>
        <v>157</v>
      </c>
      <c r="N14" s="14">
        <f t="shared" si="19"/>
        <v>224</v>
      </c>
      <c r="O14" s="15">
        <f t="shared" si="20"/>
        <v>178</v>
      </c>
      <c r="P14" s="17">
        <f t="shared" si="21"/>
        <v>188</v>
      </c>
      <c r="Q14" s="18">
        <f t="shared" si="22"/>
        <v>178</v>
      </c>
      <c r="R14" s="4" t="s">
        <v>0</v>
      </c>
      <c r="S14" s="16" t="str">
        <f t="shared" si="23"/>
        <v>28-225㎡</v>
      </c>
      <c r="T14" s="14">
        <f t="shared" si="24"/>
        <v>188</v>
      </c>
      <c r="U14" s="18">
        <f t="shared" si="25"/>
        <v>593</v>
      </c>
      <c r="V14" s="14">
        <f t="shared" si="26"/>
        <v>224</v>
      </c>
      <c r="W14" s="18">
        <f t="shared" si="27"/>
        <v>593</v>
      </c>
      <c r="X14" s="14">
        <f t="shared" si="28"/>
        <v>224</v>
      </c>
      <c r="Y14" s="18">
        <f t="shared" si="29"/>
        <v>572</v>
      </c>
      <c r="Z14" s="14">
        <f t="shared" si="30"/>
        <v>188</v>
      </c>
      <c r="AA14" s="18">
        <f t="shared" si="31"/>
        <v>572</v>
      </c>
      <c r="AB14" s="4" t="s">
        <v>0</v>
      </c>
    </row>
    <row r="15" spans="1:28">
      <c r="A15" s="9" t="s">
        <v>638</v>
      </c>
      <c r="B15" s="24"/>
      <c r="C15" s="26"/>
      <c r="D15" s="25">
        <f t="shared" si="32"/>
        <v>224</v>
      </c>
      <c r="E15" s="29">
        <f t="shared" ref="E15:G16" si="34">E14</f>
        <v>157</v>
      </c>
      <c r="F15" s="25">
        <f t="shared" si="33"/>
        <v>260</v>
      </c>
      <c r="G15" s="29">
        <f t="shared" si="34"/>
        <v>178</v>
      </c>
      <c r="H15" s="4" t="s">
        <v>0</v>
      </c>
      <c r="I15" s="16" t="str">
        <f t="shared" si="14"/>
        <v>18-225㎡</v>
      </c>
      <c r="J15" s="14">
        <f t="shared" si="15"/>
        <v>224</v>
      </c>
      <c r="K15" s="15">
        <f t="shared" si="16"/>
        <v>157</v>
      </c>
      <c r="L15" s="17">
        <f t="shared" si="17"/>
        <v>260</v>
      </c>
      <c r="M15" s="18">
        <f t="shared" si="18"/>
        <v>157</v>
      </c>
      <c r="N15" s="14">
        <f t="shared" si="19"/>
        <v>260</v>
      </c>
      <c r="O15" s="15">
        <f t="shared" si="20"/>
        <v>178</v>
      </c>
      <c r="P15" s="17">
        <f t="shared" si="21"/>
        <v>224</v>
      </c>
      <c r="Q15" s="18">
        <f t="shared" si="22"/>
        <v>178</v>
      </c>
      <c r="R15" s="4" t="s">
        <v>0</v>
      </c>
      <c r="S15" s="16" t="str">
        <f t="shared" si="23"/>
        <v>18-225㎡</v>
      </c>
      <c r="T15" s="14">
        <f t="shared" si="24"/>
        <v>224</v>
      </c>
      <c r="U15" s="18">
        <f t="shared" si="25"/>
        <v>593</v>
      </c>
      <c r="V15" s="14">
        <f t="shared" si="26"/>
        <v>260</v>
      </c>
      <c r="W15" s="18">
        <f t="shared" si="27"/>
        <v>593</v>
      </c>
      <c r="X15" s="14">
        <f t="shared" si="28"/>
        <v>260</v>
      </c>
      <c r="Y15" s="18">
        <f t="shared" si="29"/>
        <v>572</v>
      </c>
      <c r="Z15" s="14">
        <f t="shared" si="30"/>
        <v>224</v>
      </c>
      <c r="AA15" s="18">
        <f t="shared" si="31"/>
        <v>572</v>
      </c>
      <c r="AB15" s="4" t="s">
        <v>0</v>
      </c>
    </row>
    <row r="16" spans="1:28">
      <c r="A16" s="9" t="s">
        <v>630</v>
      </c>
      <c r="B16" s="24"/>
      <c r="C16" s="26"/>
      <c r="D16" s="25">
        <f t="shared" si="32"/>
        <v>260</v>
      </c>
      <c r="E16" s="29">
        <f t="shared" si="34"/>
        <v>157</v>
      </c>
      <c r="F16" s="25">
        <f t="shared" si="33"/>
        <v>296</v>
      </c>
      <c r="G16" s="29">
        <f t="shared" si="34"/>
        <v>178</v>
      </c>
      <c r="H16" s="4" t="s">
        <v>0</v>
      </c>
      <c r="I16" s="16" t="str">
        <f t="shared" si="14"/>
        <v>08-3㎡</v>
      </c>
      <c r="J16" s="14">
        <f t="shared" si="15"/>
        <v>260</v>
      </c>
      <c r="K16" s="15">
        <f t="shared" si="16"/>
        <v>157</v>
      </c>
      <c r="L16" s="17">
        <f t="shared" si="17"/>
        <v>296</v>
      </c>
      <c r="M16" s="18">
        <f t="shared" si="18"/>
        <v>157</v>
      </c>
      <c r="N16" s="14">
        <f t="shared" si="19"/>
        <v>296</v>
      </c>
      <c r="O16" s="15">
        <f t="shared" si="20"/>
        <v>178</v>
      </c>
      <c r="P16" s="17">
        <f t="shared" si="21"/>
        <v>260</v>
      </c>
      <c r="Q16" s="18">
        <f t="shared" si="22"/>
        <v>178</v>
      </c>
      <c r="R16" s="4" t="s">
        <v>0</v>
      </c>
      <c r="S16" s="16" t="str">
        <f t="shared" si="23"/>
        <v>08-3㎡</v>
      </c>
      <c r="T16" s="14">
        <f t="shared" si="24"/>
        <v>260</v>
      </c>
      <c r="U16" s="18">
        <f t="shared" si="25"/>
        <v>593</v>
      </c>
      <c r="V16" s="14">
        <f t="shared" si="26"/>
        <v>296</v>
      </c>
      <c r="W16" s="18">
        <f t="shared" si="27"/>
        <v>593</v>
      </c>
      <c r="X16" s="14">
        <f t="shared" si="28"/>
        <v>296</v>
      </c>
      <c r="Y16" s="18">
        <f t="shared" si="29"/>
        <v>572</v>
      </c>
      <c r="Z16" s="14">
        <f t="shared" si="30"/>
        <v>260</v>
      </c>
      <c r="AA16" s="18">
        <f t="shared" si="31"/>
        <v>572</v>
      </c>
      <c r="AB16" s="4" t="s">
        <v>0</v>
      </c>
    </row>
    <row r="17" spans="1:28">
      <c r="A17" s="9" t="s">
        <v>645</v>
      </c>
      <c r="B17" s="24"/>
      <c r="C17" s="26">
        <v>2</v>
      </c>
      <c r="D17" s="25">
        <f t="shared" si="32"/>
        <v>188</v>
      </c>
      <c r="E17" s="28">
        <f>ROUND(E$11+33*$C17, 0)</f>
        <v>190</v>
      </c>
      <c r="F17" s="25">
        <f t="shared" si="33"/>
        <v>224</v>
      </c>
      <c r="G17" s="28">
        <f>ROUND(G$11+33*$C17, 0)</f>
        <v>211</v>
      </c>
      <c r="H17" s="4" t="s">
        <v>0</v>
      </c>
      <c r="I17" s="16" t="str">
        <f t="shared" si="14"/>
        <v>27-225㎡</v>
      </c>
      <c r="J17" s="14">
        <f t="shared" si="15"/>
        <v>188</v>
      </c>
      <c r="K17" s="15">
        <f t="shared" si="16"/>
        <v>190</v>
      </c>
      <c r="L17" s="17">
        <f t="shared" si="17"/>
        <v>224</v>
      </c>
      <c r="M17" s="18">
        <f t="shared" si="18"/>
        <v>190</v>
      </c>
      <c r="N17" s="14">
        <f t="shared" si="19"/>
        <v>224</v>
      </c>
      <c r="O17" s="15">
        <f t="shared" si="20"/>
        <v>211</v>
      </c>
      <c r="P17" s="17">
        <f t="shared" si="21"/>
        <v>188</v>
      </c>
      <c r="Q17" s="18">
        <f t="shared" si="22"/>
        <v>211</v>
      </c>
      <c r="R17" s="4" t="s">
        <v>0</v>
      </c>
      <c r="S17" s="16" t="str">
        <f t="shared" si="23"/>
        <v>27-225㎡</v>
      </c>
      <c r="T17" s="14">
        <f t="shared" si="24"/>
        <v>188</v>
      </c>
      <c r="U17" s="18">
        <f t="shared" si="25"/>
        <v>560</v>
      </c>
      <c r="V17" s="14">
        <f t="shared" si="26"/>
        <v>224</v>
      </c>
      <c r="W17" s="18">
        <f t="shared" si="27"/>
        <v>560</v>
      </c>
      <c r="X17" s="14">
        <f t="shared" si="28"/>
        <v>224</v>
      </c>
      <c r="Y17" s="18">
        <f t="shared" si="29"/>
        <v>539</v>
      </c>
      <c r="Z17" s="14">
        <f t="shared" si="30"/>
        <v>188</v>
      </c>
      <c r="AA17" s="18">
        <f t="shared" si="31"/>
        <v>539</v>
      </c>
      <c r="AB17" s="4" t="s">
        <v>0</v>
      </c>
    </row>
    <row r="18" spans="1:28">
      <c r="A18" s="9" t="s">
        <v>637</v>
      </c>
      <c r="B18" s="24"/>
      <c r="C18" s="26"/>
      <c r="D18" s="25">
        <f t="shared" si="32"/>
        <v>224</v>
      </c>
      <c r="E18" s="29">
        <f t="shared" ref="E18" si="35">E17</f>
        <v>190</v>
      </c>
      <c r="F18" s="25">
        <f t="shared" si="33"/>
        <v>260</v>
      </c>
      <c r="G18" s="29">
        <f t="shared" ref="G18" si="36">G17</f>
        <v>211</v>
      </c>
      <c r="H18" s="4" t="s">
        <v>0</v>
      </c>
      <c r="I18" s="16" t="str">
        <f t="shared" si="14"/>
        <v>17-225㎡</v>
      </c>
      <c r="J18" s="14">
        <f t="shared" si="15"/>
        <v>224</v>
      </c>
      <c r="K18" s="15">
        <f t="shared" si="16"/>
        <v>190</v>
      </c>
      <c r="L18" s="17">
        <f t="shared" si="17"/>
        <v>260</v>
      </c>
      <c r="M18" s="18">
        <f t="shared" si="18"/>
        <v>190</v>
      </c>
      <c r="N18" s="14">
        <f t="shared" si="19"/>
        <v>260</v>
      </c>
      <c r="O18" s="15">
        <f t="shared" si="20"/>
        <v>211</v>
      </c>
      <c r="P18" s="17">
        <f t="shared" si="21"/>
        <v>224</v>
      </c>
      <c r="Q18" s="18">
        <f t="shared" si="22"/>
        <v>211</v>
      </c>
      <c r="R18" s="4" t="s">
        <v>0</v>
      </c>
      <c r="S18" s="16" t="str">
        <f t="shared" si="23"/>
        <v>17-225㎡</v>
      </c>
      <c r="T18" s="14">
        <f t="shared" si="24"/>
        <v>224</v>
      </c>
      <c r="U18" s="18">
        <f t="shared" si="25"/>
        <v>560</v>
      </c>
      <c r="V18" s="14">
        <f t="shared" si="26"/>
        <v>260</v>
      </c>
      <c r="W18" s="18">
        <f t="shared" si="27"/>
        <v>560</v>
      </c>
      <c r="X18" s="14">
        <f t="shared" si="28"/>
        <v>260</v>
      </c>
      <c r="Y18" s="18">
        <f t="shared" si="29"/>
        <v>539</v>
      </c>
      <c r="Z18" s="14">
        <f t="shared" si="30"/>
        <v>224</v>
      </c>
      <c r="AA18" s="18">
        <f t="shared" si="31"/>
        <v>539</v>
      </c>
      <c r="AB18" s="4" t="s">
        <v>0</v>
      </c>
    </row>
    <row r="19" spans="1:28">
      <c r="A19" s="9" t="s">
        <v>629</v>
      </c>
      <c r="B19" s="24"/>
      <c r="C19" s="26"/>
      <c r="D19" s="25">
        <f t="shared" si="32"/>
        <v>260</v>
      </c>
      <c r="E19" s="29">
        <f t="shared" ref="E19" si="37">E18</f>
        <v>190</v>
      </c>
      <c r="F19" s="25">
        <f t="shared" si="33"/>
        <v>296</v>
      </c>
      <c r="G19" s="29">
        <f t="shared" ref="G19" si="38">G18</f>
        <v>211</v>
      </c>
      <c r="H19" s="4" t="s">
        <v>0</v>
      </c>
      <c r="I19" s="16" t="str">
        <f t="shared" si="14"/>
        <v>07-3㎡</v>
      </c>
      <c r="J19" s="14">
        <f t="shared" si="15"/>
        <v>260</v>
      </c>
      <c r="K19" s="15">
        <f t="shared" si="16"/>
        <v>190</v>
      </c>
      <c r="L19" s="17">
        <f t="shared" si="17"/>
        <v>296</v>
      </c>
      <c r="M19" s="18">
        <f t="shared" si="18"/>
        <v>190</v>
      </c>
      <c r="N19" s="14">
        <f t="shared" si="19"/>
        <v>296</v>
      </c>
      <c r="O19" s="15">
        <f t="shared" si="20"/>
        <v>211</v>
      </c>
      <c r="P19" s="17">
        <f t="shared" si="21"/>
        <v>260</v>
      </c>
      <c r="Q19" s="18">
        <f t="shared" si="22"/>
        <v>211</v>
      </c>
      <c r="R19" s="4" t="s">
        <v>0</v>
      </c>
      <c r="S19" s="16" t="str">
        <f t="shared" si="23"/>
        <v>07-3㎡</v>
      </c>
      <c r="T19" s="14">
        <f t="shared" si="24"/>
        <v>260</v>
      </c>
      <c r="U19" s="18">
        <f t="shared" si="25"/>
        <v>560</v>
      </c>
      <c r="V19" s="14">
        <f t="shared" si="26"/>
        <v>296</v>
      </c>
      <c r="W19" s="18">
        <f t="shared" si="27"/>
        <v>560</v>
      </c>
      <c r="X19" s="14">
        <f t="shared" si="28"/>
        <v>296</v>
      </c>
      <c r="Y19" s="18">
        <f t="shared" si="29"/>
        <v>539</v>
      </c>
      <c r="Z19" s="14">
        <f t="shared" si="30"/>
        <v>260</v>
      </c>
      <c r="AA19" s="18">
        <f t="shared" si="31"/>
        <v>539</v>
      </c>
      <c r="AB19" s="4" t="s">
        <v>0</v>
      </c>
    </row>
    <row r="20" spans="1:28">
      <c r="A20" s="9" t="s">
        <v>644</v>
      </c>
      <c r="B20" s="24"/>
      <c r="C20" s="26">
        <v>3</v>
      </c>
      <c r="D20" s="25">
        <f t="shared" si="32"/>
        <v>188</v>
      </c>
      <c r="E20" s="28">
        <f>ROUND(E$11+33*$C20, 0)</f>
        <v>223</v>
      </c>
      <c r="F20" s="25">
        <f t="shared" si="33"/>
        <v>224</v>
      </c>
      <c r="G20" s="28">
        <f>ROUND(G$11+33*$C20, 0)</f>
        <v>244</v>
      </c>
      <c r="H20" s="4" t="s">
        <v>0</v>
      </c>
      <c r="I20" s="16" t="str">
        <f t="shared" si="14"/>
        <v>26-225㎡</v>
      </c>
      <c r="J20" s="14">
        <f t="shared" si="15"/>
        <v>188</v>
      </c>
      <c r="K20" s="15">
        <f t="shared" si="16"/>
        <v>223</v>
      </c>
      <c r="L20" s="17">
        <f t="shared" si="17"/>
        <v>224</v>
      </c>
      <c r="M20" s="18">
        <f t="shared" si="18"/>
        <v>223</v>
      </c>
      <c r="N20" s="14">
        <f t="shared" si="19"/>
        <v>224</v>
      </c>
      <c r="O20" s="15">
        <f t="shared" si="20"/>
        <v>244</v>
      </c>
      <c r="P20" s="17">
        <f t="shared" si="21"/>
        <v>188</v>
      </c>
      <c r="Q20" s="18">
        <f t="shared" si="22"/>
        <v>244</v>
      </c>
      <c r="R20" s="4" t="s">
        <v>0</v>
      </c>
      <c r="S20" s="16" t="str">
        <f t="shared" si="23"/>
        <v>26-225㎡</v>
      </c>
      <c r="T20" s="14">
        <f t="shared" si="24"/>
        <v>188</v>
      </c>
      <c r="U20" s="18">
        <f t="shared" si="25"/>
        <v>527</v>
      </c>
      <c r="V20" s="14">
        <f t="shared" si="26"/>
        <v>224</v>
      </c>
      <c r="W20" s="18">
        <f t="shared" si="27"/>
        <v>527</v>
      </c>
      <c r="X20" s="14">
        <f t="shared" si="28"/>
        <v>224</v>
      </c>
      <c r="Y20" s="18">
        <f t="shared" si="29"/>
        <v>506</v>
      </c>
      <c r="Z20" s="14">
        <f t="shared" si="30"/>
        <v>188</v>
      </c>
      <c r="AA20" s="18">
        <f t="shared" si="31"/>
        <v>506</v>
      </c>
      <c r="AB20" s="4" t="s">
        <v>0</v>
      </c>
    </row>
    <row r="21" spans="1:28">
      <c r="A21" s="9" t="s">
        <v>636</v>
      </c>
      <c r="B21" s="24"/>
      <c r="C21" s="26"/>
      <c r="D21" s="25">
        <f t="shared" si="32"/>
        <v>224</v>
      </c>
      <c r="E21" s="29">
        <f t="shared" ref="E21" si="39">E20</f>
        <v>223</v>
      </c>
      <c r="F21" s="25">
        <f t="shared" si="33"/>
        <v>260</v>
      </c>
      <c r="G21" s="29">
        <f t="shared" ref="G21" si="40">G20</f>
        <v>244</v>
      </c>
      <c r="H21" s="4" t="s">
        <v>0</v>
      </c>
      <c r="I21" s="16" t="str">
        <f t="shared" si="14"/>
        <v>16-225㎡</v>
      </c>
      <c r="J21" s="14">
        <f t="shared" si="15"/>
        <v>224</v>
      </c>
      <c r="K21" s="15">
        <f t="shared" si="16"/>
        <v>223</v>
      </c>
      <c r="L21" s="17">
        <f t="shared" si="17"/>
        <v>260</v>
      </c>
      <c r="M21" s="18">
        <f t="shared" si="18"/>
        <v>223</v>
      </c>
      <c r="N21" s="14">
        <f t="shared" si="19"/>
        <v>260</v>
      </c>
      <c r="O21" s="15">
        <f t="shared" si="20"/>
        <v>244</v>
      </c>
      <c r="P21" s="17">
        <f t="shared" si="21"/>
        <v>224</v>
      </c>
      <c r="Q21" s="18">
        <f t="shared" si="22"/>
        <v>244</v>
      </c>
      <c r="R21" s="4" t="s">
        <v>0</v>
      </c>
      <c r="S21" s="16" t="str">
        <f t="shared" si="23"/>
        <v>16-225㎡</v>
      </c>
      <c r="T21" s="14">
        <f t="shared" si="24"/>
        <v>224</v>
      </c>
      <c r="U21" s="18">
        <f t="shared" si="25"/>
        <v>527</v>
      </c>
      <c r="V21" s="14">
        <f t="shared" si="26"/>
        <v>260</v>
      </c>
      <c r="W21" s="18">
        <f t="shared" si="27"/>
        <v>527</v>
      </c>
      <c r="X21" s="14">
        <f t="shared" si="28"/>
        <v>260</v>
      </c>
      <c r="Y21" s="18">
        <f t="shared" si="29"/>
        <v>506</v>
      </c>
      <c r="Z21" s="14">
        <f t="shared" si="30"/>
        <v>224</v>
      </c>
      <c r="AA21" s="18">
        <f t="shared" si="31"/>
        <v>506</v>
      </c>
      <c r="AB21" s="4" t="s">
        <v>0</v>
      </c>
    </row>
    <row r="22" spans="1:28">
      <c r="A22" s="9" t="s">
        <v>628</v>
      </c>
      <c r="B22" s="24"/>
      <c r="C22" s="26"/>
      <c r="D22" s="25">
        <f t="shared" si="32"/>
        <v>260</v>
      </c>
      <c r="E22" s="29">
        <f t="shared" ref="E22" si="41">E21</f>
        <v>223</v>
      </c>
      <c r="F22" s="25">
        <f t="shared" si="33"/>
        <v>296</v>
      </c>
      <c r="G22" s="29">
        <f t="shared" ref="G22" si="42">G21</f>
        <v>244</v>
      </c>
      <c r="H22" s="4" t="s">
        <v>0</v>
      </c>
      <c r="I22" s="16" t="str">
        <f t="shared" si="14"/>
        <v>06-3㎡</v>
      </c>
      <c r="J22" s="14">
        <f t="shared" si="15"/>
        <v>260</v>
      </c>
      <c r="K22" s="15">
        <f t="shared" si="16"/>
        <v>223</v>
      </c>
      <c r="L22" s="17">
        <f t="shared" si="17"/>
        <v>296</v>
      </c>
      <c r="M22" s="18">
        <f t="shared" si="18"/>
        <v>223</v>
      </c>
      <c r="N22" s="14">
        <f t="shared" si="19"/>
        <v>296</v>
      </c>
      <c r="O22" s="15">
        <f t="shared" si="20"/>
        <v>244</v>
      </c>
      <c r="P22" s="17">
        <f t="shared" si="21"/>
        <v>260</v>
      </c>
      <c r="Q22" s="18">
        <f t="shared" si="22"/>
        <v>244</v>
      </c>
      <c r="R22" s="4" t="s">
        <v>0</v>
      </c>
      <c r="S22" s="16" t="str">
        <f t="shared" si="23"/>
        <v>06-3㎡</v>
      </c>
      <c r="T22" s="14">
        <f t="shared" si="24"/>
        <v>260</v>
      </c>
      <c r="U22" s="18">
        <f t="shared" si="25"/>
        <v>527</v>
      </c>
      <c r="V22" s="14">
        <f t="shared" si="26"/>
        <v>296</v>
      </c>
      <c r="W22" s="18">
        <f t="shared" si="27"/>
        <v>527</v>
      </c>
      <c r="X22" s="14">
        <f t="shared" si="28"/>
        <v>296</v>
      </c>
      <c r="Y22" s="18">
        <f t="shared" si="29"/>
        <v>506</v>
      </c>
      <c r="Z22" s="14">
        <f t="shared" si="30"/>
        <v>260</v>
      </c>
      <c r="AA22" s="18">
        <f t="shared" si="31"/>
        <v>506</v>
      </c>
      <c r="AB22" s="4" t="s">
        <v>0</v>
      </c>
    </row>
    <row r="23" spans="1:28">
      <c r="A23" s="9" t="s">
        <v>643</v>
      </c>
      <c r="B23" s="24"/>
      <c r="C23" s="26">
        <v>4</v>
      </c>
      <c r="D23" s="25">
        <f t="shared" si="32"/>
        <v>188</v>
      </c>
      <c r="E23" s="28">
        <f>ROUND(E$11+33*$C23, 0)</f>
        <v>256</v>
      </c>
      <c r="F23" s="25">
        <f t="shared" si="33"/>
        <v>224</v>
      </c>
      <c r="G23" s="28">
        <f>ROUND(G$11+33*$C23, 0)</f>
        <v>277</v>
      </c>
      <c r="H23" s="4" t="s">
        <v>0</v>
      </c>
      <c r="I23" s="16" t="str">
        <f t="shared" si="14"/>
        <v>25-225㎡</v>
      </c>
      <c r="J23" s="14">
        <f t="shared" si="15"/>
        <v>188</v>
      </c>
      <c r="K23" s="15">
        <f t="shared" si="16"/>
        <v>256</v>
      </c>
      <c r="L23" s="17">
        <f t="shared" si="17"/>
        <v>224</v>
      </c>
      <c r="M23" s="18">
        <f t="shared" si="18"/>
        <v>256</v>
      </c>
      <c r="N23" s="14">
        <f t="shared" si="19"/>
        <v>224</v>
      </c>
      <c r="O23" s="15">
        <f t="shared" si="20"/>
        <v>277</v>
      </c>
      <c r="P23" s="17">
        <f t="shared" si="21"/>
        <v>188</v>
      </c>
      <c r="Q23" s="18">
        <f t="shared" si="22"/>
        <v>277</v>
      </c>
      <c r="R23" s="4" t="s">
        <v>0</v>
      </c>
      <c r="S23" s="16" t="str">
        <f t="shared" si="23"/>
        <v>25-225㎡</v>
      </c>
      <c r="T23" s="14">
        <f t="shared" si="24"/>
        <v>188</v>
      </c>
      <c r="U23" s="18">
        <f t="shared" si="25"/>
        <v>494</v>
      </c>
      <c r="V23" s="14">
        <f t="shared" si="26"/>
        <v>224</v>
      </c>
      <c r="W23" s="18">
        <f t="shared" si="27"/>
        <v>494</v>
      </c>
      <c r="X23" s="14">
        <f t="shared" si="28"/>
        <v>224</v>
      </c>
      <c r="Y23" s="18">
        <f t="shared" si="29"/>
        <v>473</v>
      </c>
      <c r="Z23" s="14">
        <f t="shared" si="30"/>
        <v>188</v>
      </c>
      <c r="AA23" s="18">
        <f t="shared" si="31"/>
        <v>473</v>
      </c>
      <c r="AB23" s="4" t="s">
        <v>0</v>
      </c>
    </row>
    <row r="24" spans="1:28">
      <c r="A24" s="9" t="s">
        <v>635</v>
      </c>
      <c r="B24" s="24"/>
      <c r="C24" s="26"/>
      <c r="D24" s="25">
        <f t="shared" si="32"/>
        <v>224</v>
      </c>
      <c r="E24" s="29">
        <f t="shared" ref="E24" si="43">E23</f>
        <v>256</v>
      </c>
      <c r="F24" s="25">
        <f t="shared" si="33"/>
        <v>260</v>
      </c>
      <c r="G24" s="29">
        <f t="shared" ref="G24" si="44">G23</f>
        <v>277</v>
      </c>
      <c r="H24" s="4" t="s">
        <v>0</v>
      </c>
      <c r="I24" s="16" t="str">
        <f t="shared" si="14"/>
        <v>15-225㎡</v>
      </c>
      <c r="J24" s="14">
        <f t="shared" si="15"/>
        <v>224</v>
      </c>
      <c r="K24" s="15">
        <f t="shared" si="16"/>
        <v>256</v>
      </c>
      <c r="L24" s="17">
        <f t="shared" si="17"/>
        <v>260</v>
      </c>
      <c r="M24" s="18">
        <f t="shared" si="18"/>
        <v>256</v>
      </c>
      <c r="N24" s="14">
        <f t="shared" si="19"/>
        <v>260</v>
      </c>
      <c r="O24" s="15">
        <f t="shared" si="20"/>
        <v>277</v>
      </c>
      <c r="P24" s="17">
        <f t="shared" si="21"/>
        <v>224</v>
      </c>
      <c r="Q24" s="18">
        <f t="shared" si="22"/>
        <v>277</v>
      </c>
      <c r="R24" s="4" t="s">
        <v>0</v>
      </c>
      <c r="S24" s="16" t="str">
        <f t="shared" si="23"/>
        <v>15-225㎡</v>
      </c>
      <c r="T24" s="14">
        <f t="shared" si="24"/>
        <v>224</v>
      </c>
      <c r="U24" s="18">
        <f t="shared" si="25"/>
        <v>494</v>
      </c>
      <c r="V24" s="14">
        <f t="shared" si="26"/>
        <v>260</v>
      </c>
      <c r="W24" s="18">
        <f t="shared" si="27"/>
        <v>494</v>
      </c>
      <c r="X24" s="14">
        <f t="shared" si="28"/>
        <v>260</v>
      </c>
      <c r="Y24" s="18">
        <f t="shared" si="29"/>
        <v>473</v>
      </c>
      <c r="Z24" s="14">
        <f t="shared" si="30"/>
        <v>224</v>
      </c>
      <c r="AA24" s="18">
        <f t="shared" si="31"/>
        <v>473</v>
      </c>
      <c r="AB24" s="4" t="s">
        <v>0</v>
      </c>
    </row>
    <row r="25" spans="1:28">
      <c r="A25" s="9" t="s">
        <v>627</v>
      </c>
      <c r="B25" s="24"/>
      <c r="C25" s="26"/>
      <c r="D25" s="25">
        <f t="shared" si="32"/>
        <v>260</v>
      </c>
      <c r="E25" s="29">
        <f t="shared" ref="E25" si="45">E24</f>
        <v>256</v>
      </c>
      <c r="F25" s="25">
        <f t="shared" si="33"/>
        <v>296</v>
      </c>
      <c r="G25" s="29">
        <f t="shared" ref="G25" si="46">G24</f>
        <v>277</v>
      </c>
      <c r="H25" s="4" t="s">
        <v>0</v>
      </c>
      <c r="I25" s="16" t="str">
        <f t="shared" si="14"/>
        <v>05-3㎡</v>
      </c>
      <c r="J25" s="14">
        <f t="shared" si="15"/>
        <v>260</v>
      </c>
      <c r="K25" s="15">
        <f t="shared" si="16"/>
        <v>256</v>
      </c>
      <c r="L25" s="17">
        <f t="shared" si="17"/>
        <v>296</v>
      </c>
      <c r="M25" s="18">
        <f t="shared" si="18"/>
        <v>256</v>
      </c>
      <c r="N25" s="14">
        <f t="shared" si="19"/>
        <v>296</v>
      </c>
      <c r="O25" s="15">
        <f t="shared" si="20"/>
        <v>277</v>
      </c>
      <c r="P25" s="17">
        <f t="shared" si="21"/>
        <v>260</v>
      </c>
      <c r="Q25" s="18">
        <f t="shared" si="22"/>
        <v>277</v>
      </c>
      <c r="R25" s="4" t="s">
        <v>0</v>
      </c>
      <c r="S25" s="16" t="str">
        <f t="shared" si="23"/>
        <v>05-3㎡</v>
      </c>
      <c r="T25" s="14">
        <f t="shared" si="24"/>
        <v>260</v>
      </c>
      <c r="U25" s="18">
        <f t="shared" si="25"/>
        <v>494</v>
      </c>
      <c r="V25" s="14">
        <f t="shared" si="26"/>
        <v>296</v>
      </c>
      <c r="W25" s="18">
        <f t="shared" si="27"/>
        <v>494</v>
      </c>
      <c r="X25" s="14">
        <f t="shared" si="28"/>
        <v>296</v>
      </c>
      <c r="Y25" s="18">
        <f t="shared" si="29"/>
        <v>473</v>
      </c>
      <c r="Z25" s="14">
        <f t="shared" si="30"/>
        <v>260</v>
      </c>
      <c r="AA25" s="18">
        <f t="shared" si="31"/>
        <v>473</v>
      </c>
      <c r="AB25" s="4" t="s">
        <v>0</v>
      </c>
    </row>
    <row r="26" spans="1:28">
      <c r="A26" s="9" t="s">
        <v>642</v>
      </c>
      <c r="B26" s="24"/>
      <c r="C26" s="26">
        <v>5</v>
      </c>
      <c r="D26" s="25">
        <f t="shared" si="32"/>
        <v>188</v>
      </c>
      <c r="E26" s="28">
        <f>ROUND(E$11+33*$C26, 0)</f>
        <v>289</v>
      </c>
      <c r="F26" s="25">
        <f t="shared" si="33"/>
        <v>224</v>
      </c>
      <c r="G26" s="28">
        <f>ROUND(G$11+33*$C26, 0)</f>
        <v>310</v>
      </c>
      <c r="H26" s="4" t="s">
        <v>0</v>
      </c>
      <c r="I26" s="16" t="str">
        <f t="shared" si="14"/>
        <v>23-225㎡</v>
      </c>
      <c r="J26" s="14">
        <f t="shared" si="15"/>
        <v>188</v>
      </c>
      <c r="K26" s="15">
        <f t="shared" si="16"/>
        <v>289</v>
      </c>
      <c r="L26" s="17">
        <f t="shared" si="17"/>
        <v>224</v>
      </c>
      <c r="M26" s="18">
        <f t="shared" si="18"/>
        <v>289</v>
      </c>
      <c r="N26" s="14">
        <f t="shared" si="19"/>
        <v>224</v>
      </c>
      <c r="O26" s="15">
        <f t="shared" si="20"/>
        <v>310</v>
      </c>
      <c r="P26" s="17">
        <f t="shared" si="21"/>
        <v>188</v>
      </c>
      <c r="Q26" s="18">
        <f t="shared" si="22"/>
        <v>310</v>
      </c>
      <c r="R26" s="4" t="s">
        <v>0</v>
      </c>
      <c r="S26" s="16" t="str">
        <f t="shared" si="23"/>
        <v>23-225㎡</v>
      </c>
      <c r="T26" s="14">
        <f t="shared" si="24"/>
        <v>188</v>
      </c>
      <c r="U26" s="18">
        <f t="shared" si="25"/>
        <v>461</v>
      </c>
      <c r="V26" s="14">
        <f t="shared" si="26"/>
        <v>224</v>
      </c>
      <c r="W26" s="18">
        <f t="shared" si="27"/>
        <v>461</v>
      </c>
      <c r="X26" s="14">
        <f t="shared" si="28"/>
        <v>224</v>
      </c>
      <c r="Y26" s="18">
        <f t="shared" si="29"/>
        <v>440</v>
      </c>
      <c r="Z26" s="14">
        <f t="shared" si="30"/>
        <v>188</v>
      </c>
      <c r="AA26" s="18">
        <f t="shared" si="31"/>
        <v>440</v>
      </c>
      <c r="AB26" s="4" t="s">
        <v>0</v>
      </c>
    </row>
    <row r="27" spans="1:28">
      <c r="A27" s="9" t="s">
        <v>634</v>
      </c>
      <c r="B27" s="24"/>
      <c r="C27" s="26"/>
      <c r="D27" s="25">
        <f t="shared" si="32"/>
        <v>224</v>
      </c>
      <c r="E27" s="29">
        <f t="shared" ref="E27" si="47">E26</f>
        <v>289</v>
      </c>
      <c r="F27" s="25">
        <f t="shared" si="33"/>
        <v>260</v>
      </c>
      <c r="G27" s="29">
        <f t="shared" ref="G27" si="48">G26</f>
        <v>310</v>
      </c>
      <c r="H27" s="4" t="s">
        <v>0</v>
      </c>
      <c r="I27" s="16" t="str">
        <f t="shared" si="14"/>
        <v>13-225㎡</v>
      </c>
      <c r="J27" s="14">
        <f t="shared" si="15"/>
        <v>224</v>
      </c>
      <c r="K27" s="15">
        <f t="shared" si="16"/>
        <v>289</v>
      </c>
      <c r="L27" s="17">
        <f t="shared" si="17"/>
        <v>260</v>
      </c>
      <c r="M27" s="18">
        <f t="shared" si="18"/>
        <v>289</v>
      </c>
      <c r="N27" s="14">
        <f t="shared" si="19"/>
        <v>260</v>
      </c>
      <c r="O27" s="15">
        <f t="shared" si="20"/>
        <v>310</v>
      </c>
      <c r="P27" s="17">
        <f t="shared" si="21"/>
        <v>224</v>
      </c>
      <c r="Q27" s="18">
        <f t="shared" si="22"/>
        <v>310</v>
      </c>
      <c r="R27" s="4" t="s">
        <v>0</v>
      </c>
      <c r="S27" s="16" t="str">
        <f t="shared" si="23"/>
        <v>13-225㎡</v>
      </c>
      <c r="T27" s="14">
        <f t="shared" si="24"/>
        <v>224</v>
      </c>
      <c r="U27" s="18">
        <f t="shared" si="25"/>
        <v>461</v>
      </c>
      <c r="V27" s="14">
        <f t="shared" si="26"/>
        <v>260</v>
      </c>
      <c r="W27" s="18">
        <f t="shared" si="27"/>
        <v>461</v>
      </c>
      <c r="X27" s="14">
        <f t="shared" si="28"/>
        <v>260</v>
      </c>
      <c r="Y27" s="18">
        <f t="shared" si="29"/>
        <v>440</v>
      </c>
      <c r="Z27" s="14">
        <f t="shared" si="30"/>
        <v>224</v>
      </c>
      <c r="AA27" s="18">
        <f t="shared" si="31"/>
        <v>440</v>
      </c>
      <c r="AB27" s="4" t="s">
        <v>0</v>
      </c>
    </row>
    <row r="28" spans="1:28">
      <c r="A28" s="9" t="s">
        <v>626</v>
      </c>
      <c r="B28" s="24"/>
      <c r="C28" s="26"/>
      <c r="D28" s="25">
        <f t="shared" si="32"/>
        <v>260</v>
      </c>
      <c r="E28" s="29">
        <f t="shared" ref="E28" si="49">E27</f>
        <v>289</v>
      </c>
      <c r="F28" s="25">
        <f t="shared" si="33"/>
        <v>296</v>
      </c>
      <c r="G28" s="29">
        <f t="shared" ref="G28" si="50">G27</f>
        <v>310</v>
      </c>
      <c r="H28" s="4" t="s">
        <v>0</v>
      </c>
      <c r="I28" s="16" t="str">
        <f t="shared" si="14"/>
        <v>03-3㎡</v>
      </c>
      <c r="J28" s="14">
        <f t="shared" si="15"/>
        <v>260</v>
      </c>
      <c r="K28" s="15">
        <f t="shared" si="16"/>
        <v>289</v>
      </c>
      <c r="L28" s="17">
        <f t="shared" si="17"/>
        <v>296</v>
      </c>
      <c r="M28" s="18">
        <f t="shared" si="18"/>
        <v>289</v>
      </c>
      <c r="N28" s="14">
        <f t="shared" si="19"/>
        <v>296</v>
      </c>
      <c r="O28" s="15">
        <f t="shared" si="20"/>
        <v>310</v>
      </c>
      <c r="P28" s="17">
        <f t="shared" si="21"/>
        <v>260</v>
      </c>
      <c r="Q28" s="18">
        <f t="shared" si="22"/>
        <v>310</v>
      </c>
      <c r="R28" s="4" t="s">
        <v>0</v>
      </c>
      <c r="S28" s="16" t="str">
        <f t="shared" si="23"/>
        <v>03-3㎡</v>
      </c>
      <c r="T28" s="14">
        <f t="shared" si="24"/>
        <v>260</v>
      </c>
      <c r="U28" s="18">
        <f t="shared" si="25"/>
        <v>461</v>
      </c>
      <c r="V28" s="14">
        <f t="shared" si="26"/>
        <v>296</v>
      </c>
      <c r="W28" s="18">
        <f t="shared" si="27"/>
        <v>461</v>
      </c>
      <c r="X28" s="14">
        <f t="shared" si="28"/>
        <v>296</v>
      </c>
      <c r="Y28" s="18">
        <f t="shared" si="29"/>
        <v>440</v>
      </c>
      <c r="Z28" s="14">
        <f t="shared" si="30"/>
        <v>260</v>
      </c>
      <c r="AA28" s="18">
        <f t="shared" si="31"/>
        <v>440</v>
      </c>
      <c r="AB28" s="4" t="s">
        <v>0</v>
      </c>
    </row>
    <row r="29" spans="1:28">
      <c r="A29" s="9" t="s">
        <v>641</v>
      </c>
      <c r="B29" s="24"/>
      <c r="C29" s="26">
        <v>6</v>
      </c>
      <c r="D29" s="25">
        <f t="shared" si="32"/>
        <v>188</v>
      </c>
      <c r="E29" s="28">
        <f>ROUND(E$11+33*$C29, 0)</f>
        <v>322</v>
      </c>
      <c r="F29" s="25">
        <f t="shared" si="33"/>
        <v>224</v>
      </c>
      <c r="G29" s="28">
        <f>ROUND(G$11+33*$C29, 0)</f>
        <v>343</v>
      </c>
      <c r="H29" s="4" t="s">
        <v>0</v>
      </c>
      <c r="I29" s="16" t="str">
        <f t="shared" si="14"/>
        <v>22-225㎡</v>
      </c>
      <c r="J29" s="14">
        <f t="shared" si="15"/>
        <v>188</v>
      </c>
      <c r="K29" s="15">
        <f t="shared" si="16"/>
        <v>322</v>
      </c>
      <c r="L29" s="17">
        <f t="shared" si="17"/>
        <v>224</v>
      </c>
      <c r="M29" s="18">
        <f t="shared" si="18"/>
        <v>322</v>
      </c>
      <c r="N29" s="14">
        <f t="shared" si="19"/>
        <v>224</v>
      </c>
      <c r="O29" s="15">
        <f t="shared" si="20"/>
        <v>343</v>
      </c>
      <c r="P29" s="17">
        <f t="shared" si="21"/>
        <v>188</v>
      </c>
      <c r="Q29" s="18">
        <f t="shared" si="22"/>
        <v>343</v>
      </c>
      <c r="R29" s="4" t="s">
        <v>0</v>
      </c>
      <c r="S29" s="16" t="str">
        <f t="shared" si="23"/>
        <v>22-225㎡</v>
      </c>
      <c r="T29" s="14">
        <f t="shared" si="24"/>
        <v>188</v>
      </c>
      <c r="U29" s="18">
        <f t="shared" si="25"/>
        <v>428</v>
      </c>
      <c r="V29" s="14">
        <f t="shared" si="26"/>
        <v>224</v>
      </c>
      <c r="W29" s="18">
        <f t="shared" si="27"/>
        <v>428</v>
      </c>
      <c r="X29" s="14">
        <f t="shared" si="28"/>
        <v>224</v>
      </c>
      <c r="Y29" s="18">
        <f t="shared" si="29"/>
        <v>407</v>
      </c>
      <c r="Z29" s="14">
        <f t="shared" si="30"/>
        <v>188</v>
      </c>
      <c r="AA29" s="18">
        <f t="shared" si="31"/>
        <v>407</v>
      </c>
      <c r="AB29" s="4" t="s">
        <v>0</v>
      </c>
    </row>
    <row r="30" spans="1:28">
      <c r="A30" s="9" t="s">
        <v>633</v>
      </c>
      <c r="B30" s="24"/>
      <c r="C30" s="26"/>
      <c r="D30" s="25">
        <f t="shared" si="32"/>
        <v>224</v>
      </c>
      <c r="E30" s="29">
        <f t="shared" ref="E30" si="51">E29</f>
        <v>322</v>
      </c>
      <c r="F30" s="25">
        <f t="shared" si="33"/>
        <v>260</v>
      </c>
      <c r="G30" s="29">
        <f t="shared" ref="G30" si="52">G29</f>
        <v>343</v>
      </c>
      <c r="H30" s="4" t="s">
        <v>0</v>
      </c>
      <c r="I30" s="16" t="str">
        <f t="shared" si="14"/>
        <v>12-225㎡</v>
      </c>
      <c r="J30" s="14">
        <f t="shared" si="15"/>
        <v>224</v>
      </c>
      <c r="K30" s="15">
        <f t="shared" si="16"/>
        <v>322</v>
      </c>
      <c r="L30" s="17">
        <f t="shared" si="17"/>
        <v>260</v>
      </c>
      <c r="M30" s="18">
        <f t="shared" si="18"/>
        <v>322</v>
      </c>
      <c r="N30" s="14">
        <f t="shared" si="19"/>
        <v>260</v>
      </c>
      <c r="O30" s="15">
        <f t="shared" si="20"/>
        <v>343</v>
      </c>
      <c r="P30" s="17">
        <f t="shared" si="21"/>
        <v>224</v>
      </c>
      <c r="Q30" s="18">
        <f t="shared" si="22"/>
        <v>343</v>
      </c>
      <c r="R30" s="4" t="s">
        <v>0</v>
      </c>
      <c r="S30" s="16" t="str">
        <f t="shared" si="23"/>
        <v>12-225㎡</v>
      </c>
      <c r="T30" s="14">
        <f t="shared" si="24"/>
        <v>224</v>
      </c>
      <c r="U30" s="18">
        <f t="shared" si="25"/>
        <v>428</v>
      </c>
      <c r="V30" s="14">
        <f t="shared" si="26"/>
        <v>260</v>
      </c>
      <c r="W30" s="18">
        <f t="shared" si="27"/>
        <v>428</v>
      </c>
      <c r="X30" s="14">
        <f t="shared" si="28"/>
        <v>260</v>
      </c>
      <c r="Y30" s="18">
        <f t="shared" si="29"/>
        <v>407</v>
      </c>
      <c r="Z30" s="14">
        <f t="shared" si="30"/>
        <v>224</v>
      </c>
      <c r="AA30" s="18">
        <f t="shared" si="31"/>
        <v>407</v>
      </c>
      <c r="AB30" s="4" t="s">
        <v>0</v>
      </c>
    </row>
    <row r="31" spans="1:28">
      <c r="A31" s="9" t="s">
        <v>625</v>
      </c>
      <c r="B31" s="24"/>
      <c r="C31" s="26"/>
      <c r="D31" s="25">
        <f t="shared" si="32"/>
        <v>260</v>
      </c>
      <c r="E31" s="29">
        <f t="shared" ref="E31" si="53">E30</f>
        <v>322</v>
      </c>
      <c r="F31" s="25">
        <f t="shared" si="33"/>
        <v>296</v>
      </c>
      <c r="G31" s="29">
        <f t="shared" ref="G31" si="54">G30</f>
        <v>343</v>
      </c>
      <c r="H31" s="4" t="s">
        <v>0</v>
      </c>
      <c r="I31" s="16" t="str">
        <f t="shared" si="14"/>
        <v>02-3㎡</v>
      </c>
      <c r="J31" s="14">
        <f t="shared" si="15"/>
        <v>260</v>
      </c>
      <c r="K31" s="15">
        <f t="shared" si="16"/>
        <v>322</v>
      </c>
      <c r="L31" s="17">
        <f t="shared" si="17"/>
        <v>296</v>
      </c>
      <c r="M31" s="18">
        <f t="shared" si="18"/>
        <v>322</v>
      </c>
      <c r="N31" s="14">
        <f t="shared" si="19"/>
        <v>296</v>
      </c>
      <c r="O31" s="15">
        <f t="shared" si="20"/>
        <v>343</v>
      </c>
      <c r="P31" s="17">
        <f t="shared" si="21"/>
        <v>260</v>
      </c>
      <c r="Q31" s="18">
        <f t="shared" si="22"/>
        <v>343</v>
      </c>
      <c r="R31" s="4" t="s">
        <v>0</v>
      </c>
      <c r="S31" s="16" t="str">
        <f t="shared" si="23"/>
        <v>02-3㎡</v>
      </c>
      <c r="T31" s="14">
        <f t="shared" si="24"/>
        <v>260</v>
      </c>
      <c r="U31" s="18">
        <f t="shared" si="25"/>
        <v>428</v>
      </c>
      <c r="V31" s="14">
        <f t="shared" si="26"/>
        <v>296</v>
      </c>
      <c r="W31" s="18">
        <f t="shared" si="27"/>
        <v>428</v>
      </c>
      <c r="X31" s="14">
        <f t="shared" si="28"/>
        <v>296</v>
      </c>
      <c r="Y31" s="18">
        <f t="shared" si="29"/>
        <v>407</v>
      </c>
      <c r="Z31" s="14">
        <f t="shared" si="30"/>
        <v>260</v>
      </c>
      <c r="AA31" s="18">
        <f t="shared" si="31"/>
        <v>407</v>
      </c>
      <c r="AB31" s="4" t="s">
        <v>0</v>
      </c>
    </row>
    <row r="32" spans="1:28">
      <c r="A32" s="9" t="s">
        <v>640</v>
      </c>
      <c r="B32" s="24"/>
      <c r="C32" s="26">
        <v>7</v>
      </c>
      <c r="D32" s="25">
        <f t="shared" si="32"/>
        <v>188</v>
      </c>
      <c r="E32" s="28">
        <f>ROUND(E$11+33*$C32, 0)</f>
        <v>355</v>
      </c>
      <c r="F32" s="25">
        <f t="shared" si="33"/>
        <v>224</v>
      </c>
      <c r="G32" s="28">
        <f>ROUND(G$11+33*$C32, 0)</f>
        <v>376</v>
      </c>
      <c r="H32" s="4" t="s">
        <v>0</v>
      </c>
      <c r="I32" s="16" t="str">
        <f t="shared" si="14"/>
        <v>21-225㎡</v>
      </c>
      <c r="J32" s="14">
        <f t="shared" si="15"/>
        <v>188</v>
      </c>
      <c r="K32" s="15">
        <f t="shared" si="16"/>
        <v>355</v>
      </c>
      <c r="L32" s="17">
        <f t="shared" si="17"/>
        <v>224</v>
      </c>
      <c r="M32" s="18">
        <f t="shared" si="18"/>
        <v>355</v>
      </c>
      <c r="N32" s="14">
        <f t="shared" si="19"/>
        <v>224</v>
      </c>
      <c r="O32" s="15">
        <f t="shared" si="20"/>
        <v>376</v>
      </c>
      <c r="P32" s="17">
        <f t="shared" si="21"/>
        <v>188</v>
      </c>
      <c r="Q32" s="18">
        <f t="shared" si="22"/>
        <v>376</v>
      </c>
      <c r="R32" s="4" t="s">
        <v>0</v>
      </c>
      <c r="S32" s="16" t="str">
        <f t="shared" si="23"/>
        <v>21-225㎡</v>
      </c>
      <c r="T32" s="14">
        <f t="shared" si="24"/>
        <v>188</v>
      </c>
      <c r="U32" s="18">
        <f t="shared" si="25"/>
        <v>395</v>
      </c>
      <c r="V32" s="14">
        <f t="shared" si="26"/>
        <v>224</v>
      </c>
      <c r="W32" s="18">
        <f t="shared" si="27"/>
        <v>395</v>
      </c>
      <c r="X32" s="14">
        <f t="shared" si="28"/>
        <v>224</v>
      </c>
      <c r="Y32" s="18">
        <f t="shared" si="29"/>
        <v>374</v>
      </c>
      <c r="Z32" s="14">
        <f t="shared" si="30"/>
        <v>188</v>
      </c>
      <c r="AA32" s="18">
        <f t="shared" si="31"/>
        <v>374</v>
      </c>
      <c r="AB32" s="4" t="s">
        <v>0</v>
      </c>
    </row>
    <row r="33" spans="1:28">
      <c r="A33" s="9" t="s">
        <v>632</v>
      </c>
      <c r="B33" s="24"/>
      <c r="C33" s="26"/>
      <c r="D33" s="25">
        <f t="shared" si="32"/>
        <v>224</v>
      </c>
      <c r="E33" s="29">
        <f t="shared" ref="E33" si="55">E32</f>
        <v>355</v>
      </c>
      <c r="F33" s="25">
        <f t="shared" si="33"/>
        <v>260</v>
      </c>
      <c r="G33" s="29">
        <f t="shared" ref="G33" si="56">G32</f>
        <v>376</v>
      </c>
      <c r="H33" s="4" t="s">
        <v>0</v>
      </c>
      <c r="I33" s="16" t="str">
        <f t="shared" si="14"/>
        <v>11-225㎡</v>
      </c>
      <c r="J33" s="14">
        <f t="shared" si="15"/>
        <v>224</v>
      </c>
      <c r="K33" s="15">
        <f t="shared" si="16"/>
        <v>355</v>
      </c>
      <c r="L33" s="17">
        <f t="shared" si="17"/>
        <v>260</v>
      </c>
      <c r="M33" s="18">
        <f t="shared" si="18"/>
        <v>355</v>
      </c>
      <c r="N33" s="14">
        <f t="shared" si="19"/>
        <v>260</v>
      </c>
      <c r="O33" s="15">
        <f t="shared" si="20"/>
        <v>376</v>
      </c>
      <c r="P33" s="17">
        <f t="shared" si="21"/>
        <v>224</v>
      </c>
      <c r="Q33" s="18">
        <f t="shared" si="22"/>
        <v>376</v>
      </c>
      <c r="R33" s="4" t="s">
        <v>0</v>
      </c>
      <c r="S33" s="16" t="str">
        <f t="shared" si="23"/>
        <v>11-225㎡</v>
      </c>
      <c r="T33" s="14">
        <f t="shared" si="24"/>
        <v>224</v>
      </c>
      <c r="U33" s="18">
        <f t="shared" si="25"/>
        <v>395</v>
      </c>
      <c r="V33" s="14">
        <f t="shared" si="26"/>
        <v>260</v>
      </c>
      <c r="W33" s="18">
        <f t="shared" si="27"/>
        <v>395</v>
      </c>
      <c r="X33" s="14">
        <f t="shared" si="28"/>
        <v>260</v>
      </c>
      <c r="Y33" s="18">
        <f t="shared" si="29"/>
        <v>374</v>
      </c>
      <c r="Z33" s="14">
        <f t="shared" si="30"/>
        <v>224</v>
      </c>
      <c r="AA33" s="18">
        <f t="shared" si="31"/>
        <v>374</v>
      </c>
      <c r="AB33" s="4" t="s">
        <v>0</v>
      </c>
    </row>
    <row r="34" spans="1:28">
      <c r="A34" s="9" t="s">
        <v>624</v>
      </c>
      <c r="B34" s="24"/>
      <c r="C34" s="26"/>
      <c r="D34" s="25">
        <f t="shared" si="32"/>
        <v>260</v>
      </c>
      <c r="E34" s="29">
        <f t="shared" ref="E34" si="57">E33</f>
        <v>355</v>
      </c>
      <c r="F34" s="25">
        <f t="shared" si="33"/>
        <v>296</v>
      </c>
      <c r="G34" s="29">
        <f t="shared" ref="G34" si="58">G33</f>
        <v>376</v>
      </c>
      <c r="H34" s="4" t="s">
        <v>0</v>
      </c>
      <c r="I34" s="16" t="str">
        <f t="shared" si="14"/>
        <v>01-3㎡</v>
      </c>
      <c r="J34" s="14">
        <f t="shared" si="15"/>
        <v>260</v>
      </c>
      <c r="K34" s="15">
        <f t="shared" si="16"/>
        <v>355</v>
      </c>
      <c r="L34" s="17">
        <f t="shared" si="17"/>
        <v>296</v>
      </c>
      <c r="M34" s="18">
        <f t="shared" si="18"/>
        <v>355</v>
      </c>
      <c r="N34" s="14">
        <f t="shared" si="19"/>
        <v>296</v>
      </c>
      <c r="O34" s="15">
        <f t="shared" si="20"/>
        <v>376</v>
      </c>
      <c r="P34" s="17">
        <f t="shared" si="21"/>
        <v>260</v>
      </c>
      <c r="Q34" s="18">
        <f t="shared" si="22"/>
        <v>376</v>
      </c>
      <c r="R34" s="4" t="s">
        <v>0</v>
      </c>
      <c r="S34" s="16" t="str">
        <f t="shared" si="23"/>
        <v>01-3㎡</v>
      </c>
      <c r="T34" s="14">
        <f t="shared" si="24"/>
        <v>260</v>
      </c>
      <c r="U34" s="18">
        <f t="shared" si="25"/>
        <v>395</v>
      </c>
      <c r="V34" s="14">
        <f t="shared" si="26"/>
        <v>296</v>
      </c>
      <c r="W34" s="18">
        <f t="shared" si="27"/>
        <v>395</v>
      </c>
      <c r="X34" s="14">
        <f t="shared" si="28"/>
        <v>296</v>
      </c>
      <c r="Y34" s="18">
        <f t="shared" si="29"/>
        <v>374</v>
      </c>
      <c r="Z34" s="14">
        <f t="shared" si="30"/>
        <v>260</v>
      </c>
      <c r="AA34" s="18">
        <f t="shared" si="31"/>
        <v>374</v>
      </c>
      <c r="AB34" s="4" t="s">
        <v>0</v>
      </c>
    </row>
  </sheetData>
  <autoFilter ref="A10:AB34" xr:uid="{00000000-0001-0000-0000-000000000000}"/>
  <mergeCells count="2">
    <mergeCell ref="D3:G3"/>
    <mergeCell ref="D4:G4"/>
  </mergeCells>
  <phoneticPr fontId="1"/>
  <hyperlinks>
    <hyperlink ref="N4" r:id="rId1" xr:uid="{379950EB-8F27-4C65-99B1-BEE6D65E324D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C393F-8AD5-4671-8B65-E62F1DE54105}">
  <sheetPr codeName="Sheet19">
    <pageSetUpPr fitToPage="1"/>
  </sheetPr>
  <dimension ref="A1:AB2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SEC_11_3_釈ｼﾝD.json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SEC_11_3_釈ｼﾝD.png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660</v>
      </c>
      <c r="B11" s="30" t="s">
        <v>698</v>
      </c>
      <c r="C11" s="4" t="s">
        <v>0</v>
      </c>
      <c r="D11" s="27">
        <v>198</v>
      </c>
      <c r="E11" s="31">
        <v>143</v>
      </c>
      <c r="F11" s="31">
        <v>224</v>
      </c>
      <c r="G11" s="31">
        <v>168</v>
      </c>
      <c r="H11" s="4" t="s">
        <v>0</v>
      </c>
      <c r="I11" s="16" t="str">
        <f t="shared" ref="I11:I12" si="0">A11</f>
        <v>18-3㎡</v>
      </c>
      <c r="J11" s="14">
        <f>IF(D11&lt;&gt;"",D11,0)</f>
        <v>198</v>
      </c>
      <c r="K11" s="15">
        <f>IF(E11&lt;&gt;"",E11,0)</f>
        <v>143</v>
      </c>
      <c r="L11" s="17">
        <f>N11</f>
        <v>224</v>
      </c>
      <c r="M11" s="18">
        <f>K11</f>
        <v>143</v>
      </c>
      <c r="N11" s="14">
        <f>IF(F11&lt;&gt;"",F11,0)</f>
        <v>224</v>
      </c>
      <c r="O11" s="15">
        <f>IF(G11&lt;&gt;"",G11,0)</f>
        <v>168</v>
      </c>
      <c r="P11" s="17">
        <f>J11</f>
        <v>198</v>
      </c>
      <c r="Q11" s="18">
        <f>O11</f>
        <v>168</v>
      </c>
      <c r="R11" s="4" t="s">
        <v>0</v>
      </c>
      <c r="S11" s="16" t="str">
        <f>I11</f>
        <v>18-3㎡</v>
      </c>
      <c r="T11" s="14">
        <f>IF(J11&lt;&gt;"",J11,"")</f>
        <v>198</v>
      </c>
      <c r="U11" s="18">
        <f>IF(K11&lt;&gt;"",U$6-K11,"")</f>
        <v>607</v>
      </c>
      <c r="V11" s="14">
        <f t="shared" ref="V11:Z12" si="1">IF(L11&lt;&gt;"",L11,"")</f>
        <v>224</v>
      </c>
      <c r="W11" s="18">
        <f>IF(M11&lt;&gt;"",W$6-M11,"")</f>
        <v>607</v>
      </c>
      <c r="X11" s="14">
        <f t="shared" si="1"/>
        <v>224</v>
      </c>
      <c r="Y11" s="18">
        <f>IF(O11&lt;&gt;"",Y$6-O11,"")</f>
        <v>582</v>
      </c>
      <c r="Z11" s="14">
        <f t="shared" si="1"/>
        <v>198</v>
      </c>
      <c r="AA11" s="18">
        <f>IF(Q11&lt;&gt;"",AA$6-Q11,"")</f>
        <v>582</v>
      </c>
      <c r="AB11" s="4" t="s">
        <v>0</v>
      </c>
    </row>
    <row r="12" spans="1:28">
      <c r="A12" s="9" t="s">
        <v>655</v>
      </c>
      <c r="B12" s="24"/>
      <c r="C12" s="26">
        <v>1</v>
      </c>
      <c r="D12" s="28">
        <f>ROUND(D$11+26*$C12, 0)</f>
        <v>224</v>
      </c>
      <c r="E12" s="29">
        <f>E11</f>
        <v>143</v>
      </c>
      <c r="F12" s="28">
        <f t="shared" ref="F12:F13" si="2">ROUND(F$11+26*$C12, 0)</f>
        <v>250</v>
      </c>
      <c r="G12" s="29">
        <f>G11</f>
        <v>168</v>
      </c>
      <c r="H12" s="4" t="s">
        <v>0</v>
      </c>
      <c r="I12" s="16" t="str">
        <f t="shared" si="0"/>
        <v>12-3㎡</v>
      </c>
      <c r="J12" s="14">
        <f t="shared" ref="J12:K12" si="3">IF(D12&lt;&gt;"",D12,0)</f>
        <v>224</v>
      </c>
      <c r="K12" s="15">
        <f t="shared" si="3"/>
        <v>143</v>
      </c>
      <c r="L12" s="17">
        <f t="shared" ref="L12" si="4">N12</f>
        <v>250</v>
      </c>
      <c r="M12" s="18">
        <f t="shared" ref="M12" si="5">K12</f>
        <v>143</v>
      </c>
      <c r="N12" s="14">
        <f t="shared" ref="N12:O12" si="6">IF(F12&lt;&gt;"",F12,0)</f>
        <v>250</v>
      </c>
      <c r="O12" s="15">
        <f t="shared" si="6"/>
        <v>168</v>
      </c>
      <c r="P12" s="17">
        <f t="shared" ref="P12" si="7">J12</f>
        <v>224</v>
      </c>
      <c r="Q12" s="18">
        <f t="shared" ref="Q12" si="8">O12</f>
        <v>168</v>
      </c>
      <c r="R12" s="4" t="s">
        <v>0</v>
      </c>
      <c r="S12" s="16" t="str">
        <f t="shared" ref="S12" si="9">I12</f>
        <v>12-3㎡</v>
      </c>
      <c r="T12" s="14">
        <f t="shared" ref="T12" si="10">IF(J12&lt;&gt;"",J12,"")</f>
        <v>224</v>
      </c>
      <c r="U12" s="18">
        <f t="shared" ref="U12" si="11">IF(K12&lt;&gt;"",U$6-K12,"")</f>
        <v>607</v>
      </c>
      <c r="V12" s="14">
        <f t="shared" si="1"/>
        <v>250</v>
      </c>
      <c r="W12" s="18">
        <f t="shared" ref="W12" si="12">IF(M12&lt;&gt;"",W$6-M12,"")</f>
        <v>607</v>
      </c>
      <c r="X12" s="14">
        <f t="shared" si="1"/>
        <v>250</v>
      </c>
      <c r="Y12" s="18">
        <f t="shared" ref="Y12" si="13">IF(O12&lt;&gt;"",Y$6-O12,"")</f>
        <v>582</v>
      </c>
      <c r="Z12" s="14">
        <f t="shared" si="1"/>
        <v>224</v>
      </c>
      <c r="AA12" s="18">
        <f t="shared" ref="AA12" si="14">IF(Q12&lt;&gt;"",AA$6-Q12,"")</f>
        <v>582</v>
      </c>
      <c r="AB12" s="4" t="s">
        <v>0</v>
      </c>
    </row>
    <row r="13" spans="1:28">
      <c r="A13" s="9" t="s">
        <v>652</v>
      </c>
      <c r="B13" s="24"/>
      <c r="C13" s="26">
        <v>2</v>
      </c>
      <c r="D13" s="28">
        <f>ROUND(D$11+26*$C13, 0)</f>
        <v>250</v>
      </c>
      <c r="E13" s="29">
        <f>E12</f>
        <v>143</v>
      </c>
      <c r="F13" s="28">
        <f t="shared" si="2"/>
        <v>276</v>
      </c>
      <c r="G13" s="29">
        <f>G12</f>
        <v>168</v>
      </c>
      <c r="H13" s="4" t="s">
        <v>0</v>
      </c>
      <c r="I13" s="16" t="str">
        <f t="shared" ref="I13:I25" si="15">A13</f>
        <v>06-4㎡</v>
      </c>
      <c r="J13" s="14">
        <f t="shared" ref="J13:J25" si="16">IF(D13&lt;&gt;"",D13,0)</f>
        <v>250</v>
      </c>
      <c r="K13" s="15">
        <f t="shared" ref="K13:K25" si="17">IF(E13&lt;&gt;"",E13,0)</f>
        <v>143</v>
      </c>
      <c r="L13" s="17">
        <f t="shared" ref="L13:L25" si="18">N13</f>
        <v>276</v>
      </c>
      <c r="M13" s="18">
        <f t="shared" ref="M13:M25" si="19">K13</f>
        <v>143</v>
      </c>
      <c r="N13" s="14">
        <f t="shared" ref="N13:N25" si="20">IF(F13&lt;&gt;"",F13,0)</f>
        <v>276</v>
      </c>
      <c r="O13" s="15">
        <f t="shared" ref="O13:O25" si="21">IF(G13&lt;&gt;"",G13,0)</f>
        <v>168</v>
      </c>
      <c r="P13" s="17">
        <f t="shared" ref="P13:P25" si="22">J13</f>
        <v>250</v>
      </c>
      <c r="Q13" s="18">
        <f t="shared" ref="Q13:Q25" si="23">O13</f>
        <v>168</v>
      </c>
      <c r="R13" s="4" t="s">
        <v>0</v>
      </c>
      <c r="S13" s="16" t="str">
        <f t="shared" ref="S13:S25" si="24">I13</f>
        <v>06-4㎡</v>
      </c>
      <c r="T13" s="14">
        <f t="shared" ref="T13:T25" si="25">IF(J13&lt;&gt;"",J13,"")</f>
        <v>250</v>
      </c>
      <c r="U13" s="18">
        <f t="shared" ref="U13:U25" si="26">IF(K13&lt;&gt;"",U$6-K13,"")</f>
        <v>607</v>
      </c>
      <c r="V13" s="14">
        <f t="shared" ref="V13:V25" si="27">IF(L13&lt;&gt;"",L13,"")</f>
        <v>276</v>
      </c>
      <c r="W13" s="18">
        <f t="shared" ref="W13:W25" si="28">IF(M13&lt;&gt;"",W$6-M13,"")</f>
        <v>607</v>
      </c>
      <c r="X13" s="14">
        <f t="shared" ref="X13:X25" si="29">IF(N13&lt;&gt;"",N13,"")</f>
        <v>276</v>
      </c>
      <c r="Y13" s="18">
        <f t="shared" ref="Y13:Y25" si="30">IF(O13&lt;&gt;"",Y$6-O13,"")</f>
        <v>582</v>
      </c>
      <c r="Z13" s="14">
        <f t="shared" ref="Z13:Z25" si="31">IF(P13&lt;&gt;"",P13,"")</f>
        <v>250</v>
      </c>
      <c r="AA13" s="18">
        <f t="shared" ref="AA13:AA25" si="32">IF(Q13&lt;&gt;"",AA$6-Q13,"")</f>
        <v>582</v>
      </c>
      <c r="AB13" s="4" t="s">
        <v>0</v>
      </c>
    </row>
    <row r="14" spans="1:28">
      <c r="A14" s="9" t="s">
        <v>659</v>
      </c>
      <c r="B14" s="24"/>
      <c r="C14" s="4" t="s">
        <v>0</v>
      </c>
      <c r="D14" s="27">
        <v>198</v>
      </c>
      <c r="E14" s="31">
        <v>185</v>
      </c>
      <c r="F14" s="31">
        <v>224</v>
      </c>
      <c r="G14" s="31">
        <v>210</v>
      </c>
      <c r="H14" s="4" t="s">
        <v>0</v>
      </c>
      <c r="I14" s="16" t="str">
        <f t="shared" si="15"/>
        <v>17-3㎡</v>
      </c>
      <c r="J14" s="14">
        <f t="shared" si="16"/>
        <v>198</v>
      </c>
      <c r="K14" s="15">
        <f t="shared" si="17"/>
        <v>185</v>
      </c>
      <c r="L14" s="17">
        <f t="shared" si="18"/>
        <v>224</v>
      </c>
      <c r="M14" s="18">
        <f t="shared" si="19"/>
        <v>185</v>
      </c>
      <c r="N14" s="14">
        <f t="shared" si="20"/>
        <v>224</v>
      </c>
      <c r="O14" s="15">
        <f t="shared" si="21"/>
        <v>210</v>
      </c>
      <c r="P14" s="17">
        <f t="shared" si="22"/>
        <v>198</v>
      </c>
      <c r="Q14" s="18">
        <f t="shared" si="23"/>
        <v>210</v>
      </c>
      <c r="R14" s="4" t="s">
        <v>0</v>
      </c>
      <c r="S14" s="16" t="str">
        <f t="shared" si="24"/>
        <v>17-3㎡</v>
      </c>
      <c r="T14" s="14">
        <f t="shared" si="25"/>
        <v>198</v>
      </c>
      <c r="U14" s="18">
        <f t="shared" si="26"/>
        <v>565</v>
      </c>
      <c r="V14" s="14">
        <f t="shared" si="27"/>
        <v>224</v>
      </c>
      <c r="W14" s="18">
        <f t="shared" si="28"/>
        <v>565</v>
      </c>
      <c r="X14" s="14">
        <f t="shared" si="29"/>
        <v>224</v>
      </c>
      <c r="Y14" s="18">
        <f t="shared" si="30"/>
        <v>540</v>
      </c>
      <c r="Z14" s="14">
        <f t="shared" si="31"/>
        <v>198</v>
      </c>
      <c r="AA14" s="18">
        <f t="shared" si="32"/>
        <v>540</v>
      </c>
      <c r="AB14" s="4" t="s">
        <v>0</v>
      </c>
    </row>
    <row r="15" spans="1:28">
      <c r="A15" s="9" t="s">
        <v>654</v>
      </c>
      <c r="B15" s="24"/>
      <c r="C15" s="26">
        <v>1</v>
      </c>
      <c r="D15" s="28">
        <f>ROUND(D$14+26*$C15, 0)</f>
        <v>224</v>
      </c>
      <c r="E15" s="29">
        <f>E14</f>
        <v>185</v>
      </c>
      <c r="F15" s="28">
        <f>ROUND(F$14+26*$C15, 0)</f>
        <v>250</v>
      </c>
      <c r="G15" s="29">
        <f>G14</f>
        <v>210</v>
      </c>
      <c r="H15" s="4" t="s">
        <v>0</v>
      </c>
      <c r="I15" s="16" t="str">
        <f t="shared" si="15"/>
        <v>11-3㎡</v>
      </c>
      <c r="J15" s="14">
        <f t="shared" si="16"/>
        <v>224</v>
      </c>
      <c r="K15" s="15">
        <f t="shared" si="17"/>
        <v>185</v>
      </c>
      <c r="L15" s="17">
        <f t="shared" si="18"/>
        <v>250</v>
      </c>
      <c r="M15" s="18">
        <f t="shared" si="19"/>
        <v>185</v>
      </c>
      <c r="N15" s="14">
        <f t="shared" si="20"/>
        <v>250</v>
      </c>
      <c r="O15" s="15">
        <f t="shared" si="21"/>
        <v>210</v>
      </c>
      <c r="P15" s="17">
        <f t="shared" si="22"/>
        <v>224</v>
      </c>
      <c r="Q15" s="18">
        <f t="shared" si="23"/>
        <v>210</v>
      </c>
      <c r="R15" s="4" t="s">
        <v>0</v>
      </c>
      <c r="S15" s="16" t="str">
        <f t="shared" si="24"/>
        <v>11-3㎡</v>
      </c>
      <c r="T15" s="14">
        <f t="shared" si="25"/>
        <v>224</v>
      </c>
      <c r="U15" s="18">
        <f t="shared" si="26"/>
        <v>565</v>
      </c>
      <c r="V15" s="14">
        <f t="shared" si="27"/>
        <v>250</v>
      </c>
      <c r="W15" s="18">
        <f t="shared" si="28"/>
        <v>565</v>
      </c>
      <c r="X15" s="14">
        <f t="shared" si="29"/>
        <v>250</v>
      </c>
      <c r="Y15" s="18">
        <f t="shared" si="30"/>
        <v>540</v>
      </c>
      <c r="Z15" s="14">
        <f t="shared" si="31"/>
        <v>224</v>
      </c>
      <c r="AA15" s="18">
        <f t="shared" si="32"/>
        <v>540</v>
      </c>
      <c r="AB15" s="4" t="s">
        <v>0</v>
      </c>
    </row>
    <row r="16" spans="1:28">
      <c r="A16" s="9" t="s">
        <v>651</v>
      </c>
      <c r="B16" s="24"/>
      <c r="C16" s="26">
        <v>2</v>
      </c>
      <c r="D16" s="28">
        <f>ROUND(D$14+26*$C16, 0)</f>
        <v>250</v>
      </c>
      <c r="E16" s="29">
        <f>E15</f>
        <v>185</v>
      </c>
      <c r="F16" s="28">
        <f>ROUND(F$14+26*$C16, 0)</f>
        <v>276</v>
      </c>
      <c r="G16" s="29">
        <f>G15</f>
        <v>210</v>
      </c>
      <c r="H16" s="4" t="s">
        <v>0</v>
      </c>
      <c r="I16" s="16" t="str">
        <f t="shared" si="15"/>
        <v>05-4㎡</v>
      </c>
      <c r="J16" s="14">
        <f t="shared" si="16"/>
        <v>250</v>
      </c>
      <c r="K16" s="15">
        <f t="shared" si="17"/>
        <v>185</v>
      </c>
      <c r="L16" s="17">
        <f t="shared" si="18"/>
        <v>276</v>
      </c>
      <c r="M16" s="18">
        <f t="shared" si="19"/>
        <v>185</v>
      </c>
      <c r="N16" s="14">
        <f t="shared" si="20"/>
        <v>276</v>
      </c>
      <c r="O16" s="15">
        <f t="shared" si="21"/>
        <v>210</v>
      </c>
      <c r="P16" s="17">
        <f t="shared" si="22"/>
        <v>250</v>
      </c>
      <c r="Q16" s="18">
        <f t="shared" si="23"/>
        <v>210</v>
      </c>
      <c r="R16" s="4" t="s">
        <v>0</v>
      </c>
      <c r="S16" s="16" t="str">
        <f t="shared" si="24"/>
        <v>05-4㎡</v>
      </c>
      <c r="T16" s="14">
        <f t="shared" si="25"/>
        <v>250</v>
      </c>
      <c r="U16" s="18">
        <f t="shared" si="26"/>
        <v>565</v>
      </c>
      <c r="V16" s="14">
        <f t="shared" si="27"/>
        <v>276</v>
      </c>
      <c r="W16" s="18">
        <f t="shared" si="28"/>
        <v>565</v>
      </c>
      <c r="X16" s="14">
        <f t="shared" si="29"/>
        <v>276</v>
      </c>
      <c r="Y16" s="18">
        <f t="shared" si="30"/>
        <v>540</v>
      </c>
      <c r="Z16" s="14">
        <f t="shared" si="31"/>
        <v>250</v>
      </c>
      <c r="AA16" s="18">
        <f t="shared" si="32"/>
        <v>540</v>
      </c>
      <c r="AB16" s="4" t="s">
        <v>0</v>
      </c>
    </row>
    <row r="17" spans="1:28">
      <c r="A17" s="9" t="s">
        <v>658</v>
      </c>
      <c r="B17" s="24"/>
      <c r="C17" s="4" t="s">
        <v>0</v>
      </c>
      <c r="D17" s="27">
        <v>198</v>
      </c>
      <c r="E17" s="31">
        <v>442</v>
      </c>
      <c r="F17" s="31">
        <v>224</v>
      </c>
      <c r="G17" s="31">
        <v>467</v>
      </c>
      <c r="H17" s="4" t="s">
        <v>0</v>
      </c>
      <c r="I17" s="16" t="str">
        <f t="shared" si="15"/>
        <v>16-3㎡</v>
      </c>
      <c r="J17" s="14">
        <f t="shared" si="16"/>
        <v>198</v>
      </c>
      <c r="K17" s="15">
        <f t="shared" si="17"/>
        <v>442</v>
      </c>
      <c r="L17" s="17">
        <f t="shared" si="18"/>
        <v>224</v>
      </c>
      <c r="M17" s="18">
        <f t="shared" si="19"/>
        <v>442</v>
      </c>
      <c r="N17" s="14">
        <f t="shared" si="20"/>
        <v>224</v>
      </c>
      <c r="O17" s="15">
        <f t="shared" si="21"/>
        <v>467</v>
      </c>
      <c r="P17" s="17">
        <f t="shared" si="22"/>
        <v>198</v>
      </c>
      <c r="Q17" s="18">
        <f t="shared" si="23"/>
        <v>467</v>
      </c>
      <c r="R17" s="4" t="s">
        <v>0</v>
      </c>
      <c r="S17" s="16" t="str">
        <f t="shared" si="24"/>
        <v>16-3㎡</v>
      </c>
      <c r="T17" s="14">
        <f t="shared" si="25"/>
        <v>198</v>
      </c>
      <c r="U17" s="18">
        <f t="shared" si="26"/>
        <v>308</v>
      </c>
      <c r="V17" s="14">
        <f t="shared" si="27"/>
        <v>224</v>
      </c>
      <c r="W17" s="18">
        <f t="shared" si="28"/>
        <v>308</v>
      </c>
      <c r="X17" s="14">
        <f t="shared" si="29"/>
        <v>224</v>
      </c>
      <c r="Y17" s="18">
        <f t="shared" si="30"/>
        <v>283</v>
      </c>
      <c r="Z17" s="14">
        <f t="shared" si="31"/>
        <v>198</v>
      </c>
      <c r="AA17" s="18">
        <f t="shared" si="32"/>
        <v>283</v>
      </c>
      <c r="AB17" s="4" t="s">
        <v>0</v>
      </c>
    </row>
    <row r="18" spans="1:28">
      <c r="A18" s="9" t="s">
        <v>631</v>
      </c>
      <c r="B18" s="24"/>
      <c r="C18" s="26">
        <v>1</v>
      </c>
      <c r="D18" s="28">
        <f>ROUND(D$17+26*$C18, 0)</f>
        <v>224</v>
      </c>
      <c r="E18" s="29">
        <f>E17</f>
        <v>442</v>
      </c>
      <c r="F18" s="28">
        <f>ROUND(F$17+26*$C18, 0)</f>
        <v>250</v>
      </c>
      <c r="G18" s="29">
        <f>G17</f>
        <v>467</v>
      </c>
      <c r="H18" s="4" t="s">
        <v>0</v>
      </c>
      <c r="I18" s="16" t="str">
        <f t="shared" si="15"/>
        <v>10-3㎡</v>
      </c>
      <c r="J18" s="14">
        <f t="shared" si="16"/>
        <v>224</v>
      </c>
      <c r="K18" s="15">
        <f t="shared" si="17"/>
        <v>442</v>
      </c>
      <c r="L18" s="17">
        <f t="shared" si="18"/>
        <v>250</v>
      </c>
      <c r="M18" s="18">
        <f t="shared" si="19"/>
        <v>442</v>
      </c>
      <c r="N18" s="14">
        <f t="shared" si="20"/>
        <v>250</v>
      </c>
      <c r="O18" s="15">
        <f t="shared" si="21"/>
        <v>467</v>
      </c>
      <c r="P18" s="17">
        <f t="shared" si="22"/>
        <v>224</v>
      </c>
      <c r="Q18" s="18">
        <f t="shared" si="23"/>
        <v>467</v>
      </c>
      <c r="R18" s="4" t="s">
        <v>0</v>
      </c>
      <c r="S18" s="16" t="str">
        <f t="shared" si="24"/>
        <v>10-3㎡</v>
      </c>
      <c r="T18" s="14">
        <f t="shared" si="25"/>
        <v>224</v>
      </c>
      <c r="U18" s="18">
        <f t="shared" si="26"/>
        <v>308</v>
      </c>
      <c r="V18" s="14">
        <f t="shared" si="27"/>
        <v>250</v>
      </c>
      <c r="W18" s="18">
        <f t="shared" si="28"/>
        <v>308</v>
      </c>
      <c r="X18" s="14">
        <f t="shared" si="29"/>
        <v>250</v>
      </c>
      <c r="Y18" s="18">
        <f t="shared" si="30"/>
        <v>283</v>
      </c>
      <c r="Z18" s="14">
        <f t="shared" si="31"/>
        <v>224</v>
      </c>
      <c r="AA18" s="18">
        <f t="shared" si="32"/>
        <v>283</v>
      </c>
      <c r="AB18" s="4" t="s">
        <v>0</v>
      </c>
    </row>
    <row r="19" spans="1:28">
      <c r="A19" s="9" t="s">
        <v>650</v>
      </c>
      <c r="B19" s="24"/>
      <c r="C19" s="26">
        <v>2</v>
      </c>
      <c r="D19" s="28">
        <f>ROUND(D$17+26*$C19, 0)</f>
        <v>250</v>
      </c>
      <c r="E19" s="29">
        <f>E18</f>
        <v>442</v>
      </c>
      <c r="F19" s="28">
        <f>ROUND(F$17+26*$C19, 0)</f>
        <v>276</v>
      </c>
      <c r="G19" s="29">
        <f>G18</f>
        <v>467</v>
      </c>
      <c r="H19" s="4" t="s">
        <v>0</v>
      </c>
      <c r="I19" s="16" t="str">
        <f t="shared" si="15"/>
        <v>03-4㎡</v>
      </c>
      <c r="J19" s="14">
        <f t="shared" si="16"/>
        <v>250</v>
      </c>
      <c r="K19" s="15">
        <f t="shared" si="17"/>
        <v>442</v>
      </c>
      <c r="L19" s="17">
        <f t="shared" si="18"/>
        <v>276</v>
      </c>
      <c r="M19" s="18">
        <f t="shared" si="19"/>
        <v>442</v>
      </c>
      <c r="N19" s="14">
        <f t="shared" si="20"/>
        <v>276</v>
      </c>
      <c r="O19" s="15">
        <f t="shared" si="21"/>
        <v>467</v>
      </c>
      <c r="P19" s="17">
        <f t="shared" si="22"/>
        <v>250</v>
      </c>
      <c r="Q19" s="18">
        <f t="shared" si="23"/>
        <v>467</v>
      </c>
      <c r="R19" s="4" t="s">
        <v>0</v>
      </c>
      <c r="S19" s="16" t="str">
        <f t="shared" si="24"/>
        <v>03-4㎡</v>
      </c>
      <c r="T19" s="14">
        <f t="shared" si="25"/>
        <v>250</v>
      </c>
      <c r="U19" s="18">
        <f t="shared" si="26"/>
        <v>308</v>
      </c>
      <c r="V19" s="14">
        <f t="shared" si="27"/>
        <v>276</v>
      </c>
      <c r="W19" s="18">
        <f t="shared" si="28"/>
        <v>308</v>
      </c>
      <c r="X19" s="14">
        <f t="shared" si="29"/>
        <v>276</v>
      </c>
      <c r="Y19" s="18">
        <f t="shared" si="30"/>
        <v>283</v>
      </c>
      <c r="Z19" s="14">
        <f t="shared" si="31"/>
        <v>250</v>
      </c>
      <c r="AA19" s="18">
        <f t="shared" si="32"/>
        <v>283</v>
      </c>
      <c r="AB19" s="4" t="s">
        <v>0</v>
      </c>
    </row>
    <row r="20" spans="1:28">
      <c r="A20" s="9" t="s">
        <v>657</v>
      </c>
      <c r="B20" s="24"/>
      <c r="C20" s="4" t="s">
        <v>0</v>
      </c>
      <c r="D20" s="27">
        <v>198</v>
      </c>
      <c r="E20" s="31">
        <v>484</v>
      </c>
      <c r="F20" s="31">
        <v>224</v>
      </c>
      <c r="G20" s="31">
        <v>509</v>
      </c>
      <c r="H20" s="4" t="s">
        <v>0</v>
      </c>
      <c r="I20" s="16" t="str">
        <f t="shared" si="15"/>
        <v>15-3㎡</v>
      </c>
      <c r="J20" s="14">
        <f t="shared" si="16"/>
        <v>198</v>
      </c>
      <c r="K20" s="15">
        <f t="shared" si="17"/>
        <v>484</v>
      </c>
      <c r="L20" s="17">
        <f t="shared" si="18"/>
        <v>224</v>
      </c>
      <c r="M20" s="18">
        <f t="shared" si="19"/>
        <v>484</v>
      </c>
      <c r="N20" s="14">
        <f t="shared" si="20"/>
        <v>224</v>
      </c>
      <c r="O20" s="15">
        <f t="shared" si="21"/>
        <v>509</v>
      </c>
      <c r="P20" s="17">
        <f t="shared" si="22"/>
        <v>198</v>
      </c>
      <c r="Q20" s="18">
        <f t="shared" si="23"/>
        <v>509</v>
      </c>
      <c r="R20" s="4" t="s">
        <v>0</v>
      </c>
      <c r="S20" s="16" t="str">
        <f t="shared" si="24"/>
        <v>15-3㎡</v>
      </c>
      <c r="T20" s="14">
        <f t="shared" si="25"/>
        <v>198</v>
      </c>
      <c r="U20" s="18">
        <f t="shared" si="26"/>
        <v>266</v>
      </c>
      <c r="V20" s="14">
        <f t="shared" si="27"/>
        <v>224</v>
      </c>
      <c r="W20" s="18">
        <f t="shared" si="28"/>
        <v>266</v>
      </c>
      <c r="X20" s="14">
        <f t="shared" si="29"/>
        <v>224</v>
      </c>
      <c r="Y20" s="18">
        <f t="shared" si="30"/>
        <v>241</v>
      </c>
      <c r="Z20" s="14">
        <f t="shared" si="31"/>
        <v>198</v>
      </c>
      <c r="AA20" s="18">
        <f t="shared" si="32"/>
        <v>241</v>
      </c>
      <c r="AB20" s="4" t="s">
        <v>0</v>
      </c>
    </row>
    <row r="21" spans="1:28">
      <c r="A21" s="9" t="s">
        <v>630</v>
      </c>
      <c r="B21" s="24"/>
      <c r="C21" s="26">
        <v>1</v>
      </c>
      <c r="D21" s="28">
        <f>ROUND(D$20+26*$C21, 0)</f>
        <v>224</v>
      </c>
      <c r="E21" s="29">
        <f>E20</f>
        <v>484</v>
      </c>
      <c r="F21" s="28">
        <f>ROUND(F$17+26*$C21, 0)</f>
        <v>250</v>
      </c>
      <c r="G21" s="29">
        <f>G20</f>
        <v>509</v>
      </c>
      <c r="H21" s="4" t="s">
        <v>0</v>
      </c>
      <c r="I21" s="16" t="str">
        <f t="shared" si="15"/>
        <v>08-3㎡</v>
      </c>
      <c r="J21" s="14">
        <f t="shared" si="16"/>
        <v>224</v>
      </c>
      <c r="K21" s="15">
        <f t="shared" si="17"/>
        <v>484</v>
      </c>
      <c r="L21" s="17">
        <f t="shared" si="18"/>
        <v>250</v>
      </c>
      <c r="M21" s="18">
        <f t="shared" si="19"/>
        <v>484</v>
      </c>
      <c r="N21" s="14">
        <f t="shared" si="20"/>
        <v>250</v>
      </c>
      <c r="O21" s="15">
        <f t="shared" si="21"/>
        <v>509</v>
      </c>
      <c r="P21" s="17">
        <f t="shared" si="22"/>
        <v>224</v>
      </c>
      <c r="Q21" s="18">
        <f t="shared" si="23"/>
        <v>509</v>
      </c>
      <c r="R21" s="4" t="s">
        <v>0</v>
      </c>
      <c r="S21" s="16" t="str">
        <f t="shared" si="24"/>
        <v>08-3㎡</v>
      </c>
      <c r="T21" s="14">
        <f t="shared" si="25"/>
        <v>224</v>
      </c>
      <c r="U21" s="18">
        <f t="shared" si="26"/>
        <v>266</v>
      </c>
      <c r="V21" s="14">
        <f t="shared" si="27"/>
        <v>250</v>
      </c>
      <c r="W21" s="18">
        <f t="shared" si="28"/>
        <v>266</v>
      </c>
      <c r="X21" s="14">
        <f t="shared" si="29"/>
        <v>250</v>
      </c>
      <c r="Y21" s="18">
        <f t="shared" si="30"/>
        <v>241</v>
      </c>
      <c r="Z21" s="14">
        <f t="shared" si="31"/>
        <v>224</v>
      </c>
      <c r="AA21" s="18">
        <f t="shared" si="32"/>
        <v>241</v>
      </c>
      <c r="AB21" s="4" t="s">
        <v>0</v>
      </c>
    </row>
    <row r="22" spans="1:28">
      <c r="A22" s="9" t="s">
        <v>649</v>
      </c>
      <c r="B22" s="24"/>
      <c r="C22" s="26">
        <v>2</v>
      </c>
      <c r="D22" s="28">
        <f>ROUND(D$20+26*$C22, 0)</f>
        <v>250</v>
      </c>
      <c r="E22" s="29">
        <f>E21</f>
        <v>484</v>
      </c>
      <c r="F22" s="28">
        <f>ROUND(F$17+26*$C22, 0)</f>
        <v>276</v>
      </c>
      <c r="G22" s="29">
        <f>G21</f>
        <v>509</v>
      </c>
      <c r="H22" s="4" t="s">
        <v>0</v>
      </c>
      <c r="I22" s="16" t="str">
        <f t="shared" si="15"/>
        <v>02-4㎡</v>
      </c>
      <c r="J22" s="14">
        <f t="shared" si="16"/>
        <v>250</v>
      </c>
      <c r="K22" s="15">
        <f t="shared" si="17"/>
        <v>484</v>
      </c>
      <c r="L22" s="17">
        <f t="shared" si="18"/>
        <v>276</v>
      </c>
      <c r="M22" s="18">
        <f t="shared" si="19"/>
        <v>484</v>
      </c>
      <c r="N22" s="14">
        <f t="shared" si="20"/>
        <v>276</v>
      </c>
      <c r="O22" s="15">
        <f t="shared" si="21"/>
        <v>509</v>
      </c>
      <c r="P22" s="17">
        <f t="shared" si="22"/>
        <v>250</v>
      </c>
      <c r="Q22" s="18">
        <f t="shared" si="23"/>
        <v>509</v>
      </c>
      <c r="R22" s="4" t="s">
        <v>0</v>
      </c>
      <c r="S22" s="16" t="str">
        <f t="shared" si="24"/>
        <v>02-4㎡</v>
      </c>
      <c r="T22" s="14">
        <f t="shared" si="25"/>
        <v>250</v>
      </c>
      <c r="U22" s="18">
        <f t="shared" si="26"/>
        <v>266</v>
      </c>
      <c r="V22" s="14">
        <f t="shared" si="27"/>
        <v>276</v>
      </c>
      <c r="W22" s="18">
        <f t="shared" si="28"/>
        <v>266</v>
      </c>
      <c r="X22" s="14">
        <f t="shared" si="29"/>
        <v>276</v>
      </c>
      <c r="Y22" s="18">
        <f t="shared" si="30"/>
        <v>241</v>
      </c>
      <c r="Z22" s="14">
        <f t="shared" si="31"/>
        <v>250</v>
      </c>
      <c r="AA22" s="18">
        <f t="shared" si="32"/>
        <v>241</v>
      </c>
      <c r="AB22" s="4" t="s">
        <v>0</v>
      </c>
    </row>
    <row r="23" spans="1:28">
      <c r="A23" s="9" t="s">
        <v>656</v>
      </c>
      <c r="B23" s="24"/>
      <c r="C23" s="4" t="s">
        <v>0</v>
      </c>
      <c r="D23" s="27">
        <v>198</v>
      </c>
      <c r="E23" s="31">
        <v>526</v>
      </c>
      <c r="F23" s="31">
        <v>224</v>
      </c>
      <c r="G23" s="31">
        <v>551</v>
      </c>
      <c r="H23" s="4" t="s">
        <v>0</v>
      </c>
      <c r="I23" s="16" t="str">
        <f t="shared" si="15"/>
        <v>13-3㎡</v>
      </c>
      <c r="J23" s="14">
        <f t="shared" si="16"/>
        <v>198</v>
      </c>
      <c r="K23" s="15">
        <f t="shared" si="17"/>
        <v>526</v>
      </c>
      <c r="L23" s="17">
        <f t="shared" si="18"/>
        <v>224</v>
      </c>
      <c r="M23" s="18">
        <f t="shared" si="19"/>
        <v>526</v>
      </c>
      <c r="N23" s="14">
        <f t="shared" si="20"/>
        <v>224</v>
      </c>
      <c r="O23" s="15">
        <f t="shared" si="21"/>
        <v>551</v>
      </c>
      <c r="P23" s="17">
        <f t="shared" si="22"/>
        <v>198</v>
      </c>
      <c r="Q23" s="18">
        <f t="shared" si="23"/>
        <v>551</v>
      </c>
      <c r="R23" s="4" t="s">
        <v>0</v>
      </c>
      <c r="S23" s="16" t="str">
        <f t="shared" si="24"/>
        <v>13-3㎡</v>
      </c>
      <c r="T23" s="14">
        <f t="shared" si="25"/>
        <v>198</v>
      </c>
      <c r="U23" s="18">
        <f t="shared" si="26"/>
        <v>224</v>
      </c>
      <c r="V23" s="14">
        <f t="shared" si="27"/>
        <v>224</v>
      </c>
      <c r="W23" s="18">
        <f t="shared" si="28"/>
        <v>224</v>
      </c>
      <c r="X23" s="14">
        <f t="shared" si="29"/>
        <v>224</v>
      </c>
      <c r="Y23" s="18">
        <f t="shared" si="30"/>
        <v>199</v>
      </c>
      <c r="Z23" s="14">
        <f t="shared" si="31"/>
        <v>198</v>
      </c>
      <c r="AA23" s="18">
        <f t="shared" si="32"/>
        <v>199</v>
      </c>
      <c r="AB23" s="4" t="s">
        <v>0</v>
      </c>
    </row>
    <row r="24" spans="1:28">
      <c r="A24" s="9" t="s">
        <v>653</v>
      </c>
      <c r="B24" s="24"/>
      <c r="C24" s="26">
        <v>1</v>
      </c>
      <c r="D24" s="28">
        <f>ROUND(D$23+26*$C24, 0)</f>
        <v>224</v>
      </c>
      <c r="E24" s="29">
        <f>E23</f>
        <v>526</v>
      </c>
      <c r="F24" s="28">
        <f>ROUND(F$23+26*$C24, 0)</f>
        <v>250</v>
      </c>
      <c r="G24" s="29">
        <f>G23</f>
        <v>551</v>
      </c>
      <c r="H24" s="4" t="s">
        <v>0</v>
      </c>
      <c r="I24" s="16" t="str">
        <f t="shared" si="15"/>
        <v>07-３㎡</v>
      </c>
      <c r="J24" s="14">
        <f t="shared" si="16"/>
        <v>224</v>
      </c>
      <c r="K24" s="15">
        <f t="shared" si="17"/>
        <v>526</v>
      </c>
      <c r="L24" s="17">
        <f t="shared" si="18"/>
        <v>250</v>
      </c>
      <c r="M24" s="18">
        <f t="shared" si="19"/>
        <v>526</v>
      </c>
      <c r="N24" s="14">
        <f t="shared" si="20"/>
        <v>250</v>
      </c>
      <c r="O24" s="15">
        <f t="shared" si="21"/>
        <v>551</v>
      </c>
      <c r="P24" s="17">
        <f t="shared" si="22"/>
        <v>224</v>
      </c>
      <c r="Q24" s="18">
        <f t="shared" si="23"/>
        <v>551</v>
      </c>
      <c r="R24" s="4" t="s">
        <v>0</v>
      </c>
      <c r="S24" s="16" t="str">
        <f t="shared" si="24"/>
        <v>07-３㎡</v>
      </c>
      <c r="T24" s="14">
        <f t="shared" si="25"/>
        <v>224</v>
      </c>
      <c r="U24" s="18">
        <f t="shared" si="26"/>
        <v>224</v>
      </c>
      <c r="V24" s="14">
        <f t="shared" si="27"/>
        <v>250</v>
      </c>
      <c r="W24" s="18">
        <f t="shared" si="28"/>
        <v>224</v>
      </c>
      <c r="X24" s="14">
        <f t="shared" si="29"/>
        <v>250</v>
      </c>
      <c r="Y24" s="18">
        <f t="shared" si="30"/>
        <v>199</v>
      </c>
      <c r="Z24" s="14">
        <f t="shared" si="31"/>
        <v>224</v>
      </c>
      <c r="AA24" s="18">
        <f t="shared" si="32"/>
        <v>199</v>
      </c>
      <c r="AB24" s="4" t="s">
        <v>0</v>
      </c>
    </row>
    <row r="25" spans="1:28">
      <c r="A25" s="9" t="s">
        <v>648</v>
      </c>
      <c r="B25" s="24"/>
      <c r="C25" s="26">
        <v>2</v>
      </c>
      <c r="D25" s="28">
        <f>ROUND(D$23+26*$C25, 0)</f>
        <v>250</v>
      </c>
      <c r="E25" s="29">
        <f>E24</f>
        <v>526</v>
      </c>
      <c r="F25" s="28">
        <f>ROUND(F$23+26*$C25, 0)</f>
        <v>276</v>
      </c>
      <c r="G25" s="29">
        <f>G24</f>
        <v>551</v>
      </c>
      <c r="H25" s="4" t="s">
        <v>0</v>
      </c>
      <c r="I25" s="16" t="str">
        <f t="shared" si="15"/>
        <v>01-4㎡</v>
      </c>
      <c r="J25" s="14">
        <f t="shared" si="16"/>
        <v>250</v>
      </c>
      <c r="K25" s="15">
        <f t="shared" si="17"/>
        <v>526</v>
      </c>
      <c r="L25" s="17">
        <f t="shared" si="18"/>
        <v>276</v>
      </c>
      <c r="M25" s="18">
        <f t="shared" si="19"/>
        <v>526</v>
      </c>
      <c r="N25" s="14">
        <f t="shared" si="20"/>
        <v>276</v>
      </c>
      <c r="O25" s="15">
        <f t="shared" si="21"/>
        <v>551</v>
      </c>
      <c r="P25" s="17">
        <f t="shared" si="22"/>
        <v>250</v>
      </c>
      <c r="Q25" s="18">
        <f t="shared" si="23"/>
        <v>551</v>
      </c>
      <c r="R25" s="4" t="s">
        <v>0</v>
      </c>
      <c r="S25" s="16" t="str">
        <f t="shared" si="24"/>
        <v>01-4㎡</v>
      </c>
      <c r="T25" s="14">
        <f t="shared" si="25"/>
        <v>250</v>
      </c>
      <c r="U25" s="18">
        <f t="shared" si="26"/>
        <v>224</v>
      </c>
      <c r="V25" s="14">
        <f t="shared" si="27"/>
        <v>276</v>
      </c>
      <c r="W25" s="18">
        <f t="shared" si="28"/>
        <v>224</v>
      </c>
      <c r="X25" s="14">
        <f t="shared" si="29"/>
        <v>276</v>
      </c>
      <c r="Y25" s="18">
        <f t="shared" si="30"/>
        <v>199</v>
      </c>
      <c r="Z25" s="14">
        <f t="shared" si="31"/>
        <v>250</v>
      </c>
      <c r="AA25" s="18">
        <f t="shared" si="32"/>
        <v>199</v>
      </c>
      <c r="AB25" s="4" t="s">
        <v>0</v>
      </c>
    </row>
  </sheetData>
  <autoFilter ref="A10:AB25" xr:uid="{00000000-0001-0000-0000-000000000000}"/>
  <mergeCells count="2">
    <mergeCell ref="D3:G3"/>
    <mergeCell ref="D4:G4"/>
  </mergeCells>
  <phoneticPr fontId="1"/>
  <hyperlinks>
    <hyperlink ref="N4" r:id="rId1" xr:uid="{A8725287-FA76-41CA-94E0-C1BF22D3B8F5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5F7-D0A3-4081-85E8-7545648FC424}">
  <sheetPr codeName="Sheet20">
    <pageSetUpPr fitToPage="1"/>
  </sheetPr>
  <dimension ref="A1:AB5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SEC_11_3_釈ｼﾝE.json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SEC_11_3_釈ｼﾝE.png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釈ｼﾝE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685</v>
      </c>
      <c r="B11" s="30" t="s">
        <v>698</v>
      </c>
      <c r="C11" s="4" t="s">
        <v>0</v>
      </c>
      <c r="D11" s="27">
        <v>209</v>
      </c>
      <c r="E11" s="31">
        <v>49</v>
      </c>
      <c r="F11" s="31">
        <v>237</v>
      </c>
      <c r="G11" s="31">
        <v>74</v>
      </c>
      <c r="H11" s="4" t="s">
        <v>0</v>
      </c>
      <c r="I11" s="16" t="str">
        <f t="shared" ref="I11:I12" si="0">A11</f>
        <v>37-3㎡</v>
      </c>
      <c r="J11" s="14">
        <f>IF(D11&lt;&gt;"",D11,0)</f>
        <v>209</v>
      </c>
      <c r="K11" s="15">
        <f>IF(E11&lt;&gt;"",E11,0)</f>
        <v>49</v>
      </c>
      <c r="L11" s="17">
        <f>N11</f>
        <v>237</v>
      </c>
      <c r="M11" s="18">
        <f>K11</f>
        <v>49</v>
      </c>
      <c r="N11" s="14">
        <f>IF(F11&lt;&gt;"",F11,0)</f>
        <v>237</v>
      </c>
      <c r="O11" s="15">
        <f>IF(G11&lt;&gt;"",G11,0)</f>
        <v>74</v>
      </c>
      <c r="P11" s="17">
        <f>J11</f>
        <v>209</v>
      </c>
      <c r="Q11" s="18">
        <f>O11</f>
        <v>74</v>
      </c>
      <c r="R11" s="4" t="s">
        <v>0</v>
      </c>
      <c r="S11" s="16" t="str">
        <f>I11</f>
        <v>37-3㎡</v>
      </c>
      <c r="T11" s="14">
        <f>IF(J11&lt;&gt;"",J11,"")</f>
        <v>209</v>
      </c>
      <c r="U11" s="18">
        <f>IF(K11&lt;&gt;"",U$6-K11,"")</f>
        <v>701</v>
      </c>
      <c r="V11" s="14">
        <f t="shared" ref="V11:Z12" si="1">IF(L11&lt;&gt;"",L11,"")</f>
        <v>237</v>
      </c>
      <c r="W11" s="18">
        <f>IF(M11&lt;&gt;"",W$6-M11,"")</f>
        <v>701</v>
      </c>
      <c r="X11" s="14">
        <f t="shared" si="1"/>
        <v>237</v>
      </c>
      <c r="Y11" s="18">
        <f>IF(O11&lt;&gt;"",Y$6-O11,"")</f>
        <v>676</v>
      </c>
      <c r="Z11" s="14">
        <f t="shared" si="1"/>
        <v>209</v>
      </c>
      <c r="AA11" s="18">
        <f>IF(Q11&lt;&gt;"",AA$6-Q11,"")</f>
        <v>676</v>
      </c>
      <c r="AB11" s="4" t="s">
        <v>0</v>
      </c>
    </row>
    <row r="12" spans="1:28">
      <c r="A12" s="9" t="s">
        <v>660</v>
      </c>
      <c r="B12" s="24"/>
      <c r="C12" s="26">
        <v>1</v>
      </c>
      <c r="D12" s="28">
        <f>ROUND(D$11+28*$C12, 0)</f>
        <v>237</v>
      </c>
      <c r="E12" s="29">
        <f>E11</f>
        <v>49</v>
      </c>
      <c r="F12" s="28">
        <f>ROUND(F$11+28*$C12, 0)</f>
        <v>265</v>
      </c>
      <c r="G12" s="29">
        <f>G11</f>
        <v>74</v>
      </c>
      <c r="H12" s="4" t="s">
        <v>0</v>
      </c>
      <c r="I12" s="16" t="str">
        <f t="shared" si="0"/>
        <v>18-3㎡</v>
      </c>
      <c r="J12" s="14">
        <f t="shared" ref="J12:K12" si="2">IF(D12&lt;&gt;"",D12,0)</f>
        <v>237</v>
      </c>
      <c r="K12" s="15">
        <f t="shared" si="2"/>
        <v>49</v>
      </c>
      <c r="L12" s="17">
        <f t="shared" ref="L12" si="3">N12</f>
        <v>265</v>
      </c>
      <c r="M12" s="18">
        <f t="shared" ref="M12" si="4">K12</f>
        <v>49</v>
      </c>
      <c r="N12" s="14">
        <f t="shared" ref="N12:O12" si="5">IF(F12&lt;&gt;"",F12,0)</f>
        <v>265</v>
      </c>
      <c r="O12" s="15">
        <f t="shared" si="5"/>
        <v>74</v>
      </c>
      <c r="P12" s="17">
        <f t="shared" ref="P12" si="6">J12</f>
        <v>237</v>
      </c>
      <c r="Q12" s="18">
        <f t="shared" ref="Q12" si="7">O12</f>
        <v>74</v>
      </c>
      <c r="R12" s="4" t="s">
        <v>0</v>
      </c>
      <c r="S12" s="16" t="str">
        <f t="shared" ref="S12" si="8">I12</f>
        <v>18-3㎡</v>
      </c>
      <c r="T12" s="14">
        <f t="shared" ref="T12" si="9">IF(J12&lt;&gt;"",J12,"")</f>
        <v>237</v>
      </c>
      <c r="U12" s="18">
        <f t="shared" ref="U12" si="10">IF(K12&lt;&gt;"",U$6-K12,"")</f>
        <v>701</v>
      </c>
      <c r="V12" s="14">
        <f t="shared" si="1"/>
        <v>265</v>
      </c>
      <c r="W12" s="18">
        <f t="shared" ref="W12" si="11">IF(M12&lt;&gt;"",W$6-M12,"")</f>
        <v>701</v>
      </c>
      <c r="X12" s="14">
        <f t="shared" si="1"/>
        <v>265</v>
      </c>
      <c r="Y12" s="18">
        <f t="shared" ref="Y12" si="12">IF(O12&lt;&gt;"",Y$6-O12,"")</f>
        <v>676</v>
      </c>
      <c r="Z12" s="14">
        <f t="shared" si="1"/>
        <v>237</v>
      </c>
      <c r="AA12" s="18">
        <f t="shared" ref="AA12" si="13">IF(Q12&lt;&gt;"",AA$6-Q12,"")</f>
        <v>676</v>
      </c>
      <c r="AB12" s="4" t="s">
        <v>0</v>
      </c>
    </row>
    <row r="13" spans="1:28">
      <c r="A13" s="9" t="s">
        <v>670</v>
      </c>
      <c r="B13" s="24"/>
      <c r="C13" s="26">
        <v>2</v>
      </c>
      <c r="D13" s="28">
        <f>ROUND(D$11+28*$C13, 0)</f>
        <v>265</v>
      </c>
      <c r="E13" s="29">
        <f>E12</f>
        <v>49</v>
      </c>
      <c r="F13" s="28">
        <f>ROUND(F$11+28*$C13, 0)</f>
        <v>293</v>
      </c>
      <c r="G13" s="29">
        <f>G12</f>
        <v>74</v>
      </c>
      <c r="H13" s="4" t="s">
        <v>0</v>
      </c>
      <c r="I13" s="16" t="str">
        <f t="shared" ref="I13:I55" si="14">A13</f>
        <v>18-4㎡</v>
      </c>
      <c r="J13" s="14">
        <f t="shared" ref="J13:J55" si="15">IF(D13&lt;&gt;"",D13,0)</f>
        <v>265</v>
      </c>
      <c r="K13" s="15">
        <f t="shared" ref="K13:K55" si="16">IF(E13&lt;&gt;"",E13,0)</f>
        <v>49</v>
      </c>
      <c r="L13" s="17">
        <f t="shared" ref="L13:L55" si="17">N13</f>
        <v>293</v>
      </c>
      <c r="M13" s="18">
        <f t="shared" ref="M13:M55" si="18">K13</f>
        <v>49</v>
      </c>
      <c r="N13" s="14">
        <f t="shared" ref="N13:N55" si="19">IF(F13&lt;&gt;"",F13,0)</f>
        <v>293</v>
      </c>
      <c r="O13" s="15">
        <f t="shared" ref="O13:O55" si="20">IF(G13&lt;&gt;"",G13,0)</f>
        <v>74</v>
      </c>
      <c r="P13" s="17">
        <f t="shared" ref="P13:P55" si="21">J13</f>
        <v>265</v>
      </c>
      <c r="Q13" s="18">
        <f t="shared" ref="Q13:Q55" si="22">O13</f>
        <v>74</v>
      </c>
      <c r="R13" s="4" t="s">
        <v>0</v>
      </c>
      <c r="S13" s="16" t="str">
        <f t="shared" ref="S13:S55" si="23">I13</f>
        <v>18-4㎡</v>
      </c>
      <c r="T13" s="14">
        <f t="shared" ref="T13:T55" si="24">IF(J13&lt;&gt;"",J13,"")</f>
        <v>265</v>
      </c>
      <c r="U13" s="18">
        <f t="shared" ref="U13:U55" si="25">IF(K13&lt;&gt;"",U$6-K13,"")</f>
        <v>701</v>
      </c>
      <c r="V13" s="14">
        <f t="shared" ref="V13:V55" si="26">IF(L13&lt;&gt;"",L13,"")</f>
        <v>293</v>
      </c>
      <c r="W13" s="18">
        <f t="shared" ref="W13:W55" si="27">IF(M13&lt;&gt;"",W$6-M13,"")</f>
        <v>701</v>
      </c>
      <c r="X13" s="14">
        <f t="shared" ref="X13:X55" si="28">IF(N13&lt;&gt;"",N13,"")</f>
        <v>293</v>
      </c>
      <c r="Y13" s="18">
        <f t="shared" ref="Y13:Y55" si="29">IF(O13&lt;&gt;"",Y$6-O13,"")</f>
        <v>676</v>
      </c>
      <c r="Z13" s="14">
        <f t="shared" ref="Z13:Z55" si="30">IF(P13&lt;&gt;"",P13,"")</f>
        <v>265</v>
      </c>
      <c r="AA13" s="18">
        <f t="shared" ref="AA13:AA55" si="31">IF(Q13&lt;&gt;"",AA$6-Q13,"")</f>
        <v>676</v>
      </c>
      <c r="AB13" s="4" t="s">
        <v>0</v>
      </c>
    </row>
    <row r="14" spans="1:28">
      <c r="A14" s="9" t="s">
        <v>684</v>
      </c>
      <c r="B14" s="24"/>
      <c r="C14" s="26">
        <v>1</v>
      </c>
      <c r="D14" s="25">
        <f>D11</f>
        <v>209</v>
      </c>
      <c r="E14" s="28">
        <f>ROUND(E$11+43*$C14, 0)</f>
        <v>92</v>
      </c>
      <c r="F14" s="25">
        <f>F11</f>
        <v>237</v>
      </c>
      <c r="G14" s="28">
        <f>ROUND(G$11+43*$C14, 0)</f>
        <v>117</v>
      </c>
      <c r="H14" s="4" t="s">
        <v>0</v>
      </c>
      <c r="I14" s="16" t="str">
        <f t="shared" si="14"/>
        <v>36-3㎡</v>
      </c>
      <c r="J14" s="14">
        <f t="shared" si="15"/>
        <v>209</v>
      </c>
      <c r="K14" s="15">
        <f t="shared" si="16"/>
        <v>92</v>
      </c>
      <c r="L14" s="17">
        <f t="shared" si="17"/>
        <v>237</v>
      </c>
      <c r="M14" s="18">
        <f t="shared" si="18"/>
        <v>92</v>
      </c>
      <c r="N14" s="14">
        <f t="shared" si="19"/>
        <v>237</v>
      </c>
      <c r="O14" s="15">
        <f t="shared" si="20"/>
        <v>117</v>
      </c>
      <c r="P14" s="17">
        <f t="shared" si="21"/>
        <v>209</v>
      </c>
      <c r="Q14" s="18">
        <f t="shared" si="22"/>
        <v>117</v>
      </c>
      <c r="R14" s="4" t="s">
        <v>0</v>
      </c>
      <c r="S14" s="16" t="str">
        <f t="shared" si="23"/>
        <v>36-3㎡</v>
      </c>
      <c r="T14" s="14">
        <f t="shared" si="24"/>
        <v>209</v>
      </c>
      <c r="U14" s="18">
        <f t="shared" si="25"/>
        <v>658</v>
      </c>
      <c r="V14" s="14">
        <f t="shared" si="26"/>
        <v>237</v>
      </c>
      <c r="W14" s="18">
        <f t="shared" si="27"/>
        <v>658</v>
      </c>
      <c r="X14" s="14">
        <f t="shared" si="28"/>
        <v>237</v>
      </c>
      <c r="Y14" s="18">
        <f t="shared" si="29"/>
        <v>633</v>
      </c>
      <c r="Z14" s="14">
        <f t="shared" si="30"/>
        <v>209</v>
      </c>
      <c r="AA14" s="18">
        <f t="shared" si="31"/>
        <v>633</v>
      </c>
      <c r="AB14" s="4" t="s">
        <v>0</v>
      </c>
    </row>
    <row r="15" spans="1:28">
      <c r="A15" s="9" t="s">
        <v>659</v>
      </c>
      <c r="B15" s="24"/>
      <c r="C15" s="26"/>
      <c r="D15" s="25">
        <f>D12</f>
        <v>237</v>
      </c>
      <c r="E15" s="29">
        <f t="shared" ref="E15:G16" si="32">E14</f>
        <v>92</v>
      </c>
      <c r="F15" s="25">
        <f>F12</f>
        <v>265</v>
      </c>
      <c r="G15" s="29">
        <f t="shared" si="32"/>
        <v>117</v>
      </c>
      <c r="H15" s="4" t="s">
        <v>0</v>
      </c>
      <c r="I15" s="16" t="str">
        <f t="shared" si="14"/>
        <v>17-3㎡</v>
      </c>
      <c r="J15" s="14">
        <f t="shared" si="15"/>
        <v>237</v>
      </c>
      <c r="K15" s="15">
        <f t="shared" si="16"/>
        <v>92</v>
      </c>
      <c r="L15" s="17">
        <f t="shared" si="17"/>
        <v>265</v>
      </c>
      <c r="M15" s="18">
        <f t="shared" si="18"/>
        <v>92</v>
      </c>
      <c r="N15" s="14">
        <f t="shared" si="19"/>
        <v>265</v>
      </c>
      <c r="O15" s="15">
        <f t="shared" si="20"/>
        <v>117</v>
      </c>
      <c r="P15" s="17">
        <f t="shared" si="21"/>
        <v>237</v>
      </c>
      <c r="Q15" s="18">
        <f t="shared" si="22"/>
        <v>117</v>
      </c>
      <c r="R15" s="4" t="s">
        <v>0</v>
      </c>
      <c r="S15" s="16" t="str">
        <f t="shared" si="23"/>
        <v>17-3㎡</v>
      </c>
      <c r="T15" s="14">
        <f t="shared" si="24"/>
        <v>237</v>
      </c>
      <c r="U15" s="18">
        <f t="shared" si="25"/>
        <v>658</v>
      </c>
      <c r="V15" s="14">
        <f t="shared" si="26"/>
        <v>265</v>
      </c>
      <c r="W15" s="18">
        <f t="shared" si="27"/>
        <v>658</v>
      </c>
      <c r="X15" s="14">
        <f t="shared" si="28"/>
        <v>265</v>
      </c>
      <c r="Y15" s="18">
        <f t="shared" si="29"/>
        <v>633</v>
      </c>
      <c r="Z15" s="14">
        <f t="shared" si="30"/>
        <v>237</v>
      </c>
      <c r="AA15" s="18">
        <f t="shared" si="31"/>
        <v>633</v>
      </c>
      <c r="AB15" s="4" t="s">
        <v>0</v>
      </c>
    </row>
    <row r="16" spans="1:28">
      <c r="A16" s="9" t="s">
        <v>669</v>
      </c>
      <c r="B16" s="24"/>
      <c r="C16" s="26"/>
      <c r="D16" s="25">
        <f>D13</f>
        <v>265</v>
      </c>
      <c r="E16" s="29">
        <f t="shared" si="32"/>
        <v>92</v>
      </c>
      <c r="F16" s="25">
        <f>F13</f>
        <v>293</v>
      </c>
      <c r="G16" s="29">
        <f t="shared" si="32"/>
        <v>117</v>
      </c>
      <c r="H16" s="4" t="s">
        <v>0</v>
      </c>
      <c r="I16" s="16" t="str">
        <f t="shared" si="14"/>
        <v>17-4㎡</v>
      </c>
      <c r="J16" s="14">
        <f t="shared" si="15"/>
        <v>265</v>
      </c>
      <c r="K16" s="15">
        <f t="shared" si="16"/>
        <v>92</v>
      </c>
      <c r="L16" s="17">
        <f t="shared" si="17"/>
        <v>293</v>
      </c>
      <c r="M16" s="18">
        <f t="shared" si="18"/>
        <v>92</v>
      </c>
      <c r="N16" s="14">
        <f t="shared" si="19"/>
        <v>293</v>
      </c>
      <c r="O16" s="15">
        <f t="shared" si="20"/>
        <v>117</v>
      </c>
      <c r="P16" s="17">
        <f t="shared" si="21"/>
        <v>265</v>
      </c>
      <c r="Q16" s="18">
        <f t="shared" si="22"/>
        <v>117</v>
      </c>
      <c r="R16" s="4" t="s">
        <v>0</v>
      </c>
      <c r="S16" s="16" t="str">
        <f t="shared" si="23"/>
        <v>17-4㎡</v>
      </c>
      <c r="T16" s="14">
        <f t="shared" si="24"/>
        <v>265</v>
      </c>
      <c r="U16" s="18">
        <f t="shared" si="25"/>
        <v>658</v>
      </c>
      <c r="V16" s="14">
        <f t="shared" si="26"/>
        <v>293</v>
      </c>
      <c r="W16" s="18">
        <f t="shared" si="27"/>
        <v>658</v>
      </c>
      <c r="X16" s="14">
        <f t="shared" si="28"/>
        <v>293</v>
      </c>
      <c r="Y16" s="18">
        <f t="shared" si="29"/>
        <v>633</v>
      </c>
      <c r="Z16" s="14">
        <f t="shared" si="30"/>
        <v>265</v>
      </c>
      <c r="AA16" s="18">
        <f t="shared" si="31"/>
        <v>633</v>
      </c>
      <c r="AB16" s="4" t="s">
        <v>0</v>
      </c>
    </row>
    <row r="17" spans="1:28">
      <c r="A17" s="9" t="s">
        <v>683</v>
      </c>
      <c r="B17" s="24"/>
      <c r="C17" s="26">
        <v>2</v>
      </c>
      <c r="D17" s="25">
        <f t="shared" ref="D17:D55" si="33">D14</f>
        <v>209</v>
      </c>
      <c r="E17" s="28">
        <f t="shared" ref="E17" si="34">ROUND(E$11+43*$C17, 0)</f>
        <v>135</v>
      </c>
      <c r="F17" s="25">
        <f t="shared" ref="F17:F55" si="35">F14</f>
        <v>237</v>
      </c>
      <c r="G17" s="28">
        <f t="shared" ref="G17" si="36">ROUND(G$11+43*$C17, 0)</f>
        <v>160</v>
      </c>
      <c r="H17" s="4" t="s">
        <v>0</v>
      </c>
      <c r="I17" s="16" t="str">
        <f t="shared" si="14"/>
        <v>35-3㎡</v>
      </c>
      <c r="J17" s="14">
        <f t="shared" si="15"/>
        <v>209</v>
      </c>
      <c r="K17" s="15">
        <f t="shared" si="16"/>
        <v>135</v>
      </c>
      <c r="L17" s="17">
        <f t="shared" si="17"/>
        <v>237</v>
      </c>
      <c r="M17" s="18">
        <f t="shared" si="18"/>
        <v>135</v>
      </c>
      <c r="N17" s="14">
        <f t="shared" si="19"/>
        <v>237</v>
      </c>
      <c r="O17" s="15">
        <f t="shared" si="20"/>
        <v>160</v>
      </c>
      <c r="P17" s="17">
        <f t="shared" si="21"/>
        <v>209</v>
      </c>
      <c r="Q17" s="18">
        <f t="shared" si="22"/>
        <v>160</v>
      </c>
      <c r="R17" s="4" t="s">
        <v>0</v>
      </c>
      <c r="S17" s="16" t="str">
        <f t="shared" si="23"/>
        <v>35-3㎡</v>
      </c>
      <c r="T17" s="14">
        <f t="shared" si="24"/>
        <v>209</v>
      </c>
      <c r="U17" s="18">
        <f t="shared" si="25"/>
        <v>615</v>
      </c>
      <c r="V17" s="14">
        <f t="shared" si="26"/>
        <v>237</v>
      </c>
      <c r="W17" s="18">
        <f t="shared" si="27"/>
        <v>615</v>
      </c>
      <c r="X17" s="14">
        <f t="shared" si="28"/>
        <v>237</v>
      </c>
      <c r="Y17" s="18">
        <f t="shared" si="29"/>
        <v>590</v>
      </c>
      <c r="Z17" s="14">
        <f t="shared" si="30"/>
        <v>209</v>
      </c>
      <c r="AA17" s="18">
        <f t="shared" si="31"/>
        <v>590</v>
      </c>
      <c r="AB17" s="4" t="s">
        <v>0</v>
      </c>
    </row>
    <row r="18" spans="1:28">
      <c r="A18" s="9" t="s">
        <v>658</v>
      </c>
      <c r="B18" s="24"/>
      <c r="C18" s="26"/>
      <c r="D18" s="25">
        <f t="shared" si="33"/>
        <v>237</v>
      </c>
      <c r="E18" s="29">
        <f t="shared" ref="E18" si="37">E17</f>
        <v>135</v>
      </c>
      <c r="F18" s="25">
        <f t="shared" si="35"/>
        <v>265</v>
      </c>
      <c r="G18" s="29">
        <f t="shared" ref="G18" si="38">G17</f>
        <v>160</v>
      </c>
      <c r="H18" s="4" t="s">
        <v>0</v>
      </c>
      <c r="I18" s="16" t="str">
        <f t="shared" si="14"/>
        <v>16-3㎡</v>
      </c>
      <c r="J18" s="14">
        <f t="shared" si="15"/>
        <v>237</v>
      </c>
      <c r="K18" s="15">
        <f t="shared" si="16"/>
        <v>135</v>
      </c>
      <c r="L18" s="17">
        <f t="shared" si="17"/>
        <v>265</v>
      </c>
      <c r="M18" s="18">
        <f t="shared" si="18"/>
        <v>135</v>
      </c>
      <c r="N18" s="14">
        <f t="shared" si="19"/>
        <v>265</v>
      </c>
      <c r="O18" s="15">
        <f t="shared" si="20"/>
        <v>160</v>
      </c>
      <c r="P18" s="17">
        <f t="shared" si="21"/>
        <v>237</v>
      </c>
      <c r="Q18" s="18">
        <f t="shared" si="22"/>
        <v>160</v>
      </c>
      <c r="R18" s="4" t="s">
        <v>0</v>
      </c>
      <c r="S18" s="16" t="str">
        <f t="shared" si="23"/>
        <v>16-3㎡</v>
      </c>
      <c r="T18" s="14">
        <f t="shared" si="24"/>
        <v>237</v>
      </c>
      <c r="U18" s="18">
        <f t="shared" si="25"/>
        <v>615</v>
      </c>
      <c r="V18" s="14">
        <f t="shared" si="26"/>
        <v>265</v>
      </c>
      <c r="W18" s="18">
        <f t="shared" si="27"/>
        <v>615</v>
      </c>
      <c r="X18" s="14">
        <f t="shared" si="28"/>
        <v>265</v>
      </c>
      <c r="Y18" s="18">
        <f t="shared" si="29"/>
        <v>590</v>
      </c>
      <c r="Z18" s="14">
        <f t="shared" si="30"/>
        <v>237</v>
      </c>
      <c r="AA18" s="18">
        <f t="shared" si="31"/>
        <v>590</v>
      </c>
      <c r="AB18" s="4" t="s">
        <v>0</v>
      </c>
    </row>
    <row r="19" spans="1:28">
      <c r="A19" s="9" t="s">
        <v>668</v>
      </c>
      <c r="B19" s="24"/>
      <c r="C19" s="26"/>
      <c r="D19" s="25">
        <f t="shared" si="33"/>
        <v>265</v>
      </c>
      <c r="E19" s="29">
        <f t="shared" ref="E19" si="39">E18</f>
        <v>135</v>
      </c>
      <c r="F19" s="25">
        <f t="shared" si="35"/>
        <v>293</v>
      </c>
      <c r="G19" s="29">
        <f t="shared" ref="G19" si="40">G18</f>
        <v>160</v>
      </c>
      <c r="H19" s="4" t="s">
        <v>0</v>
      </c>
      <c r="I19" s="16" t="str">
        <f t="shared" si="14"/>
        <v>16-4㎡</v>
      </c>
      <c r="J19" s="14">
        <f t="shared" si="15"/>
        <v>265</v>
      </c>
      <c r="K19" s="15">
        <f t="shared" si="16"/>
        <v>135</v>
      </c>
      <c r="L19" s="17">
        <f t="shared" si="17"/>
        <v>293</v>
      </c>
      <c r="M19" s="18">
        <f t="shared" si="18"/>
        <v>135</v>
      </c>
      <c r="N19" s="14">
        <f t="shared" si="19"/>
        <v>293</v>
      </c>
      <c r="O19" s="15">
        <f t="shared" si="20"/>
        <v>160</v>
      </c>
      <c r="P19" s="17">
        <f t="shared" si="21"/>
        <v>265</v>
      </c>
      <c r="Q19" s="18">
        <f t="shared" si="22"/>
        <v>160</v>
      </c>
      <c r="R19" s="4" t="s">
        <v>0</v>
      </c>
      <c r="S19" s="16" t="str">
        <f t="shared" si="23"/>
        <v>16-4㎡</v>
      </c>
      <c r="T19" s="14">
        <f t="shared" si="24"/>
        <v>265</v>
      </c>
      <c r="U19" s="18">
        <f t="shared" si="25"/>
        <v>615</v>
      </c>
      <c r="V19" s="14">
        <f t="shared" si="26"/>
        <v>293</v>
      </c>
      <c r="W19" s="18">
        <f t="shared" si="27"/>
        <v>615</v>
      </c>
      <c r="X19" s="14">
        <f t="shared" si="28"/>
        <v>293</v>
      </c>
      <c r="Y19" s="18">
        <f t="shared" si="29"/>
        <v>590</v>
      </c>
      <c r="Z19" s="14">
        <f t="shared" si="30"/>
        <v>265</v>
      </c>
      <c r="AA19" s="18">
        <f t="shared" si="31"/>
        <v>590</v>
      </c>
      <c r="AB19" s="4" t="s">
        <v>0</v>
      </c>
    </row>
    <row r="20" spans="1:28">
      <c r="A20" s="9" t="s">
        <v>682</v>
      </c>
      <c r="B20" s="24"/>
      <c r="C20" s="26">
        <v>3</v>
      </c>
      <c r="D20" s="25">
        <f t="shared" si="33"/>
        <v>209</v>
      </c>
      <c r="E20" s="28">
        <f t="shared" ref="E20" si="41">ROUND(E$11+43*$C20, 0)</f>
        <v>178</v>
      </c>
      <c r="F20" s="25">
        <f t="shared" si="35"/>
        <v>237</v>
      </c>
      <c r="G20" s="28">
        <f t="shared" ref="G20" si="42">ROUND(G$11+43*$C20, 0)</f>
        <v>203</v>
      </c>
      <c r="H20" s="4" t="s">
        <v>0</v>
      </c>
      <c r="I20" s="16" t="str">
        <f t="shared" si="14"/>
        <v>33-3㎡</v>
      </c>
      <c r="J20" s="14">
        <f t="shared" si="15"/>
        <v>209</v>
      </c>
      <c r="K20" s="15">
        <f t="shared" si="16"/>
        <v>178</v>
      </c>
      <c r="L20" s="17">
        <f t="shared" si="17"/>
        <v>237</v>
      </c>
      <c r="M20" s="18">
        <f t="shared" si="18"/>
        <v>178</v>
      </c>
      <c r="N20" s="14">
        <f t="shared" si="19"/>
        <v>237</v>
      </c>
      <c r="O20" s="15">
        <f t="shared" si="20"/>
        <v>203</v>
      </c>
      <c r="P20" s="17">
        <f t="shared" si="21"/>
        <v>209</v>
      </c>
      <c r="Q20" s="18">
        <f t="shared" si="22"/>
        <v>203</v>
      </c>
      <c r="R20" s="4" t="s">
        <v>0</v>
      </c>
      <c r="S20" s="16" t="str">
        <f t="shared" si="23"/>
        <v>33-3㎡</v>
      </c>
      <c r="T20" s="14">
        <f t="shared" si="24"/>
        <v>209</v>
      </c>
      <c r="U20" s="18">
        <f t="shared" si="25"/>
        <v>572</v>
      </c>
      <c r="V20" s="14">
        <f t="shared" si="26"/>
        <v>237</v>
      </c>
      <c r="W20" s="18">
        <f t="shared" si="27"/>
        <v>572</v>
      </c>
      <c r="X20" s="14">
        <f t="shared" si="28"/>
        <v>237</v>
      </c>
      <c r="Y20" s="18">
        <f t="shared" si="29"/>
        <v>547</v>
      </c>
      <c r="Z20" s="14">
        <f t="shared" si="30"/>
        <v>209</v>
      </c>
      <c r="AA20" s="18">
        <f t="shared" si="31"/>
        <v>547</v>
      </c>
      <c r="AB20" s="4" t="s">
        <v>0</v>
      </c>
    </row>
    <row r="21" spans="1:28">
      <c r="A21" s="9" t="s">
        <v>657</v>
      </c>
      <c r="B21" s="24"/>
      <c r="C21" s="26"/>
      <c r="D21" s="25">
        <f t="shared" si="33"/>
        <v>237</v>
      </c>
      <c r="E21" s="29">
        <f t="shared" ref="E21" si="43">E20</f>
        <v>178</v>
      </c>
      <c r="F21" s="25">
        <f t="shared" si="35"/>
        <v>265</v>
      </c>
      <c r="G21" s="29">
        <f t="shared" ref="G21" si="44">G20</f>
        <v>203</v>
      </c>
      <c r="H21" s="4" t="s">
        <v>0</v>
      </c>
      <c r="I21" s="16" t="str">
        <f t="shared" si="14"/>
        <v>15-3㎡</v>
      </c>
      <c r="J21" s="14">
        <f t="shared" si="15"/>
        <v>237</v>
      </c>
      <c r="K21" s="15">
        <f t="shared" si="16"/>
        <v>178</v>
      </c>
      <c r="L21" s="17">
        <f t="shared" si="17"/>
        <v>265</v>
      </c>
      <c r="M21" s="18">
        <f t="shared" si="18"/>
        <v>178</v>
      </c>
      <c r="N21" s="14">
        <f t="shared" si="19"/>
        <v>265</v>
      </c>
      <c r="O21" s="15">
        <f t="shared" si="20"/>
        <v>203</v>
      </c>
      <c r="P21" s="17">
        <f t="shared" si="21"/>
        <v>237</v>
      </c>
      <c r="Q21" s="18">
        <f t="shared" si="22"/>
        <v>203</v>
      </c>
      <c r="R21" s="4" t="s">
        <v>0</v>
      </c>
      <c r="S21" s="16" t="str">
        <f t="shared" si="23"/>
        <v>15-3㎡</v>
      </c>
      <c r="T21" s="14">
        <f t="shared" si="24"/>
        <v>237</v>
      </c>
      <c r="U21" s="18">
        <f t="shared" si="25"/>
        <v>572</v>
      </c>
      <c r="V21" s="14">
        <f t="shared" si="26"/>
        <v>265</v>
      </c>
      <c r="W21" s="18">
        <f t="shared" si="27"/>
        <v>572</v>
      </c>
      <c r="X21" s="14">
        <f t="shared" si="28"/>
        <v>265</v>
      </c>
      <c r="Y21" s="18">
        <f t="shared" si="29"/>
        <v>547</v>
      </c>
      <c r="Z21" s="14">
        <f t="shared" si="30"/>
        <v>237</v>
      </c>
      <c r="AA21" s="18">
        <f t="shared" si="31"/>
        <v>547</v>
      </c>
      <c r="AB21" s="4" t="s">
        <v>0</v>
      </c>
    </row>
    <row r="22" spans="1:28">
      <c r="A22" s="9" t="s">
        <v>667</v>
      </c>
      <c r="B22" s="24"/>
      <c r="C22" s="26"/>
      <c r="D22" s="25">
        <f t="shared" si="33"/>
        <v>265</v>
      </c>
      <c r="E22" s="29">
        <f t="shared" ref="E22" si="45">E21</f>
        <v>178</v>
      </c>
      <c r="F22" s="25">
        <f t="shared" si="35"/>
        <v>293</v>
      </c>
      <c r="G22" s="29">
        <f t="shared" ref="G22" si="46">G21</f>
        <v>203</v>
      </c>
      <c r="H22" s="4" t="s">
        <v>0</v>
      </c>
      <c r="I22" s="16" t="str">
        <f t="shared" si="14"/>
        <v>15-4㎡</v>
      </c>
      <c r="J22" s="14">
        <f t="shared" si="15"/>
        <v>265</v>
      </c>
      <c r="K22" s="15">
        <f t="shared" si="16"/>
        <v>178</v>
      </c>
      <c r="L22" s="17">
        <f t="shared" si="17"/>
        <v>293</v>
      </c>
      <c r="M22" s="18">
        <f t="shared" si="18"/>
        <v>178</v>
      </c>
      <c r="N22" s="14">
        <f t="shared" si="19"/>
        <v>293</v>
      </c>
      <c r="O22" s="15">
        <f t="shared" si="20"/>
        <v>203</v>
      </c>
      <c r="P22" s="17">
        <f t="shared" si="21"/>
        <v>265</v>
      </c>
      <c r="Q22" s="18">
        <f t="shared" si="22"/>
        <v>203</v>
      </c>
      <c r="R22" s="4" t="s">
        <v>0</v>
      </c>
      <c r="S22" s="16" t="str">
        <f t="shared" si="23"/>
        <v>15-4㎡</v>
      </c>
      <c r="T22" s="14">
        <f t="shared" si="24"/>
        <v>265</v>
      </c>
      <c r="U22" s="18">
        <f t="shared" si="25"/>
        <v>572</v>
      </c>
      <c r="V22" s="14">
        <f t="shared" si="26"/>
        <v>293</v>
      </c>
      <c r="W22" s="18">
        <f t="shared" si="27"/>
        <v>572</v>
      </c>
      <c r="X22" s="14">
        <f t="shared" si="28"/>
        <v>293</v>
      </c>
      <c r="Y22" s="18">
        <f t="shared" si="29"/>
        <v>547</v>
      </c>
      <c r="Z22" s="14">
        <f t="shared" si="30"/>
        <v>265</v>
      </c>
      <c r="AA22" s="18">
        <f t="shared" si="31"/>
        <v>547</v>
      </c>
      <c r="AB22" s="4" t="s">
        <v>0</v>
      </c>
    </row>
    <row r="23" spans="1:28">
      <c r="A23" s="9" t="s">
        <v>681</v>
      </c>
      <c r="B23" s="24"/>
      <c r="C23" s="26">
        <v>4</v>
      </c>
      <c r="D23" s="25">
        <f t="shared" si="33"/>
        <v>209</v>
      </c>
      <c r="E23" s="28">
        <f t="shared" ref="E23" si="47">ROUND(E$11+43*$C23, 0)</f>
        <v>221</v>
      </c>
      <c r="F23" s="25">
        <f t="shared" si="35"/>
        <v>237</v>
      </c>
      <c r="G23" s="28">
        <f t="shared" ref="G23" si="48">ROUND(G$11+43*$C23, 0)</f>
        <v>246</v>
      </c>
      <c r="H23" s="4" t="s">
        <v>0</v>
      </c>
      <c r="I23" s="16" t="str">
        <f t="shared" si="14"/>
        <v>32-3㎡</v>
      </c>
      <c r="J23" s="14">
        <f t="shared" si="15"/>
        <v>209</v>
      </c>
      <c r="K23" s="15">
        <f t="shared" si="16"/>
        <v>221</v>
      </c>
      <c r="L23" s="17">
        <f t="shared" si="17"/>
        <v>237</v>
      </c>
      <c r="M23" s="18">
        <f t="shared" si="18"/>
        <v>221</v>
      </c>
      <c r="N23" s="14">
        <f t="shared" si="19"/>
        <v>237</v>
      </c>
      <c r="O23" s="15">
        <f t="shared" si="20"/>
        <v>246</v>
      </c>
      <c r="P23" s="17">
        <f t="shared" si="21"/>
        <v>209</v>
      </c>
      <c r="Q23" s="18">
        <f t="shared" si="22"/>
        <v>246</v>
      </c>
      <c r="R23" s="4" t="s">
        <v>0</v>
      </c>
      <c r="S23" s="16" t="str">
        <f t="shared" si="23"/>
        <v>32-3㎡</v>
      </c>
      <c r="T23" s="14">
        <f t="shared" si="24"/>
        <v>209</v>
      </c>
      <c r="U23" s="18">
        <f t="shared" si="25"/>
        <v>529</v>
      </c>
      <c r="V23" s="14">
        <f t="shared" si="26"/>
        <v>237</v>
      </c>
      <c r="W23" s="18">
        <f t="shared" si="27"/>
        <v>529</v>
      </c>
      <c r="X23" s="14">
        <f t="shared" si="28"/>
        <v>237</v>
      </c>
      <c r="Y23" s="18">
        <f t="shared" si="29"/>
        <v>504</v>
      </c>
      <c r="Z23" s="14">
        <f t="shared" si="30"/>
        <v>209</v>
      </c>
      <c r="AA23" s="18">
        <f t="shared" si="31"/>
        <v>504</v>
      </c>
      <c r="AB23" s="4" t="s">
        <v>0</v>
      </c>
    </row>
    <row r="24" spans="1:28">
      <c r="A24" s="9" t="s">
        <v>656</v>
      </c>
      <c r="B24" s="24"/>
      <c r="C24" s="26"/>
      <c r="D24" s="25">
        <f t="shared" si="33"/>
        <v>237</v>
      </c>
      <c r="E24" s="29">
        <f t="shared" ref="E24" si="49">E23</f>
        <v>221</v>
      </c>
      <c r="F24" s="25">
        <f t="shared" si="35"/>
        <v>265</v>
      </c>
      <c r="G24" s="29">
        <f t="shared" ref="G24" si="50">G23</f>
        <v>246</v>
      </c>
      <c r="H24" s="4" t="s">
        <v>0</v>
      </c>
      <c r="I24" s="16" t="str">
        <f t="shared" si="14"/>
        <v>13-3㎡</v>
      </c>
      <c r="J24" s="14">
        <f t="shared" si="15"/>
        <v>237</v>
      </c>
      <c r="K24" s="15">
        <f t="shared" si="16"/>
        <v>221</v>
      </c>
      <c r="L24" s="17">
        <f t="shared" si="17"/>
        <v>265</v>
      </c>
      <c r="M24" s="18">
        <f t="shared" si="18"/>
        <v>221</v>
      </c>
      <c r="N24" s="14">
        <f t="shared" si="19"/>
        <v>265</v>
      </c>
      <c r="O24" s="15">
        <f t="shared" si="20"/>
        <v>246</v>
      </c>
      <c r="P24" s="17">
        <f t="shared" si="21"/>
        <v>237</v>
      </c>
      <c r="Q24" s="18">
        <f t="shared" si="22"/>
        <v>246</v>
      </c>
      <c r="R24" s="4" t="s">
        <v>0</v>
      </c>
      <c r="S24" s="16" t="str">
        <f t="shared" si="23"/>
        <v>13-3㎡</v>
      </c>
      <c r="T24" s="14">
        <f t="shared" si="24"/>
        <v>237</v>
      </c>
      <c r="U24" s="18">
        <f t="shared" si="25"/>
        <v>529</v>
      </c>
      <c r="V24" s="14">
        <f t="shared" si="26"/>
        <v>265</v>
      </c>
      <c r="W24" s="18">
        <f t="shared" si="27"/>
        <v>529</v>
      </c>
      <c r="X24" s="14">
        <f t="shared" si="28"/>
        <v>265</v>
      </c>
      <c r="Y24" s="18">
        <f t="shared" si="29"/>
        <v>504</v>
      </c>
      <c r="Z24" s="14">
        <f t="shared" si="30"/>
        <v>237</v>
      </c>
      <c r="AA24" s="18">
        <f t="shared" si="31"/>
        <v>504</v>
      </c>
      <c r="AB24" s="4" t="s">
        <v>0</v>
      </c>
    </row>
    <row r="25" spans="1:28">
      <c r="A25" s="9" t="s">
        <v>666</v>
      </c>
      <c r="B25" s="24"/>
      <c r="C25" s="26"/>
      <c r="D25" s="25">
        <f t="shared" si="33"/>
        <v>265</v>
      </c>
      <c r="E25" s="29">
        <f t="shared" ref="E25" si="51">E24</f>
        <v>221</v>
      </c>
      <c r="F25" s="25">
        <f t="shared" si="35"/>
        <v>293</v>
      </c>
      <c r="G25" s="29">
        <f t="shared" ref="G25" si="52">G24</f>
        <v>246</v>
      </c>
      <c r="H25" s="4" t="s">
        <v>0</v>
      </c>
      <c r="I25" s="16" t="str">
        <f t="shared" si="14"/>
        <v>13-4㎡</v>
      </c>
      <c r="J25" s="14">
        <f t="shared" si="15"/>
        <v>265</v>
      </c>
      <c r="K25" s="15">
        <f t="shared" si="16"/>
        <v>221</v>
      </c>
      <c r="L25" s="17">
        <f t="shared" si="17"/>
        <v>293</v>
      </c>
      <c r="M25" s="18">
        <f t="shared" si="18"/>
        <v>221</v>
      </c>
      <c r="N25" s="14">
        <f t="shared" si="19"/>
        <v>293</v>
      </c>
      <c r="O25" s="15">
        <f t="shared" si="20"/>
        <v>246</v>
      </c>
      <c r="P25" s="17">
        <f t="shared" si="21"/>
        <v>265</v>
      </c>
      <c r="Q25" s="18">
        <f t="shared" si="22"/>
        <v>246</v>
      </c>
      <c r="R25" s="4" t="s">
        <v>0</v>
      </c>
      <c r="S25" s="16" t="str">
        <f t="shared" si="23"/>
        <v>13-4㎡</v>
      </c>
      <c r="T25" s="14">
        <f t="shared" si="24"/>
        <v>265</v>
      </c>
      <c r="U25" s="18">
        <f t="shared" si="25"/>
        <v>529</v>
      </c>
      <c r="V25" s="14">
        <f t="shared" si="26"/>
        <v>293</v>
      </c>
      <c r="W25" s="18">
        <f t="shared" si="27"/>
        <v>529</v>
      </c>
      <c r="X25" s="14">
        <f t="shared" si="28"/>
        <v>293</v>
      </c>
      <c r="Y25" s="18">
        <f t="shared" si="29"/>
        <v>504</v>
      </c>
      <c r="Z25" s="14">
        <f t="shared" si="30"/>
        <v>265</v>
      </c>
      <c r="AA25" s="18">
        <f t="shared" si="31"/>
        <v>504</v>
      </c>
      <c r="AB25" s="4" t="s">
        <v>0</v>
      </c>
    </row>
    <row r="26" spans="1:28">
      <c r="A26" s="9" t="s">
        <v>680</v>
      </c>
      <c r="B26" s="24"/>
      <c r="C26" s="26">
        <v>5</v>
      </c>
      <c r="D26" s="25">
        <f t="shared" si="33"/>
        <v>209</v>
      </c>
      <c r="E26" s="28">
        <f t="shared" ref="E26" si="53">ROUND(E$11+43*$C26, 0)</f>
        <v>264</v>
      </c>
      <c r="F26" s="25">
        <f t="shared" si="35"/>
        <v>237</v>
      </c>
      <c r="G26" s="28">
        <f t="shared" ref="G26" si="54">ROUND(G$11+43*$C26, 0)</f>
        <v>289</v>
      </c>
      <c r="H26" s="4" t="s">
        <v>0</v>
      </c>
      <c r="I26" s="16" t="str">
        <f t="shared" si="14"/>
        <v>31-3㎡</v>
      </c>
      <c r="J26" s="14">
        <f t="shared" si="15"/>
        <v>209</v>
      </c>
      <c r="K26" s="15">
        <f t="shared" si="16"/>
        <v>264</v>
      </c>
      <c r="L26" s="17">
        <f t="shared" si="17"/>
        <v>237</v>
      </c>
      <c r="M26" s="18">
        <f t="shared" si="18"/>
        <v>264</v>
      </c>
      <c r="N26" s="14">
        <f t="shared" si="19"/>
        <v>237</v>
      </c>
      <c r="O26" s="15">
        <f t="shared" si="20"/>
        <v>289</v>
      </c>
      <c r="P26" s="17">
        <f t="shared" si="21"/>
        <v>209</v>
      </c>
      <c r="Q26" s="18">
        <f t="shared" si="22"/>
        <v>289</v>
      </c>
      <c r="R26" s="4" t="s">
        <v>0</v>
      </c>
      <c r="S26" s="16" t="str">
        <f t="shared" si="23"/>
        <v>31-3㎡</v>
      </c>
      <c r="T26" s="14">
        <f t="shared" si="24"/>
        <v>209</v>
      </c>
      <c r="U26" s="18">
        <f t="shared" si="25"/>
        <v>486</v>
      </c>
      <c r="V26" s="14">
        <f t="shared" si="26"/>
        <v>237</v>
      </c>
      <c r="W26" s="18">
        <f t="shared" si="27"/>
        <v>486</v>
      </c>
      <c r="X26" s="14">
        <f t="shared" si="28"/>
        <v>237</v>
      </c>
      <c r="Y26" s="18">
        <f t="shared" si="29"/>
        <v>461</v>
      </c>
      <c r="Z26" s="14">
        <f t="shared" si="30"/>
        <v>209</v>
      </c>
      <c r="AA26" s="18">
        <f t="shared" si="31"/>
        <v>461</v>
      </c>
      <c r="AB26" s="4" t="s">
        <v>0</v>
      </c>
    </row>
    <row r="27" spans="1:28">
      <c r="A27" s="9" t="s">
        <v>655</v>
      </c>
      <c r="B27" s="24"/>
      <c r="C27" s="26"/>
      <c r="D27" s="25">
        <f t="shared" si="33"/>
        <v>237</v>
      </c>
      <c r="E27" s="29">
        <f t="shared" ref="E27" si="55">E26</f>
        <v>264</v>
      </c>
      <c r="F27" s="25">
        <f t="shared" si="35"/>
        <v>265</v>
      </c>
      <c r="G27" s="29">
        <f t="shared" ref="G27" si="56">G26</f>
        <v>289</v>
      </c>
      <c r="H27" s="4" t="s">
        <v>0</v>
      </c>
      <c r="I27" s="16" t="str">
        <f t="shared" si="14"/>
        <v>12-3㎡</v>
      </c>
      <c r="J27" s="14">
        <f t="shared" si="15"/>
        <v>237</v>
      </c>
      <c r="K27" s="15">
        <f t="shared" si="16"/>
        <v>264</v>
      </c>
      <c r="L27" s="17">
        <f t="shared" si="17"/>
        <v>265</v>
      </c>
      <c r="M27" s="18">
        <f t="shared" si="18"/>
        <v>264</v>
      </c>
      <c r="N27" s="14">
        <f t="shared" si="19"/>
        <v>265</v>
      </c>
      <c r="O27" s="15">
        <f t="shared" si="20"/>
        <v>289</v>
      </c>
      <c r="P27" s="17">
        <f t="shared" si="21"/>
        <v>237</v>
      </c>
      <c r="Q27" s="18">
        <f t="shared" si="22"/>
        <v>289</v>
      </c>
      <c r="R27" s="4" t="s">
        <v>0</v>
      </c>
      <c r="S27" s="16" t="str">
        <f t="shared" si="23"/>
        <v>12-3㎡</v>
      </c>
      <c r="T27" s="14">
        <f t="shared" si="24"/>
        <v>237</v>
      </c>
      <c r="U27" s="18">
        <f t="shared" si="25"/>
        <v>486</v>
      </c>
      <c r="V27" s="14">
        <f t="shared" si="26"/>
        <v>265</v>
      </c>
      <c r="W27" s="18">
        <f t="shared" si="27"/>
        <v>486</v>
      </c>
      <c r="X27" s="14">
        <f t="shared" si="28"/>
        <v>265</v>
      </c>
      <c r="Y27" s="18">
        <f t="shared" si="29"/>
        <v>461</v>
      </c>
      <c r="Z27" s="14">
        <f t="shared" si="30"/>
        <v>237</v>
      </c>
      <c r="AA27" s="18">
        <f t="shared" si="31"/>
        <v>461</v>
      </c>
      <c r="AB27" s="4" t="s">
        <v>0</v>
      </c>
    </row>
    <row r="28" spans="1:28">
      <c r="A28" s="9" t="s">
        <v>665</v>
      </c>
      <c r="B28" s="24"/>
      <c r="C28" s="26"/>
      <c r="D28" s="25">
        <f t="shared" si="33"/>
        <v>265</v>
      </c>
      <c r="E28" s="29">
        <f t="shared" ref="E28" si="57">E27</f>
        <v>264</v>
      </c>
      <c r="F28" s="25">
        <f t="shared" si="35"/>
        <v>293</v>
      </c>
      <c r="G28" s="29">
        <f t="shared" ref="G28" si="58">G27</f>
        <v>289</v>
      </c>
      <c r="H28" s="4" t="s">
        <v>0</v>
      </c>
      <c r="I28" s="16" t="str">
        <f t="shared" si="14"/>
        <v>12-4㎡</v>
      </c>
      <c r="J28" s="14">
        <f t="shared" si="15"/>
        <v>265</v>
      </c>
      <c r="K28" s="15">
        <f t="shared" si="16"/>
        <v>264</v>
      </c>
      <c r="L28" s="17">
        <f t="shared" si="17"/>
        <v>293</v>
      </c>
      <c r="M28" s="18">
        <f t="shared" si="18"/>
        <v>264</v>
      </c>
      <c r="N28" s="14">
        <f t="shared" si="19"/>
        <v>293</v>
      </c>
      <c r="O28" s="15">
        <f t="shared" si="20"/>
        <v>289</v>
      </c>
      <c r="P28" s="17">
        <f t="shared" si="21"/>
        <v>265</v>
      </c>
      <c r="Q28" s="18">
        <f t="shared" si="22"/>
        <v>289</v>
      </c>
      <c r="R28" s="4" t="s">
        <v>0</v>
      </c>
      <c r="S28" s="16" t="str">
        <f t="shared" si="23"/>
        <v>12-4㎡</v>
      </c>
      <c r="T28" s="14">
        <f t="shared" si="24"/>
        <v>265</v>
      </c>
      <c r="U28" s="18">
        <f t="shared" si="25"/>
        <v>486</v>
      </c>
      <c r="V28" s="14">
        <f t="shared" si="26"/>
        <v>293</v>
      </c>
      <c r="W28" s="18">
        <f t="shared" si="27"/>
        <v>486</v>
      </c>
      <c r="X28" s="14">
        <f t="shared" si="28"/>
        <v>293</v>
      </c>
      <c r="Y28" s="18">
        <f t="shared" si="29"/>
        <v>461</v>
      </c>
      <c r="Z28" s="14">
        <f t="shared" si="30"/>
        <v>265</v>
      </c>
      <c r="AA28" s="18">
        <f t="shared" si="31"/>
        <v>461</v>
      </c>
      <c r="AB28" s="4" t="s">
        <v>0</v>
      </c>
    </row>
    <row r="29" spans="1:28">
      <c r="A29" s="9" t="s">
        <v>679</v>
      </c>
      <c r="B29" s="24"/>
      <c r="C29" s="26">
        <v>6</v>
      </c>
      <c r="D29" s="25">
        <f t="shared" si="33"/>
        <v>209</v>
      </c>
      <c r="E29" s="28">
        <f t="shared" ref="E29" si="59">ROUND(E$11+43*$C29, 0)</f>
        <v>307</v>
      </c>
      <c r="F29" s="25">
        <f t="shared" si="35"/>
        <v>237</v>
      </c>
      <c r="G29" s="28">
        <f t="shared" ref="G29" si="60">ROUND(G$11+43*$C29, 0)</f>
        <v>332</v>
      </c>
      <c r="H29" s="4" t="s">
        <v>0</v>
      </c>
      <c r="I29" s="16" t="str">
        <f t="shared" si="14"/>
        <v>30-3㎡</v>
      </c>
      <c r="J29" s="14">
        <f t="shared" si="15"/>
        <v>209</v>
      </c>
      <c r="K29" s="15">
        <f t="shared" si="16"/>
        <v>307</v>
      </c>
      <c r="L29" s="17">
        <f t="shared" si="17"/>
        <v>237</v>
      </c>
      <c r="M29" s="18">
        <f t="shared" si="18"/>
        <v>307</v>
      </c>
      <c r="N29" s="14">
        <f t="shared" si="19"/>
        <v>237</v>
      </c>
      <c r="O29" s="15">
        <f t="shared" si="20"/>
        <v>332</v>
      </c>
      <c r="P29" s="17">
        <f t="shared" si="21"/>
        <v>209</v>
      </c>
      <c r="Q29" s="18">
        <f t="shared" si="22"/>
        <v>332</v>
      </c>
      <c r="R29" s="4" t="s">
        <v>0</v>
      </c>
      <c r="S29" s="16" t="str">
        <f t="shared" si="23"/>
        <v>30-3㎡</v>
      </c>
      <c r="T29" s="14">
        <f t="shared" si="24"/>
        <v>209</v>
      </c>
      <c r="U29" s="18">
        <f t="shared" si="25"/>
        <v>443</v>
      </c>
      <c r="V29" s="14">
        <f t="shared" si="26"/>
        <v>237</v>
      </c>
      <c r="W29" s="18">
        <f t="shared" si="27"/>
        <v>443</v>
      </c>
      <c r="X29" s="14">
        <f t="shared" si="28"/>
        <v>237</v>
      </c>
      <c r="Y29" s="18">
        <f t="shared" si="29"/>
        <v>418</v>
      </c>
      <c r="Z29" s="14">
        <f t="shared" si="30"/>
        <v>209</v>
      </c>
      <c r="AA29" s="18">
        <f t="shared" si="31"/>
        <v>418</v>
      </c>
      <c r="AB29" s="4" t="s">
        <v>0</v>
      </c>
    </row>
    <row r="30" spans="1:28">
      <c r="A30" s="9" t="s">
        <v>654</v>
      </c>
      <c r="B30" s="24"/>
      <c r="C30" s="26"/>
      <c r="D30" s="25">
        <f t="shared" si="33"/>
        <v>237</v>
      </c>
      <c r="E30" s="29">
        <f t="shared" ref="E30" si="61">E29</f>
        <v>307</v>
      </c>
      <c r="F30" s="25">
        <f t="shared" si="35"/>
        <v>265</v>
      </c>
      <c r="G30" s="29">
        <f t="shared" ref="G30" si="62">G29</f>
        <v>332</v>
      </c>
      <c r="H30" s="4" t="s">
        <v>0</v>
      </c>
      <c r="I30" s="16" t="str">
        <f t="shared" si="14"/>
        <v>11-3㎡</v>
      </c>
      <c r="J30" s="14">
        <f t="shared" si="15"/>
        <v>237</v>
      </c>
      <c r="K30" s="15">
        <f t="shared" si="16"/>
        <v>307</v>
      </c>
      <c r="L30" s="17">
        <f t="shared" si="17"/>
        <v>265</v>
      </c>
      <c r="M30" s="18">
        <f t="shared" si="18"/>
        <v>307</v>
      </c>
      <c r="N30" s="14">
        <f t="shared" si="19"/>
        <v>265</v>
      </c>
      <c r="O30" s="15">
        <f t="shared" si="20"/>
        <v>332</v>
      </c>
      <c r="P30" s="17">
        <f t="shared" si="21"/>
        <v>237</v>
      </c>
      <c r="Q30" s="18">
        <f t="shared" si="22"/>
        <v>332</v>
      </c>
      <c r="R30" s="4" t="s">
        <v>0</v>
      </c>
      <c r="S30" s="16" t="str">
        <f t="shared" si="23"/>
        <v>11-3㎡</v>
      </c>
      <c r="T30" s="14">
        <f t="shared" si="24"/>
        <v>237</v>
      </c>
      <c r="U30" s="18">
        <f t="shared" si="25"/>
        <v>443</v>
      </c>
      <c r="V30" s="14">
        <f t="shared" si="26"/>
        <v>265</v>
      </c>
      <c r="W30" s="18">
        <f t="shared" si="27"/>
        <v>443</v>
      </c>
      <c r="X30" s="14">
        <f t="shared" si="28"/>
        <v>265</v>
      </c>
      <c r="Y30" s="18">
        <f t="shared" si="29"/>
        <v>418</v>
      </c>
      <c r="Z30" s="14">
        <f t="shared" si="30"/>
        <v>237</v>
      </c>
      <c r="AA30" s="18">
        <f t="shared" si="31"/>
        <v>418</v>
      </c>
      <c r="AB30" s="4" t="s">
        <v>0</v>
      </c>
    </row>
    <row r="31" spans="1:28">
      <c r="A31" s="9" t="s">
        <v>664</v>
      </c>
      <c r="B31" s="24"/>
      <c r="C31" s="26"/>
      <c r="D31" s="25">
        <f t="shared" si="33"/>
        <v>265</v>
      </c>
      <c r="E31" s="29">
        <f t="shared" ref="E31" si="63">E30</f>
        <v>307</v>
      </c>
      <c r="F31" s="25">
        <f t="shared" si="35"/>
        <v>293</v>
      </c>
      <c r="G31" s="29">
        <f t="shared" ref="G31" si="64">G30</f>
        <v>332</v>
      </c>
      <c r="H31" s="4" t="s">
        <v>0</v>
      </c>
      <c r="I31" s="16" t="str">
        <f t="shared" si="14"/>
        <v>11-4㎡</v>
      </c>
      <c r="J31" s="14">
        <f t="shared" si="15"/>
        <v>265</v>
      </c>
      <c r="K31" s="15">
        <f t="shared" si="16"/>
        <v>307</v>
      </c>
      <c r="L31" s="17">
        <f t="shared" si="17"/>
        <v>293</v>
      </c>
      <c r="M31" s="18">
        <f t="shared" si="18"/>
        <v>307</v>
      </c>
      <c r="N31" s="14">
        <f t="shared" si="19"/>
        <v>293</v>
      </c>
      <c r="O31" s="15">
        <f t="shared" si="20"/>
        <v>332</v>
      </c>
      <c r="P31" s="17">
        <f t="shared" si="21"/>
        <v>265</v>
      </c>
      <c r="Q31" s="18">
        <f t="shared" si="22"/>
        <v>332</v>
      </c>
      <c r="R31" s="4" t="s">
        <v>0</v>
      </c>
      <c r="S31" s="16" t="str">
        <f t="shared" si="23"/>
        <v>11-4㎡</v>
      </c>
      <c r="T31" s="14">
        <f t="shared" si="24"/>
        <v>265</v>
      </c>
      <c r="U31" s="18">
        <f t="shared" si="25"/>
        <v>443</v>
      </c>
      <c r="V31" s="14">
        <f t="shared" si="26"/>
        <v>293</v>
      </c>
      <c r="W31" s="18">
        <f t="shared" si="27"/>
        <v>443</v>
      </c>
      <c r="X31" s="14">
        <f t="shared" si="28"/>
        <v>293</v>
      </c>
      <c r="Y31" s="18">
        <f t="shared" si="29"/>
        <v>418</v>
      </c>
      <c r="Z31" s="14">
        <f t="shared" si="30"/>
        <v>265</v>
      </c>
      <c r="AA31" s="18">
        <f t="shared" si="31"/>
        <v>418</v>
      </c>
      <c r="AB31" s="4" t="s">
        <v>0</v>
      </c>
    </row>
    <row r="32" spans="1:28">
      <c r="A32" s="9" t="s">
        <v>678</v>
      </c>
      <c r="B32" s="24"/>
      <c r="C32" s="26">
        <v>7</v>
      </c>
      <c r="D32" s="25">
        <f t="shared" si="33"/>
        <v>209</v>
      </c>
      <c r="E32" s="28">
        <f t="shared" ref="E32" si="65">ROUND(E$11+43*$C32, 0)</f>
        <v>350</v>
      </c>
      <c r="F32" s="25">
        <f t="shared" si="35"/>
        <v>237</v>
      </c>
      <c r="G32" s="28">
        <f t="shared" ref="G32" si="66">ROUND(G$11+43*$C32, 0)</f>
        <v>375</v>
      </c>
      <c r="H32" s="4" t="s">
        <v>0</v>
      </c>
      <c r="I32" s="16" t="str">
        <f t="shared" si="14"/>
        <v>28-3㎡</v>
      </c>
      <c r="J32" s="14">
        <f t="shared" si="15"/>
        <v>209</v>
      </c>
      <c r="K32" s="15">
        <f t="shared" si="16"/>
        <v>350</v>
      </c>
      <c r="L32" s="17">
        <f t="shared" si="17"/>
        <v>237</v>
      </c>
      <c r="M32" s="18">
        <f t="shared" si="18"/>
        <v>350</v>
      </c>
      <c r="N32" s="14">
        <f t="shared" si="19"/>
        <v>237</v>
      </c>
      <c r="O32" s="15">
        <f t="shared" si="20"/>
        <v>375</v>
      </c>
      <c r="P32" s="17">
        <f t="shared" si="21"/>
        <v>209</v>
      </c>
      <c r="Q32" s="18">
        <f t="shared" si="22"/>
        <v>375</v>
      </c>
      <c r="R32" s="4" t="s">
        <v>0</v>
      </c>
      <c r="S32" s="16" t="str">
        <f t="shared" si="23"/>
        <v>28-3㎡</v>
      </c>
      <c r="T32" s="14">
        <f t="shared" si="24"/>
        <v>209</v>
      </c>
      <c r="U32" s="18">
        <f t="shared" si="25"/>
        <v>400</v>
      </c>
      <c r="V32" s="14">
        <f t="shared" si="26"/>
        <v>237</v>
      </c>
      <c r="W32" s="18">
        <f t="shared" si="27"/>
        <v>400</v>
      </c>
      <c r="X32" s="14">
        <f t="shared" si="28"/>
        <v>237</v>
      </c>
      <c r="Y32" s="18">
        <f t="shared" si="29"/>
        <v>375</v>
      </c>
      <c r="Z32" s="14">
        <f t="shared" si="30"/>
        <v>209</v>
      </c>
      <c r="AA32" s="18">
        <f t="shared" si="31"/>
        <v>375</v>
      </c>
      <c r="AB32" s="4" t="s">
        <v>0</v>
      </c>
    </row>
    <row r="33" spans="1:28">
      <c r="A33" s="9" t="s">
        <v>631</v>
      </c>
      <c r="B33" s="24"/>
      <c r="C33" s="26"/>
      <c r="D33" s="25">
        <f t="shared" si="33"/>
        <v>237</v>
      </c>
      <c r="E33" s="29">
        <f t="shared" ref="E33" si="67">E32</f>
        <v>350</v>
      </c>
      <c r="F33" s="25">
        <f t="shared" si="35"/>
        <v>265</v>
      </c>
      <c r="G33" s="29">
        <f t="shared" ref="G33" si="68">G32</f>
        <v>375</v>
      </c>
      <c r="H33" s="4" t="s">
        <v>0</v>
      </c>
      <c r="I33" s="16" t="str">
        <f t="shared" si="14"/>
        <v>10-3㎡</v>
      </c>
      <c r="J33" s="14">
        <f t="shared" si="15"/>
        <v>237</v>
      </c>
      <c r="K33" s="15">
        <f t="shared" si="16"/>
        <v>350</v>
      </c>
      <c r="L33" s="17">
        <f t="shared" si="17"/>
        <v>265</v>
      </c>
      <c r="M33" s="18">
        <f t="shared" si="18"/>
        <v>350</v>
      </c>
      <c r="N33" s="14">
        <f t="shared" si="19"/>
        <v>265</v>
      </c>
      <c r="O33" s="15">
        <f t="shared" si="20"/>
        <v>375</v>
      </c>
      <c r="P33" s="17">
        <f t="shared" si="21"/>
        <v>237</v>
      </c>
      <c r="Q33" s="18">
        <f t="shared" si="22"/>
        <v>375</v>
      </c>
      <c r="R33" s="4" t="s">
        <v>0</v>
      </c>
      <c r="S33" s="16" t="str">
        <f t="shared" si="23"/>
        <v>10-3㎡</v>
      </c>
      <c r="T33" s="14">
        <f t="shared" si="24"/>
        <v>237</v>
      </c>
      <c r="U33" s="18">
        <f t="shared" si="25"/>
        <v>400</v>
      </c>
      <c r="V33" s="14">
        <f t="shared" si="26"/>
        <v>265</v>
      </c>
      <c r="W33" s="18">
        <f t="shared" si="27"/>
        <v>400</v>
      </c>
      <c r="X33" s="14">
        <f t="shared" si="28"/>
        <v>265</v>
      </c>
      <c r="Y33" s="18">
        <f t="shared" si="29"/>
        <v>375</v>
      </c>
      <c r="Z33" s="14">
        <f t="shared" si="30"/>
        <v>237</v>
      </c>
      <c r="AA33" s="18">
        <f t="shared" si="31"/>
        <v>375</v>
      </c>
      <c r="AB33" s="4" t="s">
        <v>0</v>
      </c>
    </row>
    <row r="34" spans="1:28">
      <c r="A34" s="9" t="s">
        <v>663</v>
      </c>
      <c r="B34" s="24"/>
      <c r="C34" s="26"/>
      <c r="D34" s="25">
        <f t="shared" si="33"/>
        <v>265</v>
      </c>
      <c r="E34" s="29">
        <f t="shared" ref="E34" si="69">E33</f>
        <v>350</v>
      </c>
      <c r="F34" s="25">
        <f t="shared" si="35"/>
        <v>293</v>
      </c>
      <c r="G34" s="29">
        <f t="shared" ref="G34" si="70">G33</f>
        <v>375</v>
      </c>
      <c r="H34" s="4" t="s">
        <v>0</v>
      </c>
      <c r="I34" s="16" t="str">
        <f t="shared" si="14"/>
        <v>10-4㎡</v>
      </c>
      <c r="J34" s="14">
        <f t="shared" si="15"/>
        <v>265</v>
      </c>
      <c r="K34" s="15">
        <f t="shared" si="16"/>
        <v>350</v>
      </c>
      <c r="L34" s="17">
        <f t="shared" si="17"/>
        <v>293</v>
      </c>
      <c r="M34" s="18">
        <f t="shared" si="18"/>
        <v>350</v>
      </c>
      <c r="N34" s="14">
        <f t="shared" si="19"/>
        <v>293</v>
      </c>
      <c r="O34" s="15">
        <f t="shared" si="20"/>
        <v>375</v>
      </c>
      <c r="P34" s="17">
        <f t="shared" si="21"/>
        <v>265</v>
      </c>
      <c r="Q34" s="18">
        <f t="shared" si="22"/>
        <v>375</v>
      </c>
      <c r="R34" s="4" t="s">
        <v>0</v>
      </c>
      <c r="S34" s="16" t="str">
        <f t="shared" si="23"/>
        <v>10-4㎡</v>
      </c>
      <c r="T34" s="14">
        <f t="shared" si="24"/>
        <v>265</v>
      </c>
      <c r="U34" s="18">
        <f t="shared" si="25"/>
        <v>400</v>
      </c>
      <c r="V34" s="14">
        <f t="shared" si="26"/>
        <v>293</v>
      </c>
      <c r="W34" s="18">
        <f t="shared" si="27"/>
        <v>400</v>
      </c>
      <c r="X34" s="14">
        <f t="shared" si="28"/>
        <v>293</v>
      </c>
      <c r="Y34" s="18">
        <f t="shared" si="29"/>
        <v>375</v>
      </c>
      <c r="Z34" s="14">
        <f t="shared" si="30"/>
        <v>265</v>
      </c>
      <c r="AA34" s="18">
        <f t="shared" si="31"/>
        <v>375</v>
      </c>
      <c r="AB34" s="4" t="s">
        <v>0</v>
      </c>
    </row>
    <row r="35" spans="1:28">
      <c r="A35" s="9" t="s">
        <v>677</v>
      </c>
      <c r="B35" s="24"/>
      <c r="C35" s="26">
        <v>8</v>
      </c>
      <c r="D35" s="25">
        <f t="shared" si="33"/>
        <v>209</v>
      </c>
      <c r="E35" s="28">
        <f t="shared" ref="E35" si="71">ROUND(E$11+43*$C35, 0)</f>
        <v>393</v>
      </c>
      <c r="F35" s="25">
        <f t="shared" si="35"/>
        <v>237</v>
      </c>
      <c r="G35" s="28">
        <f t="shared" ref="G35" si="72">ROUND(G$11+43*$C35, 0)</f>
        <v>418</v>
      </c>
      <c r="H35" s="4" t="s">
        <v>0</v>
      </c>
      <c r="I35" s="16" t="str">
        <f t="shared" si="14"/>
        <v>27-3㎡</v>
      </c>
      <c r="J35" s="14">
        <f t="shared" si="15"/>
        <v>209</v>
      </c>
      <c r="K35" s="15">
        <f t="shared" si="16"/>
        <v>393</v>
      </c>
      <c r="L35" s="17">
        <f t="shared" si="17"/>
        <v>237</v>
      </c>
      <c r="M35" s="18">
        <f t="shared" si="18"/>
        <v>393</v>
      </c>
      <c r="N35" s="14">
        <f t="shared" si="19"/>
        <v>237</v>
      </c>
      <c r="O35" s="15">
        <f t="shared" si="20"/>
        <v>418</v>
      </c>
      <c r="P35" s="17">
        <f t="shared" si="21"/>
        <v>209</v>
      </c>
      <c r="Q35" s="18">
        <f t="shared" si="22"/>
        <v>418</v>
      </c>
      <c r="R35" s="4" t="s">
        <v>0</v>
      </c>
      <c r="S35" s="16" t="str">
        <f t="shared" si="23"/>
        <v>27-3㎡</v>
      </c>
      <c r="T35" s="14">
        <f t="shared" si="24"/>
        <v>209</v>
      </c>
      <c r="U35" s="18">
        <f t="shared" si="25"/>
        <v>357</v>
      </c>
      <c r="V35" s="14">
        <f t="shared" si="26"/>
        <v>237</v>
      </c>
      <c r="W35" s="18">
        <f t="shared" si="27"/>
        <v>357</v>
      </c>
      <c r="X35" s="14">
        <f t="shared" si="28"/>
        <v>237</v>
      </c>
      <c r="Y35" s="18">
        <f t="shared" si="29"/>
        <v>332</v>
      </c>
      <c r="Z35" s="14">
        <f t="shared" si="30"/>
        <v>209</v>
      </c>
      <c r="AA35" s="18">
        <f t="shared" si="31"/>
        <v>332</v>
      </c>
      <c r="AB35" s="4" t="s">
        <v>0</v>
      </c>
    </row>
    <row r="36" spans="1:28">
      <c r="A36" s="9" t="s">
        <v>630</v>
      </c>
      <c r="B36" s="24"/>
      <c r="C36" s="26"/>
      <c r="D36" s="25">
        <f t="shared" si="33"/>
        <v>237</v>
      </c>
      <c r="E36" s="29">
        <f t="shared" ref="E36" si="73">E35</f>
        <v>393</v>
      </c>
      <c r="F36" s="25">
        <f t="shared" si="35"/>
        <v>265</v>
      </c>
      <c r="G36" s="29">
        <f t="shared" ref="G36" si="74">G35</f>
        <v>418</v>
      </c>
      <c r="H36" s="4" t="s">
        <v>0</v>
      </c>
      <c r="I36" s="16" t="str">
        <f t="shared" si="14"/>
        <v>08-3㎡</v>
      </c>
      <c r="J36" s="14">
        <f t="shared" si="15"/>
        <v>237</v>
      </c>
      <c r="K36" s="15">
        <f t="shared" si="16"/>
        <v>393</v>
      </c>
      <c r="L36" s="17">
        <f t="shared" si="17"/>
        <v>265</v>
      </c>
      <c r="M36" s="18">
        <f t="shared" si="18"/>
        <v>393</v>
      </c>
      <c r="N36" s="14">
        <f t="shared" si="19"/>
        <v>265</v>
      </c>
      <c r="O36" s="15">
        <f t="shared" si="20"/>
        <v>418</v>
      </c>
      <c r="P36" s="17">
        <f t="shared" si="21"/>
        <v>237</v>
      </c>
      <c r="Q36" s="18">
        <f t="shared" si="22"/>
        <v>418</v>
      </c>
      <c r="R36" s="4" t="s">
        <v>0</v>
      </c>
      <c r="S36" s="16" t="str">
        <f t="shared" si="23"/>
        <v>08-3㎡</v>
      </c>
      <c r="T36" s="14">
        <f t="shared" si="24"/>
        <v>237</v>
      </c>
      <c r="U36" s="18">
        <f t="shared" si="25"/>
        <v>357</v>
      </c>
      <c r="V36" s="14">
        <f t="shared" si="26"/>
        <v>265</v>
      </c>
      <c r="W36" s="18">
        <f t="shared" si="27"/>
        <v>357</v>
      </c>
      <c r="X36" s="14">
        <f t="shared" si="28"/>
        <v>265</v>
      </c>
      <c r="Y36" s="18">
        <f t="shared" si="29"/>
        <v>332</v>
      </c>
      <c r="Z36" s="14">
        <f t="shared" si="30"/>
        <v>237</v>
      </c>
      <c r="AA36" s="18">
        <f t="shared" si="31"/>
        <v>332</v>
      </c>
      <c r="AB36" s="4" t="s">
        <v>0</v>
      </c>
    </row>
    <row r="37" spans="1:28">
      <c r="A37" s="9" t="s">
        <v>662</v>
      </c>
      <c r="B37" s="24"/>
      <c r="C37" s="26"/>
      <c r="D37" s="25">
        <f t="shared" si="33"/>
        <v>265</v>
      </c>
      <c r="E37" s="29">
        <f t="shared" ref="E37" si="75">E36</f>
        <v>393</v>
      </c>
      <c r="F37" s="25">
        <f t="shared" si="35"/>
        <v>293</v>
      </c>
      <c r="G37" s="29">
        <f t="shared" ref="G37" si="76">G36</f>
        <v>418</v>
      </c>
      <c r="H37" s="4" t="s">
        <v>0</v>
      </c>
      <c r="I37" s="16" t="str">
        <f t="shared" si="14"/>
        <v>08-4㎡</v>
      </c>
      <c r="J37" s="14">
        <f t="shared" si="15"/>
        <v>265</v>
      </c>
      <c r="K37" s="15">
        <f t="shared" si="16"/>
        <v>393</v>
      </c>
      <c r="L37" s="17">
        <f t="shared" si="17"/>
        <v>293</v>
      </c>
      <c r="M37" s="18">
        <f t="shared" si="18"/>
        <v>393</v>
      </c>
      <c r="N37" s="14">
        <f t="shared" si="19"/>
        <v>293</v>
      </c>
      <c r="O37" s="15">
        <f t="shared" si="20"/>
        <v>418</v>
      </c>
      <c r="P37" s="17">
        <f t="shared" si="21"/>
        <v>265</v>
      </c>
      <c r="Q37" s="18">
        <f t="shared" si="22"/>
        <v>418</v>
      </c>
      <c r="R37" s="4" t="s">
        <v>0</v>
      </c>
      <c r="S37" s="16" t="str">
        <f t="shared" si="23"/>
        <v>08-4㎡</v>
      </c>
      <c r="T37" s="14">
        <f t="shared" si="24"/>
        <v>265</v>
      </c>
      <c r="U37" s="18">
        <f t="shared" si="25"/>
        <v>357</v>
      </c>
      <c r="V37" s="14">
        <f t="shared" si="26"/>
        <v>293</v>
      </c>
      <c r="W37" s="18">
        <f t="shared" si="27"/>
        <v>357</v>
      </c>
      <c r="X37" s="14">
        <f t="shared" si="28"/>
        <v>293</v>
      </c>
      <c r="Y37" s="18">
        <f t="shared" si="29"/>
        <v>332</v>
      </c>
      <c r="Z37" s="14">
        <f t="shared" si="30"/>
        <v>265</v>
      </c>
      <c r="AA37" s="18">
        <f t="shared" si="31"/>
        <v>332</v>
      </c>
      <c r="AB37" s="4" t="s">
        <v>0</v>
      </c>
    </row>
    <row r="38" spans="1:28">
      <c r="A38" s="9" t="s">
        <v>676</v>
      </c>
      <c r="B38" s="24"/>
      <c r="C38" s="26">
        <v>9</v>
      </c>
      <c r="D38" s="25">
        <f t="shared" si="33"/>
        <v>209</v>
      </c>
      <c r="E38" s="28">
        <f t="shared" ref="E38" si="77">ROUND(E$11+43*$C38, 0)</f>
        <v>436</v>
      </c>
      <c r="F38" s="25">
        <f t="shared" si="35"/>
        <v>237</v>
      </c>
      <c r="G38" s="28">
        <f t="shared" ref="G38" si="78">ROUND(G$11+43*$C38, 0)</f>
        <v>461</v>
      </c>
      <c r="H38" s="4" t="s">
        <v>0</v>
      </c>
      <c r="I38" s="16" t="str">
        <f t="shared" si="14"/>
        <v>26-3㎡</v>
      </c>
      <c r="J38" s="14">
        <f t="shared" si="15"/>
        <v>209</v>
      </c>
      <c r="K38" s="15">
        <f t="shared" si="16"/>
        <v>436</v>
      </c>
      <c r="L38" s="17">
        <f t="shared" si="17"/>
        <v>237</v>
      </c>
      <c r="M38" s="18">
        <f t="shared" si="18"/>
        <v>436</v>
      </c>
      <c r="N38" s="14">
        <f t="shared" si="19"/>
        <v>237</v>
      </c>
      <c r="O38" s="15">
        <f t="shared" si="20"/>
        <v>461</v>
      </c>
      <c r="P38" s="17">
        <f t="shared" si="21"/>
        <v>209</v>
      </c>
      <c r="Q38" s="18">
        <f t="shared" si="22"/>
        <v>461</v>
      </c>
      <c r="R38" s="4" t="s">
        <v>0</v>
      </c>
      <c r="S38" s="16" t="str">
        <f t="shared" si="23"/>
        <v>26-3㎡</v>
      </c>
      <c r="T38" s="14">
        <f t="shared" si="24"/>
        <v>209</v>
      </c>
      <c r="U38" s="18">
        <f t="shared" si="25"/>
        <v>314</v>
      </c>
      <c r="V38" s="14">
        <f t="shared" si="26"/>
        <v>237</v>
      </c>
      <c r="W38" s="18">
        <f t="shared" si="27"/>
        <v>314</v>
      </c>
      <c r="X38" s="14">
        <f t="shared" si="28"/>
        <v>237</v>
      </c>
      <c r="Y38" s="18">
        <f t="shared" si="29"/>
        <v>289</v>
      </c>
      <c r="Z38" s="14">
        <f t="shared" si="30"/>
        <v>209</v>
      </c>
      <c r="AA38" s="18">
        <f t="shared" si="31"/>
        <v>289</v>
      </c>
      <c r="AB38" s="4" t="s">
        <v>0</v>
      </c>
    </row>
    <row r="39" spans="1:28">
      <c r="A39" s="9" t="s">
        <v>629</v>
      </c>
      <c r="B39" s="24"/>
      <c r="C39" s="26"/>
      <c r="D39" s="25">
        <f t="shared" si="33"/>
        <v>237</v>
      </c>
      <c r="E39" s="29">
        <f t="shared" ref="E39" si="79">E38</f>
        <v>436</v>
      </c>
      <c r="F39" s="25">
        <f t="shared" si="35"/>
        <v>265</v>
      </c>
      <c r="G39" s="29">
        <f t="shared" ref="G39" si="80">G38</f>
        <v>461</v>
      </c>
      <c r="H39" s="4" t="s">
        <v>0</v>
      </c>
      <c r="I39" s="16" t="str">
        <f t="shared" si="14"/>
        <v>07-3㎡</v>
      </c>
      <c r="J39" s="14">
        <f t="shared" si="15"/>
        <v>237</v>
      </c>
      <c r="K39" s="15">
        <f t="shared" si="16"/>
        <v>436</v>
      </c>
      <c r="L39" s="17">
        <f t="shared" si="17"/>
        <v>265</v>
      </c>
      <c r="M39" s="18">
        <f t="shared" si="18"/>
        <v>436</v>
      </c>
      <c r="N39" s="14">
        <f t="shared" si="19"/>
        <v>265</v>
      </c>
      <c r="O39" s="15">
        <f t="shared" si="20"/>
        <v>461</v>
      </c>
      <c r="P39" s="17">
        <f t="shared" si="21"/>
        <v>237</v>
      </c>
      <c r="Q39" s="18">
        <f t="shared" si="22"/>
        <v>461</v>
      </c>
      <c r="R39" s="4" t="s">
        <v>0</v>
      </c>
      <c r="S39" s="16" t="str">
        <f t="shared" si="23"/>
        <v>07-3㎡</v>
      </c>
      <c r="T39" s="14">
        <f t="shared" si="24"/>
        <v>237</v>
      </c>
      <c r="U39" s="18">
        <f t="shared" si="25"/>
        <v>314</v>
      </c>
      <c r="V39" s="14">
        <f t="shared" si="26"/>
        <v>265</v>
      </c>
      <c r="W39" s="18">
        <f t="shared" si="27"/>
        <v>314</v>
      </c>
      <c r="X39" s="14">
        <f t="shared" si="28"/>
        <v>265</v>
      </c>
      <c r="Y39" s="18">
        <f t="shared" si="29"/>
        <v>289</v>
      </c>
      <c r="Z39" s="14">
        <f t="shared" si="30"/>
        <v>237</v>
      </c>
      <c r="AA39" s="18">
        <f t="shared" si="31"/>
        <v>289</v>
      </c>
      <c r="AB39" s="4" t="s">
        <v>0</v>
      </c>
    </row>
    <row r="40" spans="1:28">
      <c r="A40" s="9" t="s">
        <v>661</v>
      </c>
      <c r="B40" s="24"/>
      <c r="C40" s="26"/>
      <c r="D40" s="25">
        <f t="shared" si="33"/>
        <v>265</v>
      </c>
      <c r="E40" s="29">
        <f t="shared" ref="E40" si="81">E39</f>
        <v>436</v>
      </c>
      <c r="F40" s="25">
        <f t="shared" si="35"/>
        <v>293</v>
      </c>
      <c r="G40" s="29">
        <f t="shared" ref="G40" si="82">G39</f>
        <v>461</v>
      </c>
      <c r="H40" s="4" t="s">
        <v>0</v>
      </c>
      <c r="I40" s="16" t="str">
        <f t="shared" si="14"/>
        <v>07-4㎡</v>
      </c>
      <c r="J40" s="14">
        <f t="shared" si="15"/>
        <v>265</v>
      </c>
      <c r="K40" s="15">
        <f t="shared" si="16"/>
        <v>436</v>
      </c>
      <c r="L40" s="17">
        <f t="shared" si="17"/>
        <v>293</v>
      </c>
      <c r="M40" s="18">
        <f t="shared" si="18"/>
        <v>436</v>
      </c>
      <c r="N40" s="14">
        <f t="shared" si="19"/>
        <v>293</v>
      </c>
      <c r="O40" s="15">
        <f t="shared" si="20"/>
        <v>461</v>
      </c>
      <c r="P40" s="17">
        <f t="shared" si="21"/>
        <v>265</v>
      </c>
      <c r="Q40" s="18">
        <f t="shared" si="22"/>
        <v>461</v>
      </c>
      <c r="R40" s="4" t="s">
        <v>0</v>
      </c>
      <c r="S40" s="16" t="str">
        <f t="shared" si="23"/>
        <v>07-4㎡</v>
      </c>
      <c r="T40" s="14">
        <f t="shared" si="24"/>
        <v>265</v>
      </c>
      <c r="U40" s="18">
        <f t="shared" si="25"/>
        <v>314</v>
      </c>
      <c r="V40" s="14">
        <f t="shared" si="26"/>
        <v>293</v>
      </c>
      <c r="W40" s="18">
        <f t="shared" si="27"/>
        <v>314</v>
      </c>
      <c r="X40" s="14">
        <f t="shared" si="28"/>
        <v>293</v>
      </c>
      <c r="Y40" s="18">
        <f t="shared" si="29"/>
        <v>289</v>
      </c>
      <c r="Z40" s="14">
        <f t="shared" si="30"/>
        <v>265</v>
      </c>
      <c r="AA40" s="18">
        <f t="shared" si="31"/>
        <v>289</v>
      </c>
      <c r="AB40" s="4" t="s">
        <v>0</v>
      </c>
    </row>
    <row r="41" spans="1:28">
      <c r="A41" s="9" t="s">
        <v>675</v>
      </c>
      <c r="B41" s="24"/>
      <c r="C41" s="26">
        <v>10</v>
      </c>
      <c r="D41" s="25">
        <f t="shared" si="33"/>
        <v>209</v>
      </c>
      <c r="E41" s="28">
        <f t="shared" ref="E41" si="83">ROUND(E$11+43*$C41, 0)</f>
        <v>479</v>
      </c>
      <c r="F41" s="25">
        <f t="shared" si="35"/>
        <v>237</v>
      </c>
      <c r="G41" s="28">
        <f t="shared" ref="G41" si="84">ROUND(G$11+43*$C41, 0)</f>
        <v>504</v>
      </c>
      <c r="H41" s="4" t="s">
        <v>0</v>
      </c>
      <c r="I41" s="16" t="str">
        <f t="shared" si="14"/>
        <v>25-3㎡</v>
      </c>
      <c r="J41" s="14">
        <f t="shared" si="15"/>
        <v>209</v>
      </c>
      <c r="K41" s="15">
        <f t="shared" si="16"/>
        <v>479</v>
      </c>
      <c r="L41" s="17">
        <f t="shared" si="17"/>
        <v>237</v>
      </c>
      <c r="M41" s="18">
        <f t="shared" si="18"/>
        <v>479</v>
      </c>
      <c r="N41" s="14">
        <f t="shared" si="19"/>
        <v>237</v>
      </c>
      <c r="O41" s="15">
        <f t="shared" si="20"/>
        <v>504</v>
      </c>
      <c r="P41" s="17">
        <f t="shared" si="21"/>
        <v>209</v>
      </c>
      <c r="Q41" s="18">
        <f t="shared" si="22"/>
        <v>504</v>
      </c>
      <c r="R41" s="4" t="s">
        <v>0</v>
      </c>
      <c r="S41" s="16" t="str">
        <f t="shared" si="23"/>
        <v>25-3㎡</v>
      </c>
      <c r="T41" s="14">
        <f t="shared" si="24"/>
        <v>209</v>
      </c>
      <c r="U41" s="18">
        <f t="shared" si="25"/>
        <v>271</v>
      </c>
      <c r="V41" s="14">
        <f t="shared" si="26"/>
        <v>237</v>
      </c>
      <c r="W41" s="18">
        <f t="shared" si="27"/>
        <v>271</v>
      </c>
      <c r="X41" s="14">
        <f t="shared" si="28"/>
        <v>237</v>
      </c>
      <c r="Y41" s="18">
        <f t="shared" si="29"/>
        <v>246</v>
      </c>
      <c r="Z41" s="14">
        <f t="shared" si="30"/>
        <v>209</v>
      </c>
      <c r="AA41" s="18">
        <f t="shared" si="31"/>
        <v>246</v>
      </c>
      <c r="AB41" s="4" t="s">
        <v>0</v>
      </c>
    </row>
    <row r="42" spans="1:28">
      <c r="A42" s="9" t="s">
        <v>628</v>
      </c>
      <c r="B42" s="24"/>
      <c r="C42" s="26"/>
      <c r="D42" s="25">
        <f t="shared" si="33"/>
        <v>237</v>
      </c>
      <c r="E42" s="29">
        <f t="shared" ref="E42" si="85">E41</f>
        <v>479</v>
      </c>
      <c r="F42" s="25">
        <f t="shared" si="35"/>
        <v>265</v>
      </c>
      <c r="G42" s="29">
        <f t="shared" ref="G42" si="86">G41</f>
        <v>504</v>
      </c>
      <c r="H42" s="4" t="s">
        <v>0</v>
      </c>
      <c r="I42" s="16" t="str">
        <f t="shared" si="14"/>
        <v>06-3㎡</v>
      </c>
      <c r="J42" s="14">
        <f t="shared" si="15"/>
        <v>237</v>
      </c>
      <c r="K42" s="15">
        <f t="shared" si="16"/>
        <v>479</v>
      </c>
      <c r="L42" s="17">
        <f t="shared" si="17"/>
        <v>265</v>
      </c>
      <c r="M42" s="18">
        <f t="shared" si="18"/>
        <v>479</v>
      </c>
      <c r="N42" s="14">
        <f t="shared" si="19"/>
        <v>265</v>
      </c>
      <c r="O42" s="15">
        <f t="shared" si="20"/>
        <v>504</v>
      </c>
      <c r="P42" s="17">
        <f t="shared" si="21"/>
        <v>237</v>
      </c>
      <c r="Q42" s="18">
        <f t="shared" si="22"/>
        <v>504</v>
      </c>
      <c r="R42" s="4" t="s">
        <v>0</v>
      </c>
      <c r="S42" s="16" t="str">
        <f t="shared" si="23"/>
        <v>06-3㎡</v>
      </c>
      <c r="T42" s="14">
        <f t="shared" si="24"/>
        <v>237</v>
      </c>
      <c r="U42" s="18">
        <f t="shared" si="25"/>
        <v>271</v>
      </c>
      <c r="V42" s="14">
        <f t="shared" si="26"/>
        <v>265</v>
      </c>
      <c r="W42" s="18">
        <f t="shared" si="27"/>
        <v>271</v>
      </c>
      <c r="X42" s="14">
        <f t="shared" si="28"/>
        <v>265</v>
      </c>
      <c r="Y42" s="18">
        <f t="shared" si="29"/>
        <v>246</v>
      </c>
      <c r="Z42" s="14">
        <f t="shared" si="30"/>
        <v>237</v>
      </c>
      <c r="AA42" s="18">
        <f t="shared" si="31"/>
        <v>246</v>
      </c>
      <c r="AB42" s="4" t="s">
        <v>0</v>
      </c>
    </row>
    <row r="43" spans="1:28">
      <c r="A43" s="9" t="s">
        <v>652</v>
      </c>
      <c r="B43" s="24"/>
      <c r="C43" s="26"/>
      <c r="D43" s="25">
        <f t="shared" si="33"/>
        <v>265</v>
      </c>
      <c r="E43" s="29">
        <f t="shared" ref="E43" si="87">E42</f>
        <v>479</v>
      </c>
      <c r="F43" s="25">
        <f t="shared" si="35"/>
        <v>293</v>
      </c>
      <c r="G43" s="29">
        <f t="shared" ref="G43" si="88">G42</f>
        <v>504</v>
      </c>
      <c r="H43" s="4" t="s">
        <v>0</v>
      </c>
      <c r="I43" s="16" t="str">
        <f t="shared" si="14"/>
        <v>06-4㎡</v>
      </c>
      <c r="J43" s="14">
        <f t="shared" si="15"/>
        <v>265</v>
      </c>
      <c r="K43" s="15">
        <f t="shared" si="16"/>
        <v>479</v>
      </c>
      <c r="L43" s="17">
        <f t="shared" si="17"/>
        <v>293</v>
      </c>
      <c r="M43" s="18">
        <f t="shared" si="18"/>
        <v>479</v>
      </c>
      <c r="N43" s="14">
        <f t="shared" si="19"/>
        <v>293</v>
      </c>
      <c r="O43" s="15">
        <f t="shared" si="20"/>
        <v>504</v>
      </c>
      <c r="P43" s="17">
        <f t="shared" si="21"/>
        <v>265</v>
      </c>
      <c r="Q43" s="18">
        <f t="shared" si="22"/>
        <v>504</v>
      </c>
      <c r="R43" s="4" t="s">
        <v>0</v>
      </c>
      <c r="S43" s="16" t="str">
        <f t="shared" si="23"/>
        <v>06-4㎡</v>
      </c>
      <c r="T43" s="14">
        <f t="shared" si="24"/>
        <v>265</v>
      </c>
      <c r="U43" s="18">
        <f t="shared" si="25"/>
        <v>271</v>
      </c>
      <c r="V43" s="14">
        <f t="shared" si="26"/>
        <v>293</v>
      </c>
      <c r="W43" s="18">
        <f t="shared" si="27"/>
        <v>271</v>
      </c>
      <c r="X43" s="14">
        <f t="shared" si="28"/>
        <v>293</v>
      </c>
      <c r="Y43" s="18">
        <f t="shared" si="29"/>
        <v>246</v>
      </c>
      <c r="Z43" s="14">
        <f t="shared" si="30"/>
        <v>265</v>
      </c>
      <c r="AA43" s="18">
        <f t="shared" si="31"/>
        <v>246</v>
      </c>
      <c r="AB43" s="4" t="s">
        <v>0</v>
      </c>
    </row>
    <row r="44" spans="1:28">
      <c r="A44" s="9" t="s">
        <v>674</v>
      </c>
      <c r="B44" s="24"/>
      <c r="C44" s="26">
        <v>11</v>
      </c>
      <c r="D44" s="25">
        <f t="shared" si="33"/>
        <v>209</v>
      </c>
      <c r="E44" s="28">
        <f t="shared" ref="E44" si="89">ROUND(E$11+43*$C44, 0)</f>
        <v>522</v>
      </c>
      <c r="F44" s="25">
        <f t="shared" si="35"/>
        <v>237</v>
      </c>
      <c r="G44" s="28">
        <f t="shared" ref="G44" si="90">ROUND(G$11+43*$C44, 0)</f>
        <v>547</v>
      </c>
      <c r="H44" s="4" t="s">
        <v>0</v>
      </c>
      <c r="I44" s="16" t="str">
        <f t="shared" si="14"/>
        <v>23-3㎡</v>
      </c>
      <c r="J44" s="14">
        <f t="shared" si="15"/>
        <v>209</v>
      </c>
      <c r="K44" s="15">
        <f t="shared" si="16"/>
        <v>522</v>
      </c>
      <c r="L44" s="17">
        <f t="shared" si="17"/>
        <v>237</v>
      </c>
      <c r="M44" s="18">
        <f t="shared" si="18"/>
        <v>522</v>
      </c>
      <c r="N44" s="14">
        <f t="shared" si="19"/>
        <v>237</v>
      </c>
      <c r="O44" s="15">
        <f t="shared" si="20"/>
        <v>547</v>
      </c>
      <c r="P44" s="17">
        <f t="shared" si="21"/>
        <v>209</v>
      </c>
      <c r="Q44" s="18">
        <f t="shared" si="22"/>
        <v>547</v>
      </c>
      <c r="R44" s="4" t="s">
        <v>0</v>
      </c>
      <c r="S44" s="16" t="str">
        <f t="shared" si="23"/>
        <v>23-3㎡</v>
      </c>
      <c r="T44" s="14">
        <f t="shared" si="24"/>
        <v>209</v>
      </c>
      <c r="U44" s="18">
        <f t="shared" si="25"/>
        <v>228</v>
      </c>
      <c r="V44" s="14">
        <f t="shared" si="26"/>
        <v>237</v>
      </c>
      <c r="W44" s="18">
        <f t="shared" si="27"/>
        <v>228</v>
      </c>
      <c r="X44" s="14">
        <f t="shared" si="28"/>
        <v>237</v>
      </c>
      <c r="Y44" s="18">
        <f t="shared" si="29"/>
        <v>203</v>
      </c>
      <c r="Z44" s="14">
        <f t="shared" si="30"/>
        <v>209</v>
      </c>
      <c r="AA44" s="18">
        <f t="shared" si="31"/>
        <v>203</v>
      </c>
      <c r="AB44" s="4" t="s">
        <v>0</v>
      </c>
    </row>
    <row r="45" spans="1:28">
      <c r="A45" s="9" t="s">
        <v>627</v>
      </c>
      <c r="B45" s="24"/>
      <c r="C45" s="26"/>
      <c r="D45" s="25">
        <f t="shared" si="33"/>
        <v>237</v>
      </c>
      <c r="E45" s="29">
        <f t="shared" ref="E45" si="91">E44</f>
        <v>522</v>
      </c>
      <c r="F45" s="25">
        <f t="shared" si="35"/>
        <v>265</v>
      </c>
      <c r="G45" s="29">
        <f t="shared" ref="G45" si="92">G44</f>
        <v>547</v>
      </c>
      <c r="H45" s="4" t="s">
        <v>0</v>
      </c>
      <c r="I45" s="16" t="str">
        <f t="shared" si="14"/>
        <v>05-3㎡</v>
      </c>
      <c r="J45" s="14">
        <f t="shared" si="15"/>
        <v>237</v>
      </c>
      <c r="K45" s="15">
        <f t="shared" si="16"/>
        <v>522</v>
      </c>
      <c r="L45" s="17">
        <f t="shared" si="17"/>
        <v>265</v>
      </c>
      <c r="M45" s="18">
        <f t="shared" si="18"/>
        <v>522</v>
      </c>
      <c r="N45" s="14">
        <f t="shared" si="19"/>
        <v>265</v>
      </c>
      <c r="O45" s="15">
        <f t="shared" si="20"/>
        <v>547</v>
      </c>
      <c r="P45" s="17">
        <f t="shared" si="21"/>
        <v>237</v>
      </c>
      <c r="Q45" s="18">
        <f t="shared" si="22"/>
        <v>547</v>
      </c>
      <c r="R45" s="4" t="s">
        <v>0</v>
      </c>
      <c r="S45" s="16" t="str">
        <f t="shared" si="23"/>
        <v>05-3㎡</v>
      </c>
      <c r="T45" s="14">
        <f t="shared" si="24"/>
        <v>237</v>
      </c>
      <c r="U45" s="18">
        <f t="shared" si="25"/>
        <v>228</v>
      </c>
      <c r="V45" s="14">
        <f t="shared" si="26"/>
        <v>265</v>
      </c>
      <c r="W45" s="18">
        <f t="shared" si="27"/>
        <v>228</v>
      </c>
      <c r="X45" s="14">
        <f t="shared" si="28"/>
        <v>265</v>
      </c>
      <c r="Y45" s="18">
        <f t="shared" si="29"/>
        <v>203</v>
      </c>
      <c r="Z45" s="14">
        <f t="shared" si="30"/>
        <v>237</v>
      </c>
      <c r="AA45" s="18">
        <f t="shared" si="31"/>
        <v>203</v>
      </c>
      <c r="AB45" s="4" t="s">
        <v>0</v>
      </c>
    </row>
    <row r="46" spans="1:28">
      <c r="A46" s="9" t="s">
        <v>651</v>
      </c>
      <c r="B46" s="24"/>
      <c r="C46" s="26"/>
      <c r="D46" s="25">
        <f t="shared" si="33"/>
        <v>265</v>
      </c>
      <c r="E46" s="29">
        <f t="shared" ref="E46" si="93">E45</f>
        <v>522</v>
      </c>
      <c r="F46" s="25">
        <f t="shared" si="35"/>
        <v>293</v>
      </c>
      <c r="G46" s="29">
        <f t="shared" ref="G46" si="94">G45</f>
        <v>547</v>
      </c>
      <c r="H46" s="4" t="s">
        <v>0</v>
      </c>
      <c r="I46" s="16" t="str">
        <f t="shared" si="14"/>
        <v>05-4㎡</v>
      </c>
      <c r="J46" s="14">
        <f t="shared" si="15"/>
        <v>265</v>
      </c>
      <c r="K46" s="15">
        <f t="shared" si="16"/>
        <v>522</v>
      </c>
      <c r="L46" s="17">
        <f t="shared" si="17"/>
        <v>293</v>
      </c>
      <c r="M46" s="18">
        <f t="shared" si="18"/>
        <v>522</v>
      </c>
      <c r="N46" s="14">
        <f t="shared" si="19"/>
        <v>293</v>
      </c>
      <c r="O46" s="15">
        <f t="shared" si="20"/>
        <v>547</v>
      </c>
      <c r="P46" s="17">
        <f t="shared" si="21"/>
        <v>265</v>
      </c>
      <c r="Q46" s="18">
        <f t="shared" si="22"/>
        <v>547</v>
      </c>
      <c r="R46" s="4" t="s">
        <v>0</v>
      </c>
      <c r="S46" s="16" t="str">
        <f t="shared" si="23"/>
        <v>05-4㎡</v>
      </c>
      <c r="T46" s="14">
        <f t="shared" si="24"/>
        <v>265</v>
      </c>
      <c r="U46" s="18">
        <f t="shared" si="25"/>
        <v>228</v>
      </c>
      <c r="V46" s="14">
        <f t="shared" si="26"/>
        <v>293</v>
      </c>
      <c r="W46" s="18">
        <f t="shared" si="27"/>
        <v>228</v>
      </c>
      <c r="X46" s="14">
        <f t="shared" si="28"/>
        <v>293</v>
      </c>
      <c r="Y46" s="18">
        <f t="shared" si="29"/>
        <v>203</v>
      </c>
      <c r="Z46" s="14">
        <f t="shared" si="30"/>
        <v>265</v>
      </c>
      <c r="AA46" s="18">
        <f t="shared" si="31"/>
        <v>203</v>
      </c>
      <c r="AB46" s="4" t="s">
        <v>0</v>
      </c>
    </row>
    <row r="47" spans="1:28">
      <c r="A47" s="9" t="s">
        <v>673</v>
      </c>
      <c r="B47" s="24"/>
      <c r="C47" s="26">
        <v>12</v>
      </c>
      <c r="D47" s="25">
        <f t="shared" si="33"/>
        <v>209</v>
      </c>
      <c r="E47" s="28">
        <f t="shared" ref="E47" si="95">ROUND(E$11+43*$C47, 0)</f>
        <v>565</v>
      </c>
      <c r="F47" s="25">
        <f t="shared" si="35"/>
        <v>237</v>
      </c>
      <c r="G47" s="28">
        <f t="shared" ref="G47" si="96">ROUND(G$11+43*$C47, 0)</f>
        <v>590</v>
      </c>
      <c r="H47" s="4" t="s">
        <v>0</v>
      </c>
      <c r="I47" s="16" t="str">
        <f t="shared" si="14"/>
        <v>22-3㎡</v>
      </c>
      <c r="J47" s="14">
        <f t="shared" si="15"/>
        <v>209</v>
      </c>
      <c r="K47" s="15">
        <f t="shared" si="16"/>
        <v>565</v>
      </c>
      <c r="L47" s="17">
        <f t="shared" si="17"/>
        <v>237</v>
      </c>
      <c r="M47" s="18">
        <f t="shared" si="18"/>
        <v>565</v>
      </c>
      <c r="N47" s="14">
        <f t="shared" si="19"/>
        <v>237</v>
      </c>
      <c r="O47" s="15">
        <f t="shared" si="20"/>
        <v>590</v>
      </c>
      <c r="P47" s="17">
        <f t="shared" si="21"/>
        <v>209</v>
      </c>
      <c r="Q47" s="18">
        <f t="shared" si="22"/>
        <v>590</v>
      </c>
      <c r="R47" s="4" t="s">
        <v>0</v>
      </c>
      <c r="S47" s="16" t="str">
        <f t="shared" si="23"/>
        <v>22-3㎡</v>
      </c>
      <c r="T47" s="14">
        <f t="shared" si="24"/>
        <v>209</v>
      </c>
      <c r="U47" s="18">
        <f t="shared" si="25"/>
        <v>185</v>
      </c>
      <c r="V47" s="14">
        <f t="shared" si="26"/>
        <v>237</v>
      </c>
      <c r="W47" s="18">
        <f t="shared" si="27"/>
        <v>185</v>
      </c>
      <c r="X47" s="14">
        <f t="shared" si="28"/>
        <v>237</v>
      </c>
      <c r="Y47" s="18">
        <f t="shared" si="29"/>
        <v>160</v>
      </c>
      <c r="Z47" s="14">
        <f t="shared" si="30"/>
        <v>209</v>
      </c>
      <c r="AA47" s="18">
        <f t="shared" si="31"/>
        <v>160</v>
      </c>
      <c r="AB47" s="4" t="s">
        <v>0</v>
      </c>
    </row>
    <row r="48" spans="1:28">
      <c r="A48" s="9" t="s">
        <v>626</v>
      </c>
      <c r="B48" s="24"/>
      <c r="C48" s="26"/>
      <c r="D48" s="25">
        <f t="shared" si="33"/>
        <v>237</v>
      </c>
      <c r="E48" s="29">
        <f t="shared" ref="E48" si="97">E47</f>
        <v>565</v>
      </c>
      <c r="F48" s="25">
        <f t="shared" si="35"/>
        <v>265</v>
      </c>
      <c r="G48" s="29">
        <f t="shared" ref="G48" si="98">G47</f>
        <v>590</v>
      </c>
      <c r="H48" s="4" t="s">
        <v>0</v>
      </c>
      <c r="I48" s="16" t="str">
        <f t="shared" si="14"/>
        <v>03-3㎡</v>
      </c>
      <c r="J48" s="14">
        <f t="shared" si="15"/>
        <v>237</v>
      </c>
      <c r="K48" s="15">
        <f t="shared" si="16"/>
        <v>565</v>
      </c>
      <c r="L48" s="17">
        <f t="shared" si="17"/>
        <v>265</v>
      </c>
      <c r="M48" s="18">
        <f t="shared" si="18"/>
        <v>565</v>
      </c>
      <c r="N48" s="14">
        <f t="shared" si="19"/>
        <v>265</v>
      </c>
      <c r="O48" s="15">
        <f t="shared" si="20"/>
        <v>590</v>
      </c>
      <c r="P48" s="17">
        <f t="shared" si="21"/>
        <v>237</v>
      </c>
      <c r="Q48" s="18">
        <f t="shared" si="22"/>
        <v>590</v>
      </c>
      <c r="R48" s="4" t="s">
        <v>0</v>
      </c>
      <c r="S48" s="16" t="str">
        <f t="shared" si="23"/>
        <v>03-3㎡</v>
      </c>
      <c r="T48" s="14">
        <f t="shared" si="24"/>
        <v>237</v>
      </c>
      <c r="U48" s="18">
        <f t="shared" si="25"/>
        <v>185</v>
      </c>
      <c r="V48" s="14">
        <f t="shared" si="26"/>
        <v>265</v>
      </c>
      <c r="W48" s="18">
        <f t="shared" si="27"/>
        <v>185</v>
      </c>
      <c r="X48" s="14">
        <f t="shared" si="28"/>
        <v>265</v>
      </c>
      <c r="Y48" s="18">
        <f t="shared" si="29"/>
        <v>160</v>
      </c>
      <c r="Z48" s="14">
        <f t="shared" si="30"/>
        <v>237</v>
      </c>
      <c r="AA48" s="18">
        <f t="shared" si="31"/>
        <v>160</v>
      </c>
      <c r="AB48" s="4" t="s">
        <v>0</v>
      </c>
    </row>
    <row r="49" spans="1:28">
      <c r="A49" s="9" t="s">
        <v>650</v>
      </c>
      <c r="B49" s="24"/>
      <c r="C49" s="26"/>
      <c r="D49" s="25">
        <f t="shared" si="33"/>
        <v>265</v>
      </c>
      <c r="E49" s="29">
        <f t="shared" ref="E49" si="99">E48</f>
        <v>565</v>
      </c>
      <c r="F49" s="25">
        <f t="shared" si="35"/>
        <v>293</v>
      </c>
      <c r="G49" s="29">
        <f t="shared" ref="G49" si="100">G48</f>
        <v>590</v>
      </c>
      <c r="H49" s="4" t="s">
        <v>0</v>
      </c>
      <c r="I49" s="16" t="str">
        <f t="shared" si="14"/>
        <v>03-4㎡</v>
      </c>
      <c r="J49" s="14">
        <f t="shared" si="15"/>
        <v>265</v>
      </c>
      <c r="K49" s="15">
        <f t="shared" si="16"/>
        <v>565</v>
      </c>
      <c r="L49" s="17">
        <f t="shared" si="17"/>
        <v>293</v>
      </c>
      <c r="M49" s="18">
        <f t="shared" si="18"/>
        <v>565</v>
      </c>
      <c r="N49" s="14">
        <f t="shared" si="19"/>
        <v>293</v>
      </c>
      <c r="O49" s="15">
        <f t="shared" si="20"/>
        <v>590</v>
      </c>
      <c r="P49" s="17">
        <f t="shared" si="21"/>
        <v>265</v>
      </c>
      <c r="Q49" s="18">
        <f t="shared" si="22"/>
        <v>590</v>
      </c>
      <c r="R49" s="4" t="s">
        <v>0</v>
      </c>
      <c r="S49" s="16" t="str">
        <f t="shared" si="23"/>
        <v>03-4㎡</v>
      </c>
      <c r="T49" s="14">
        <f t="shared" si="24"/>
        <v>265</v>
      </c>
      <c r="U49" s="18">
        <f t="shared" si="25"/>
        <v>185</v>
      </c>
      <c r="V49" s="14">
        <f t="shared" si="26"/>
        <v>293</v>
      </c>
      <c r="W49" s="18">
        <f t="shared" si="27"/>
        <v>185</v>
      </c>
      <c r="X49" s="14">
        <f t="shared" si="28"/>
        <v>293</v>
      </c>
      <c r="Y49" s="18">
        <f t="shared" si="29"/>
        <v>160</v>
      </c>
      <c r="Z49" s="14">
        <f t="shared" si="30"/>
        <v>265</v>
      </c>
      <c r="AA49" s="18">
        <f t="shared" si="31"/>
        <v>160</v>
      </c>
      <c r="AB49" s="4" t="s">
        <v>0</v>
      </c>
    </row>
    <row r="50" spans="1:28">
      <c r="A50" s="9" t="s">
        <v>672</v>
      </c>
      <c r="B50" s="24"/>
      <c r="C50" s="26">
        <v>13</v>
      </c>
      <c r="D50" s="25">
        <f t="shared" si="33"/>
        <v>209</v>
      </c>
      <c r="E50" s="28">
        <f t="shared" ref="E50" si="101">ROUND(E$11+43*$C50, 0)</f>
        <v>608</v>
      </c>
      <c r="F50" s="25">
        <f t="shared" si="35"/>
        <v>237</v>
      </c>
      <c r="G50" s="28">
        <f t="shared" ref="G50" si="102">ROUND(G$11+43*$C50, 0)</f>
        <v>633</v>
      </c>
      <c r="H50" s="4" t="s">
        <v>0</v>
      </c>
      <c r="I50" s="16" t="str">
        <f t="shared" si="14"/>
        <v>21-3㎡</v>
      </c>
      <c r="J50" s="14">
        <f t="shared" si="15"/>
        <v>209</v>
      </c>
      <c r="K50" s="15">
        <f t="shared" si="16"/>
        <v>608</v>
      </c>
      <c r="L50" s="17">
        <f t="shared" si="17"/>
        <v>237</v>
      </c>
      <c r="M50" s="18">
        <f t="shared" si="18"/>
        <v>608</v>
      </c>
      <c r="N50" s="14">
        <f t="shared" si="19"/>
        <v>237</v>
      </c>
      <c r="O50" s="15">
        <f t="shared" si="20"/>
        <v>633</v>
      </c>
      <c r="P50" s="17">
        <f t="shared" si="21"/>
        <v>209</v>
      </c>
      <c r="Q50" s="18">
        <f t="shared" si="22"/>
        <v>633</v>
      </c>
      <c r="R50" s="4" t="s">
        <v>0</v>
      </c>
      <c r="S50" s="16" t="str">
        <f t="shared" si="23"/>
        <v>21-3㎡</v>
      </c>
      <c r="T50" s="14">
        <f t="shared" si="24"/>
        <v>209</v>
      </c>
      <c r="U50" s="18">
        <f t="shared" si="25"/>
        <v>142</v>
      </c>
      <c r="V50" s="14">
        <f t="shared" si="26"/>
        <v>237</v>
      </c>
      <c r="W50" s="18">
        <f t="shared" si="27"/>
        <v>142</v>
      </c>
      <c r="X50" s="14">
        <f t="shared" si="28"/>
        <v>237</v>
      </c>
      <c r="Y50" s="18">
        <f t="shared" si="29"/>
        <v>117</v>
      </c>
      <c r="Z50" s="14">
        <f t="shared" si="30"/>
        <v>209</v>
      </c>
      <c r="AA50" s="18">
        <f t="shared" si="31"/>
        <v>117</v>
      </c>
      <c r="AB50" s="4" t="s">
        <v>0</v>
      </c>
    </row>
    <row r="51" spans="1:28">
      <c r="A51" s="9" t="s">
        <v>625</v>
      </c>
      <c r="B51" s="24"/>
      <c r="C51" s="26"/>
      <c r="D51" s="25">
        <f t="shared" si="33"/>
        <v>237</v>
      </c>
      <c r="E51" s="29">
        <f t="shared" ref="E51" si="103">E50</f>
        <v>608</v>
      </c>
      <c r="F51" s="25">
        <f t="shared" si="35"/>
        <v>265</v>
      </c>
      <c r="G51" s="29">
        <f t="shared" ref="G51" si="104">G50</f>
        <v>633</v>
      </c>
      <c r="H51" s="4" t="s">
        <v>0</v>
      </c>
      <c r="I51" s="16" t="str">
        <f t="shared" si="14"/>
        <v>02-3㎡</v>
      </c>
      <c r="J51" s="14">
        <f t="shared" si="15"/>
        <v>237</v>
      </c>
      <c r="K51" s="15">
        <f t="shared" si="16"/>
        <v>608</v>
      </c>
      <c r="L51" s="17">
        <f t="shared" si="17"/>
        <v>265</v>
      </c>
      <c r="M51" s="18">
        <f t="shared" si="18"/>
        <v>608</v>
      </c>
      <c r="N51" s="14">
        <f t="shared" si="19"/>
        <v>265</v>
      </c>
      <c r="O51" s="15">
        <f t="shared" si="20"/>
        <v>633</v>
      </c>
      <c r="P51" s="17">
        <f t="shared" si="21"/>
        <v>237</v>
      </c>
      <c r="Q51" s="18">
        <f t="shared" si="22"/>
        <v>633</v>
      </c>
      <c r="R51" s="4" t="s">
        <v>0</v>
      </c>
      <c r="S51" s="16" t="str">
        <f t="shared" si="23"/>
        <v>02-3㎡</v>
      </c>
      <c r="T51" s="14">
        <f t="shared" si="24"/>
        <v>237</v>
      </c>
      <c r="U51" s="18">
        <f t="shared" si="25"/>
        <v>142</v>
      </c>
      <c r="V51" s="14">
        <f t="shared" si="26"/>
        <v>265</v>
      </c>
      <c r="W51" s="18">
        <f t="shared" si="27"/>
        <v>142</v>
      </c>
      <c r="X51" s="14">
        <f t="shared" si="28"/>
        <v>265</v>
      </c>
      <c r="Y51" s="18">
        <f t="shared" si="29"/>
        <v>117</v>
      </c>
      <c r="Z51" s="14">
        <f t="shared" si="30"/>
        <v>237</v>
      </c>
      <c r="AA51" s="18">
        <f t="shared" si="31"/>
        <v>117</v>
      </c>
      <c r="AB51" s="4" t="s">
        <v>0</v>
      </c>
    </row>
    <row r="52" spans="1:28">
      <c r="A52" s="9" t="s">
        <v>649</v>
      </c>
      <c r="B52" s="24"/>
      <c r="C52" s="26"/>
      <c r="D52" s="25">
        <f t="shared" si="33"/>
        <v>265</v>
      </c>
      <c r="E52" s="29">
        <f t="shared" ref="E52" si="105">E51</f>
        <v>608</v>
      </c>
      <c r="F52" s="25">
        <f t="shared" si="35"/>
        <v>293</v>
      </c>
      <c r="G52" s="29">
        <f t="shared" ref="G52" si="106">G51</f>
        <v>633</v>
      </c>
      <c r="H52" s="4" t="s">
        <v>0</v>
      </c>
      <c r="I52" s="16" t="str">
        <f t="shared" si="14"/>
        <v>02-4㎡</v>
      </c>
      <c r="J52" s="14">
        <f t="shared" si="15"/>
        <v>265</v>
      </c>
      <c r="K52" s="15">
        <f t="shared" si="16"/>
        <v>608</v>
      </c>
      <c r="L52" s="17">
        <f t="shared" si="17"/>
        <v>293</v>
      </c>
      <c r="M52" s="18">
        <f t="shared" si="18"/>
        <v>608</v>
      </c>
      <c r="N52" s="14">
        <f t="shared" si="19"/>
        <v>293</v>
      </c>
      <c r="O52" s="15">
        <f t="shared" si="20"/>
        <v>633</v>
      </c>
      <c r="P52" s="17">
        <f t="shared" si="21"/>
        <v>265</v>
      </c>
      <c r="Q52" s="18">
        <f t="shared" si="22"/>
        <v>633</v>
      </c>
      <c r="R52" s="4" t="s">
        <v>0</v>
      </c>
      <c r="S52" s="16" t="str">
        <f t="shared" si="23"/>
        <v>02-4㎡</v>
      </c>
      <c r="T52" s="14">
        <f t="shared" si="24"/>
        <v>265</v>
      </c>
      <c r="U52" s="18">
        <f t="shared" si="25"/>
        <v>142</v>
      </c>
      <c r="V52" s="14">
        <f t="shared" si="26"/>
        <v>293</v>
      </c>
      <c r="W52" s="18">
        <f t="shared" si="27"/>
        <v>142</v>
      </c>
      <c r="X52" s="14">
        <f t="shared" si="28"/>
        <v>293</v>
      </c>
      <c r="Y52" s="18">
        <f t="shared" si="29"/>
        <v>117</v>
      </c>
      <c r="Z52" s="14">
        <f t="shared" si="30"/>
        <v>265</v>
      </c>
      <c r="AA52" s="18">
        <f t="shared" si="31"/>
        <v>117</v>
      </c>
      <c r="AB52" s="4" t="s">
        <v>0</v>
      </c>
    </row>
    <row r="53" spans="1:28">
      <c r="A53" s="9" t="s">
        <v>671</v>
      </c>
      <c r="B53" s="24"/>
      <c r="C53" s="26">
        <v>14</v>
      </c>
      <c r="D53" s="25">
        <f t="shared" si="33"/>
        <v>209</v>
      </c>
      <c r="E53" s="28">
        <f t="shared" ref="E53" si="107">ROUND(E$11+43*$C53, 0)</f>
        <v>651</v>
      </c>
      <c r="F53" s="25">
        <f t="shared" si="35"/>
        <v>237</v>
      </c>
      <c r="G53" s="28">
        <f t="shared" ref="G53" si="108">ROUND(G$11+43*$C53, 0)</f>
        <v>676</v>
      </c>
      <c r="H53" s="4" t="s">
        <v>0</v>
      </c>
      <c r="I53" s="16" t="str">
        <f t="shared" si="14"/>
        <v>20-3㎡</v>
      </c>
      <c r="J53" s="14">
        <f t="shared" si="15"/>
        <v>209</v>
      </c>
      <c r="K53" s="15">
        <f t="shared" si="16"/>
        <v>651</v>
      </c>
      <c r="L53" s="17">
        <f t="shared" si="17"/>
        <v>237</v>
      </c>
      <c r="M53" s="18">
        <f t="shared" si="18"/>
        <v>651</v>
      </c>
      <c r="N53" s="14">
        <f t="shared" si="19"/>
        <v>237</v>
      </c>
      <c r="O53" s="15">
        <f t="shared" si="20"/>
        <v>676</v>
      </c>
      <c r="P53" s="17">
        <f t="shared" si="21"/>
        <v>209</v>
      </c>
      <c r="Q53" s="18">
        <f t="shared" si="22"/>
        <v>676</v>
      </c>
      <c r="R53" s="4" t="s">
        <v>0</v>
      </c>
      <c r="S53" s="16" t="str">
        <f t="shared" si="23"/>
        <v>20-3㎡</v>
      </c>
      <c r="T53" s="14">
        <f t="shared" si="24"/>
        <v>209</v>
      </c>
      <c r="U53" s="18">
        <f t="shared" si="25"/>
        <v>99</v>
      </c>
      <c r="V53" s="14">
        <f t="shared" si="26"/>
        <v>237</v>
      </c>
      <c r="W53" s="18">
        <f t="shared" si="27"/>
        <v>99</v>
      </c>
      <c r="X53" s="14">
        <f t="shared" si="28"/>
        <v>237</v>
      </c>
      <c r="Y53" s="18">
        <f t="shared" si="29"/>
        <v>74</v>
      </c>
      <c r="Z53" s="14">
        <f t="shared" si="30"/>
        <v>209</v>
      </c>
      <c r="AA53" s="18">
        <f t="shared" si="31"/>
        <v>74</v>
      </c>
      <c r="AB53" s="4" t="s">
        <v>0</v>
      </c>
    </row>
    <row r="54" spans="1:28">
      <c r="A54" s="9" t="s">
        <v>624</v>
      </c>
      <c r="B54" s="24"/>
      <c r="C54" s="26"/>
      <c r="D54" s="25">
        <f t="shared" si="33"/>
        <v>237</v>
      </c>
      <c r="E54" s="29">
        <f t="shared" ref="E54" si="109">E53</f>
        <v>651</v>
      </c>
      <c r="F54" s="25">
        <f t="shared" si="35"/>
        <v>265</v>
      </c>
      <c r="G54" s="29">
        <f t="shared" ref="G54" si="110">G53</f>
        <v>676</v>
      </c>
      <c r="H54" s="4" t="s">
        <v>0</v>
      </c>
      <c r="I54" s="16" t="str">
        <f t="shared" si="14"/>
        <v>01-3㎡</v>
      </c>
      <c r="J54" s="14">
        <f t="shared" si="15"/>
        <v>237</v>
      </c>
      <c r="K54" s="15">
        <f t="shared" si="16"/>
        <v>651</v>
      </c>
      <c r="L54" s="17">
        <f t="shared" si="17"/>
        <v>265</v>
      </c>
      <c r="M54" s="18">
        <f t="shared" si="18"/>
        <v>651</v>
      </c>
      <c r="N54" s="14">
        <f t="shared" si="19"/>
        <v>265</v>
      </c>
      <c r="O54" s="15">
        <f t="shared" si="20"/>
        <v>676</v>
      </c>
      <c r="P54" s="17">
        <f t="shared" si="21"/>
        <v>237</v>
      </c>
      <c r="Q54" s="18">
        <f t="shared" si="22"/>
        <v>676</v>
      </c>
      <c r="R54" s="4" t="s">
        <v>0</v>
      </c>
      <c r="S54" s="16" t="str">
        <f t="shared" si="23"/>
        <v>01-3㎡</v>
      </c>
      <c r="T54" s="14">
        <f t="shared" si="24"/>
        <v>237</v>
      </c>
      <c r="U54" s="18">
        <f t="shared" si="25"/>
        <v>99</v>
      </c>
      <c r="V54" s="14">
        <f t="shared" si="26"/>
        <v>265</v>
      </c>
      <c r="W54" s="18">
        <f t="shared" si="27"/>
        <v>99</v>
      </c>
      <c r="X54" s="14">
        <f t="shared" si="28"/>
        <v>265</v>
      </c>
      <c r="Y54" s="18">
        <f t="shared" si="29"/>
        <v>74</v>
      </c>
      <c r="Z54" s="14">
        <f t="shared" si="30"/>
        <v>237</v>
      </c>
      <c r="AA54" s="18">
        <f t="shared" si="31"/>
        <v>74</v>
      </c>
      <c r="AB54" s="4" t="s">
        <v>0</v>
      </c>
    </row>
    <row r="55" spans="1:28">
      <c r="A55" s="9" t="s">
        <v>648</v>
      </c>
      <c r="B55" s="24"/>
      <c r="C55" s="26"/>
      <c r="D55" s="25">
        <f t="shared" si="33"/>
        <v>265</v>
      </c>
      <c r="E55" s="29">
        <f t="shared" ref="E55" si="111">E54</f>
        <v>651</v>
      </c>
      <c r="F55" s="25">
        <f t="shared" si="35"/>
        <v>293</v>
      </c>
      <c r="G55" s="29">
        <f t="shared" ref="G55" si="112">G54</f>
        <v>676</v>
      </c>
      <c r="H55" s="4" t="s">
        <v>0</v>
      </c>
      <c r="I55" s="16" t="str">
        <f t="shared" si="14"/>
        <v>01-4㎡</v>
      </c>
      <c r="J55" s="14">
        <f t="shared" si="15"/>
        <v>265</v>
      </c>
      <c r="K55" s="15">
        <f t="shared" si="16"/>
        <v>651</v>
      </c>
      <c r="L55" s="17">
        <f t="shared" si="17"/>
        <v>293</v>
      </c>
      <c r="M55" s="18">
        <f t="shared" si="18"/>
        <v>651</v>
      </c>
      <c r="N55" s="14">
        <f t="shared" si="19"/>
        <v>293</v>
      </c>
      <c r="O55" s="15">
        <f t="shared" si="20"/>
        <v>676</v>
      </c>
      <c r="P55" s="17">
        <f t="shared" si="21"/>
        <v>265</v>
      </c>
      <c r="Q55" s="18">
        <f t="shared" si="22"/>
        <v>676</v>
      </c>
      <c r="R55" s="4" t="s">
        <v>0</v>
      </c>
      <c r="S55" s="16" t="str">
        <f t="shared" si="23"/>
        <v>01-4㎡</v>
      </c>
      <c r="T55" s="14">
        <f t="shared" si="24"/>
        <v>265</v>
      </c>
      <c r="U55" s="18">
        <f t="shared" si="25"/>
        <v>99</v>
      </c>
      <c r="V55" s="14">
        <f t="shared" si="26"/>
        <v>293</v>
      </c>
      <c r="W55" s="18">
        <f t="shared" si="27"/>
        <v>99</v>
      </c>
      <c r="X55" s="14">
        <f t="shared" si="28"/>
        <v>293</v>
      </c>
      <c r="Y55" s="18">
        <f t="shared" si="29"/>
        <v>74</v>
      </c>
      <c r="Z55" s="14">
        <f t="shared" si="30"/>
        <v>265</v>
      </c>
      <c r="AA55" s="18">
        <f t="shared" si="31"/>
        <v>74</v>
      </c>
      <c r="AB55" s="4" t="s">
        <v>0</v>
      </c>
    </row>
  </sheetData>
  <autoFilter ref="A10:AB55" xr:uid="{00000000-0001-0000-0000-000000000000}"/>
  <mergeCells count="2">
    <mergeCell ref="D3:G3"/>
    <mergeCell ref="D4:G4"/>
  </mergeCells>
  <phoneticPr fontId="1"/>
  <hyperlinks>
    <hyperlink ref="N4" r:id="rId1" xr:uid="{69522F35-0629-4218-A93D-A7912954B070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B92C4-E091-434E-85C3-4375DF016252}">
  <sheetPr codeName="Sheet21">
    <pageSetUpPr fitToPage="1"/>
  </sheetPr>
  <dimension ref="A1:AB68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SEC_11_3_釈ﾄｸA.json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SEC_11_3_釈ﾄｸA.png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釈ﾄｸA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168</v>
      </c>
      <c r="B11" s="30" t="s">
        <v>698</v>
      </c>
      <c r="C11" s="4" t="s">
        <v>0</v>
      </c>
      <c r="D11" s="27">
        <v>26</v>
      </c>
      <c r="E11" s="31">
        <v>103</v>
      </c>
      <c r="F11" s="31">
        <v>53</v>
      </c>
      <c r="G11" s="31">
        <v>132</v>
      </c>
      <c r="H11" s="4" t="s">
        <v>0</v>
      </c>
      <c r="I11" s="16" t="str">
        <f t="shared" ref="I11:I12" si="0">A11</f>
        <v>06-15</v>
      </c>
      <c r="J11" s="14">
        <f>IF(D11&lt;&gt;"",D11,0)</f>
        <v>26</v>
      </c>
      <c r="K11" s="15">
        <f>IF(E11&lt;&gt;"",E11,0)</f>
        <v>103</v>
      </c>
      <c r="L11" s="17">
        <f>N11</f>
        <v>53</v>
      </c>
      <c r="M11" s="18">
        <f>K11</f>
        <v>103</v>
      </c>
      <c r="N11" s="14">
        <f>IF(F11&lt;&gt;"",F11,0)</f>
        <v>53</v>
      </c>
      <c r="O11" s="15">
        <f>IF(G11&lt;&gt;"",G11,0)</f>
        <v>132</v>
      </c>
      <c r="P11" s="17">
        <f>J11</f>
        <v>26</v>
      </c>
      <c r="Q11" s="18">
        <f>O11</f>
        <v>132</v>
      </c>
      <c r="R11" s="4" t="s">
        <v>0</v>
      </c>
      <c r="S11" s="16" t="str">
        <f>I11</f>
        <v>06-15</v>
      </c>
      <c r="T11" s="14">
        <f>IF(J11&lt;&gt;"",J11,"")</f>
        <v>26</v>
      </c>
      <c r="U11" s="18">
        <f>IF(K11&lt;&gt;"",U$6-K11,"")</f>
        <v>647</v>
      </c>
      <c r="V11" s="14">
        <f t="shared" ref="V11:Z12" si="1">IF(L11&lt;&gt;"",L11,"")</f>
        <v>53</v>
      </c>
      <c r="W11" s="18">
        <f>IF(M11&lt;&gt;"",W$6-M11,"")</f>
        <v>647</v>
      </c>
      <c r="X11" s="14">
        <f t="shared" si="1"/>
        <v>53</v>
      </c>
      <c r="Y11" s="18">
        <f>IF(O11&lt;&gt;"",Y$6-O11,"")</f>
        <v>618</v>
      </c>
      <c r="Z11" s="14">
        <f t="shared" si="1"/>
        <v>26</v>
      </c>
      <c r="AA11" s="18">
        <f>IF(Q11&lt;&gt;"",AA$6-Q11,"")</f>
        <v>618</v>
      </c>
      <c r="AB11" s="4" t="s">
        <v>0</v>
      </c>
    </row>
    <row r="12" spans="1:28">
      <c r="A12" s="9" t="s">
        <v>167</v>
      </c>
      <c r="B12" s="24"/>
      <c r="C12" s="26">
        <v>1</v>
      </c>
      <c r="D12" s="28">
        <f>ROUND(D$11+27.4*$C12, 0)</f>
        <v>53</v>
      </c>
      <c r="E12" s="29">
        <f>E11</f>
        <v>103</v>
      </c>
      <c r="F12" s="28">
        <f>ROUND(F$11+27.4*$C12, 0)</f>
        <v>80</v>
      </c>
      <c r="G12" s="29">
        <f>G11</f>
        <v>132</v>
      </c>
      <c r="H12" s="4" t="s">
        <v>0</v>
      </c>
      <c r="I12" s="16" t="str">
        <f t="shared" si="0"/>
        <v>06-13</v>
      </c>
      <c r="J12" s="14">
        <f t="shared" ref="J12:K12" si="2">IF(D12&lt;&gt;"",D12,0)</f>
        <v>53</v>
      </c>
      <c r="K12" s="15">
        <f t="shared" si="2"/>
        <v>103</v>
      </c>
      <c r="L12" s="17">
        <f t="shared" ref="L12" si="3">N12</f>
        <v>80</v>
      </c>
      <c r="M12" s="18">
        <f t="shared" ref="M12" si="4">K12</f>
        <v>103</v>
      </c>
      <c r="N12" s="14">
        <f t="shared" ref="N12:O12" si="5">IF(F12&lt;&gt;"",F12,0)</f>
        <v>80</v>
      </c>
      <c r="O12" s="15">
        <f t="shared" si="5"/>
        <v>132</v>
      </c>
      <c r="P12" s="17">
        <f t="shared" ref="P12" si="6">J12</f>
        <v>53</v>
      </c>
      <c r="Q12" s="18">
        <f t="shared" ref="Q12" si="7">O12</f>
        <v>132</v>
      </c>
      <c r="R12" s="4" t="s">
        <v>0</v>
      </c>
      <c r="S12" s="16" t="str">
        <f t="shared" ref="S12" si="8">I12</f>
        <v>06-13</v>
      </c>
      <c r="T12" s="14">
        <f t="shared" ref="T12" si="9">IF(J12&lt;&gt;"",J12,"")</f>
        <v>53</v>
      </c>
      <c r="U12" s="18">
        <f t="shared" ref="U12" si="10">IF(K12&lt;&gt;"",U$6-K12,"")</f>
        <v>647</v>
      </c>
      <c r="V12" s="14">
        <f t="shared" si="1"/>
        <v>80</v>
      </c>
      <c r="W12" s="18">
        <f t="shared" ref="W12" si="11">IF(M12&lt;&gt;"",W$6-M12,"")</f>
        <v>647</v>
      </c>
      <c r="X12" s="14">
        <f t="shared" si="1"/>
        <v>80</v>
      </c>
      <c r="Y12" s="18">
        <f t="shared" ref="Y12" si="12">IF(O12&lt;&gt;"",Y$6-O12,"")</f>
        <v>618</v>
      </c>
      <c r="Z12" s="14">
        <f t="shared" si="1"/>
        <v>53</v>
      </c>
      <c r="AA12" s="18">
        <f t="shared" ref="AA12" si="13">IF(Q12&lt;&gt;"",AA$6-Q12,"")</f>
        <v>618</v>
      </c>
      <c r="AB12" s="4" t="s">
        <v>0</v>
      </c>
    </row>
    <row r="13" spans="1:28">
      <c r="A13" s="9" t="s">
        <v>59</v>
      </c>
      <c r="B13" s="24"/>
      <c r="C13" s="26">
        <v>2</v>
      </c>
      <c r="D13" s="28">
        <f t="shared" ref="D13:D22" si="14">ROUND(D$11+27.4*$C13, 0)</f>
        <v>81</v>
      </c>
      <c r="E13" s="29">
        <f t="shared" ref="E13:E22" si="15">E12</f>
        <v>103</v>
      </c>
      <c r="F13" s="28">
        <f t="shared" ref="F13:F22" si="16">ROUND(F$11+27.4*$C13, 0)</f>
        <v>108</v>
      </c>
      <c r="G13" s="29">
        <f t="shared" ref="G13:G22" si="17">G12</f>
        <v>132</v>
      </c>
      <c r="H13" s="4" t="s">
        <v>0</v>
      </c>
      <c r="I13" s="16" t="str">
        <f t="shared" ref="I13:I68" si="18">A13</f>
        <v>06-12</v>
      </c>
      <c r="J13" s="14">
        <f t="shared" ref="J13:J68" si="19">IF(D13&lt;&gt;"",D13,0)</f>
        <v>81</v>
      </c>
      <c r="K13" s="15">
        <f t="shared" ref="K13:K68" si="20">IF(E13&lt;&gt;"",E13,0)</f>
        <v>103</v>
      </c>
      <c r="L13" s="17">
        <f t="shared" ref="L13:L68" si="21">N13</f>
        <v>108</v>
      </c>
      <c r="M13" s="18">
        <f t="shared" ref="M13:M68" si="22">K13</f>
        <v>103</v>
      </c>
      <c r="N13" s="14">
        <f t="shared" ref="N13:N68" si="23">IF(F13&lt;&gt;"",F13,0)</f>
        <v>108</v>
      </c>
      <c r="O13" s="15">
        <f t="shared" ref="O13:O68" si="24">IF(G13&lt;&gt;"",G13,0)</f>
        <v>132</v>
      </c>
      <c r="P13" s="17">
        <f t="shared" ref="P13:P68" si="25">J13</f>
        <v>81</v>
      </c>
      <c r="Q13" s="18">
        <f t="shared" ref="Q13:Q68" si="26">O13</f>
        <v>132</v>
      </c>
      <c r="R13" s="4" t="s">
        <v>0</v>
      </c>
      <c r="S13" s="16" t="str">
        <f t="shared" ref="S13:S68" si="27">I13</f>
        <v>06-12</v>
      </c>
      <c r="T13" s="14">
        <f t="shared" ref="T13:T68" si="28">IF(J13&lt;&gt;"",J13,"")</f>
        <v>81</v>
      </c>
      <c r="U13" s="18">
        <f t="shared" ref="U13:U68" si="29">IF(K13&lt;&gt;"",U$6-K13,"")</f>
        <v>647</v>
      </c>
      <c r="V13" s="14">
        <f t="shared" ref="V13:V68" si="30">IF(L13&lt;&gt;"",L13,"")</f>
        <v>108</v>
      </c>
      <c r="W13" s="18">
        <f t="shared" ref="W13:W68" si="31">IF(M13&lt;&gt;"",W$6-M13,"")</f>
        <v>647</v>
      </c>
      <c r="X13" s="14">
        <f t="shared" ref="X13:X68" si="32">IF(N13&lt;&gt;"",N13,"")</f>
        <v>108</v>
      </c>
      <c r="Y13" s="18">
        <f t="shared" ref="Y13:Y68" si="33">IF(O13&lt;&gt;"",Y$6-O13,"")</f>
        <v>618</v>
      </c>
      <c r="Z13" s="14">
        <f t="shared" ref="Z13:Z68" si="34">IF(P13&lt;&gt;"",P13,"")</f>
        <v>81</v>
      </c>
      <c r="AA13" s="18">
        <f t="shared" ref="AA13:AA68" si="35">IF(Q13&lt;&gt;"",AA$6-Q13,"")</f>
        <v>618</v>
      </c>
      <c r="AB13" s="4" t="s">
        <v>0</v>
      </c>
    </row>
    <row r="14" spans="1:28">
      <c r="A14" s="9" t="s">
        <v>58</v>
      </c>
      <c r="B14" s="24"/>
      <c r="C14" s="26">
        <v>3</v>
      </c>
      <c r="D14" s="28">
        <f t="shared" si="14"/>
        <v>108</v>
      </c>
      <c r="E14" s="29">
        <f t="shared" si="15"/>
        <v>103</v>
      </c>
      <c r="F14" s="28">
        <f t="shared" si="16"/>
        <v>135</v>
      </c>
      <c r="G14" s="29">
        <f t="shared" si="17"/>
        <v>132</v>
      </c>
      <c r="H14" s="4" t="s">
        <v>0</v>
      </c>
      <c r="I14" s="16" t="str">
        <f t="shared" si="18"/>
        <v>06-11</v>
      </c>
      <c r="J14" s="14">
        <f t="shared" si="19"/>
        <v>108</v>
      </c>
      <c r="K14" s="15">
        <f t="shared" si="20"/>
        <v>103</v>
      </c>
      <c r="L14" s="17">
        <f t="shared" si="21"/>
        <v>135</v>
      </c>
      <c r="M14" s="18">
        <f t="shared" si="22"/>
        <v>103</v>
      </c>
      <c r="N14" s="14">
        <f t="shared" si="23"/>
        <v>135</v>
      </c>
      <c r="O14" s="15">
        <f t="shared" si="24"/>
        <v>132</v>
      </c>
      <c r="P14" s="17">
        <f t="shared" si="25"/>
        <v>108</v>
      </c>
      <c r="Q14" s="18">
        <f t="shared" si="26"/>
        <v>132</v>
      </c>
      <c r="R14" s="4" t="s">
        <v>0</v>
      </c>
      <c r="S14" s="16" t="str">
        <f t="shared" si="27"/>
        <v>06-11</v>
      </c>
      <c r="T14" s="14">
        <f t="shared" si="28"/>
        <v>108</v>
      </c>
      <c r="U14" s="18">
        <f t="shared" si="29"/>
        <v>647</v>
      </c>
      <c r="V14" s="14">
        <f t="shared" si="30"/>
        <v>135</v>
      </c>
      <c r="W14" s="18">
        <f t="shared" si="31"/>
        <v>647</v>
      </c>
      <c r="X14" s="14">
        <f t="shared" si="32"/>
        <v>135</v>
      </c>
      <c r="Y14" s="18">
        <f t="shared" si="33"/>
        <v>618</v>
      </c>
      <c r="Z14" s="14">
        <f t="shared" si="34"/>
        <v>108</v>
      </c>
      <c r="AA14" s="18">
        <f t="shared" si="35"/>
        <v>618</v>
      </c>
      <c r="AB14" s="4" t="s">
        <v>0</v>
      </c>
    </row>
    <row r="15" spans="1:28">
      <c r="A15" s="9" t="s">
        <v>57</v>
      </c>
      <c r="B15" s="24"/>
      <c r="C15" s="26">
        <v>4</v>
      </c>
      <c r="D15" s="28">
        <f t="shared" si="14"/>
        <v>136</v>
      </c>
      <c r="E15" s="29">
        <f t="shared" si="15"/>
        <v>103</v>
      </c>
      <c r="F15" s="28">
        <f t="shared" si="16"/>
        <v>163</v>
      </c>
      <c r="G15" s="29">
        <f t="shared" si="17"/>
        <v>132</v>
      </c>
      <c r="H15" s="4" t="s">
        <v>0</v>
      </c>
      <c r="I15" s="16" t="str">
        <f t="shared" si="18"/>
        <v>06-10</v>
      </c>
      <c r="J15" s="14">
        <f t="shared" si="19"/>
        <v>136</v>
      </c>
      <c r="K15" s="15">
        <f t="shared" si="20"/>
        <v>103</v>
      </c>
      <c r="L15" s="17">
        <f t="shared" si="21"/>
        <v>163</v>
      </c>
      <c r="M15" s="18">
        <f t="shared" si="22"/>
        <v>103</v>
      </c>
      <c r="N15" s="14">
        <f t="shared" si="23"/>
        <v>163</v>
      </c>
      <c r="O15" s="15">
        <f t="shared" si="24"/>
        <v>132</v>
      </c>
      <c r="P15" s="17">
        <f t="shared" si="25"/>
        <v>136</v>
      </c>
      <c r="Q15" s="18">
        <f t="shared" si="26"/>
        <v>132</v>
      </c>
      <c r="R15" s="4" t="s">
        <v>0</v>
      </c>
      <c r="S15" s="16" t="str">
        <f t="shared" si="27"/>
        <v>06-10</v>
      </c>
      <c r="T15" s="14">
        <f t="shared" si="28"/>
        <v>136</v>
      </c>
      <c r="U15" s="18">
        <f t="shared" si="29"/>
        <v>647</v>
      </c>
      <c r="V15" s="14">
        <f t="shared" si="30"/>
        <v>163</v>
      </c>
      <c r="W15" s="18">
        <f t="shared" si="31"/>
        <v>647</v>
      </c>
      <c r="X15" s="14">
        <f t="shared" si="32"/>
        <v>163</v>
      </c>
      <c r="Y15" s="18">
        <f t="shared" si="33"/>
        <v>618</v>
      </c>
      <c r="Z15" s="14">
        <f t="shared" si="34"/>
        <v>136</v>
      </c>
      <c r="AA15" s="18">
        <f t="shared" si="35"/>
        <v>618</v>
      </c>
      <c r="AB15" s="4" t="s">
        <v>0</v>
      </c>
    </row>
    <row r="16" spans="1:28">
      <c r="A16" s="9" t="s">
        <v>56</v>
      </c>
      <c r="B16" s="24"/>
      <c r="C16" s="26">
        <v>5</v>
      </c>
      <c r="D16" s="28">
        <f t="shared" si="14"/>
        <v>163</v>
      </c>
      <c r="E16" s="29">
        <f t="shared" si="15"/>
        <v>103</v>
      </c>
      <c r="F16" s="28">
        <f t="shared" si="16"/>
        <v>190</v>
      </c>
      <c r="G16" s="29">
        <f t="shared" si="17"/>
        <v>132</v>
      </c>
      <c r="H16" s="4" t="s">
        <v>0</v>
      </c>
      <c r="I16" s="16" t="str">
        <f t="shared" si="18"/>
        <v>06-08</v>
      </c>
      <c r="J16" s="14">
        <f t="shared" si="19"/>
        <v>163</v>
      </c>
      <c r="K16" s="15">
        <f t="shared" si="20"/>
        <v>103</v>
      </c>
      <c r="L16" s="17">
        <f t="shared" si="21"/>
        <v>190</v>
      </c>
      <c r="M16" s="18">
        <f t="shared" si="22"/>
        <v>103</v>
      </c>
      <c r="N16" s="14">
        <f t="shared" si="23"/>
        <v>190</v>
      </c>
      <c r="O16" s="15">
        <f t="shared" si="24"/>
        <v>132</v>
      </c>
      <c r="P16" s="17">
        <f t="shared" si="25"/>
        <v>163</v>
      </c>
      <c r="Q16" s="18">
        <f t="shared" si="26"/>
        <v>132</v>
      </c>
      <c r="R16" s="4" t="s">
        <v>0</v>
      </c>
      <c r="S16" s="16" t="str">
        <f t="shared" si="27"/>
        <v>06-08</v>
      </c>
      <c r="T16" s="14">
        <f t="shared" si="28"/>
        <v>163</v>
      </c>
      <c r="U16" s="18">
        <f t="shared" si="29"/>
        <v>647</v>
      </c>
      <c r="V16" s="14">
        <f t="shared" si="30"/>
        <v>190</v>
      </c>
      <c r="W16" s="18">
        <f t="shared" si="31"/>
        <v>647</v>
      </c>
      <c r="X16" s="14">
        <f t="shared" si="32"/>
        <v>190</v>
      </c>
      <c r="Y16" s="18">
        <f t="shared" si="33"/>
        <v>618</v>
      </c>
      <c r="Z16" s="14">
        <f t="shared" si="34"/>
        <v>163</v>
      </c>
      <c r="AA16" s="18">
        <f t="shared" si="35"/>
        <v>618</v>
      </c>
      <c r="AB16" s="4" t="s">
        <v>0</v>
      </c>
    </row>
    <row r="17" spans="1:28">
      <c r="A17" s="9" t="s">
        <v>55</v>
      </c>
      <c r="B17" s="24"/>
      <c r="C17" s="26">
        <v>6</v>
      </c>
      <c r="D17" s="28">
        <f t="shared" si="14"/>
        <v>190</v>
      </c>
      <c r="E17" s="29">
        <f t="shared" si="15"/>
        <v>103</v>
      </c>
      <c r="F17" s="28">
        <f t="shared" si="16"/>
        <v>217</v>
      </c>
      <c r="G17" s="29">
        <f t="shared" si="17"/>
        <v>132</v>
      </c>
      <c r="H17" s="4" t="s">
        <v>0</v>
      </c>
      <c r="I17" s="16" t="str">
        <f t="shared" si="18"/>
        <v>06-07</v>
      </c>
      <c r="J17" s="14">
        <f t="shared" si="19"/>
        <v>190</v>
      </c>
      <c r="K17" s="15">
        <f t="shared" si="20"/>
        <v>103</v>
      </c>
      <c r="L17" s="17">
        <f t="shared" si="21"/>
        <v>217</v>
      </c>
      <c r="M17" s="18">
        <f t="shared" si="22"/>
        <v>103</v>
      </c>
      <c r="N17" s="14">
        <f t="shared" si="23"/>
        <v>217</v>
      </c>
      <c r="O17" s="15">
        <f t="shared" si="24"/>
        <v>132</v>
      </c>
      <c r="P17" s="17">
        <f t="shared" si="25"/>
        <v>190</v>
      </c>
      <c r="Q17" s="18">
        <f t="shared" si="26"/>
        <v>132</v>
      </c>
      <c r="R17" s="4" t="s">
        <v>0</v>
      </c>
      <c r="S17" s="16" t="str">
        <f t="shared" si="27"/>
        <v>06-07</v>
      </c>
      <c r="T17" s="14">
        <f t="shared" si="28"/>
        <v>190</v>
      </c>
      <c r="U17" s="18">
        <f t="shared" si="29"/>
        <v>647</v>
      </c>
      <c r="V17" s="14">
        <f t="shared" si="30"/>
        <v>217</v>
      </c>
      <c r="W17" s="18">
        <f t="shared" si="31"/>
        <v>647</v>
      </c>
      <c r="X17" s="14">
        <f t="shared" si="32"/>
        <v>217</v>
      </c>
      <c r="Y17" s="18">
        <f t="shared" si="33"/>
        <v>618</v>
      </c>
      <c r="Z17" s="14">
        <f t="shared" si="34"/>
        <v>190</v>
      </c>
      <c r="AA17" s="18">
        <f t="shared" si="35"/>
        <v>618</v>
      </c>
      <c r="AB17" s="4" t="s">
        <v>0</v>
      </c>
    </row>
    <row r="18" spans="1:28">
      <c r="A18" s="9" t="s">
        <v>54</v>
      </c>
      <c r="B18" s="24"/>
      <c r="C18" s="26">
        <v>7</v>
      </c>
      <c r="D18" s="28">
        <f t="shared" si="14"/>
        <v>218</v>
      </c>
      <c r="E18" s="29">
        <f t="shared" si="15"/>
        <v>103</v>
      </c>
      <c r="F18" s="28">
        <f t="shared" si="16"/>
        <v>245</v>
      </c>
      <c r="G18" s="29">
        <f t="shared" si="17"/>
        <v>132</v>
      </c>
      <c r="H18" s="4" t="s">
        <v>0</v>
      </c>
      <c r="I18" s="16" t="str">
        <f t="shared" si="18"/>
        <v>06-06</v>
      </c>
      <c r="J18" s="14">
        <f t="shared" si="19"/>
        <v>218</v>
      </c>
      <c r="K18" s="15">
        <f t="shared" si="20"/>
        <v>103</v>
      </c>
      <c r="L18" s="17">
        <f t="shared" si="21"/>
        <v>245</v>
      </c>
      <c r="M18" s="18">
        <f t="shared" si="22"/>
        <v>103</v>
      </c>
      <c r="N18" s="14">
        <f t="shared" si="23"/>
        <v>245</v>
      </c>
      <c r="O18" s="15">
        <f t="shared" si="24"/>
        <v>132</v>
      </c>
      <c r="P18" s="17">
        <f t="shared" si="25"/>
        <v>218</v>
      </c>
      <c r="Q18" s="18">
        <f t="shared" si="26"/>
        <v>132</v>
      </c>
      <c r="R18" s="4" t="s">
        <v>0</v>
      </c>
      <c r="S18" s="16" t="str">
        <f t="shared" si="27"/>
        <v>06-06</v>
      </c>
      <c r="T18" s="14">
        <f t="shared" si="28"/>
        <v>218</v>
      </c>
      <c r="U18" s="18">
        <f t="shared" si="29"/>
        <v>647</v>
      </c>
      <c r="V18" s="14">
        <f t="shared" si="30"/>
        <v>245</v>
      </c>
      <c r="W18" s="18">
        <f t="shared" si="31"/>
        <v>647</v>
      </c>
      <c r="X18" s="14">
        <f t="shared" si="32"/>
        <v>245</v>
      </c>
      <c r="Y18" s="18">
        <f t="shared" si="33"/>
        <v>618</v>
      </c>
      <c r="Z18" s="14">
        <f t="shared" si="34"/>
        <v>218</v>
      </c>
      <c r="AA18" s="18">
        <f t="shared" si="35"/>
        <v>618</v>
      </c>
      <c r="AB18" s="4" t="s">
        <v>0</v>
      </c>
    </row>
    <row r="19" spans="1:28">
      <c r="A19" s="9" t="s">
        <v>53</v>
      </c>
      <c r="B19" s="24"/>
      <c r="C19" s="26">
        <v>8</v>
      </c>
      <c r="D19" s="28">
        <f t="shared" si="14"/>
        <v>245</v>
      </c>
      <c r="E19" s="29">
        <f t="shared" si="15"/>
        <v>103</v>
      </c>
      <c r="F19" s="28">
        <f t="shared" si="16"/>
        <v>272</v>
      </c>
      <c r="G19" s="29">
        <f t="shared" si="17"/>
        <v>132</v>
      </c>
      <c r="H19" s="4" t="s">
        <v>0</v>
      </c>
      <c r="I19" s="16" t="str">
        <f t="shared" si="18"/>
        <v>06-05</v>
      </c>
      <c r="J19" s="14">
        <f t="shared" si="19"/>
        <v>245</v>
      </c>
      <c r="K19" s="15">
        <f t="shared" si="20"/>
        <v>103</v>
      </c>
      <c r="L19" s="17">
        <f t="shared" si="21"/>
        <v>272</v>
      </c>
      <c r="M19" s="18">
        <f t="shared" si="22"/>
        <v>103</v>
      </c>
      <c r="N19" s="14">
        <f t="shared" si="23"/>
        <v>272</v>
      </c>
      <c r="O19" s="15">
        <f t="shared" si="24"/>
        <v>132</v>
      </c>
      <c r="P19" s="17">
        <f t="shared" si="25"/>
        <v>245</v>
      </c>
      <c r="Q19" s="18">
        <f t="shared" si="26"/>
        <v>132</v>
      </c>
      <c r="R19" s="4" t="s">
        <v>0</v>
      </c>
      <c r="S19" s="16" t="str">
        <f t="shared" si="27"/>
        <v>06-05</v>
      </c>
      <c r="T19" s="14">
        <f t="shared" si="28"/>
        <v>245</v>
      </c>
      <c r="U19" s="18">
        <f t="shared" si="29"/>
        <v>647</v>
      </c>
      <c r="V19" s="14">
        <f t="shared" si="30"/>
        <v>272</v>
      </c>
      <c r="W19" s="18">
        <f t="shared" si="31"/>
        <v>647</v>
      </c>
      <c r="X19" s="14">
        <f t="shared" si="32"/>
        <v>272</v>
      </c>
      <c r="Y19" s="18">
        <f t="shared" si="33"/>
        <v>618</v>
      </c>
      <c r="Z19" s="14">
        <f t="shared" si="34"/>
        <v>245</v>
      </c>
      <c r="AA19" s="18">
        <f t="shared" si="35"/>
        <v>618</v>
      </c>
      <c r="AB19" s="4" t="s">
        <v>0</v>
      </c>
    </row>
    <row r="20" spans="1:28">
      <c r="A20" s="9" t="s">
        <v>52</v>
      </c>
      <c r="B20" s="24"/>
      <c r="C20" s="26">
        <v>9</v>
      </c>
      <c r="D20" s="28">
        <f t="shared" si="14"/>
        <v>273</v>
      </c>
      <c r="E20" s="29">
        <f t="shared" si="15"/>
        <v>103</v>
      </c>
      <c r="F20" s="28">
        <f t="shared" si="16"/>
        <v>300</v>
      </c>
      <c r="G20" s="29">
        <f t="shared" si="17"/>
        <v>132</v>
      </c>
      <c r="H20" s="4" t="s">
        <v>0</v>
      </c>
      <c r="I20" s="16" t="str">
        <f t="shared" si="18"/>
        <v>06-03</v>
      </c>
      <c r="J20" s="14">
        <f t="shared" si="19"/>
        <v>273</v>
      </c>
      <c r="K20" s="15">
        <f t="shared" si="20"/>
        <v>103</v>
      </c>
      <c r="L20" s="17">
        <f t="shared" si="21"/>
        <v>300</v>
      </c>
      <c r="M20" s="18">
        <f t="shared" si="22"/>
        <v>103</v>
      </c>
      <c r="N20" s="14">
        <f t="shared" si="23"/>
        <v>300</v>
      </c>
      <c r="O20" s="15">
        <f t="shared" si="24"/>
        <v>132</v>
      </c>
      <c r="P20" s="17">
        <f t="shared" si="25"/>
        <v>273</v>
      </c>
      <c r="Q20" s="18">
        <f t="shared" si="26"/>
        <v>132</v>
      </c>
      <c r="R20" s="4" t="s">
        <v>0</v>
      </c>
      <c r="S20" s="16" t="str">
        <f t="shared" si="27"/>
        <v>06-03</v>
      </c>
      <c r="T20" s="14">
        <f t="shared" si="28"/>
        <v>273</v>
      </c>
      <c r="U20" s="18">
        <f t="shared" si="29"/>
        <v>647</v>
      </c>
      <c r="V20" s="14">
        <f t="shared" si="30"/>
        <v>300</v>
      </c>
      <c r="W20" s="18">
        <f t="shared" si="31"/>
        <v>647</v>
      </c>
      <c r="X20" s="14">
        <f t="shared" si="32"/>
        <v>300</v>
      </c>
      <c r="Y20" s="18">
        <f t="shared" si="33"/>
        <v>618</v>
      </c>
      <c r="Z20" s="14">
        <f t="shared" si="34"/>
        <v>273</v>
      </c>
      <c r="AA20" s="18">
        <f t="shared" si="35"/>
        <v>618</v>
      </c>
      <c r="AB20" s="4" t="s">
        <v>0</v>
      </c>
    </row>
    <row r="21" spans="1:28">
      <c r="A21" s="9" t="s">
        <v>51</v>
      </c>
      <c r="B21" s="24"/>
      <c r="C21" s="26">
        <v>10</v>
      </c>
      <c r="D21" s="28">
        <f t="shared" si="14"/>
        <v>300</v>
      </c>
      <c r="E21" s="29">
        <f t="shared" si="15"/>
        <v>103</v>
      </c>
      <c r="F21" s="28">
        <f t="shared" si="16"/>
        <v>327</v>
      </c>
      <c r="G21" s="29">
        <f t="shared" si="17"/>
        <v>132</v>
      </c>
      <c r="H21" s="4" t="s">
        <v>0</v>
      </c>
      <c r="I21" s="16" t="str">
        <f t="shared" si="18"/>
        <v>06-02</v>
      </c>
      <c r="J21" s="14">
        <f t="shared" si="19"/>
        <v>300</v>
      </c>
      <c r="K21" s="15">
        <f t="shared" si="20"/>
        <v>103</v>
      </c>
      <c r="L21" s="17">
        <f t="shared" si="21"/>
        <v>327</v>
      </c>
      <c r="M21" s="18">
        <f t="shared" si="22"/>
        <v>103</v>
      </c>
      <c r="N21" s="14">
        <f t="shared" si="23"/>
        <v>327</v>
      </c>
      <c r="O21" s="15">
        <f t="shared" si="24"/>
        <v>132</v>
      </c>
      <c r="P21" s="17">
        <f t="shared" si="25"/>
        <v>300</v>
      </c>
      <c r="Q21" s="18">
        <f t="shared" si="26"/>
        <v>132</v>
      </c>
      <c r="R21" s="4" t="s">
        <v>0</v>
      </c>
      <c r="S21" s="16" t="str">
        <f t="shared" si="27"/>
        <v>06-02</v>
      </c>
      <c r="T21" s="14">
        <f t="shared" si="28"/>
        <v>300</v>
      </c>
      <c r="U21" s="18">
        <f t="shared" si="29"/>
        <v>647</v>
      </c>
      <c r="V21" s="14">
        <f t="shared" si="30"/>
        <v>327</v>
      </c>
      <c r="W21" s="18">
        <f t="shared" si="31"/>
        <v>647</v>
      </c>
      <c r="X21" s="14">
        <f t="shared" si="32"/>
        <v>327</v>
      </c>
      <c r="Y21" s="18">
        <f t="shared" si="33"/>
        <v>618</v>
      </c>
      <c r="Z21" s="14">
        <f t="shared" si="34"/>
        <v>300</v>
      </c>
      <c r="AA21" s="18">
        <f t="shared" si="35"/>
        <v>618</v>
      </c>
      <c r="AB21" s="4" t="s">
        <v>0</v>
      </c>
    </row>
    <row r="22" spans="1:28">
      <c r="A22" s="9" t="s">
        <v>50</v>
      </c>
      <c r="B22" s="24"/>
      <c r="C22" s="26">
        <v>11</v>
      </c>
      <c r="D22" s="28">
        <f t="shared" si="14"/>
        <v>327</v>
      </c>
      <c r="E22" s="29">
        <f t="shared" si="15"/>
        <v>103</v>
      </c>
      <c r="F22" s="28">
        <f t="shared" si="16"/>
        <v>354</v>
      </c>
      <c r="G22" s="29">
        <f t="shared" si="17"/>
        <v>132</v>
      </c>
      <c r="H22" s="4" t="s">
        <v>0</v>
      </c>
      <c r="I22" s="16" t="str">
        <f t="shared" si="18"/>
        <v>06-01</v>
      </c>
      <c r="J22" s="14">
        <f t="shared" si="19"/>
        <v>327</v>
      </c>
      <c r="K22" s="15">
        <f t="shared" si="20"/>
        <v>103</v>
      </c>
      <c r="L22" s="17">
        <f t="shared" si="21"/>
        <v>354</v>
      </c>
      <c r="M22" s="18">
        <f t="shared" si="22"/>
        <v>103</v>
      </c>
      <c r="N22" s="14">
        <f t="shared" si="23"/>
        <v>354</v>
      </c>
      <c r="O22" s="15">
        <f t="shared" si="24"/>
        <v>132</v>
      </c>
      <c r="P22" s="17">
        <f t="shared" si="25"/>
        <v>327</v>
      </c>
      <c r="Q22" s="18">
        <f t="shared" si="26"/>
        <v>132</v>
      </c>
      <c r="R22" s="4" t="s">
        <v>0</v>
      </c>
      <c r="S22" s="16" t="str">
        <f t="shared" si="27"/>
        <v>06-01</v>
      </c>
      <c r="T22" s="14">
        <f t="shared" si="28"/>
        <v>327</v>
      </c>
      <c r="U22" s="18">
        <f t="shared" si="29"/>
        <v>647</v>
      </c>
      <c r="V22" s="14">
        <f t="shared" si="30"/>
        <v>354</v>
      </c>
      <c r="W22" s="18">
        <f t="shared" si="31"/>
        <v>647</v>
      </c>
      <c r="X22" s="14">
        <f t="shared" si="32"/>
        <v>354</v>
      </c>
      <c r="Y22" s="18">
        <f t="shared" si="33"/>
        <v>618</v>
      </c>
      <c r="Z22" s="14">
        <f t="shared" si="34"/>
        <v>327</v>
      </c>
      <c r="AA22" s="18">
        <f t="shared" si="35"/>
        <v>618</v>
      </c>
      <c r="AB22" s="4" t="s">
        <v>0</v>
      </c>
    </row>
    <row r="23" spans="1:28">
      <c r="A23" s="9" t="s">
        <v>162</v>
      </c>
      <c r="B23" s="24"/>
      <c r="C23" s="26">
        <v>1</v>
      </c>
      <c r="D23" s="25">
        <f>D11</f>
        <v>26</v>
      </c>
      <c r="E23" s="28">
        <f>ROUND(E$11+49*$C23, 0)</f>
        <v>152</v>
      </c>
      <c r="F23" s="25">
        <f>F11</f>
        <v>53</v>
      </c>
      <c r="G23" s="28">
        <f>ROUND(G$11+49*$C23, 0)</f>
        <v>181</v>
      </c>
      <c r="H23" s="4" t="s">
        <v>0</v>
      </c>
      <c r="I23" s="16" t="str">
        <f t="shared" si="18"/>
        <v>05-15</v>
      </c>
      <c r="J23" s="14">
        <f t="shared" si="19"/>
        <v>26</v>
      </c>
      <c r="K23" s="15">
        <f t="shared" si="20"/>
        <v>152</v>
      </c>
      <c r="L23" s="17">
        <f t="shared" si="21"/>
        <v>53</v>
      </c>
      <c r="M23" s="18">
        <f t="shared" si="22"/>
        <v>152</v>
      </c>
      <c r="N23" s="14">
        <f t="shared" si="23"/>
        <v>53</v>
      </c>
      <c r="O23" s="15">
        <f t="shared" si="24"/>
        <v>181</v>
      </c>
      <c r="P23" s="17">
        <f t="shared" si="25"/>
        <v>26</v>
      </c>
      <c r="Q23" s="18">
        <f t="shared" si="26"/>
        <v>181</v>
      </c>
      <c r="R23" s="4" t="s">
        <v>0</v>
      </c>
      <c r="S23" s="16" t="str">
        <f t="shared" si="27"/>
        <v>05-15</v>
      </c>
      <c r="T23" s="14">
        <f t="shared" si="28"/>
        <v>26</v>
      </c>
      <c r="U23" s="18">
        <f t="shared" si="29"/>
        <v>598</v>
      </c>
      <c r="V23" s="14">
        <f t="shared" si="30"/>
        <v>53</v>
      </c>
      <c r="W23" s="18">
        <f t="shared" si="31"/>
        <v>598</v>
      </c>
      <c r="X23" s="14">
        <f t="shared" si="32"/>
        <v>53</v>
      </c>
      <c r="Y23" s="18">
        <f t="shared" si="33"/>
        <v>569</v>
      </c>
      <c r="Z23" s="14">
        <f t="shared" si="34"/>
        <v>26</v>
      </c>
      <c r="AA23" s="18">
        <f t="shared" si="35"/>
        <v>569</v>
      </c>
      <c r="AB23" s="4" t="s">
        <v>0</v>
      </c>
    </row>
    <row r="24" spans="1:28">
      <c r="A24" s="9" t="s">
        <v>161</v>
      </c>
      <c r="B24" s="24"/>
      <c r="C24" s="26"/>
      <c r="D24" s="25">
        <f>D12</f>
        <v>53</v>
      </c>
      <c r="E24" s="29">
        <f t="shared" ref="E24:G25" si="36">E23</f>
        <v>152</v>
      </c>
      <c r="F24" s="25">
        <f>F12</f>
        <v>80</v>
      </c>
      <c r="G24" s="29">
        <f t="shared" si="36"/>
        <v>181</v>
      </c>
      <c r="H24" s="4" t="s">
        <v>0</v>
      </c>
      <c r="I24" s="16" t="str">
        <f t="shared" si="18"/>
        <v>05-13</v>
      </c>
      <c r="J24" s="14">
        <f t="shared" si="19"/>
        <v>53</v>
      </c>
      <c r="K24" s="15">
        <f t="shared" si="20"/>
        <v>152</v>
      </c>
      <c r="L24" s="17">
        <f t="shared" si="21"/>
        <v>80</v>
      </c>
      <c r="M24" s="18">
        <f t="shared" si="22"/>
        <v>152</v>
      </c>
      <c r="N24" s="14">
        <f t="shared" si="23"/>
        <v>80</v>
      </c>
      <c r="O24" s="15">
        <f t="shared" si="24"/>
        <v>181</v>
      </c>
      <c r="P24" s="17">
        <f t="shared" si="25"/>
        <v>53</v>
      </c>
      <c r="Q24" s="18">
        <f t="shared" si="26"/>
        <v>181</v>
      </c>
      <c r="R24" s="4" t="s">
        <v>0</v>
      </c>
      <c r="S24" s="16" t="str">
        <f t="shared" si="27"/>
        <v>05-13</v>
      </c>
      <c r="T24" s="14">
        <f t="shared" si="28"/>
        <v>53</v>
      </c>
      <c r="U24" s="18">
        <f t="shared" si="29"/>
        <v>598</v>
      </c>
      <c r="V24" s="14">
        <f t="shared" si="30"/>
        <v>80</v>
      </c>
      <c r="W24" s="18">
        <f t="shared" si="31"/>
        <v>598</v>
      </c>
      <c r="X24" s="14">
        <f t="shared" si="32"/>
        <v>80</v>
      </c>
      <c r="Y24" s="18">
        <f t="shared" si="33"/>
        <v>569</v>
      </c>
      <c r="Z24" s="14">
        <f t="shared" si="34"/>
        <v>53</v>
      </c>
      <c r="AA24" s="18">
        <f t="shared" si="35"/>
        <v>569</v>
      </c>
      <c r="AB24" s="4" t="s">
        <v>0</v>
      </c>
    </row>
    <row r="25" spans="1:28">
      <c r="A25" s="9" t="s">
        <v>49</v>
      </c>
      <c r="B25" s="24"/>
      <c r="C25" s="26"/>
      <c r="D25" s="25">
        <f>D13</f>
        <v>81</v>
      </c>
      <c r="E25" s="29">
        <f t="shared" si="36"/>
        <v>152</v>
      </c>
      <c r="F25" s="25">
        <f>F13</f>
        <v>108</v>
      </c>
      <c r="G25" s="29">
        <f t="shared" si="36"/>
        <v>181</v>
      </c>
      <c r="H25" s="4" t="s">
        <v>0</v>
      </c>
      <c r="I25" s="16" t="str">
        <f t="shared" si="18"/>
        <v>05-12</v>
      </c>
      <c r="J25" s="14">
        <f t="shared" si="19"/>
        <v>81</v>
      </c>
      <c r="K25" s="15">
        <f t="shared" si="20"/>
        <v>152</v>
      </c>
      <c r="L25" s="17">
        <f t="shared" si="21"/>
        <v>108</v>
      </c>
      <c r="M25" s="18">
        <f t="shared" si="22"/>
        <v>152</v>
      </c>
      <c r="N25" s="14">
        <f t="shared" si="23"/>
        <v>108</v>
      </c>
      <c r="O25" s="15">
        <f t="shared" si="24"/>
        <v>181</v>
      </c>
      <c r="P25" s="17">
        <f t="shared" si="25"/>
        <v>81</v>
      </c>
      <c r="Q25" s="18">
        <f t="shared" si="26"/>
        <v>181</v>
      </c>
      <c r="R25" s="4" t="s">
        <v>0</v>
      </c>
      <c r="S25" s="16" t="str">
        <f t="shared" si="27"/>
        <v>05-12</v>
      </c>
      <c r="T25" s="14">
        <f t="shared" si="28"/>
        <v>81</v>
      </c>
      <c r="U25" s="18">
        <f t="shared" si="29"/>
        <v>598</v>
      </c>
      <c r="V25" s="14">
        <f t="shared" si="30"/>
        <v>108</v>
      </c>
      <c r="W25" s="18">
        <f t="shared" si="31"/>
        <v>598</v>
      </c>
      <c r="X25" s="14">
        <f t="shared" si="32"/>
        <v>108</v>
      </c>
      <c r="Y25" s="18">
        <f t="shared" si="33"/>
        <v>569</v>
      </c>
      <c r="Z25" s="14">
        <f t="shared" si="34"/>
        <v>81</v>
      </c>
      <c r="AA25" s="18">
        <f t="shared" si="35"/>
        <v>569</v>
      </c>
      <c r="AB25" s="4" t="s">
        <v>0</v>
      </c>
    </row>
    <row r="26" spans="1:28">
      <c r="A26" s="9" t="s">
        <v>48</v>
      </c>
      <c r="B26" s="24"/>
      <c r="C26" s="26"/>
      <c r="D26" s="25">
        <f t="shared" ref="D26:D34" si="37">D14</f>
        <v>108</v>
      </c>
      <c r="E26" s="29">
        <f t="shared" ref="E26" si="38">E25</f>
        <v>152</v>
      </c>
      <c r="F26" s="25">
        <f t="shared" ref="F26:F34" si="39">F14</f>
        <v>135</v>
      </c>
      <c r="G26" s="29">
        <f t="shared" ref="G26" si="40">G25</f>
        <v>181</v>
      </c>
      <c r="H26" s="4" t="s">
        <v>0</v>
      </c>
      <c r="I26" s="16" t="str">
        <f t="shared" si="18"/>
        <v>05-11</v>
      </c>
      <c r="J26" s="14">
        <f t="shared" si="19"/>
        <v>108</v>
      </c>
      <c r="K26" s="15">
        <f t="shared" si="20"/>
        <v>152</v>
      </c>
      <c r="L26" s="17">
        <f t="shared" si="21"/>
        <v>135</v>
      </c>
      <c r="M26" s="18">
        <f t="shared" si="22"/>
        <v>152</v>
      </c>
      <c r="N26" s="14">
        <f t="shared" si="23"/>
        <v>135</v>
      </c>
      <c r="O26" s="15">
        <f t="shared" si="24"/>
        <v>181</v>
      </c>
      <c r="P26" s="17">
        <f t="shared" si="25"/>
        <v>108</v>
      </c>
      <c r="Q26" s="18">
        <f t="shared" si="26"/>
        <v>181</v>
      </c>
      <c r="R26" s="4" t="s">
        <v>0</v>
      </c>
      <c r="S26" s="16" t="str">
        <f t="shared" si="27"/>
        <v>05-11</v>
      </c>
      <c r="T26" s="14">
        <f t="shared" si="28"/>
        <v>108</v>
      </c>
      <c r="U26" s="18">
        <f t="shared" si="29"/>
        <v>598</v>
      </c>
      <c r="V26" s="14">
        <f t="shared" si="30"/>
        <v>135</v>
      </c>
      <c r="W26" s="18">
        <f t="shared" si="31"/>
        <v>598</v>
      </c>
      <c r="X26" s="14">
        <f t="shared" si="32"/>
        <v>135</v>
      </c>
      <c r="Y26" s="18">
        <f t="shared" si="33"/>
        <v>569</v>
      </c>
      <c r="Z26" s="14">
        <f t="shared" si="34"/>
        <v>108</v>
      </c>
      <c r="AA26" s="18">
        <f t="shared" si="35"/>
        <v>569</v>
      </c>
      <c r="AB26" s="4" t="s">
        <v>0</v>
      </c>
    </row>
    <row r="27" spans="1:28">
      <c r="A27" s="9" t="s">
        <v>47</v>
      </c>
      <c r="B27" s="24"/>
      <c r="C27" s="26"/>
      <c r="D27" s="25">
        <f t="shared" si="37"/>
        <v>136</v>
      </c>
      <c r="E27" s="29">
        <f t="shared" ref="E27" si="41">E26</f>
        <v>152</v>
      </c>
      <c r="F27" s="25">
        <f t="shared" si="39"/>
        <v>163</v>
      </c>
      <c r="G27" s="29">
        <f t="shared" ref="G27" si="42">G26</f>
        <v>181</v>
      </c>
      <c r="H27" s="4" t="s">
        <v>0</v>
      </c>
      <c r="I27" s="16" t="str">
        <f t="shared" si="18"/>
        <v>05-10</v>
      </c>
      <c r="J27" s="14">
        <f t="shared" si="19"/>
        <v>136</v>
      </c>
      <c r="K27" s="15">
        <f t="shared" si="20"/>
        <v>152</v>
      </c>
      <c r="L27" s="17">
        <f t="shared" si="21"/>
        <v>163</v>
      </c>
      <c r="M27" s="18">
        <f t="shared" si="22"/>
        <v>152</v>
      </c>
      <c r="N27" s="14">
        <f t="shared" si="23"/>
        <v>163</v>
      </c>
      <c r="O27" s="15">
        <f t="shared" si="24"/>
        <v>181</v>
      </c>
      <c r="P27" s="17">
        <f t="shared" si="25"/>
        <v>136</v>
      </c>
      <c r="Q27" s="18">
        <f t="shared" si="26"/>
        <v>181</v>
      </c>
      <c r="R27" s="4" t="s">
        <v>0</v>
      </c>
      <c r="S27" s="16" t="str">
        <f t="shared" si="27"/>
        <v>05-10</v>
      </c>
      <c r="T27" s="14">
        <f t="shared" si="28"/>
        <v>136</v>
      </c>
      <c r="U27" s="18">
        <f t="shared" si="29"/>
        <v>598</v>
      </c>
      <c r="V27" s="14">
        <f t="shared" si="30"/>
        <v>163</v>
      </c>
      <c r="W27" s="18">
        <f t="shared" si="31"/>
        <v>598</v>
      </c>
      <c r="X27" s="14">
        <f t="shared" si="32"/>
        <v>163</v>
      </c>
      <c r="Y27" s="18">
        <f t="shared" si="33"/>
        <v>569</v>
      </c>
      <c r="Z27" s="14">
        <f t="shared" si="34"/>
        <v>136</v>
      </c>
      <c r="AA27" s="18">
        <f t="shared" si="35"/>
        <v>569</v>
      </c>
      <c r="AB27" s="4" t="s">
        <v>0</v>
      </c>
    </row>
    <row r="28" spans="1:28">
      <c r="A28" s="9" t="s">
        <v>46</v>
      </c>
      <c r="B28" s="24"/>
      <c r="C28" s="26"/>
      <c r="D28" s="25">
        <f t="shared" si="37"/>
        <v>163</v>
      </c>
      <c r="E28" s="29">
        <f t="shared" ref="E28" si="43">E27</f>
        <v>152</v>
      </c>
      <c r="F28" s="25">
        <f t="shared" si="39"/>
        <v>190</v>
      </c>
      <c r="G28" s="29">
        <f t="shared" ref="G28" si="44">G27</f>
        <v>181</v>
      </c>
      <c r="H28" s="4" t="s">
        <v>0</v>
      </c>
      <c r="I28" s="16" t="str">
        <f t="shared" si="18"/>
        <v>05-08</v>
      </c>
      <c r="J28" s="14">
        <f t="shared" si="19"/>
        <v>163</v>
      </c>
      <c r="K28" s="15">
        <f t="shared" si="20"/>
        <v>152</v>
      </c>
      <c r="L28" s="17">
        <f t="shared" si="21"/>
        <v>190</v>
      </c>
      <c r="M28" s="18">
        <f t="shared" si="22"/>
        <v>152</v>
      </c>
      <c r="N28" s="14">
        <f t="shared" si="23"/>
        <v>190</v>
      </c>
      <c r="O28" s="15">
        <f t="shared" si="24"/>
        <v>181</v>
      </c>
      <c r="P28" s="17">
        <f t="shared" si="25"/>
        <v>163</v>
      </c>
      <c r="Q28" s="18">
        <f t="shared" si="26"/>
        <v>181</v>
      </c>
      <c r="R28" s="4" t="s">
        <v>0</v>
      </c>
      <c r="S28" s="16" t="str">
        <f t="shared" si="27"/>
        <v>05-08</v>
      </c>
      <c r="T28" s="14">
        <f t="shared" si="28"/>
        <v>163</v>
      </c>
      <c r="U28" s="18">
        <f t="shared" si="29"/>
        <v>598</v>
      </c>
      <c r="V28" s="14">
        <f t="shared" si="30"/>
        <v>190</v>
      </c>
      <c r="W28" s="18">
        <f t="shared" si="31"/>
        <v>598</v>
      </c>
      <c r="X28" s="14">
        <f t="shared" si="32"/>
        <v>190</v>
      </c>
      <c r="Y28" s="18">
        <f t="shared" si="33"/>
        <v>569</v>
      </c>
      <c r="Z28" s="14">
        <f t="shared" si="34"/>
        <v>163</v>
      </c>
      <c r="AA28" s="18">
        <f t="shared" si="35"/>
        <v>569</v>
      </c>
      <c r="AB28" s="4" t="s">
        <v>0</v>
      </c>
    </row>
    <row r="29" spans="1:28">
      <c r="A29" s="9" t="s">
        <v>45</v>
      </c>
      <c r="B29" s="24"/>
      <c r="C29" s="26"/>
      <c r="D29" s="25">
        <f t="shared" si="37"/>
        <v>190</v>
      </c>
      <c r="E29" s="29">
        <f t="shared" ref="E29" si="45">E28</f>
        <v>152</v>
      </c>
      <c r="F29" s="25">
        <f t="shared" si="39"/>
        <v>217</v>
      </c>
      <c r="G29" s="29">
        <f t="shared" ref="G29" si="46">G28</f>
        <v>181</v>
      </c>
      <c r="H29" s="4" t="s">
        <v>0</v>
      </c>
      <c r="I29" s="16" t="str">
        <f t="shared" si="18"/>
        <v>05-07</v>
      </c>
      <c r="J29" s="14">
        <f t="shared" si="19"/>
        <v>190</v>
      </c>
      <c r="K29" s="15">
        <f t="shared" si="20"/>
        <v>152</v>
      </c>
      <c r="L29" s="17">
        <f t="shared" si="21"/>
        <v>217</v>
      </c>
      <c r="M29" s="18">
        <f t="shared" si="22"/>
        <v>152</v>
      </c>
      <c r="N29" s="14">
        <f t="shared" si="23"/>
        <v>217</v>
      </c>
      <c r="O29" s="15">
        <f t="shared" si="24"/>
        <v>181</v>
      </c>
      <c r="P29" s="17">
        <f t="shared" si="25"/>
        <v>190</v>
      </c>
      <c r="Q29" s="18">
        <f t="shared" si="26"/>
        <v>181</v>
      </c>
      <c r="R29" s="4" t="s">
        <v>0</v>
      </c>
      <c r="S29" s="16" t="str">
        <f t="shared" si="27"/>
        <v>05-07</v>
      </c>
      <c r="T29" s="14">
        <f t="shared" si="28"/>
        <v>190</v>
      </c>
      <c r="U29" s="18">
        <f t="shared" si="29"/>
        <v>598</v>
      </c>
      <c r="V29" s="14">
        <f t="shared" si="30"/>
        <v>217</v>
      </c>
      <c r="W29" s="18">
        <f t="shared" si="31"/>
        <v>598</v>
      </c>
      <c r="X29" s="14">
        <f t="shared" si="32"/>
        <v>217</v>
      </c>
      <c r="Y29" s="18">
        <f t="shared" si="33"/>
        <v>569</v>
      </c>
      <c r="Z29" s="14">
        <f t="shared" si="34"/>
        <v>190</v>
      </c>
      <c r="AA29" s="18">
        <f t="shared" si="35"/>
        <v>569</v>
      </c>
      <c r="AB29" s="4" t="s">
        <v>0</v>
      </c>
    </row>
    <row r="30" spans="1:28">
      <c r="A30" s="9" t="s">
        <v>44</v>
      </c>
      <c r="B30" s="24"/>
      <c r="C30" s="26"/>
      <c r="D30" s="25">
        <f t="shared" si="37"/>
        <v>218</v>
      </c>
      <c r="E30" s="29">
        <f t="shared" ref="E30" si="47">E29</f>
        <v>152</v>
      </c>
      <c r="F30" s="25">
        <f t="shared" si="39"/>
        <v>245</v>
      </c>
      <c r="G30" s="29">
        <f t="shared" ref="G30" si="48">G29</f>
        <v>181</v>
      </c>
      <c r="H30" s="4" t="s">
        <v>0</v>
      </c>
      <c r="I30" s="16" t="str">
        <f t="shared" si="18"/>
        <v>05-06</v>
      </c>
      <c r="J30" s="14">
        <f t="shared" si="19"/>
        <v>218</v>
      </c>
      <c r="K30" s="15">
        <f t="shared" si="20"/>
        <v>152</v>
      </c>
      <c r="L30" s="17">
        <f t="shared" si="21"/>
        <v>245</v>
      </c>
      <c r="M30" s="18">
        <f t="shared" si="22"/>
        <v>152</v>
      </c>
      <c r="N30" s="14">
        <f t="shared" si="23"/>
        <v>245</v>
      </c>
      <c r="O30" s="15">
        <f t="shared" si="24"/>
        <v>181</v>
      </c>
      <c r="P30" s="17">
        <f t="shared" si="25"/>
        <v>218</v>
      </c>
      <c r="Q30" s="18">
        <f t="shared" si="26"/>
        <v>181</v>
      </c>
      <c r="R30" s="4" t="s">
        <v>0</v>
      </c>
      <c r="S30" s="16" t="str">
        <f t="shared" si="27"/>
        <v>05-06</v>
      </c>
      <c r="T30" s="14">
        <f t="shared" si="28"/>
        <v>218</v>
      </c>
      <c r="U30" s="18">
        <f t="shared" si="29"/>
        <v>598</v>
      </c>
      <c r="V30" s="14">
        <f t="shared" si="30"/>
        <v>245</v>
      </c>
      <c r="W30" s="18">
        <f t="shared" si="31"/>
        <v>598</v>
      </c>
      <c r="X30" s="14">
        <f t="shared" si="32"/>
        <v>245</v>
      </c>
      <c r="Y30" s="18">
        <f t="shared" si="33"/>
        <v>569</v>
      </c>
      <c r="Z30" s="14">
        <f t="shared" si="34"/>
        <v>218</v>
      </c>
      <c r="AA30" s="18">
        <f t="shared" si="35"/>
        <v>569</v>
      </c>
      <c r="AB30" s="4" t="s">
        <v>0</v>
      </c>
    </row>
    <row r="31" spans="1:28">
      <c r="A31" s="9" t="s">
        <v>43</v>
      </c>
      <c r="B31" s="24"/>
      <c r="C31" s="26"/>
      <c r="D31" s="25">
        <f t="shared" si="37"/>
        <v>245</v>
      </c>
      <c r="E31" s="29">
        <f t="shared" ref="E31" si="49">E30</f>
        <v>152</v>
      </c>
      <c r="F31" s="25">
        <f t="shared" si="39"/>
        <v>272</v>
      </c>
      <c r="G31" s="29">
        <f t="shared" ref="G31" si="50">G30</f>
        <v>181</v>
      </c>
      <c r="H31" s="4" t="s">
        <v>0</v>
      </c>
      <c r="I31" s="16" t="str">
        <f t="shared" si="18"/>
        <v>05-05</v>
      </c>
      <c r="J31" s="14">
        <f t="shared" si="19"/>
        <v>245</v>
      </c>
      <c r="K31" s="15">
        <f t="shared" si="20"/>
        <v>152</v>
      </c>
      <c r="L31" s="17">
        <f t="shared" si="21"/>
        <v>272</v>
      </c>
      <c r="M31" s="18">
        <f t="shared" si="22"/>
        <v>152</v>
      </c>
      <c r="N31" s="14">
        <f t="shared" si="23"/>
        <v>272</v>
      </c>
      <c r="O31" s="15">
        <f t="shared" si="24"/>
        <v>181</v>
      </c>
      <c r="P31" s="17">
        <f t="shared" si="25"/>
        <v>245</v>
      </c>
      <c r="Q31" s="18">
        <f t="shared" si="26"/>
        <v>181</v>
      </c>
      <c r="R31" s="4" t="s">
        <v>0</v>
      </c>
      <c r="S31" s="16" t="str">
        <f t="shared" si="27"/>
        <v>05-05</v>
      </c>
      <c r="T31" s="14">
        <f t="shared" si="28"/>
        <v>245</v>
      </c>
      <c r="U31" s="18">
        <f t="shared" si="29"/>
        <v>598</v>
      </c>
      <c r="V31" s="14">
        <f t="shared" si="30"/>
        <v>272</v>
      </c>
      <c r="W31" s="18">
        <f t="shared" si="31"/>
        <v>598</v>
      </c>
      <c r="X31" s="14">
        <f t="shared" si="32"/>
        <v>272</v>
      </c>
      <c r="Y31" s="18">
        <f t="shared" si="33"/>
        <v>569</v>
      </c>
      <c r="Z31" s="14">
        <f t="shared" si="34"/>
        <v>245</v>
      </c>
      <c r="AA31" s="18">
        <f t="shared" si="35"/>
        <v>569</v>
      </c>
      <c r="AB31" s="4" t="s">
        <v>0</v>
      </c>
    </row>
    <row r="32" spans="1:28">
      <c r="A32" s="9" t="s">
        <v>42</v>
      </c>
      <c r="B32" s="24"/>
      <c r="C32" s="26"/>
      <c r="D32" s="25">
        <f t="shared" si="37"/>
        <v>273</v>
      </c>
      <c r="E32" s="29">
        <f t="shared" ref="E32" si="51">E31</f>
        <v>152</v>
      </c>
      <c r="F32" s="25">
        <f t="shared" si="39"/>
        <v>300</v>
      </c>
      <c r="G32" s="29">
        <f t="shared" ref="G32" si="52">G31</f>
        <v>181</v>
      </c>
      <c r="H32" s="4" t="s">
        <v>0</v>
      </c>
      <c r="I32" s="16" t="str">
        <f t="shared" si="18"/>
        <v>05-03</v>
      </c>
      <c r="J32" s="14">
        <f t="shared" si="19"/>
        <v>273</v>
      </c>
      <c r="K32" s="15">
        <f t="shared" si="20"/>
        <v>152</v>
      </c>
      <c r="L32" s="17">
        <f t="shared" si="21"/>
        <v>300</v>
      </c>
      <c r="M32" s="18">
        <f t="shared" si="22"/>
        <v>152</v>
      </c>
      <c r="N32" s="14">
        <f t="shared" si="23"/>
        <v>300</v>
      </c>
      <c r="O32" s="15">
        <f t="shared" si="24"/>
        <v>181</v>
      </c>
      <c r="P32" s="17">
        <f t="shared" si="25"/>
        <v>273</v>
      </c>
      <c r="Q32" s="18">
        <f t="shared" si="26"/>
        <v>181</v>
      </c>
      <c r="R32" s="4" t="s">
        <v>0</v>
      </c>
      <c r="S32" s="16" t="str">
        <f t="shared" si="27"/>
        <v>05-03</v>
      </c>
      <c r="T32" s="14">
        <f t="shared" si="28"/>
        <v>273</v>
      </c>
      <c r="U32" s="18">
        <f t="shared" si="29"/>
        <v>598</v>
      </c>
      <c r="V32" s="14">
        <f t="shared" si="30"/>
        <v>300</v>
      </c>
      <c r="W32" s="18">
        <f t="shared" si="31"/>
        <v>598</v>
      </c>
      <c r="X32" s="14">
        <f t="shared" si="32"/>
        <v>300</v>
      </c>
      <c r="Y32" s="18">
        <f t="shared" si="33"/>
        <v>569</v>
      </c>
      <c r="Z32" s="14">
        <f t="shared" si="34"/>
        <v>273</v>
      </c>
      <c r="AA32" s="18">
        <f t="shared" si="35"/>
        <v>569</v>
      </c>
      <c r="AB32" s="4" t="s">
        <v>0</v>
      </c>
    </row>
    <row r="33" spans="1:28">
      <c r="A33" s="9" t="s">
        <v>41</v>
      </c>
      <c r="B33" s="24"/>
      <c r="C33" s="26"/>
      <c r="D33" s="25">
        <f t="shared" si="37"/>
        <v>300</v>
      </c>
      <c r="E33" s="29">
        <f t="shared" ref="E33" si="53">E32</f>
        <v>152</v>
      </c>
      <c r="F33" s="25">
        <f t="shared" si="39"/>
        <v>327</v>
      </c>
      <c r="G33" s="29">
        <f t="shared" ref="G33" si="54">G32</f>
        <v>181</v>
      </c>
      <c r="H33" s="4" t="s">
        <v>0</v>
      </c>
      <c r="I33" s="16" t="str">
        <f t="shared" si="18"/>
        <v>05-02</v>
      </c>
      <c r="J33" s="14">
        <f t="shared" si="19"/>
        <v>300</v>
      </c>
      <c r="K33" s="15">
        <f t="shared" si="20"/>
        <v>152</v>
      </c>
      <c r="L33" s="17">
        <f t="shared" si="21"/>
        <v>327</v>
      </c>
      <c r="M33" s="18">
        <f t="shared" si="22"/>
        <v>152</v>
      </c>
      <c r="N33" s="14">
        <f t="shared" si="23"/>
        <v>327</v>
      </c>
      <c r="O33" s="15">
        <f t="shared" si="24"/>
        <v>181</v>
      </c>
      <c r="P33" s="17">
        <f t="shared" si="25"/>
        <v>300</v>
      </c>
      <c r="Q33" s="18">
        <f t="shared" si="26"/>
        <v>181</v>
      </c>
      <c r="R33" s="4" t="s">
        <v>0</v>
      </c>
      <c r="S33" s="16" t="str">
        <f t="shared" si="27"/>
        <v>05-02</v>
      </c>
      <c r="T33" s="14">
        <f t="shared" si="28"/>
        <v>300</v>
      </c>
      <c r="U33" s="18">
        <f t="shared" si="29"/>
        <v>598</v>
      </c>
      <c r="V33" s="14">
        <f t="shared" si="30"/>
        <v>327</v>
      </c>
      <c r="W33" s="18">
        <f t="shared" si="31"/>
        <v>598</v>
      </c>
      <c r="X33" s="14">
        <f t="shared" si="32"/>
        <v>327</v>
      </c>
      <c r="Y33" s="18">
        <f t="shared" si="33"/>
        <v>569</v>
      </c>
      <c r="Z33" s="14">
        <f t="shared" si="34"/>
        <v>300</v>
      </c>
      <c r="AA33" s="18">
        <f t="shared" si="35"/>
        <v>569</v>
      </c>
      <c r="AB33" s="4" t="s">
        <v>0</v>
      </c>
    </row>
    <row r="34" spans="1:28">
      <c r="A34" s="9" t="s">
        <v>40</v>
      </c>
      <c r="B34" s="24"/>
      <c r="C34" s="26"/>
      <c r="D34" s="25">
        <f t="shared" si="37"/>
        <v>327</v>
      </c>
      <c r="E34" s="29">
        <f t="shared" ref="E34" si="55">E33</f>
        <v>152</v>
      </c>
      <c r="F34" s="25">
        <f t="shared" si="39"/>
        <v>354</v>
      </c>
      <c r="G34" s="29">
        <f t="shared" ref="G34" si="56">G33</f>
        <v>181</v>
      </c>
      <c r="H34" s="4" t="s">
        <v>0</v>
      </c>
      <c r="I34" s="16" t="str">
        <f t="shared" si="18"/>
        <v>05-01</v>
      </c>
      <c r="J34" s="14">
        <f t="shared" si="19"/>
        <v>327</v>
      </c>
      <c r="K34" s="15">
        <f t="shared" si="20"/>
        <v>152</v>
      </c>
      <c r="L34" s="17">
        <f t="shared" si="21"/>
        <v>354</v>
      </c>
      <c r="M34" s="18">
        <f t="shared" si="22"/>
        <v>152</v>
      </c>
      <c r="N34" s="14">
        <f t="shared" si="23"/>
        <v>354</v>
      </c>
      <c r="O34" s="15">
        <f t="shared" si="24"/>
        <v>181</v>
      </c>
      <c r="P34" s="17">
        <f t="shared" si="25"/>
        <v>327</v>
      </c>
      <c r="Q34" s="18">
        <f t="shared" si="26"/>
        <v>181</v>
      </c>
      <c r="R34" s="4" t="s">
        <v>0</v>
      </c>
      <c r="S34" s="16" t="str">
        <f t="shared" si="27"/>
        <v>05-01</v>
      </c>
      <c r="T34" s="14">
        <f t="shared" si="28"/>
        <v>327</v>
      </c>
      <c r="U34" s="18">
        <f t="shared" si="29"/>
        <v>598</v>
      </c>
      <c r="V34" s="14">
        <f t="shared" si="30"/>
        <v>354</v>
      </c>
      <c r="W34" s="18">
        <f t="shared" si="31"/>
        <v>598</v>
      </c>
      <c r="X34" s="14">
        <f t="shared" si="32"/>
        <v>354</v>
      </c>
      <c r="Y34" s="18">
        <f t="shared" si="33"/>
        <v>569</v>
      </c>
      <c r="Z34" s="14">
        <f t="shared" si="34"/>
        <v>327</v>
      </c>
      <c r="AA34" s="18">
        <f t="shared" si="35"/>
        <v>569</v>
      </c>
      <c r="AB34" s="4" t="s">
        <v>0</v>
      </c>
    </row>
    <row r="35" spans="1:28">
      <c r="A35" s="9" t="s">
        <v>155</v>
      </c>
      <c r="B35" s="24"/>
      <c r="C35" s="26">
        <v>2</v>
      </c>
      <c r="D35" s="25">
        <f>D23</f>
        <v>26</v>
      </c>
      <c r="E35" s="28">
        <f>ROUND(E$11+49*$C35, 0)</f>
        <v>201</v>
      </c>
      <c r="F35" s="25">
        <f>F23</f>
        <v>53</v>
      </c>
      <c r="G35" s="28">
        <f>ROUND(G$11+49*$C35, 0)</f>
        <v>230</v>
      </c>
      <c r="H35" s="4" t="s">
        <v>0</v>
      </c>
      <c r="I35" s="16" t="str">
        <f t="shared" si="18"/>
        <v>03-15</v>
      </c>
      <c r="J35" s="14">
        <f t="shared" si="19"/>
        <v>26</v>
      </c>
      <c r="K35" s="15">
        <f t="shared" si="20"/>
        <v>201</v>
      </c>
      <c r="L35" s="17">
        <f t="shared" si="21"/>
        <v>53</v>
      </c>
      <c r="M35" s="18">
        <f t="shared" si="22"/>
        <v>201</v>
      </c>
      <c r="N35" s="14">
        <f t="shared" si="23"/>
        <v>53</v>
      </c>
      <c r="O35" s="15">
        <f t="shared" si="24"/>
        <v>230</v>
      </c>
      <c r="P35" s="17">
        <f t="shared" si="25"/>
        <v>26</v>
      </c>
      <c r="Q35" s="18">
        <f t="shared" si="26"/>
        <v>230</v>
      </c>
      <c r="R35" s="4" t="s">
        <v>0</v>
      </c>
      <c r="S35" s="16" t="str">
        <f t="shared" si="27"/>
        <v>03-15</v>
      </c>
      <c r="T35" s="14">
        <f t="shared" si="28"/>
        <v>26</v>
      </c>
      <c r="U35" s="18">
        <f t="shared" si="29"/>
        <v>549</v>
      </c>
      <c r="V35" s="14">
        <f t="shared" si="30"/>
        <v>53</v>
      </c>
      <c r="W35" s="18">
        <f t="shared" si="31"/>
        <v>549</v>
      </c>
      <c r="X35" s="14">
        <f t="shared" si="32"/>
        <v>53</v>
      </c>
      <c r="Y35" s="18">
        <f t="shared" si="33"/>
        <v>520</v>
      </c>
      <c r="Z35" s="14">
        <f t="shared" si="34"/>
        <v>26</v>
      </c>
      <c r="AA35" s="18">
        <f t="shared" si="35"/>
        <v>520</v>
      </c>
      <c r="AB35" s="4" t="s">
        <v>0</v>
      </c>
    </row>
    <row r="36" spans="1:28">
      <c r="A36" s="9" t="s">
        <v>154</v>
      </c>
      <c r="B36" s="24"/>
      <c r="C36" s="26"/>
      <c r="D36" s="25">
        <f>D24</f>
        <v>53</v>
      </c>
      <c r="E36" s="29">
        <f t="shared" ref="E36" si="57">E35</f>
        <v>201</v>
      </c>
      <c r="F36" s="25">
        <f>F24</f>
        <v>80</v>
      </c>
      <c r="G36" s="29">
        <f t="shared" ref="G36" si="58">G35</f>
        <v>230</v>
      </c>
      <c r="H36" s="4" t="s">
        <v>0</v>
      </c>
      <c r="I36" s="16" t="str">
        <f t="shared" si="18"/>
        <v>03-13</v>
      </c>
      <c r="J36" s="14">
        <f t="shared" si="19"/>
        <v>53</v>
      </c>
      <c r="K36" s="15">
        <f t="shared" si="20"/>
        <v>201</v>
      </c>
      <c r="L36" s="17">
        <f t="shared" si="21"/>
        <v>80</v>
      </c>
      <c r="M36" s="18">
        <f t="shared" si="22"/>
        <v>201</v>
      </c>
      <c r="N36" s="14">
        <f t="shared" si="23"/>
        <v>80</v>
      </c>
      <c r="O36" s="15">
        <f t="shared" si="24"/>
        <v>230</v>
      </c>
      <c r="P36" s="17">
        <f t="shared" si="25"/>
        <v>53</v>
      </c>
      <c r="Q36" s="18">
        <f t="shared" si="26"/>
        <v>230</v>
      </c>
      <c r="R36" s="4" t="s">
        <v>0</v>
      </c>
      <c r="S36" s="16" t="str">
        <f t="shared" si="27"/>
        <v>03-13</v>
      </c>
      <c r="T36" s="14">
        <f t="shared" si="28"/>
        <v>53</v>
      </c>
      <c r="U36" s="18">
        <f t="shared" si="29"/>
        <v>549</v>
      </c>
      <c r="V36" s="14">
        <f t="shared" si="30"/>
        <v>80</v>
      </c>
      <c r="W36" s="18">
        <f t="shared" si="31"/>
        <v>549</v>
      </c>
      <c r="X36" s="14">
        <f t="shared" si="32"/>
        <v>80</v>
      </c>
      <c r="Y36" s="18">
        <f t="shared" si="33"/>
        <v>520</v>
      </c>
      <c r="Z36" s="14">
        <f t="shared" si="34"/>
        <v>53</v>
      </c>
      <c r="AA36" s="18">
        <f t="shared" si="35"/>
        <v>520</v>
      </c>
      <c r="AB36" s="4" t="s">
        <v>0</v>
      </c>
    </row>
    <row r="37" spans="1:28">
      <c r="A37" s="9" t="s">
        <v>39</v>
      </c>
      <c r="B37" s="24"/>
      <c r="C37" s="26"/>
      <c r="D37" s="25">
        <f>D25</f>
        <v>81</v>
      </c>
      <c r="E37" s="29">
        <f t="shared" ref="E37" si="59">E36</f>
        <v>201</v>
      </c>
      <c r="F37" s="25">
        <f>F25</f>
        <v>108</v>
      </c>
      <c r="G37" s="29">
        <f t="shared" ref="G37:G46" si="60">G36</f>
        <v>230</v>
      </c>
      <c r="H37" s="4" t="s">
        <v>0</v>
      </c>
      <c r="I37" s="16" t="str">
        <f t="shared" si="18"/>
        <v>03-12</v>
      </c>
      <c r="J37" s="14">
        <f t="shared" si="19"/>
        <v>81</v>
      </c>
      <c r="K37" s="15">
        <f t="shared" si="20"/>
        <v>201</v>
      </c>
      <c r="L37" s="17">
        <f t="shared" si="21"/>
        <v>108</v>
      </c>
      <c r="M37" s="18">
        <f t="shared" si="22"/>
        <v>201</v>
      </c>
      <c r="N37" s="14">
        <f t="shared" si="23"/>
        <v>108</v>
      </c>
      <c r="O37" s="15">
        <f t="shared" si="24"/>
        <v>230</v>
      </c>
      <c r="P37" s="17">
        <f t="shared" si="25"/>
        <v>81</v>
      </c>
      <c r="Q37" s="18">
        <f t="shared" si="26"/>
        <v>230</v>
      </c>
      <c r="R37" s="4" t="s">
        <v>0</v>
      </c>
      <c r="S37" s="16" t="str">
        <f t="shared" si="27"/>
        <v>03-12</v>
      </c>
      <c r="T37" s="14">
        <f t="shared" si="28"/>
        <v>81</v>
      </c>
      <c r="U37" s="18">
        <f t="shared" si="29"/>
        <v>549</v>
      </c>
      <c r="V37" s="14">
        <f t="shared" si="30"/>
        <v>108</v>
      </c>
      <c r="W37" s="18">
        <f t="shared" si="31"/>
        <v>549</v>
      </c>
      <c r="X37" s="14">
        <f t="shared" si="32"/>
        <v>108</v>
      </c>
      <c r="Y37" s="18">
        <f t="shared" si="33"/>
        <v>520</v>
      </c>
      <c r="Z37" s="14">
        <f t="shared" si="34"/>
        <v>81</v>
      </c>
      <c r="AA37" s="18">
        <f t="shared" si="35"/>
        <v>520</v>
      </c>
      <c r="AB37" s="4" t="s">
        <v>0</v>
      </c>
    </row>
    <row r="38" spans="1:28">
      <c r="A38" s="9" t="s">
        <v>38</v>
      </c>
      <c r="B38" s="24"/>
      <c r="C38" s="26"/>
      <c r="D38" s="25">
        <f t="shared" ref="D38:D46" si="61">D26</f>
        <v>108</v>
      </c>
      <c r="E38" s="29">
        <f t="shared" ref="E38" si="62">E37</f>
        <v>201</v>
      </c>
      <c r="F38" s="25">
        <f t="shared" ref="F38:F46" si="63">F26</f>
        <v>135</v>
      </c>
      <c r="G38" s="29">
        <f t="shared" si="60"/>
        <v>230</v>
      </c>
      <c r="H38" s="4" t="s">
        <v>0</v>
      </c>
      <c r="I38" s="16" t="str">
        <f t="shared" si="18"/>
        <v>03-11</v>
      </c>
      <c r="J38" s="14">
        <f t="shared" si="19"/>
        <v>108</v>
      </c>
      <c r="K38" s="15">
        <f t="shared" si="20"/>
        <v>201</v>
      </c>
      <c r="L38" s="17">
        <f t="shared" si="21"/>
        <v>135</v>
      </c>
      <c r="M38" s="18">
        <f t="shared" si="22"/>
        <v>201</v>
      </c>
      <c r="N38" s="14">
        <f t="shared" si="23"/>
        <v>135</v>
      </c>
      <c r="O38" s="15">
        <f t="shared" si="24"/>
        <v>230</v>
      </c>
      <c r="P38" s="17">
        <f t="shared" si="25"/>
        <v>108</v>
      </c>
      <c r="Q38" s="18">
        <f t="shared" si="26"/>
        <v>230</v>
      </c>
      <c r="R38" s="4" t="s">
        <v>0</v>
      </c>
      <c r="S38" s="16" t="str">
        <f t="shared" si="27"/>
        <v>03-11</v>
      </c>
      <c r="T38" s="14">
        <f t="shared" si="28"/>
        <v>108</v>
      </c>
      <c r="U38" s="18">
        <f t="shared" si="29"/>
        <v>549</v>
      </c>
      <c r="V38" s="14">
        <f t="shared" si="30"/>
        <v>135</v>
      </c>
      <c r="W38" s="18">
        <f t="shared" si="31"/>
        <v>549</v>
      </c>
      <c r="X38" s="14">
        <f t="shared" si="32"/>
        <v>135</v>
      </c>
      <c r="Y38" s="18">
        <f t="shared" si="33"/>
        <v>520</v>
      </c>
      <c r="Z38" s="14">
        <f t="shared" si="34"/>
        <v>108</v>
      </c>
      <c r="AA38" s="18">
        <f t="shared" si="35"/>
        <v>520</v>
      </c>
      <c r="AB38" s="4" t="s">
        <v>0</v>
      </c>
    </row>
    <row r="39" spans="1:28">
      <c r="A39" s="9" t="s">
        <v>37</v>
      </c>
      <c r="B39" s="24"/>
      <c r="C39" s="26"/>
      <c r="D39" s="25">
        <f t="shared" si="61"/>
        <v>136</v>
      </c>
      <c r="E39" s="29">
        <f t="shared" ref="E39" si="64">E38</f>
        <v>201</v>
      </c>
      <c r="F39" s="25">
        <f t="shared" si="63"/>
        <v>163</v>
      </c>
      <c r="G39" s="29">
        <f t="shared" si="60"/>
        <v>230</v>
      </c>
      <c r="H39" s="4" t="s">
        <v>0</v>
      </c>
      <c r="I39" s="16" t="str">
        <f t="shared" si="18"/>
        <v>03-10</v>
      </c>
      <c r="J39" s="14">
        <f t="shared" si="19"/>
        <v>136</v>
      </c>
      <c r="K39" s="15">
        <f t="shared" si="20"/>
        <v>201</v>
      </c>
      <c r="L39" s="17">
        <f t="shared" si="21"/>
        <v>163</v>
      </c>
      <c r="M39" s="18">
        <f t="shared" si="22"/>
        <v>201</v>
      </c>
      <c r="N39" s="14">
        <f t="shared" si="23"/>
        <v>163</v>
      </c>
      <c r="O39" s="15">
        <f t="shared" si="24"/>
        <v>230</v>
      </c>
      <c r="P39" s="17">
        <f t="shared" si="25"/>
        <v>136</v>
      </c>
      <c r="Q39" s="18">
        <f t="shared" si="26"/>
        <v>230</v>
      </c>
      <c r="R39" s="4" t="s">
        <v>0</v>
      </c>
      <c r="S39" s="16" t="str">
        <f t="shared" si="27"/>
        <v>03-10</v>
      </c>
      <c r="T39" s="14">
        <f t="shared" si="28"/>
        <v>136</v>
      </c>
      <c r="U39" s="18">
        <f t="shared" si="29"/>
        <v>549</v>
      </c>
      <c r="V39" s="14">
        <f t="shared" si="30"/>
        <v>163</v>
      </c>
      <c r="W39" s="18">
        <f t="shared" si="31"/>
        <v>549</v>
      </c>
      <c r="X39" s="14">
        <f t="shared" si="32"/>
        <v>163</v>
      </c>
      <c r="Y39" s="18">
        <f t="shared" si="33"/>
        <v>520</v>
      </c>
      <c r="Z39" s="14">
        <f t="shared" si="34"/>
        <v>136</v>
      </c>
      <c r="AA39" s="18">
        <f t="shared" si="35"/>
        <v>520</v>
      </c>
      <c r="AB39" s="4" t="s">
        <v>0</v>
      </c>
    </row>
    <row r="40" spans="1:28">
      <c r="A40" s="9" t="s">
        <v>36</v>
      </c>
      <c r="B40" s="24"/>
      <c r="C40" s="26"/>
      <c r="D40" s="25">
        <f t="shared" si="61"/>
        <v>163</v>
      </c>
      <c r="E40" s="29">
        <f t="shared" ref="E40" si="65">E39</f>
        <v>201</v>
      </c>
      <c r="F40" s="25">
        <f t="shared" si="63"/>
        <v>190</v>
      </c>
      <c r="G40" s="29">
        <f t="shared" si="60"/>
        <v>230</v>
      </c>
      <c r="H40" s="4" t="s">
        <v>0</v>
      </c>
      <c r="I40" s="16" t="str">
        <f t="shared" si="18"/>
        <v>03-08</v>
      </c>
      <c r="J40" s="14">
        <f t="shared" si="19"/>
        <v>163</v>
      </c>
      <c r="K40" s="15">
        <f t="shared" si="20"/>
        <v>201</v>
      </c>
      <c r="L40" s="17">
        <f t="shared" si="21"/>
        <v>190</v>
      </c>
      <c r="M40" s="18">
        <f t="shared" si="22"/>
        <v>201</v>
      </c>
      <c r="N40" s="14">
        <f t="shared" si="23"/>
        <v>190</v>
      </c>
      <c r="O40" s="15">
        <f t="shared" si="24"/>
        <v>230</v>
      </c>
      <c r="P40" s="17">
        <f t="shared" si="25"/>
        <v>163</v>
      </c>
      <c r="Q40" s="18">
        <f t="shared" si="26"/>
        <v>230</v>
      </c>
      <c r="R40" s="4" t="s">
        <v>0</v>
      </c>
      <c r="S40" s="16" t="str">
        <f t="shared" si="27"/>
        <v>03-08</v>
      </c>
      <c r="T40" s="14">
        <f t="shared" si="28"/>
        <v>163</v>
      </c>
      <c r="U40" s="18">
        <f t="shared" si="29"/>
        <v>549</v>
      </c>
      <c r="V40" s="14">
        <f t="shared" si="30"/>
        <v>190</v>
      </c>
      <c r="W40" s="18">
        <f t="shared" si="31"/>
        <v>549</v>
      </c>
      <c r="X40" s="14">
        <f t="shared" si="32"/>
        <v>190</v>
      </c>
      <c r="Y40" s="18">
        <f t="shared" si="33"/>
        <v>520</v>
      </c>
      <c r="Z40" s="14">
        <f t="shared" si="34"/>
        <v>163</v>
      </c>
      <c r="AA40" s="18">
        <f t="shared" si="35"/>
        <v>520</v>
      </c>
      <c r="AB40" s="4" t="s">
        <v>0</v>
      </c>
    </row>
    <row r="41" spans="1:28">
      <c r="A41" s="9" t="s">
        <v>35</v>
      </c>
      <c r="B41" s="24"/>
      <c r="C41" s="26"/>
      <c r="D41" s="25">
        <f t="shared" si="61"/>
        <v>190</v>
      </c>
      <c r="E41" s="29">
        <f t="shared" ref="E41" si="66">E40</f>
        <v>201</v>
      </c>
      <c r="F41" s="25">
        <f t="shared" si="63"/>
        <v>217</v>
      </c>
      <c r="G41" s="29">
        <f t="shared" si="60"/>
        <v>230</v>
      </c>
      <c r="H41" s="4" t="s">
        <v>0</v>
      </c>
      <c r="I41" s="16" t="str">
        <f t="shared" si="18"/>
        <v>03-07</v>
      </c>
      <c r="J41" s="14">
        <f t="shared" si="19"/>
        <v>190</v>
      </c>
      <c r="K41" s="15">
        <f t="shared" si="20"/>
        <v>201</v>
      </c>
      <c r="L41" s="17">
        <f t="shared" si="21"/>
        <v>217</v>
      </c>
      <c r="M41" s="18">
        <f t="shared" si="22"/>
        <v>201</v>
      </c>
      <c r="N41" s="14">
        <f t="shared" si="23"/>
        <v>217</v>
      </c>
      <c r="O41" s="15">
        <f t="shared" si="24"/>
        <v>230</v>
      </c>
      <c r="P41" s="17">
        <f t="shared" si="25"/>
        <v>190</v>
      </c>
      <c r="Q41" s="18">
        <f t="shared" si="26"/>
        <v>230</v>
      </c>
      <c r="R41" s="4" t="s">
        <v>0</v>
      </c>
      <c r="S41" s="16" t="str">
        <f t="shared" si="27"/>
        <v>03-07</v>
      </c>
      <c r="T41" s="14">
        <f t="shared" si="28"/>
        <v>190</v>
      </c>
      <c r="U41" s="18">
        <f t="shared" si="29"/>
        <v>549</v>
      </c>
      <c r="V41" s="14">
        <f t="shared" si="30"/>
        <v>217</v>
      </c>
      <c r="W41" s="18">
        <f t="shared" si="31"/>
        <v>549</v>
      </c>
      <c r="X41" s="14">
        <f t="shared" si="32"/>
        <v>217</v>
      </c>
      <c r="Y41" s="18">
        <f t="shared" si="33"/>
        <v>520</v>
      </c>
      <c r="Z41" s="14">
        <f t="shared" si="34"/>
        <v>190</v>
      </c>
      <c r="AA41" s="18">
        <f t="shared" si="35"/>
        <v>520</v>
      </c>
      <c r="AB41" s="4" t="s">
        <v>0</v>
      </c>
    </row>
    <row r="42" spans="1:28">
      <c r="A42" s="9" t="s">
        <v>34</v>
      </c>
      <c r="B42" s="24"/>
      <c r="C42" s="26"/>
      <c r="D42" s="25">
        <f t="shared" si="61"/>
        <v>218</v>
      </c>
      <c r="E42" s="29">
        <f t="shared" ref="E42" si="67">E41</f>
        <v>201</v>
      </c>
      <c r="F42" s="25">
        <f t="shared" si="63"/>
        <v>245</v>
      </c>
      <c r="G42" s="29">
        <f t="shared" si="60"/>
        <v>230</v>
      </c>
      <c r="H42" s="4" t="s">
        <v>0</v>
      </c>
      <c r="I42" s="16" t="str">
        <f t="shared" si="18"/>
        <v>03-06</v>
      </c>
      <c r="J42" s="14">
        <f t="shared" si="19"/>
        <v>218</v>
      </c>
      <c r="K42" s="15">
        <f t="shared" si="20"/>
        <v>201</v>
      </c>
      <c r="L42" s="17">
        <f t="shared" si="21"/>
        <v>245</v>
      </c>
      <c r="M42" s="18">
        <f t="shared" si="22"/>
        <v>201</v>
      </c>
      <c r="N42" s="14">
        <f t="shared" si="23"/>
        <v>245</v>
      </c>
      <c r="O42" s="15">
        <f t="shared" si="24"/>
        <v>230</v>
      </c>
      <c r="P42" s="17">
        <f t="shared" si="25"/>
        <v>218</v>
      </c>
      <c r="Q42" s="18">
        <f t="shared" si="26"/>
        <v>230</v>
      </c>
      <c r="R42" s="4" t="s">
        <v>0</v>
      </c>
      <c r="S42" s="16" t="str">
        <f t="shared" si="27"/>
        <v>03-06</v>
      </c>
      <c r="T42" s="14">
        <f t="shared" si="28"/>
        <v>218</v>
      </c>
      <c r="U42" s="18">
        <f t="shared" si="29"/>
        <v>549</v>
      </c>
      <c r="V42" s="14">
        <f t="shared" si="30"/>
        <v>245</v>
      </c>
      <c r="W42" s="18">
        <f t="shared" si="31"/>
        <v>549</v>
      </c>
      <c r="X42" s="14">
        <f t="shared" si="32"/>
        <v>245</v>
      </c>
      <c r="Y42" s="18">
        <f t="shared" si="33"/>
        <v>520</v>
      </c>
      <c r="Z42" s="14">
        <f t="shared" si="34"/>
        <v>218</v>
      </c>
      <c r="AA42" s="18">
        <f t="shared" si="35"/>
        <v>520</v>
      </c>
      <c r="AB42" s="4" t="s">
        <v>0</v>
      </c>
    </row>
    <row r="43" spans="1:28">
      <c r="A43" s="9" t="s">
        <v>33</v>
      </c>
      <c r="B43" s="24"/>
      <c r="C43" s="26"/>
      <c r="D43" s="25">
        <f t="shared" si="61"/>
        <v>245</v>
      </c>
      <c r="E43" s="29">
        <f t="shared" ref="E43" si="68">E42</f>
        <v>201</v>
      </c>
      <c r="F43" s="25">
        <f t="shared" si="63"/>
        <v>272</v>
      </c>
      <c r="G43" s="29">
        <f t="shared" si="60"/>
        <v>230</v>
      </c>
      <c r="H43" s="4" t="s">
        <v>0</v>
      </c>
      <c r="I43" s="16" t="str">
        <f t="shared" si="18"/>
        <v>03-05</v>
      </c>
      <c r="J43" s="14">
        <f t="shared" si="19"/>
        <v>245</v>
      </c>
      <c r="K43" s="15">
        <f t="shared" si="20"/>
        <v>201</v>
      </c>
      <c r="L43" s="17">
        <f t="shared" si="21"/>
        <v>272</v>
      </c>
      <c r="M43" s="18">
        <f t="shared" si="22"/>
        <v>201</v>
      </c>
      <c r="N43" s="14">
        <f t="shared" si="23"/>
        <v>272</v>
      </c>
      <c r="O43" s="15">
        <f t="shared" si="24"/>
        <v>230</v>
      </c>
      <c r="P43" s="17">
        <f t="shared" si="25"/>
        <v>245</v>
      </c>
      <c r="Q43" s="18">
        <f t="shared" si="26"/>
        <v>230</v>
      </c>
      <c r="R43" s="4" t="s">
        <v>0</v>
      </c>
      <c r="S43" s="16" t="str">
        <f t="shared" si="27"/>
        <v>03-05</v>
      </c>
      <c r="T43" s="14">
        <f t="shared" si="28"/>
        <v>245</v>
      </c>
      <c r="U43" s="18">
        <f t="shared" si="29"/>
        <v>549</v>
      </c>
      <c r="V43" s="14">
        <f t="shared" si="30"/>
        <v>272</v>
      </c>
      <c r="W43" s="18">
        <f t="shared" si="31"/>
        <v>549</v>
      </c>
      <c r="X43" s="14">
        <f t="shared" si="32"/>
        <v>272</v>
      </c>
      <c r="Y43" s="18">
        <f t="shared" si="33"/>
        <v>520</v>
      </c>
      <c r="Z43" s="14">
        <f t="shared" si="34"/>
        <v>245</v>
      </c>
      <c r="AA43" s="18">
        <f t="shared" si="35"/>
        <v>520</v>
      </c>
      <c r="AB43" s="4" t="s">
        <v>0</v>
      </c>
    </row>
    <row r="44" spans="1:28">
      <c r="A44" s="9" t="s">
        <v>32</v>
      </c>
      <c r="B44" s="24"/>
      <c r="C44" s="26"/>
      <c r="D44" s="25">
        <f t="shared" si="61"/>
        <v>273</v>
      </c>
      <c r="E44" s="29">
        <f t="shared" ref="E44" si="69">E43</f>
        <v>201</v>
      </c>
      <c r="F44" s="25">
        <f t="shared" si="63"/>
        <v>300</v>
      </c>
      <c r="G44" s="29">
        <f t="shared" si="60"/>
        <v>230</v>
      </c>
      <c r="H44" s="4" t="s">
        <v>0</v>
      </c>
      <c r="I44" s="16" t="str">
        <f t="shared" si="18"/>
        <v>03-03</v>
      </c>
      <c r="J44" s="14">
        <f t="shared" si="19"/>
        <v>273</v>
      </c>
      <c r="K44" s="15">
        <f t="shared" si="20"/>
        <v>201</v>
      </c>
      <c r="L44" s="17">
        <f t="shared" si="21"/>
        <v>300</v>
      </c>
      <c r="M44" s="18">
        <f t="shared" si="22"/>
        <v>201</v>
      </c>
      <c r="N44" s="14">
        <f t="shared" si="23"/>
        <v>300</v>
      </c>
      <c r="O44" s="15">
        <f t="shared" si="24"/>
        <v>230</v>
      </c>
      <c r="P44" s="17">
        <f t="shared" si="25"/>
        <v>273</v>
      </c>
      <c r="Q44" s="18">
        <f t="shared" si="26"/>
        <v>230</v>
      </c>
      <c r="R44" s="4" t="s">
        <v>0</v>
      </c>
      <c r="S44" s="16" t="str">
        <f t="shared" si="27"/>
        <v>03-03</v>
      </c>
      <c r="T44" s="14">
        <f t="shared" si="28"/>
        <v>273</v>
      </c>
      <c r="U44" s="18">
        <f t="shared" si="29"/>
        <v>549</v>
      </c>
      <c r="V44" s="14">
        <f t="shared" si="30"/>
        <v>300</v>
      </c>
      <c r="W44" s="18">
        <f t="shared" si="31"/>
        <v>549</v>
      </c>
      <c r="X44" s="14">
        <f t="shared" si="32"/>
        <v>300</v>
      </c>
      <c r="Y44" s="18">
        <f t="shared" si="33"/>
        <v>520</v>
      </c>
      <c r="Z44" s="14">
        <f t="shared" si="34"/>
        <v>273</v>
      </c>
      <c r="AA44" s="18">
        <f t="shared" si="35"/>
        <v>520</v>
      </c>
      <c r="AB44" s="4" t="s">
        <v>0</v>
      </c>
    </row>
    <row r="45" spans="1:28">
      <c r="A45" s="9" t="s">
        <v>31</v>
      </c>
      <c r="B45" s="24"/>
      <c r="C45" s="26"/>
      <c r="D45" s="25">
        <f t="shared" si="61"/>
        <v>300</v>
      </c>
      <c r="E45" s="29">
        <f t="shared" ref="E45" si="70">E44</f>
        <v>201</v>
      </c>
      <c r="F45" s="25">
        <f t="shared" si="63"/>
        <v>327</v>
      </c>
      <c r="G45" s="29">
        <f t="shared" si="60"/>
        <v>230</v>
      </c>
      <c r="H45" s="4" t="s">
        <v>0</v>
      </c>
      <c r="I45" s="16" t="str">
        <f t="shared" si="18"/>
        <v>03-02</v>
      </c>
      <c r="J45" s="14">
        <f t="shared" si="19"/>
        <v>300</v>
      </c>
      <c r="K45" s="15">
        <f t="shared" si="20"/>
        <v>201</v>
      </c>
      <c r="L45" s="17">
        <f t="shared" si="21"/>
        <v>327</v>
      </c>
      <c r="M45" s="18">
        <f t="shared" si="22"/>
        <v>201</v>
      </c>
      <c r="N45" s="14">
        <f t="shared" si="23"/>
        <v>327</v>
      </c>
      <c r="O45" s="15">
        <f t="shared" si="24"/>
        <v>230</v>
      </c>
      <c r="P45" s="17">
        <f t="shared" si="25"/>
        <v>300</v>
      </c>
      <c r="Q45" s="18">
        <f t="shared" si="26"/>
        <v>230</v>
      </c>
      <c r="R45" s="4" t="s">
        <v>0</v>
      </c>
      <c r="S45" s="16" t="str">
        <f t="shared" si="27"/>
        <v>03-02</v>
      </c>
      <c r="T45" s="14">
        <f t="shared" si="28"/>
        <v>300</v>
      </c>
      <c r="U45" s="18">
        <f t="shared" si="29"/>
        <v>549</v>
      </c>
      <c r="V45" s="14">
        <f t="shared" si="30"/>
        <v>327</v>
      </c>
      <c r="W45" s="18">
        <f t="shared" si="31"/>
        <v>549</v>
      </c>
      <c r="X45" s="14">
        <f t="shared" si="32"/>
        <v>327</v>
      </c>
      <c r="Y45" s="18">
        <f t="shared" si="33"/>
        <v>520</v>
      </c>
      <c r="Z45" s="14">
        <f t="shared" si="34"/>
        <v>300</v>
      </c>
      <c r="AA45" s="18">
        <f t="shared" si="35"/>
        <v>520</v>
      </c>
      <c r="AB45" s="4" t="s">
        <v>0</v>
      </c>
    </row>
    <row r="46" spans="1:28">
      <c r="A46" s="9" t="s">
        <v>30</v>
      </c>
      <c r="B46" s="24"/>
      <c r="C46" s="26"/>
      <c r="D46" s="25">
        <f t="shared" si="61"/>
        <v>327</v>
      </c>
      <c r="E46" s="29">
        <f t="shared" ref="E46" si="71">E45</f>
        <v>201</v>
      </c>
      <c r="F46" s="25">
        <f t="shared" si="63"/>
        <v>354</v>
      </c>
      <c r="G46" s="29">
        <f t="shared" si="60"/>
        <v>230</v>
      </c>
      <c r="H46" s="4" t="s">
        <v>0</v>
      </c>
      <c r="I46" s="16" t="str">
        <f t="shared" si="18"/>
        <v>03-01</v>
      </c>
      <c r="J46" s="14">
        <f t="shared" si="19"/>
        <v>327</v>
      </c>
      <c r="K46" s="15">
        <f t="shared" si="20"/>
        <v>201</v>
      </c>
      <c r="L46" s="17">
        <f t="shared" si="21"/>
        <v>354</v>
      </c>
      <c r="M46" s="18">
        <f t="shared" si="22"/>
        <v>201</v>
      </c>
      <c r="N46" s="14">
        <f t="shared" si="23"/>
        <v>354</v>
      </c>
      <c r="O46" s="15">
        <f t="shared" si="24"/>
        <v>230</v>
      </c>
      <c r="P46" s="17">
        <f t="shared" si="25"/>
        <v>327</v>
      </c>
      <c r="Q46" s="18">
        <f t="shared" si="26"/>
        <v>230</v>
      </c>
      <c r="R46" s="4" t="s">
        <v>0</v>
      </c>
      <c r="S46" s="16" t="str">
        <f t="shared" si="27"/>
        <v>03-01</v>
      </c>
      <c r="T46" s="14">
        <f t="shared" si="28"/>
        <v>327</v>
      </c>
      <c r="U46" s="18">
        <f t="shared" si="29"/>
        <v>549</v>
      </c>
      <c r="V46" s="14">
        <f t="shared" si="30"/>
        <v>354</v>
      </c>
      <c r="W46" s="18">
        <f t="shared" si="31"/>
        <v>549</v>
      </c>
      <c r="X46" s="14">
        <f t="shared" si="32"/>
        <v>354</v>
      </c>
      <c r="Y46" s="18">
        <f t="shared" si="33"/>
        <v>520</v>
      </c>
      <c r="Z46" s="14">
        <f t="shared" si="34"/>
        <v>327</v>
      </c>
      <c r="AA46" s="18">
        <f t="shared" si="35"/>
        <v>520</v>
      </c>
      <c r="AB46" s="4" t="s">
        <v>0</v>
      </c>
    </row>
    <row r="47" spans="1:28">
      <c r="A47" s="9" t="s">
        <v>148</v>
      </c>
      <c r="B47" s="24"/>
      <c r="C47" s="26">
        <v>3</v>
      </c>
      <c r="D47" s="25">
        <f>D35</f>
        <v>26</v>
      </c>
      <c r="E47" s="28">
        <f>ROUND(E$11+49*$C47, 0)</f>
        <v>250</v>
      </c>
      <c r="F47" s="25">
        <f>F35</f>
        <v>53</v>
      </c>
      <c r="G47" s="28">
        <f>ROUND(G$11+49*$C47, 0)</f>
        <v>279</v>
      </c>
      <c r="H47" s="4" t="s">
        <v>0</v>
      </c>
      <c r="I47" s="16" t="str">
        <f t="shared" si="18"/>
        <v>02-13</v>
      </c>
      <c r="J47" s="14">
        <f t="shared" si="19"/>
        <v>26</v>
      </c>
      <c r="K47" s="15">
        <f t="shared" si="20"/>
        <v>250</v>
      </c>
      <c r="L47" s="17">
        <f t="shared" si="21"/>
        <v>53</v>
      </c>
      <c r="M47" s="18">
        <f t="shared" si="22"/>
        <v>250</v>
      </c>
      <c r="N47" s="14">
        <f t="shared" si="23"/>
        <v>53</v>
      </c>
      <c r="O47" s="15">
        <f t="shared" si="24"/>
        <v>279</v>
      </c>
      <c r="P47" s="17">
        <f t="shared" si="25"/>
        <v>26</v>
      </c>
      <c r="Q47" s="18">
        <f t="shared" si="26"/>
        <v>279</v>
      </c>
      <c r="R47" s="4" t="s">
        <v>0</v>
      </c>
      <c r="S47" s="16" t="str">
        <f t="shared" si="27"/>
        <v>02-13</v>
      </c>
      <c r="T47" s="14">
        <f t="shared" si="28"/>
        <v>26</v>
      </c>
      <c r="U47" s="18">
        <f t="shared" si="29"/>
        <v>500</v>
      </c>
      <c r="V47" s="14">
        <f t="shared" si="30"/>
        <v>53</v>
      </c>
      <c r="W47" s="18">
        <f t="shared" si="31"/>
        <v>500</v>
      </c>
      <c r="X47" s="14">
        <f t="shared" si="32"/>
        <v>53</v>
      </c>
      <c r="Y47" s="18">
        <f t="shared" si="33"/>
        <v>471</v>
      </c>
      <c r="Z47" s="14">
        <f t="shared" si="34"/>
        <v>26</v>
      </c>
      <c r="AA47" s="18">
        <f t="shared" si="35"/>
        <v>471</v>
      </c>
      <c r="AB47" s="4" t="s">
        <v>0</v>
      </c>
    </row>
    <row r="48" spans="1:28">
      <c r="A48" s="9" t="s">
        <v>29</v>
      </c>
      <c r="B48" s="24"/>
      <c r="C48" s="26"/>
      <c r="D48" s="25">
        <f>D36</f>
        <v>53</v>
      </c>
      <c r="E48" s="29">
        <f t="shared" ref="E48" si="72">E47</f>
        <v>250</v>
      </c>
      <c r="F48" s="25">
        <f>F36</f>
        <v>80</v>
      </c>
      <c r="G48" s="29">
        <f t="shared" ref="G48" si="73">G47</f>
        <v>279</v>
      </c>
      <c r="H48" s="4" t="s">
        <v>0</v>
      </c>
      <c r="I48" s="16" t="str">
        <f t="shared" si="18"/>
        <v>02-12</v>
      </c>
      <c r="J48" s="14">
        <f t="shared" si="19"/>
        <v>53</v>
      </c>
      <c r="K48" s="15">
        <f t="shared" si="20"/>
        <v>250</v>
      </c>
      <c r="L48" s="17">
        <f t="shared" si="21"/>
        <v>80</v>
      </c>
      <c r="M48" s="18">
        <f t="shared" si="22"/>
        <v>250</v>
      </c>
      <c r="N48" s="14">
        <f t="shared" si="23"/>
        <v>80</v>
      </c>
      <c r="O48" s="15">
        <f t="shared" si="24"/>
        <v>279</v>
      </c>
      <c r="P48" s="17">
        <f t="shared" si="25"/>
        <v>53</v>
      </c>
      <c r="Q48" s="18">
        <f t="shared" si="26"/>
        <v>279</v>
      </c>
      <c r="R48" s="4" t="s">
        <v>0</v>
      </c>
      <c r="S48" s="16" t="str">
        <f t="shared" si="27"/>
        <v>02-12</v>
      </c>
      <c r="T48" s="14">
        <f t="shared" si="28"/>
        <v>53</v>
      </c>
      <c r="U48" s="18">
        <f t="shared" si="29"/>
        <v>500</v>
      </c>
      <c r="V48" s="14">
        <f t="shared" si="30"/>
        <v>80</v>
      </c>
      <c r="W48" s="18">
        <f t="shared" si="31"/>
        <v>500</v>
      </c>
      <c r="X48" s="14">
        <f t="shared" si="32"/>
        <v>80</v>
      </c>
      <c r="Y48" s="18">
        <f t="shared" si="33"/>
        <v>471</v>
      </c>
      <c r="Z48" s="14">
        <f t="shared" si="34"/>
        <v>53</v>
      </c>
      <c r="AA48" s="18">
        <f t="shared" si="35"/>
        <v>471</v>
      </c>
      <c r="AB48" s="4" t="s">
        <v>0</v>
      </c>
    </row>
    <row r="49" spans="1:28">
      <c r="A49" s="9" t="s">
        <v>28</v>
      </c>
      <c r="B49" s="24"/>
      <c r="C49" s="26"/>
      <c r="D49" s="25">
        <f>D37</f>
        <v>81</v>
      </c>
      <c r="E49" s="29">
        <f t="shared" ref="E49" si="74">E48</f>
        <v>250</v>
      </c>
      <c r="F49" s="25">
        <f>F37</f>
        <v>108</v>
      </c>
      <c r="G49" s="29">
        <f t="shared" ref="G49:G68" si="75">G48</f>
        <v>279</v>
      </c>
      <c r="H49" s="4" t="s">
        <v>0</v>
      </c>
      <c r="I49" s="16" t="str">
        <f t="shared" si="18"/>
        <v>02-11</v>
      </c>
      <c r="J49" s="14">
        <f t="shared" si="19"/>
        <v>81</v>
      </c>
      <c r="K49" s="15">
        <f t="shared" si="20"/>
        <v>250</v>
      </c>
      <c r="L49" s="17">
        <f t="shared" si="21"/>
        <v>108</v>
      </c>
      <c r="M49" s="18">
        <f t="shared" si="22"/>
        <v>250</v>
      </c>
      <c r="N49" s="14">
        <f t="shared" si="23"/>
        <v>108</v>
      </c>
      <c r="O49" s="15">
        <f t="shared" si="24"/>
        <v>279</v>
      </c>
      <c r="P49" s="17">
        <f t="shared" si="25"/>
        <v>81</v>
      </c>
      <c r="Q49" s="18">
        <f t="shared" si="26"/>
        <v>279</v>
      </c>
      <c r="R49" s="4" t="s">
        <v>0</v>
      </c>
      <c r="S49" s="16" t="str">
        <f t="shared" si="27"/>
        <v>02-11</v>
      </c>
      <c r="T49" s="14">
        <f t="shared" si="28"/>
        <v>81</v>
      </c>
      <c r="U49" s="18">
        <f t="shared" si="29"/>
        <v>500</v>
      </c>
      <c r="V49" s="14">
        <f t="shared" si="30"/>
        <v>108</v>
      </c>
      <c r="W49" s="18">
        <f t="shared" si="31"/>
        <v>500</v>
      </c>
      <c r="X49" s="14">
        <f t="shared" si="32"/>
        <v>108</v>
      </c>
      <c r="Y49" s="18">
        <f t="shared" si="33"/>
        <v>471</v>
      </c>
      <c r="Z49" s="14">
        <f t="shared" si="34"/>
        <v>81</v>
      </c>
      <c r="AA49" s="18">
        <f t="shared" si="35"/>
        <v>471</v>
      </c>
      <c r="AB49" s="4" t="s">
        <v>0</v>
      </c>
    </row>
    <row r="50" spans="1:28">
      <c r="A50" s="9" t="s">
        <v>27</v>
      </c>
      <c r="B50" s="24"/>
      <c r="C50" s="26"/>
      <c r="D50" s="25">
        <f t="shared" ref="D50:D57" si="76">D38</f>
        <v>108</v>
      </c>
      <c r="E50" s="29">
        <f t="shared" ref="E50" si="77">E49</f>
        <v>250</v>
      </c>
      <c r="F50" s="25">
        <f t="shared" ref="F50:F57" si="78">F38</f>
        <v>135</v>
      </c>
      <c r="G50" s="29">
        <f t="shared" si="75"/>
        <v>279</v>
      </c>
      <c r="H50" s="4" t="s">
        <v>0</v>
      </c>
      <c r="I50" s="16" t="str">
        <f t="shared" si="18"/>
        <v>02-10</v>
      </c>
      <c r="J50" s="14">
        <f t="shared" si="19"/>
        <v>108</v>
      </c>
      <c r="K50" s="15">
        <f t="shared" si="20"/>
        <v>250</v>
      </c>
      <c r="L50" s="17">
        <f t="shared" si="21"/>
        <v>135</v>
      </c>
      <c r="M50" s="18">
        <f t="shared" si="22"/>
        <v>250</v>
      </c>
      <c r="N50" s="14">
        <f t="shared" si="23"/>
        <v>135</v>
      </c>
      <c r="O50" s="15">
        <f t="shared" si="24"/>
        <v>279</v>
      </c>
      <c r="P50" s="17">
        <f t="shared" si="25"/>
        <v>108</v>
      </c>
      <c r="Q50" s="18">
        <f t="shared" si="26"/>
        <v>279</v>
      </c>
      <c r="R50" s="4" t="s">
        <v>0</v>
      </c>
      <c r="S50" s="16" t="str">
        <f t="shared" si="27"/>
        <v>02-10</v>
      </c>
      <c r="T50" s="14">
        <f t="shared" si="28"/>
        <v>108</v>
      </c>
      <c r="U50" s="18">
        <f t="shared" si="29"/>
        <v>500</v>
      </c>
      <c r="V50" s="14">
        <f t="shared" si="30"/>
        <v>135</v>
      </c>
      <c r="W50" s="18">
        <f t="shared" si="31"/>
        <v>500</v>
      </c>
      <c r="X50" s="14">
        <f t="shared" si="32"/>
        <v>135</v>
      </c>
      <c r="Y50" s="18">
        <f t="shared" si="33"/>
        <v>471</v>
      </c>
      <c r="Z50" s="14">
        <f t="shared" si="34"/>
        <v>108</v>
      </c>
      <c r="AA50" s="18">
        <f t="shared" si="35"/>
        <v>471</v>
      </c>
      <c r="AB50" s="4" t="s">
        <v>0</v>
      </c>
    </row>
    <row r="51" spans="1:28">
      <c r="A51" s="9" t="s">
        <v>26</v>
      </c>
      <c r="B51" s="24"/>
      <c r="C51" s="26"/>
      <c r="D51" s="25">
        <f t="shared" si="76"/>
        <v>136</v>
      </c>
      <c r="E51" s="29">
        <f t="shared" ref="E51" si="79">E50</f>
        <v>250</v>
      </c>
      <c r="F51" s="25">
        <f t="shared" si="78"/>
        <v>163</v>
      </c>
      <c r="G51" s="29">
        <f t="shared" si="75"/>
        <v>279</v>
      </c>
      <c r="H51" s="4" t="s">
        <v>0</v>
      </c>
      <c r="I51" s="16" t="str">
        <f t="shared" si="18"/>
        <v>02-08</v>
      </c>
      <c r="J51" s="14">
        <f t="shared" si="19"/>
        <v>136</v>
      </c>
      <c r="K51" s="15">
        <f t="shared" si="20"/>
        <v>250</v>
      </c>
      <c r="L51" s="17">
        <f t="shared" si="21"/>
        <v>163</v>
      </c>
      <c r="M51" s="18">
        <f t="shared" si="22"/>
        <v>250</v>
      </c>
      <c r="N51" s="14">
        <f t="shared" si="23"/>
        <v>163</v>
      </c>
      <c r="O51" s="15">
        <f t="shared" si="24"/>
        <v>279</v>
      </c>
      <c r="P51" s="17">
        <f t="shared" si="25"/>
        <v>136</v>
      </c>
      <c r="Q51" s="18">
        <f t="shared" si="26"/>
        <v>279</v>
      </c>
      <c r="R51" s="4" t="s">
        <v>0</v>
      </c>
      <c r="S51" s="16" t="str">
        <f t="shared" si="27"/>
        <v>02-08</v>
      </c>
      <c r="T51" s="14">
        <f t="shared" si="28"/>
        <v>136</v>
      </c>
      <c r="U51" s="18">
        <f t="shared" si="29"/>
        <v>500</v>
      </c>
      <c r="V51" s="14">
        <f t="shared" si="30"/>
        <v>163</v>
      </c>
      <c r="W51" s="18">
        <f t="shared" si="31"/>
        <v>500</v>
      </c>
      <c r="X51" s="14">
        <f t="shared" si="32"/>
        <v>163</v>
      </c>
      <c r="Y51" s="18">
        <f t="shared" si="33"/>
        <v>471</v>
      </c>
      <c r="Z51" s="14">
        <f t="shared" si="34"/>
        <v>136</v>
      </c>
      <c r="AA51" s="18">
        <f t="shared" si="35"/>
        <v>471</v>
      </c>
      <c r="AB51" s="4" t="s">
        <v>0</v>
      </c>
    </row>
    <row r="52" spans="1:28">
      <c r="A52" s="9" t="s">
        <v>25</v>
      </c>
      <c r="B52" s="24"/>
      <c r="C52" s="26"/>
      <c r="D52" s="25">
        <f t="shared" si="76"/>
        <v>163</v>
      </c>
      <c r="E52" s="29">
        <f t="shared" ref="E52" si="80">E51</f>
        <v>250</v>
      </c>
      <c r="F52" s="25">
        <f t="shared" si="78"/>
        <v>190</v>
      </c>
      <c r="G52" s="29">
        <f t="shared" si="75"/>
        <v>279</v>
      </c>
      <c r="H52" s="4" t="s">
        <v>0</v>
      </c>
      <c r="I52" s="16" t="str">
        <f t="shared" si="18"/>
        <v>02-07</v>
      </c>
      <c r="J52" s="14">
        <f t="shared" si="19"/>
        <v>163</v>
      </c>
      <c r="K52" s="15">
        <f t="shared" si="20"/>
        <v>250</v>
      </c>
      <c r="L52" s="17">
        <f t="shared" si="21"/>
        <v>190</v>
      </c>
      <c r="M52" s="18">
        <f t="shared" si="22"/>
        <v>250</v>
      </c>
      <c r="N52" s="14">
        <f t="shared" si="23"/>
        <v>190</v>
      </c>
      <c r="O52" s="15">
        <f t="shared" si="24"/>
        <v>279</v>
      </c>
      <c r="P52" s="17">
        <f t="shared" si="25"/>
        <v>163</v>
      </c>
      <c r="Q52" s="18">
        <f t="shared" si="26"/>
        <v>279</v>
      </c>
      <c r="R52" s="4" t="s">
        <v>0</v>
      </c>
      <c r="S52" s="16" t="str">
        <f t="shared" si="27"/>
        <v>02-07</v>
      </c>
      <c r="T52" s="14">
        <f t="shared" si="28"/>
        <v>163</v>
      </c>
      <c r="U52" s="18">
        <f t="shared" si="29"/>
        <v>500</v>
      </c>
      <c r="V52" s="14">
        <f t="shared" si="30"/>
        <v>190</v>
      </c>
      <c r="W52" s="18">
        <f t="shared" si="31"/>
        <v>500</v>
      </c>
      <c r="X52" s="14">
        <f t="shared" si="32"/>
        <v>190</v>
      </c>
      <c r="Y52" s="18">
        <f t="shared" si="33"/>
        <v>471</v>
      </c>
      <c r="Z52" s="14">
        <f t="shared" si="34"/>
        <v>163</v>
      </c>
      <c r="AA52" s="18">
        <f t="shared" si="35"/>
        <v>471</v>
      </c>
      <c r="AB52" s="4" t="s">
        <v>0</v>
      </c>
    </row>
    <row r="53" spans="1:28">
      <c r="A53" s="9" t="s">
        <v>24</v>
      </c>
      <c r="B53" s="24"/>
      <c r="C53" s="26"/>
      <c r="D53" s="25">
        <f t="shared" si="76"/>
        <v>190</v>
      </c>
      <c r="E53" s="29">
        <f t="shared" ref="E53" si="81">E52</f>
        <v>250</v>
      </c>
      <c r="F53" s="25">
        <f t="shared" si="78"/>
        <v>217</v>
      </c>
      <c r="G53" s="29">
        <f t="shared" si="75"/>
        <v>279</v>
      </c>
      <c r="H53" s="4" t="s">
        <v>0</v>
      </c>
      <c r="I53" s="16" t="str">
        <f t="shared" si="18"/>
        <v>02-06</v>
      </c>
      <c r="J53" s="14">
        <f t="shared" si="19"/>
        <v>190</v>
      </c>
      <c r="K53" s="15">
        <f t="shared" si="20"/>
        <v>250</v>
      </c>
      <c r="L53" s="17">
        <f t="shared" si="21"/>
        <v>217</v>
      </c>
      <c r="M53" s="18">
        <f t="shared" si="22"/>
        <v>250</v>
      </c>
      <c r="N53" s="14">
        <f t="shared" si="23"/>
        <v>217</v>
      </c>
      <c r="O53" s="15">
        <f t="shared" si="24"/>
        <v>279</v>
      </c>
      <c r="P53" s="17">
        <f t="shared" si="25"/>
        <v>190</v>
      </c>
      <c r="Q53" s="18">
        <f t="shared" si="26"/>
        <v>279</v>
      </c>
      <c r="R53" s="4" t="s">
        <v>0</v>
      </c>
      <c r="S53" s="16" t="str">
        <f t="shared" si="27"/>
        <v>02-06</v>
      </c>
      <c r="T53" s="14">
        <f t="shared" si="28"/>
        <v>190</v>
      </c>
      <c r="U53" s="18">
        <f t="shared" si="29"/>
        <v>500</v>
      </c>
      <c r="V53" s="14">
        <f t="shared" si="30"/>
        <v>217</v>
      </c>
      <c r="W53" s="18">
        <f t="shared" si="31"/>
        <v>500</v>
      </c>
      <c r="X53" s="14">
        <f t="shared" si="32"/>
        <v>217</v>
      </c>
      <c r="Y53" s="18">
        <f t="shared" si="33"/>
        <v>471</v>
      </c>
      <c r="Z53" s="14">
        <f t="shared" si="34"/>
        <v>190</v>
      </c>
      <c r="AA53" s="18">
        <f t="shared" si="35"/>
        <v>471</v>
      </c>
      <c r="AB53" s="4" t="s">
        <v>0</v>
      </c>
    </row>
    <row r="54" spans="1:28">
      <c r="A54" s="9" t="s">
        <v>23</v>
      </c>
      <c r="B54" s="24"/>
      <c r="C54" s="26"/>
      <c r="D54" s="25">
        <f t="shared" si="76"/>
        <v>218</v>
      </c>
      <c r="E54" s="29">
        <f t="shared" ref="E54" si="82">E53</f>
        <v>250</v>
      </c>
      <c r="F54" s="25">
        <f t="shared" si="78"/>
        <v>245</v>
      </c>
      <c r="G54" s="29">
        <f t="shared" si="75"/>
        <v>279</v>
      </c>
      <c r="H54" s="4" t="s">
        <v>0</v>
      </c>
      <c r="I54" s="16" t="str">
        <f t="shared" si="18"/>
        <v>02-05</v>
      </c>
      <c r="J54" s="14">
        <f t="shared" si="19"/>
        <v>218</v>
      </c>
      <c r="K54" s="15">
        <f t="shared" si="20"/>
        <v>250</v>
      </c>
      <c r="L54" s="17">
        <f t="shared" si="21"/>
        <v>245</v>
      </c>
      <c r="M54" s="18">
        <f t="shared" si="22"/>
        <v>250</v>
      </c>
      <c r="N54" s="14">
        <f t="shared" si="23"/>
        <v>245</v>
      </c>
      <c r="O54" s="15">
        <f t="shared" si="24"/>
        <v>279</v>
      </c>
      <c r="P54" s="17">
        <f t="shared" si="25"/>
        <v>218</v>
      </c>
      <c r="Q54" s="18">
        <f t="shared" si="26"/>
        <v>279</v>
      </c>
      <c r="R54" s="4" t="s">
        <v>0</v>
      </c>
      <c r="S54" s="16" t="str">
        <f t="shared" si="27"/>
        <v>02-05</v>
      </c>
      <c r="T54" s="14">
        <f t="shared" si="28"/>
        <v>218</v>
      </c>
      <c r="U54" s="18">
        <f t="shared" si="29"/>
        <v>500</v>
      </c>
      <c r="V54" s="14">
        <f t="shared" si="30"/>
        <v>245</v>
      </c>
      <c r="W54" s="18">
        <f t="shared" si="31"/>
        <v>500</v>
      </c>
      <c r="X54" s="14">
        <f t="shared" si="32"/>
        <v>245</v>
      </c>
      <c r="Y54" s="18">
        <f t="shared" si="33"/>
        <v>471</v>
      </c>
      <c r="Z54" s="14">
        <f t="shared" si="34"/>
        <v>218</v>
      </c>
      <c r="AA54" s="18">
        <f t="shared" si="35"/>
        <v>471</v>
      </c>
      <c r="AB54" s="4" t="s">
        <v>0</v>
      </c>
    </row>
    <row r="55" spans="1:28">
      <c r="A55" s="9" t="s">
        <v>22</v>
      </c>
      <c r="B55" s="24"/>
      <c r="C55" s="26"/>
      <c r="D55" s="25">
        <f t="shared" si="76"/>
        <v>245</v>
      </c>
      <c r="E55" s="29">
        <f t="shared" ref="E55" si="83">E54</f>
        <v>250</v>
      </c>
      <c r="F55" s="25">
        <f t="shared" si="78"/>
        <v>272</v>
      </c>
      <c r="G55" s="29">
        <f t="shared" si="75"/>
        <v>279</v>
      </c>
      <c r="H55" s="4" t="s">
        <v>0</v>
      </c>
      <c r="I55" s="16" t="str">
        <f t="shared" si="18"/>
        <v>02-03</v>
      </c>
      <c r="J55" s="14">
        <f t="shared" si="19"/>
        <v>245</v>
      </c>
      <c r="K55" s="15">
        <f t="shared" si="20"/>
        <v>250</v>
      </c>
      <c r="L55" s="17">
        <f t="shared" si="21"/>
        <v>272</v>
      </c>
      <c r="M55" s="18">
        <f t="shared" si="22"/>
        <v>250</v>
      </c>
      <c r="N55" s="14">
        <f t="shared" si="23"/>
        <v>272</v>
      </c>
      <c r="O55" s="15">
        <f t="shared" si="24"/>
        <v>279</v>
      </c>
      <c r="P55" s="17">
        <f t="shared" si="25"/>
        <v>245</v>
      </c>
      <c r="Q55" s="18">
        <f t="shared" si="26"/>
        <v>279</v>
      </c>
      <c r="R55" s="4" t="s">
        <v>0</v>
      </c>
      <c r="S55" s="16" t="str">
        <f t="shared" si="27"/>
        <v>02-03</v>
      </c>
      <c r="T55" s="14">
        <f t="shared" si="28"/>
        <v>245</v>
      </c>
      <c r="U55" s="18">
        <f t="shared" si="29"/>
        <v>500</v>
      </c>
      <c r="V55" s="14">
        <f t="shared" si="30"/>
        <v>272</v>
      </c>
      <c r="W55" s="18">
        <f t="shared" si="31"/>
        <v>500</v>
      </c>
      <c r="X55" s="14">
        <f t="shared" si="32"/>
        <v>272</v>
      </c>
      <c r="Y55" s="18">
        <f t="shared" si="33"/>
        <v>471</v>
      </c>
      <c r="Z55" s="14">
        <f t="shared" si="34"/>
        <v>245</v>
      </c>
      <c r="AA55" s="18">
        <f t="shared" si="35"/>
        <v>471</v>
      </c>
      <c r="AB55" s="4" t="s">
        <v>0</v>
      </c>
    </row>
    <row r="56" spans="1:28">
      <c r="A56" s="9" t="s">
        <v>21</v>
      </c>
      <c r="B56" s="24"/>
      <c r="C56" s="26"/>
      <c r="D56" s="25">
        <f t="shared" si="76"/>
        <v>273</v>
      </c>
      <c r="E56" s="29">
        <f t="shared" ref="E56" si="84">E55</f>
        <v>250</v>
      </c>
      <c r="F56" s="25">
        <f t="shared" si="78"/>
        <v>300</v>
      </c>
      <c r="G56" s="29">
        <f t="shared" si="75"/>
        <v>279</v>
      </c>
      <c r="H56" s="4" t="s">
        <v>0</v>
      </c>
      <c r="I56" s="16" t="str">
        <f t="shared" si="18"/>
        <v>02-02</v>
      </c>
      <c r="J56" s="14">
        <f t="shared" si="19"/>
        <v>273</v>
      </c>
      <c r="K56" s="15">
        <f t="shared" si="20"/>
        <v>250</v>
      </c>
      <c r="L56" s="17">
        <f t="shared" si="21"/>
        <v>300</v>
      </c>
      <c r="M56" s="18">
        <f t="shared" si="22"/>
        <v>250</v>
      </c>
      <c r="N56" s="14">
        <f t="shared" si="23"/>
        <v>300</v>
      </c>
      <c r="O56" s="15">
        <f t="shared" si="24"/>
        <v>279</v>
      </c>
      <c r="P56" s="17">
        <f t="shared" si="25"/>
        <v>273</v>
      </c>
      <c r="Q56" s="18">
        <f t="shared" si="26"/>
        <v>279</v>
      </c>
      <c r="R56" s="4" t="s">
        <v>0</v>
      </c>
      <c r="S56" s="16" t="str">
        <f t="shared" si="27"/>
        <v>02-02</v>
      </c>
      <c r="T56" s="14">
        <f t="shared" si="28"/>
        <v>273</v>
      </c>
      <c r="U56" s="18">
        <f t="shared" si="29"/>
        <v>500</v>
      </c>
      <c r="V56" s="14">
        <f t="shared" si="30"/>
        <v>300</v>
      </c>
      <c r="W56" s="18">
        <f t="shared" si="31"/>
        <v>500</v>
      </c>
      <c r="X56" s="14">
        <f t="shared" si="32"/>
        <v>300</v>
      </c>
      <c r="Y56" s="18">
        <f t="shared" si="33"/>
        <v>471</v>
      </c>
      <c r="Z56" s="14">
        <f t="shared" si="34"/>
        <v>273</v>
      </c>
      <c r="AA56" s="18">
        <f t="shared" si="35"/>
        <v>471</v>
      </c>
      <c r="AB56" s="4" t="s">
        <v>0</v>
      </c>
    </row>
    <row r="57" spans="1:28">
      <c r="A57" s="9" t="s">
        <v>20</v>
      </c>
      <c r="B57" s="24"/>
      <c r="C57" s="26"/>
      <c r="D57" s="25">
        <f t="shared" si="76"/>
        <v>300</v>
      </c>
      <c r="E57" s="29">
        <f t="shared" ref="E57" si="85">E56</f>
        <v>250</v>
      </c>
      <c r="F57" s="25">
        <f t="shared" si="78"/>
        <v>327</v>
      </c>
      <c r="G57" s="29">
        <f t="shared" si="75"/>
        <v>279</v>
      </c>
      <c r="H57" s="4" t="s">
        <v>0</v>
      </c>
      <c r="I57" s="16" t="str">
        <f t="shared" si="18"/>
        <v>02-01</v>
      </c>
      <c r="J57" s="14">
        <f t="shared" si="19"/>
        <v>300</v>
      </c>
      <c r="K57" s="15">
        <f t="shared" si="20"/>
        <v>250</v>
      </c>
      <c r="L57" s="17">
        <f t="shared" si="21"/>
        <v>327</v>
      </c>
      <c r="M57" s="18">
        <f t="shared" si="22"/>
        <v>250</v>
      </c>
      <c r="N57" s="14">
        <f t="shared" si="23"/>
        <v>327</v>
      </c>
      <c r="O57" s="15">
        <f t="shared" si="24"/>
        <v>279</v>
      </c>
      <c r="P57" s="17">
        <f t="shared" si="25"/>
        <v>300</v>
      </c>
      <c r="Q57" s="18">
        <f t="shared" si="26"/>
        <v>279</v>
      </c>
      <c r="R57" s="4" t="s">
        <v>0</v>
      </c>
      <c r="S57" s="16" t="str">
        <f t="shared" si="27"/>
        <v>02-01</v>
      </c>
      <c r="T57" s="14">
        <f t="shared" si="28"/>
        <v>300</v>
      </c>
      <c r="U57" s="18">
        <f t="shared" si="29"/>
        <v>500</v>
      </c>
      <c r="V57" s="14">
        <f t="shared" si="30"/>
        <v>327</v>
      </c>
      <c r="W57" s="18">
        <f t="shared" si="31"/>
        <v>500</v>
      </c>
      <c r="X57" s="14">
        <f t="shared" si="32"/>
        <v>327</v>
      </c>
      <c r="Y57" s="18">
        <f t="shared" si="33"/>
        <v>471</v>
      </c>
      <c r="Z57" s="14">
        <f t="shared" si="34"/>
        <v>300</v>
      </c>
      <c r="AA57" s="18">
        <f t="shared" si="35"/>
        <v>471</v>
      </c>
      <c r="AB57" s="4" t="s">
        <v>0</v>
      </c>
    </row>
    <row r="58" spans="1:28">
      <c r="A58" s="9" t="s">
        <v>143</v>
      </c>
      <c r="B58" s="24"/>
      <c r="C58" s="26">
        <v>4</v>
      </c>
      <c r="D58" s="25">
        <f>D47</f>
        <v>26</v>
      </c>
      <c r="E58" s="28">
        <f>ROUND(E$11+49*$C58, 0)</f>
        <v>299</v>
      </c>
      <c r="F58" s="25">
        <f>F47</f>
        <v>53</v>
      </c>
      <c r="G58" s="28">
        <f>ROUND(G$11+49*$C58, 0)</f>
        <v>328</v>
      </c>
      <c r="H58" s="4" t="s">
        <v>0</v>
      </c>
      <c r="I58" s="16" t="str">
        <f t="shared" si="18"/>
        <v>01-13</v>
      </c>
      <c r="J58" s="14">
        <f t="shared" si="19"/>
        <v>26</v>
      </c>
      <c r="K58" s="15">
        <f t="shared" si="20"/>
        <v>299</v>
      </c>
      <c r="L58" s="17">
        <f t="shared" si="21"/>
        <v>53</v>
      </c>
      <c r="M58" s="18">
        <f t="shared" si="22"/>
        <v>299</v>
      </c>
      <c r="N58" s="14">
        <f t="shared" si="23"/>
        <v>53</v>
      </c>
      <c r="O58" s="15">
        <f t="shared" si="24"/>
        <v>328</v>
      </c>
      <c r="P58" s="17">
        <f t="shared" si="25"/>
        <v>26</v>
      </c>
      <c r="Q58" s="18">
        <f t="shared" si="26"/>
        <v>328</v>
      </c>
      <c r="R58" s="4" t="s">
        <v>0</v>
      </c>
      <c r="S58" s="16" t="str">
        <f t="shared" si="27"/>
        <v>01-13</v>
      </c>
      <c r="T58" s="14">
        <f t="shared" si="28"/>
        <v>26</v>
      </c>
      <c r="U58" s="18">
        <f t="shared" si="29"/>
        <v>451</v>
      </c>
      <c r="V58" s="14">
        <f t="shared" si="30"/>
        <v>53</v>
      </c>
      <c r="W58" s="18">
        <f t="shared" si="31"/>
        <v>451</v>
      </c>
      <c r="X58" s="14">
        <f t="shared" si="32"/>
        <v>53</v>
      </c>
      <c r="Y58" s="18">
        <f t="shared" si="33"/>
        <v>422</v>
      </c>
      <c r="Z58" s="14">
        <f t="shared" si="34"/>
        <v>26</v>
      </c>
      <c r="AA58" s="18">
        <f t="shared" si="35"/>
        <v>422</v>
      </c>
      <c r="AB58" s="4" t="s">
        <v>0</v>
      </c>
    </row>
    <row r="59" spans="1:28">
      <c r="A59" s="9" t="s">
        <v>11</v>
      </c>
      <c r="B59" s="24"/>
      <c r="C59" s="26"/>
      <c r="D59" s="25">
        <f t="shared" ref="D59:D68" si="86">D48</f>
        <v>53</v>
      </c>
      <c r="E59" s="29">
        <f t="shared" ref="E59" si="87">E58</f>
        <v>299</v>
      </c>
      <c r="F59" s="25">
        <f t="shared" ref="F59:F68" si="88">F48</f>
        <v>80</v>
      </c>
      <c r="G59" s="29">
        <f t="shared" ref="G59" si="89">G58</f>
        <v>328</v>
      </c>
      <c r="H59" s="4" t="s">
        <v>0</v>
      </c>
      <c r="I59" s="16" t="str">
        <f t="shared" si="18"/>
        <v>01-12</v>
      </c>
      <c r="J59" s="14">
        <f t="shared" si="19"/>
        <v>53</v>
      </c>
      <c r="K59" s="15">
        <f t="shared" si="20"/>
        <v>299</v>
      </c>
      <c r="L59" s="17">
        <f t="shared" si="21"/>
        <v>80</v>
      </c>
      <c r="M59" s="18">
        <f t="shared" si="22"/>
        <v>299</v>
      </c>
      <c r="N59" s="14">
        <f t="shared" si="23"/>
        <v>80</v>
      </c>
      <c r="O59" s="15">
        <f t="shared" si="24"/>
        <v>328</v>
      </c>
      <c r="P59" s="17">
        <f t="shared" si="25"/>
        <v>53</v>
      </c>
      <c r="Q59" s="18">
        <f t="shared" si="26"/>
        <v>328</v>
      </c>
      <c r="R59" s="4" t="s">
        <v>0</v>
      </c>
      <c r="S59" s="16" t="str">
        <f t="shared" si="27"/>
        <v>01-12</v>
      </c>
      <c r="T59" s="14">
        <f t="shared" si="28"/>
        <v>53</v>
      </c>
      <c r="U59" s="18">
        <f t="shared" si="29"/>
        <v>451</v>
      </c>
      <c r="V59" s="14">
        <f t="shared" si="30"/>
        <v>80</v>
      </c>
      <c r="W59" s="18">
        <f t="shared" si="31"/>
        <v>451</v>
      </c>
      <c r="X59" s="14">
        <f t="shared" si="32"/>
        <v>80</v>
      </c>
      <c r="Y59" s="18">
        <f t="shared" si="33"/>
        <v>422</v>
      </c>
      <c r="Z59" s="14">
        <f t="shared" si="34"/>
        <v>53</v>
      </c>
      <c r="AA59" s="18">
        <f t="shared" si="35"/>
        <v>422</v>
      </c>
      <c r="AB59" s="4" t="s">
        <v>0</v>
      </c>
    </row>
    <row r="60" spans="1:28">
      <c r="A60" s="9" t="s">
        <v>10</v>
      </c>
      <c r="B60" s="24"/>
      <c r="C60" s="26"/>
      <c r="D60" s="25">
        <f t="shared" si="86"/>
        <v>81</v>
      </c>
      <c r="E60" s="29">
        <f t="shared" ref="E60" si="90">E59</f>
        <v>299</v>
      </c>
      <c r="F60" s="25">
        <f t="shared" si="88"/>
        <v>108</v>
      </c>
      <c r="G60" s="29">
        <f t="shared" si="75"/>
        <v>328</v>
      </c>
      <c r="H60" s="4" t="s">
        <v>0</v>
      </c>
      <c r="I60" s="16" t="str">
        <f t="shared" si="18"/>
        <v>01-11</v>
      </c>
      <c r="J60" s="14">
        <f t="shared" si="19"/>
        <v>81</v>
      </c>
      <c r="K60" s="15">
        <f t="shared" si="20"/>
        <v>299</v>
      </c>
      <c r="L60" s="17">
        <f t="shared" si="21"/>
        <v>108</v>
      </c>
      <c r="M60" s="18">
        <f t="shared" si="22"/>
        <v>299</v>
      </c>
      <c r="N60" s="14">
        <f t="shared" si="23"/>
        <v>108</v>
      </c>
      <c r="O60" s="15">
        <f t="shared" si="24"/>
        <v>328</v>
      </c>
      <c r="P60" s="17">
        <f t="shared" si="25"/>
        <v>81</v>
      </c>
      <c r="Q60" s="18">
        <f t="shared" si="26"/>
        <v>328</v>
      </c>
      <c r="R60" s="4" t="s">
        <v>0</v>
      </c>
      <c r="S60" s="16" t="str">
        <f t="shared" si="27"/>
        <v>01-11</v>
      </c>
      <c r="T60" s="14">
        <f t="shared" si="28"/>
        <v>81</v>
      </c>
      <c r="U60" s="18">
        <f t="shared" si="29"/>
        <v>451</v>
      </c>
      <c r="V60" s="14">
        <f t="shared" si="30"/>
        <v>108</v>
      </c>
      <c r="W60" s="18">
        <f t="shared" si="31"/>
        <v>451</v>
      </c>
      <c r="X60" s="14">
        <f t="shared" si="32"/>
        <v>108</v>
      </c>
      <c r="Y60" s="18">
        <f t="shared" si="33"/>
        <v>422</v>
      </c>
      <c r="Z60" s="14">
        <f t="shared" si="34"/>
        <v>81</v>
      </c>
      <c r="AA60" s="18">
        <f t="shared" si="35"/>
        <v>422</v>
      </c>
      <c r="AB60" s="4" t="s">
        <v>0</v>
      </c>
    </row>
    <row r="61" spans="1:28">
      <c r="A61" s="9" t="s">
        <v>9</v>
      </c>
      <c r="B61" s="24"/>
      <c r="C61" s="26"/>
      <c r="D61" s="25">
        <f t="shared" si="86"/>
        <v>108</v>
      </c>
      <c r="E61" s="29">
        <f t="shared" ref="E61" si="91">E60</f>
        <v>299</v>
      </c>
      <c r="F61" s="25">
        <f t="shared" si="88"/>
        <v>135</v>
      </c>
      <c r="G61" s="29">
        <f t="shared" si="75"/>
        <v>328</v>
      </c>
      <c r="H61" s="4" t="s">
        <v>0</v>
      </c>
      <c r="I61" s="16" t="str">
        <f t="shared" si="18"/>
        <v>01-10</v>
      </c>
      <c r="J61" s="14">
        <f t="shared" si="19"/>
        <v>108</v>
      </c>
      <c r="K61" s="15">
        <f t="shared" si="20"/>
        <v>299</v>
      </c>
      <c r="L61" s="17">
        <f t="shared" si="21"/>
        <v>135</v>
      </c>
      <c r="M61" s="18">
        <f t="shared" si="22"/>
        <v>299</v>
      </c>
      <c r="N61" s="14">
        <f t="shared" si="23"/>
        <v>135</v>
      </c>
      <c r="O61" s="15">
        <f t="shared" si="24"/>
        <v>328</v>
      </c>
      <c r="P61" s="17">
        <f t="shared" si="25"/>
        <v>108</v>
      </c>
      <c r="Q61" s="18">
        <f t="shared" si="26"/>
        <v>328</v>
      </c>
      <c r="R61" s="4" t="s">
        <v>0</v>
      </c>
      <c r="S61" s="16" t="str">
        <f t="shared" si="27"/>
        <v>01-10</v>
      </c>
      <c r="T61" s="14">
        <f t="shared" si="28"/>
        <v>108</v>
      </c>
      <c r="U61" s="18">
        <f t="shared" si="29"/>
        <v>451</v>
      </c>
      <c r="V61" s="14">
        <f t="shared" si="30"/>
        <v>135</v>
      </c>
      <c r="W61" s="18">
        <f t="shared" si="31"/>
        <v>451</v>
      </c>
      <c r="X61" s="14">
        <f t="shared" si="32"/>
        <v>135</v>
      </c>
      <c r="Y61" s="18">
        <f t="shared" si="33"/>
        <v>422</v>
      </c>
      <c r="Z61" s="14">
        <f t="shared" si="34"/>
        <v>108</v>
      </c>
      <c r="AA61" s="18">
        <f t="shared" si="35"/>
        <v>422</v>
      </c>
      <c r="AB61" s="4" t="s">
        <v>0</v>
      </c>
    </row>
    <row r="62" spans="1:28">
      <c r="A62" s="9" t="s">
        <v>8</v>
      </c>
      <c r="B62" s="24"/>
      <c r="C62" s="26"/>
      <c r="D62" s="25">
        <f t="shared" si="86"/>
        <v>136</v>
      </c>
      <c r="E62" s="29">
        <f t="shared" ref="E62" si="92">E61</f>
        <v>299</v>
      </c>
      <c r="F62" s="25">
        <f t="shared" si="88"/>
        <v>163</v>
      </c>
      <c r="G62" s="29">
        <f t="shared" si="75"/>
        <v>328</v>
      </c>
      <c r="H62" s="4" t="s">
        <v>0</v>
      </c>
      <c r="I62" s="16" t="str">
        <f t="shared" si="18"/>
        <v>01-08</v>
      </c>
      <c r="J62" s="14">
        <f t="shared" si="19"/>
        <v>136</v>
      </c>
      <c r="K62" s="15">
        <f t="shared" si="20"/>
        <v>299</v>
      </c>
      <c r="L62" s="17">
        <f t="shared" si="21"/>
        <v>163</v>
      </c>
      <c r="M62" s="18">
        <f t="shared" si="22"/>
        <v>299</v>
      </c>
      <c r="N62" s="14">
        <f t="shared" si="23"/>
        <v>163</v>
      </c>
      <c r="O62" s="15">
        <f t="shared" si="24"/>
        <v>328</v>
      </c>
      <c r="P62" s="17">
        <f t="shared" si="25"/>
        <v>136</v>
      </c>
      <c r="Q62" s="18">
        <f t="shared" si="26"/>
        <v>328</v>
      </c>
      <c r="R62" s="4" t="s">
        <v>0</v>
      </c>
      <c r="S62" s="16" t="str">
        <f t="shared" si="27"/>
        <v>01-08</v>
      </c>
      <c r="T62" s="14">
        <f t="shared" si="28"/>
        <v>136</v>
      </c>
      <c r="U62" s="18">
        <f t="shared" si="29"/>
        <v>451</v>
      </c>
      <c r="V62" s="14">
        <f t="shared" si="30"/>
        <v>163</v>
      </c>
      <c r="W62" s="18">
        <f t="shared" si="31"/>
        <v>451</v>
      </c>
      <c r="X62" s="14">
        <f t="shared" si="32"/>
        <v>163</v>
      </c>
      <c r="Y62" s="18">
        <f t="shared" si="33"/>
        <v>422</v>
      </c>
      <c r="Z62" s="14">
        <f t="shared" si="34"/>
        <v>136</v>
      </c>
      <c r="AA62" s="18">
        <f t="shared" si="35"/>
        <v>422</v>
      </c>
      <c r="AB62" s="4" t="s">
        <v>0</v>
      </c>
    </row>
    <row r="63" spans="1:28">
      <c r="A63" s="9" t="s">
        <v>7</v>
      </c>
      <c r="B63" s="24"/>
      <c r="C63" s="26"/>
      <c r="D63" s="25">
        <f t="shared" si="86"/>
        <v>163</v>
      </c>
      <c r="E63" s="29">
        <f t="shared" ref="E63" si="93">E62</f>
        <v>299</v>
      </c>
      <c r="F63" s="25">
        <f t="shared" si="88"/>
        <v>190</v>
      </c>
      <c r="G63" s="29">
        <f t="shared" si="75"/>
        <v>328</v>
      </c>
      <c r="H63" s="4" t="s">
        <v>0</v>
      </c>
      <c r="I63" s="16" t="str">
        <f t="shared" si="18"/>
        <v>01-07</v>
      </c>
      <c r="J63" s="14">
        <f t="shared" si="19"/>
        <v>163</v>
      </c>
      <c r="K63" s="15">
        <f t="shared" si="20"/>
        <v>299</v>
      </c>
      <c r="L63" s="17">
        <f t="shared" si="21"/>
        <v>190</v>
      </c>
      <c r="M63" s="18">
        <f t="shared" si="22"/>
        <v>299</v>
      </c>
      <c r="N63" s="14">
        <f t="shared" si="23"/>
        <v>190</v>
      </c>
      <c r="O63" s="15">
        <f t="shared" si="24"/>
        <v>328</v>
      </c>
      <c r="P63" s="17">
        <f t="shared" si="25"/>
        <v>163</v>
      </c>
      <c r="Q63" s="18">
        <f t="shared" si="26"/>
        <v>328</v>
      </c>
      <c r="R63" s="4" t="s">
        <v>0</v>
      </c>
      <c r="S63" s="16" t="str">
        <f t="shared" si="27"/>
        <v>01-07</v>
      </c>
      <c r="T63" s="14">
        <f t="shared" si="28"/>
        <v>163</v>
      </c>
      <c r="U63" s="18">
        <f t="shared" si="29"/>
        <v>451</v>
      </c>
      <c r="V63" s="14">
        <f t="shared" si="30"/>
        <v>190</v>
      </c>
      <c r="W63" s="18">
        <f t="shared" si="31"/>
        <v>451</v>
      </c>
      <c r="X63" s="14">
        <f t="shared" si="32"/>
        <v>190</v>
      </c>
      <c r="Y63" s="18">
        <f t="shared" si="33"/>
        <v>422</v>
      </c>
      <c r="Z63" s="14">
        <f t="shared" si="34"/>
        <v>163</v>
      </c>
      <c r="AA63" s="18">
        <f t="shared" si="35"/>
        <v>422</v>
      </c>
      <c r="AB63" s="4" t="s">
        <v>0</v>
      </c>
    </row>
    <row r="64" spans="1:28">
      <c r="A64" s="9" t="s">
        <v>6</v>
      </c>
      <c r="B64" s="24"/>
      <c r="C64" s="26"/>
      <c r="D64" s="25">
        <f t="shared" si="86"/>
        <v>190</v>
      </c>
      <c r="E64" s="29">
        <f t="shared" ref="E64" si="94">E63</f>
        <v>299</v>
      </c>
      <c r="F64" s="25">
        <f t="shared" si="88"/>
        <v>217</v>
      </c>
      <c r="G64" s="29">
        <f t="shared" si="75"/>
        <v>328</v>
      </c>
      <c r="H64" s="4" t="s">
        <v>0</v>
      </c>
      <c r="I64" s="16" t="str">
        <f t="shared" si="18"/>
        <v>01-06</v>
      </c>
      <c r="J64" s="14">
        <f t="shared" si="19"/>
        <v>190</v>
      </c>
      <c r="K64" s="15">
        <f t="shared" si="20"/>
        <v>299</v>
      </c>
      <c r="L64" s="17">
        <f t="shared" si="21"/>
        <v>217</v>
      </c>
      <c r="M64" s="18">
        <f t="shared" si="22"/>
        <v>299</v>
      </c>
      <c r="N64" s="14">
        <f t="shared" si="23"/>
        <v>217</v>
      </c>
      <c r="O64" s="15">
        <f t="shared" si="24"/>
        <v>328</v>
      </c>
      <c r="P64" s="17">
        <f t="shared" si="25"/>
        <v>190</v>
      </c>
      <c r="Q64" s="18">
        <f t="shared" si="26"/>
        <v>328</v>
      </c>
      <c r="R64" s="4" t="s">
        <v>0</v>
      </c>
      <c r="S64" s="16" t="str">
        <f t="shared" si="27"/>
        <v>01-06</v>
      </c>
      <c r="T64" s="14">
        <f t="shared" si="28"/>
        <v>190</v>
      </c>
      <c r="U64" s="18">
        <f t="shared" si="29"/>
        <v>451</v>
      </c>
      <c r="V64" s="14">
        <f t="shared" si="30"/>
        <v>217</v>
      </c>
      <c r="W64" s="18">
        <f t="shared" si="31"/>
        <v>451</v>
      </c>
      <c r="X64" s="14">
        <f t="shared" si="32"/>
        <v>217</v>
      </c>
      <c r="Y64" s="18">
        <f t="shared" si="33"/>
        <v>422</v>
      </c>
      <c r="Z64" s="14">
        <f t="shared" si="34"/>
        <v>190</v>
      </c>
      <c r="AA64" s="18">
        <f t="shared" si="35"/>
        <v>422</v>
      </c>
      <c r="AB64" s="4" t="s">
        <v>0</v>
      </c>
    </row>
    <row r="65" spans="1:28">
      <c r="A65" s="9" t="s">
        <v>5</v>
      </c>
      <c r="B65" s="24"/>
      <c r="C65" s="26"/>
      <c r="D65" s="25">
        <f t="shared" si="86"/>
        <v>218</v>
      </c>
      <c r="E65" s="29">
        <f t="shared" ref="E65" si="95">E64</f>
        <v>299</v>
      </c>
      <c r="F65" s="25">
        <f t="shared" si="88"/>
        <v>245</v>
      </c>
      <c r="G65" s="29">
        <f t="shared" si="75"/>
        <v>328</v>
      </c>
      <c r="H65" s="4" t="s">
        <v>0</v>
      </c>
      <c r="I65" s="16" t="str">
        <f t="shared" si="18"/>
        <v>01-05</v>
      </c>
      <c r="J65" s="14">
        <f t="shared" si="19"/>
        <v>218</v>
      </c>
      <c r="K65" s="15">
        <f t="shared" si="20"/>
        <v>299</v>
      </c>
      <c r="L65" s="17">
        <f t="shared" si="21"/>
        <v>245</v>
      </c>
      <c r="M65" s="18">
        <f t="shared" si="22"/>
        <v>299</v>
      </c>
      <c r="N65" s="14">
        <f t="shared" si="23"/>
        <v>245</v>
      </c>
      <c r="O65" s="15">
        <f t="shared" si="24"/>
        <v>328</v>
      </c>
      <c r="P65" s="17">
        <f t="shared" si="25"/>
        <v>218</v>
      </c>
      <c r="Q65" s="18">
        <f t="shared" si="26"/>
        <v>328</v>
      </c>
      <c r="R65" s="4" t="s">
        <v>0</v>
      </c>
      <c r="S65" s="16" t="str">
        <f t="shared" si="27"/>
        <v>01-05</v>
      </c>
      <c r="T65" s="14">
        <f t="shared" si="28"/>
        <v>218</v>
      </c>
      <c r="U65" s="18">
        <f t="shared" si="29"/>
        <v>451</v>
      </c>
      <c r="V65" s="14">
        <f t="shared" si="30"/>
        <v>245</v>
      </c>
      <c r="W65" s="18">
        <f t="shared" si="31"/>
        <v>451</v>
      </c>
      <c r="X65" s="14">
        <f t="shared" si="32"/>
        <v>245</v>
      </c>
      <c r="Y65" s="18">
        <f t="shared" si="33"/>
        <v>422</v>
      </c>
      <c r="Z65" s="14">
        <f t="shared" si="34"/>
        <v>218</v>
      </c>
      <c r="AA65" s="18">
        <f t="shared" si="35"/>
        <v>422</v>
      </c>
      <c r="AB65" s="4" t="s">
        <v>0</v>
      </c>
    </row>
    <row r="66" spans="1:28">
      <c r="A66" s="9" t="s">
        <v>4</v>
      </c>
      <c r="B66" s="24"/>
      <c r="C66" s="26"/>
      <c r="D66" s="25">
        <f t="shared" si="86"/>
        <v>245</v>
      </c>
      <c r="E66" s="29">
        <f t="shared" ref="E66" si="96">E65</f>
        <v>299</v>
      </c>
      <c r="F66" s="25">
        <f t="shared" si="88"/>
        <v>272</v>
      </c>
      <c r="G66" s="29">
        <f t="shared" si="75"/>
        <v>328</v>
      </c>
      <c r="H66" s="4" t="s">
        <v>0</v>
      </c>
      <c r="I66" s="16" t="str">
        <f t="shared" si="18"/>
        <v>01-03</v>
      </c>
      <c r="J66" s="14">
        <f t="shared" si="19"/>
        <v>245</v>
      </c>
      <c r="K66" s="15">
        <f t="shared" si="20"/>
        <v>299</v>
      </c>
      <c r="L66" s="17">
        <f t="shared" si="21"/>
        <v>272</v>
      </c>
      <c r="M66" s="18">
        <f t="shared" si="22"/>
        <v>299</v>
      </c>
      <c r="N66" s="14">
        <f t="shared" si="23"/>
        <v>272</v>
      </c>
      <c r="O66" s="15">
        <f t="shared" si="24"/>
        <v>328</v>
      </c>
      <c r="P66" s="17">
        <f t="shared" si="25"/>
        <v>245</v>
      </c>
      <c r="Q66" s="18">
        <f t="shared" si="26"/>
        <v>328</v>
      </c>
      <c r="R66" s="4" t="s">
        <v>0</v>
      </c>
      <c r="S66" s="16" t="str">
        <f t="shared" si="27"/>
        <v>01-03</v>
      </c>
      <c r="T66" s="14">
        <f t="shared" si="28"/>
        <v>245</v>
      </c>
      <c r="U66" s="18">
        <f t="shared" si="29"/>
        <v>451</v>
      </c>
      <c r="V66" s="14">
        <f t="shared" si="30"/>
        <v>272</v>
      </c>
      <c r="W66" s="18">
        <f t="shared" si="31"/>
        <v>451</v>
      </c>
      <c r="X66" s="14">
        <f t="shared" si="32"/>
        <v>272</v>
      </c>
      <c r="Y66" s="18">
        <f t="shared" si="33"/>
        <v>422</v>
      </c>
      <c r="Z66" s="14">
        <f t="shared" si="34"/>
        <v>245</v>
      </c>
      <c r="AA66" s="18">
        <f t="shared" si="35"/>
        <v>422</v>
      </c>
      <c r="AB66" s="4" t="s">
        <v>0</v>
      </c>
    </row>
    <row r="67" spans="1:28">
      <c r="A67" s="9" t="s">
        <v>142</v>
      </c>
      <c r="B67" s="24"/>
      <c r="C67" s="26"/>
      <c r="D67" s="25">
        <f t="shared" si="86"/>
        <v>273</v>
      </c>
      <c r="E67" s="29">
        <f t="shared" ref="E67" si="97">E66</f>
        <v>299</v>
      </c>
      <c r="F67" s="25">
        <f t="shared" si="88"/>
        <v>300</v>
      </c>
      <c r="G67" s="29">
        <f t="shared" si="75"/>
        <v>328</v>
      </c>
      <c r="H67" s="4" t="s">
        <v>0</v>
      </c>
      <c r="I67" s="16" t="str">
        <f t="shared" si="18"/>
        <v>01-02</v>
      </c>
      <c r="J67" s="14">
        <f t="shared" si="19"/>
        <v>273</v>
      </c>
      <c r="K67" s="15">
        <f t="shared" si="20"/>
        <v>299</v>
      </c>
      <c r="L67" s="17">
        <f t="shared" si="21"/>
        <v>300</v>
      </c>
      <c r="M67" s="18">
        <f t="shared" si="22"/>
        <v>299</v>
      </c>
      <c r="N67" s="14">
        <f t="shared" si="23"/>
        <v>300</v>
      </c>
      <c r="O67" s="15">
        <f t="shared" si="24"/>
        <v>328</v>
      </c>
      <c r="P67" s="17">
        <f t="shared" si="25"/>
        <v>273</v>
      </c>
      <c r="Q67" s="18">
        <f t="shared" si="26"/>
        <v>328</v>
      </c>
      <c r="R67" s="4" t="s">
        <v>0</v>
      </c>
      <c r="S67" s="16" t="str">
        <f t="shared" si="27"/>
        <v>01-02</v>
      </c>
      <c r="T67" s="14">
        <f t="shared" si="28"/>
        <v>273</v>
      </c>
      <c r="U67" s="18">
        <f t="shared" si="29"/>
        <v>451</v>
      </c>
      <c r="V67" s="14">
        <f t="shared" si="30"/>
        <v>300</v>
      </c>
      <c r="W67" s="18">
        <f t="shared" si="31"/>
        <v>451</v>
      </c>
      <c r="X67" s="14">
        <f t="shared" si="32"/>
        <v>300</v>
      </c>
      <c r="Y67" s="18">
        <f t="shared" si="33"/>
        <v>422</v>
      </c>
      <c r="Z67" s="14">
        <f t="shared" si="34"/>
        <v>273</v>
      </c>
      <c r="AA67" s="18">
        <f t="shared" si="35"/>
        <v>422</v>
      </c>
      <c r="AB67" s="4" t="s">
        <v>0</v>
      </c>
    </row>
    <row r="68" spans="1:28">
      <c r="A68" s="9" t="s">
        <v>141</v>
      </c>
      <c r="B68" s="24"/>
      <c r="C68" s="26"/>
      <c r="D68" s="25">
        <f t="shared" si="86"/>
        <v>300</v>
      </c>
      <c r="E68" s="29">
        <f t="shared" ref="E68" si="98">E67</f>
        <v>299</v>
      </c>
      <c r="F68" s="25">
        <f t="shared" si="88"/>
        <v>327</v>
      </c>
      <c r="G68" s="29">
        <f t="shared" si="75"/>
        <v>328</v>
      </c>
      <c r="H68" s="4" t="s">
        <v>0</v>
      </c>
      <c r="I68" s="16" t="str">
        <f t="shared" si="18"/>
        <v>01-01</v>
      </c>
      <c r="J68" s="14">
        <f t="shared" si="19"/>
        <v>300</v>
      </c>
      <c r="K68" s="15">
        <f t="shared" si="20"/>
        <v>299</v>
      </c>
      <c r="L68" s="17">
        <f t="shared" si="21"/>
        <v>327</v>
      </c>
      <c r="M68" s="18">
        <f t="shared" si="22"/>
        <v>299</v>
      </c>
      <c r="N68" s="14">
        <f t="shared" si="23"/>
        <v>327</v>
      </c>
      <c r="O68" s="15">
        <f t="shared" si="24"/>
        <v>328</v>
      </c>
      <c r="P68" s="17">
        <f t="shared" si="25"/>
        <v>300</v>
      </c>
      <c r="Q68" s="18">
        <f t="shared" si="26"/>
        <v>328</v>
      </c>
      <c r="R68" s="4" t="s">
        <v>0</v>
      </c>
      <c r="S68" s="16" t="str">
        <f t="shared" si="27"/>
        <v>01-01</v>
      </c>
      <c r="T68" s="14">
        <f t="shared" si="28"/>
        <v>300</v>
      </c>
      <c r="U68" s="18">
        <f t="shared" si="29"/>
        <v>451</v>
      </c>
      <c r="V68" s="14">
        <f t="shared" si="30"/>
        <v>327</v>
      </c>
      <c r="W68" s="18">
        <f t="shared" si="31"/>
        <v>451</v>
      </c>
      <c r="X68" s="14">
        <f t="shared" si="32"/>
        <v>327</v>
      </c>
      <c r="Y68" s="18">
        <f t="shared" si="33"/>
        <v>422</v>
      </c>
      <c r="Z68" s="14">
        <f t="shared" si="34"/>
        <v>300</v>
      </c>
      <c r="AA68" s="18">
        <f t="shared" si="35"/>
        <v>422</v>
      </c>
      <c r="AB68" s="4" t="s">
        <v>0</v>
      </c>
    </row>
  </sheetData>
  <autoFilter ref="A10:AB68" xr:uid="{00000000-0001-0000-0000-000000000000}"/>
  <mergeCells count="2">
    <mergeCell ref="D3:G3"/>
    <mergeCell ref="D4:G4"/>
  </mergeCells>
  <phoneticPr fontId="1"/>
  <hyperlinks>
    <hyperlink ref="N4" r:id="rId1" xr:uid="{7C54B714-210B-4902-A611-4D92B83F99D5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3A97-A59A-4757-8BDD-72291ED2549C}">
  <sheetPr codeName="Sheet22">
    <pageSetUpPr fitToPage="1"/>
  </sheetPr>
  <dimension ref="A1:AB5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SEC_11_3_緑風.json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SEC_11_3_緑風.png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緑風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67</v>
      </c>
      <c r="B11" s="30" t="s">
        <v>698</v>
      </c>
      <c r="C11" s="4" t="s">
        <v>0</v>
      </c>
      <c r="D11" s="27">
        <v>217</v>
      </c>
      <c r="E11" s="31">
        <v>220</v>
      </c>
      <c r="F11" s="31">
        <v>227</v>
      </c>
      <c r="G11" s="31">
        <v>230</v>
      </c>
      <c r="H11" s="4" t="s">
        <v>0</v>
      </c>
      <c r="I11" s="16" t="str">
        <f t="shared" ref="I11:I55" si="0">A11</f>
        <v>07-11</v>
      </c>
      <c r="J11" s="14">
        <f>IF(D11&lt;&gt;"",D11,0)</f>
        <v>217</v>
      </c>
      <c r="K11" s="15">
        <f>IF(E11&lt;&gt;"",E11,0)</f>
        <v>220</v>
      </c>
      <c r="L11" s="17">
        <f>N11</f>
        <v>227</v>
      </c>
      <c r="M11" s="18">
        <f>K11</f>
        <v>220</v>
      </c>
      <c r="N11" s="14">
        <f>IF(F11&lt;&gt;"",F11,0)</f>
        <v>227</v>
      </c>
      <c r="O11" s="15">
        <f>IF(G11&lt;&gt;"",G11,0)</f>
        <v>230</v>
      </c>
      <c r="P11" s="17">
        <f>J11</f>
        <v>217</v>
      </c>
      <c r="Q11" s="18">
        <f>O11</f>
        <v>230</v>
      </c>
      <c r="R11" s="4" t="s">
        <v>0</v>
      </c>
      <c r="S11" s="16" t="str">
        <f>I11</f>
        <v>07-11</v>
      </c>
      <c r="T11" s="14">
        <f>IF(J11&lt;&gt;"",J11,"")</f>
        <v>217</v>
      </c>
      <c r="U11" s="18">
        <f>IF(K11&lt;&gt;"",U$6-K11,"")</f>
        <v>530</v>
      </c>
      <c r="V11" s="14">
        <f t="shared" ref="V11:Z26" si="1">IF(L11&lt;&gt;"",L11,"")</f>
        <v>227</v>
      </c>
      <c r="W11" s="18">
        <f>IF(M11&lt;&gt;"",W$6-M11,"")</f>
        <v>530</v>
      </c>
      <c r="X11" s="14">
        <f t="shared" si="1"/>
        <v>227</v>
      </c>
      <c r="Y11" s="18">
        <f>IF(O11&lt;&gt;"",Y$6-O11,"")</f>
        <v>520</v>
      </c>
      <c r="Z11" s="14">
        <f t="shared" si="1"/>
        <v>217</v>
      </c>
      <c r="AA11" s="18">
        <f>IF(Q11&lt;&gt;"",AA$6-Q11,"")</f>
        <v>520</v>
      </c>
      <c r="AB11" s="4" t="s">
        <v>0</v>
      </c>
    </row>
    <row r="12" spans="1:28">
      <c r="A12" s="9" t="s">
        <v>58</v>
      </c>
      <c r="B12" s="24"/>
      <c r="C12" s="26"/>
      <c r="D12" s="27">
        <v>238</v>
      </c>
      <c r="E12" s="29">
        <f>E11</f>
        <v>220</v>
      </c>
      <c r="F12" s="31">
        <v>248</v>
      </c>
      <c r="G12" s="29">
        <f>G11</f>
        <v>230</v>
      </c>
      <c r="H12" s="4" t="s">
        <v>0</v>
      </c>
      <c r="I12" s="16" t="str">
        <f t="shared" si="0"/>
        <v>06-11</v>
      </c>
      <c r="J12" s="14">
        <f t="shared" ref="J12:K27" si="2">IF(D12&lt;&gt;"",D12,0)</f>
        <v>238</v>
      </c>
      <c r="K12" s="15">
        <f t="shared" si="2"/>
        <v>220</v>
      </c>
      <c r="L12" s="17">
        <f t="shared" ref="L12:L55" si="3">N12</f>
        <v>248</v>
      </c>
      <c r="M12" s="18">
        <f t="shared" ref="M12:M55" si="4">K12</f>
        <v>220</v>
      </c>
      <c r="N12" s="14">
        <f t="shared" ref="N12:O27" si="5">IF(F12&lt;&gt;"",F12,0)</f>
        <v>248</v>
      </c>
      <c r="O12" s="15">
        <f t="shared" si="5"/>
        <v>230</v>
      </c>
      <c r="P12" s="17">
        <f t="shared" ref="P12:P55" si="6">J12</f>
        <v>238</v>
      </c>
      <c r="Q12" s="18">
        <f t="shared" ref="Q12:Q55" si="7">O12</f>
        <v>230</v>
      </c>
      <c r="R12" s="4" t="s">
        <v>0</v>
      </c>
      <c r="S12" s="16" t="str">
        <f t="shared" ref="S12:S55" si="8">I12</f>
        <v>06-11</v>
      </c>
      <c r="T12" s="14">
        <f t="shared" ref="T12:T55" si="9">IF(J12&lt;&gt;"",J12,"")</f>
        <v>238</v>
      </c>
      <c r="U12" s="18">
        <f t="shared" ref="U12:U55" si="10">IF(K12&lt;&gt;"",U$6-K12,"")</f>
        <v>530</v>
      </c>
      <c r="V12" s="14">
        <f t="shared" si="1"/>
        <v>248</v>
      </c>
      <c r="W12" s="18">
        <f t="shared" ref="W12:W55" si="11">IF(M12&lt;&gt;"",W$6-M12,"")</f>
        <v>530</v>
      </c>
      <c r="X12" s="14">
        <f t="shared" si="1"/>
        <v>248</v>
      </c>
      <c r="Y12" s="18">
        <f t="shared" ref="Y12:Y55" si="12">IF(O12&lt;&gt;"",Y$6-O12,"")</f>
        <v>520</v>
      </c>
      <c r="Z12" s="14">
        <f t="shared" si="1"/>
        <v>238</v>
      </c>
      <c r="AA12" s="18">
        <f t="shared" ref="AA12:AA55" si="13">IF(Q12&lt;&gt;"",AA$6-Q12,"")</f>
        <v>520</v>
      </c>
      <c r="AB12" s="4" t="s">
        <v>0</v>
      </c>
    </row>
    <row r="13" spans="1:28">
      <c r="A13" s="9" t="s">
        <v>48</v>
      </c>
      <c r="B13" s="24"/>
      <c r="C13" s="26"/>
      <c r="D13" s="27">
        <v>260</v>
      </c>
      <c r="E13" s="29">
        <f>E12</f>
        <v>220</v>
      </c>
      <c r="F13" s="31">
        <v>270</v>
      </c>
      <c r="G13" s="29">
        <f>G12</f>
        <v>230</v>
      </c>
      <c r="H13" s="4" t="s">
        <v>0</v>
      </c>
      <c r="I13" s="16" t="str">
        <f t="shared" si="0"/>
        <v>05-11</v>
      </c>
      <c r="J13" s="14">
        <f t="shared" si="2"/>
        <v>260</v>
      </c>
      <c r="K13" s="15">
        <f t="shared" si="2"/>
        <v>220</v>
      </c>
      <c r="L13" s="17">
        <f t="shared" si="3"/>
        <v>270</v>
      </c>
      <c r="M13" s="18">
        <f t="shared" si="4"/>
        <v>220</v>
      </c>
      <c r="N13" s="14">
        <f t="shared" si="5"/>
        <v>270</v>
      </c>
      <c r="O13" s="15">
        <f t="shared" si="5"/>
        <v>230</v>
      </c>
      <c r="P13" s="17">
        <f t="shared" si="6"/>
        <v>260</v>
      </c>
      <c r="Q13" s="18">
        <f t="shared" si="7"/>
        <v>230</v>
      </c>
      <c r="R13" s="4" t="s">
        <v>0</v>
      </c>
      <c r="S13" s="16" t="str">
        <f t="shared" si="8"/>
        <v>05-11</v>
      </c>
      <c r="T13" s="14">
        <f t="shared" si="9"/>
        <v>260</v>
      </c>
      <c r="U13" s="18">
        <f t="shared" si="10"/>
        <v>530</v>
      </c>
      <c r="V13" s="14">
        <f t="shared" si="1"/>
        <v>270</v>
      </c>
      <c r="W13" s="18">
        <f t="shared" si="11"/>
        <v>530</v>
      </c>
      <c r="X13" s="14">
        <f t="shared" si="1"/>
        <v>270</v>
      </c>
      <c r="Y13" s="18">
        <f t="shared" si="12"/>
        <v>520</v>
      </c>
      <c r="Z13" s="14">
        <f t="shared" si="1"/>
        <v>260</v>
      </c>
      <c r="AA13" s="18">
        <f t="shared" si="13"/>
        <v>520</v>
      </c>
      <c r="AB13" s="4" t="s">
        <v>0</v>
      </c>
    </row>
    <row r="14" spans="1:28">
      <c r="A14" s="9" t="s">
        <v>66</v>
      </c>
      <c r="B14" s="24"/>
      <c r="C14" s="26">
        <v>1</v>
      </c>
      <c r="D14" s="25">
        <f>D11</f>
        <v>217</v>
      </c>
      <c r="E14" s="28">
        <f>ROUND(E$11+12.4*$C14, 0)</f>
        <v>232</v>
      </c>
      <c r="F14" s="25">
        <f>F11</f>
        <v>227</v>
      </c>
      <c r="G14" s="28">
        <f>ROUND(G$11+12.4*$C14, 0)</f>
        <v>242</v>
      </c>
      <c r="H14" s="4" t="s">
        <v>0</v>
      </c>
      <c r="I14" s="16" t="str">
        <f t="shared" si="0"/>
        <v>07-10</v>
      </c>
      <c r="J14" s="14">
        <f t="shared" si="2"/>
        <v>217</v>
      </c>
      <c r="K14" s="15">
        <f t="shared" si="2"/>
        <v>232</v>
      </c>
      <c r="L14" s="17">
        <f t="shared" si="3"/>
        <v>227</v>
      </c>
      <c r="M14" s="18">
        <f t="shared" si="4"/>
        <v>232</v>
      </c>
      <c r="N14" s="14">
        <f t="shared" si="5"/>
        <v>227</v>
      </c>
      <c r="O14" s="15">
        <f t="shared" si="5"/>
        <v>242</v>
      </c>
      <c r="P14" s="17">
        <f t="shared" si="6"/>
        <v>217</v>
      </c>
      <c r="Q14" s="18">
        <f t="shared" si="7"/>
        <v>242</v>
      </c>
      <c r="R14" s="4" t="s">
        <v>0</v>
      </c>
      <c r="S14" s="16" t="str">
        <f t="shared" si="8"/>
        <v>07-10</v>
      </c>
      <c r="T14" s="14">
        <f t="shared" si="9"/>
        <v>217</v>
      </c>
      <c r="U14" s="18">
        <f t="shared" si="10"/>
        <v>518</v>
      </c>
      <c r="V14" s="14">
        <f t="shared" si="1"/>
        <v>227</v>
      </c>
      <c r="W14" s="18">
        <f t="shared" si="11"/>
        <v>518</v>
      </c>
      <c r="X14" s="14">
        <f t="shared" si="1"/>
        <v>227</v>
      </c>
      <c r="Y14" s="18">
        <f t="shared" si="12"/>
        <v>508</v>
      </c>
      <c r="Z14" s="14">
        <f t="shared" si="1"/>
        <v>217</v>
      </c>
      <c r="AA14" s="18">
        <f t="shared" si="13"/>
        <v>508</v>
      </c>
      <c r="AB14" s="4" t="s">
        <v>0</v>
      </c>
    </row>
    <row r="15" spans="1:28">
      <c r="A15" s="9" t="s">
        <v>57</v>
      </c>
      <c r="B15" s="24"/>
      <c r="C15" s="26"/>
      <c r="D15" s="25">
        <f>D12</f>
        <v>238</v>
      </c>
      <c r="E15" s="29">
        <f t="shared" ref="E15:G16" si="14">E14</f>
        <v>232</v>
      </c>
      <c r="F15" s="25">
        <f>F12</f>
        <v>248</v>
      </c>
      <c r="G15" s="29">
        <f t="shared" si="14"/>
        <v>242</v>
      </c>
      <c r="H15" s="4" t="s">
        <v>0</v>
      </c>
      <c r="I15" s="16" t="str">
        <f t="shared" si="0"/>
        <v>06-10</v>
      </c>
      <c r="J15" s="14">
        <f t="shared" si="2"/>
        <v>238</v>
      </c>
      <c r="K15" s="15">
        <f t="shared" si="2"/>
        <v>232</v>
      </c>
      <c r="L15" s="17">
        <f t="shared" si="3"/>
        <v>248</v>
      </c>
      <c r="M15" s="18">
        <f t="shared" si="4"/>
        <v>232</v>
      </c>
      <c r="N15" s="14">
        <f t="shared" si="5"/>
        <v>248</v>
      </c>
      <c r="O15" s="15">
        <f t="shared" si="5"/>
        <v>242</v>
      </c>
      <c r="P15" s="17">
        <f t="shared" si="6"/>
        <v>238</v>
      </c>
      <c r="Q15" s="18">
        <f t="shared" si="7"/>
        <v>242</v>
      </c>
      <c r="R15" s="4" t="s">
        <v>0</v>
      </c>
      <c r="S15" s="16" t="str">
        <f t="shared" si="8"/>
        <v>06-10</v>
      </c>
      <c r="T15" s="14">
        <f t="shared" si="9"/>
        <v>238</v>
      </c>
      <c r="U15" s="18">
        <f t="shared" si="10"/>
        <v>518</v>
      </c>
      <c r="V15" s="14">
        <f t="shared" si="1"/>
        <v>248</v>
      </c>
      <c r="W15" s="18">
        <f t="shared" si="11"/>
        <v>518</v>
      </c>
      <c r="X15" s="14">
        <f t="shared" si="1"/>
        <v>248</v>
      </c>
      <c r="Y15" s="18">
        <f t="shared" si="12"/>
        <v>508</v>
      </c>
      <c r="Z15" s="14">
        <f t="shared" si="1"/>
        <v>238</v>
      </c>
      <c r="AA15" s="18">
        <f t="shared" si="13"/>
        <v>508</v>
      </c>
      <c r="AB15" s="4" t="s">
        <v>0</v>
      </c>
    </row>
    <row r="16" spans="1:28">
      <c r="A16" s="9" t="s">
        <v>47</v>
      </c>
      <c r="B16" s="24"/>
      <c r="C16" s="26"/>
      <c r="D16" s="25">
        <f>D13</f>
        <v>260</v>
      </c>
      <c r="E16" s="29">
        <f t="shared" si="14"/>
        <v>232</v>
      </c>
      <c r="F16" s="25">
        <f>F13</f>
        <v>270</v>
      </c>
      <c r="G16" s="29">
        <f t="shared" si="14"/>
        <v>242</v>
      </c>
      <c r="H16" s="4" t="s">
        <v>0</v>
      </c>
      <c r="I16" s="16" t="str">
        <f t="shared" si="0"/>
        <v>05-10</v>
      </c>
      <c r="J16" s="14">
        <f t="shared" si="2"/>
        <v>260</v>
      </c>
      <c r="K16" s="15">
        <f t="shared" si="2"/>
        <v>232</v>
      </c>
      <c r="L16" s="17">
        <f t="shared" si="3"/>
        <v>270</v>
      </c>
      <c r="M16" s="18">
        <f t="shared" si="4"/>
        <v>232</v>
      </c>
      <c r="N16" s="14">
        <f t="shared" si="5"/>
        <v>270</v>
      </c>
      <c r="O16" s="15">
        <f t="shared" si="5"/>
        <v>242</v>
      </c>
      <c r="P16" s="17">
        <f t="shared" si="6"/>
        <v>260</v>
      </c>
      <c r="Q16" s="18">
        <f t="shared" si="7"/>
        <v>242</v>
      </c>
      <c r="R16" s="4" t="s">
        <v>0</v>
      </c>
      <c r="S16" s="16" t="str">
        <f t="shared" si="8"/>
        <v>05-10</v>
      </c>
      <c r="T16" s="14">
        <f t="shared" si="9"/>
        <v>260</v>
      </c>
      <c r="U16" s="18">
        <f t="shared" si="10"/>
        <v>518</v>
      </c>
      <c r="V16" s="14">
        <f t="shared" si="1"/>
        <v>270</v>
      </c>
      <c r="W16" s="18">
        <f t="shared" si="11"/>
        <v>518</v>
      </c>
      <c r="X16" s="14">
        <f t="shared" si="1"/>
        <v>270</v>
      </c>
      <c r="Y16" s="18">
        <f t="shared" si="12"/>
        <v>508</v>
      </c>
      <c r="Z16" s="14">
        <f t="shared" si="1"/>
        <v>260</v>
      </c>
      <c r="AA16" s="18">
        <f t="shared" si="13"/>
        <v>508</v>
      </c>
      <c r="AB16" s="4" t="s">
        <v>0</v>
      </c>
    </row>
    <row r="17" spans="1:28">
      <c r="A17" s="9" t="s">
        <v>688</v>
      </c>
      <c r="B17" s="24"/>
      <c r="C17" s="26">
        <v>2</v>
      </c>
      <c r="D17" s="25">
        <f t="shared" ref="D17:D28" si="15">D14</f>
        <v>217</v>
      </c>
      <c r="E17" s="28">
        <f t="shared" ref="E17" si="16">ROUND(E$11+12.4*$C17, 0)</f>
        <v>245</v>
      </c>
      <c r="F17" s="25">
        <f t="shared" ref="F17:F28" si="17">F14</f>
        <v>227</v>
      </c>
      <c r="G17" s="28">
        <f t="shared" ref="G17" si="18">ROUND(G$11+12.4*$C17, 0)</f>
        <v>255</v>
      </c>
      <c r="H17" s="4" t="s">
        <v>0</v>
      </c>
      <c r="I17" s="16" t="str">
        <f t="shared" si="0"/>
        <v>07-09</v>
      </c>
      <c r="J17" s="14">
        <f t="shared" si="2"/>
        <v>217</v>
      </c>
      <c r="K17" s="15">
        <f t="shared" si="2"/>
        <v>245</v>
      </c>
      <c r="L17" s="17">
        <f t="shared" si="3"/>
        <v>227</v>
      </c>
      <c r="M17" s="18">
        <f t="shared" si="4"/>
        <v>245</v>
      </c>
      <c r="N17" s="14">
        <f t="shared" si="5"/>
        <v>227</v>
      </c>
      <c r="O17" s="15">
        <f t="shared" si="5"/>
        <v>255</v>
      </c>
      <c r="P17" s="17">
        <f t="shared" si="6"/>
        <v>217</v>
      </c>
      <c r="Q17" s="18">
        <f t="shared" si="7"/>
        <v>255</v>
      </c>
      <c r="R17" s="4" t="s">
        <v>0</v>
      </c>
      <c r="S17" s="16" t="str">
        <f t="shared" si="8"/>
        <v>07-09</v>
      </c>
      <c r="T17" s="14">
        <f t="shared" si="9"/>
        <v>217</v>
      </c>
      <c r="U17" s="18">
        <f t="shared" si="10"/>
        <v>505</v>
      </c>
      <c r="V17" s="14">
        <f t="shared" si="1"/>
        <v>227</v>
      </c>
      <c r="W17" s="18">
        <f t="shared" si="11"/>
        <v>505</v>
      </c>
      <c r="X17" s="14">
        <f t="shared" si="1"/>
        <v>227</v>
      </c>
      <c r="Y17" s="18">
        <f t="shared" si="12"/>
        <v>495</v>
      </c>
      <c r="Z17" s="14">
        <f t="shared" si="1"/>
        <v>217</v>
      </c>
      <c r="AA17" s="18">
        <f t="shared" si="13"/>
        <v>495</v>
      </c>
      <c r="AB17" s="4" t="s">
        <v>0</v>
      </c>
    </row>
    <row r="18" spans="1:28">
      <c r="A18" s="9" t="s">
        <v>687</v>
      </c>
      <c r="B18" s="24"/>
      <c r="C18" s="26"/>
      <c r="D18" s="25">
        <f t="shared" si="15"/>
        <v>238</v>
      </c>
      <c r="E18" s="29">
        <f t="shared" ref="E18" si="19">E17</f>
        <v>245</v>
      </c>
      <c r="F18" s="25">
        <f t="shared" si="17"/>
        <v>248</v>
      </c>
      <c r="G18" s="29">
        <f t="shared" ref="G18" si="20">G17</f>
        <v>255</v>
      </c>
      <c r="H18" s="4" t="s">
        <v>0</v>
      </c>
      <c r="I18" s="16" t="str">
        <f t="shared" si="0"/>
        <v>06-09</v>
      </c>
      <c r="J18" s="14">
        <f t="shared" si="2"/>
        <v>238</v>
      </c>
      <c r="K18" s="15">
        <f t="shared" si="2"/>
        <v>245</v>
      </c>
      <c r="L18" s="17">
        <f t="shared" si="3"/>
        <v>248</v>
      </c>
      <c r="M18" s="18">
        <f t="shared" si="4"/>
        <v>245</v>
      </c>
      <c r="N18" s="14">
        <f t="shared" si="5"/>
        <v>248</v>
      </c>
      <c r="O18" s="15">
        <f t="shared" si="5"/>
        <v>255</v>
      </c>
      <c r="P18" s="17">
        <f t="shared" si="6"/>
        <v>238</v>
      </c>
      <c r="Q18" s="18">
        <f t="shared" si="7"/>
        <v>255</v>
      </c>
      <c r="R18" s="4" t="s">
        <v>0</v>
      </c>
      <c r="S18" s="16" t="str">
        <f t="shared" si="8"/>
        <v>06-09</v>
      </c>
      <c r="T18" s="14">
        <f t="shared" si="9"/>
        <v>238</v>
      </c>
      <c r="U18" s="18">
        <f t="shared" si="10"/>
        <v>505</v>
      </c>
      <c r="V18" s="14">
        <f t="shared" si="1"/>
        <v>248</v>
      </c>
      <c r="W18" s="18">
        <f t="shared" si="11"/>
        <v>505</v>
      </c>
      <c r="X18" s="14">
        <f t="shared" si="1"/>
        <v>248</v>
      </c>
      <c r="Y18" s="18">
        <f t="shared" si="12"/>
        <v>495</v>
      </c>
      <c r="Z18" s="14">
        <f t="shared" si="1"/>
        <v>238</v>
      </c>
      <c r="AA18" s="18">
        <f t="shared" si="13"/>
        <v>495</v>
      </c>
      <c r="AB18" s="4" t="s">
        <v>0</v>
      </c>
    </row>
    <row r="19" spans="1:28">
      <c r="A19" s="9" t="s">
        <v>686</v>
      </c>
      <c r="B19" s="24"/>
      <c r="C19" s="26"/>
      <c r="D19" s="25">
        <f t="shared" si="15"/>
        <v>260</v>
      </c>
      <c r="E19" s="29">
        <f t="shared" ref="E19" si="21">E18</f>
        <v>245</v>
      </c>
      <c r="F19" s="25">
        <f t="shared" si="17"/>
        <v>270</v>
      </c>
      <c r="G19" s="29">
        <f t="shared" ref="G19" si="22">G18</f>
        <v>255</v>
      </c>
      <c r="H19" s="4" t="s">
        <v>0</v>
      </c>
      <c r="I19" s="16" t="str">
        <f t="shared" si="0"/>
        <v>05-09</v>
      </c>
      <c r="J19" s="14">
        <f t="shared" si="2"/>
        <v>260</v>
      </c>
      <c r="K19" s="15">
        <f t="shared" si="2"/>
        <v>245</v>
      </c>
      <c r="L19" s="17">
        <f t="shared" si="3"/>
        <v>270</v>
      </c>
      <c r="M19" s="18">
        <f t="shared" si="4"/>
        <v>245</v>
      </c>
      <c r="N19" s="14">
        <f t="shared" si="5"/>
        <v>270</v>
      </c>
      <c r="O19" s="15">
        <f t="shared" si="5"/>
        <v>255</v>
      </c>
      <c r="P19" s="17">
        <f t="shared" si="6"/>
        <v>260</v>
      </c>
      <c r="Q19" s="18">
        <f t="shared" si="7"/>
        <v>255</v>
      </c>
      <c r="R19" s="4" t="s">
        <v>0</v>
      </c>
      <c r="S19" s="16" t="str">
        <f t="shared" si="8"/>
        <v>05-09</v>
      </c>
      <c r="T19" s="14">
        <f t="shared" si="9"/>
        <v>260</v>
      </c>
      <c r="U19" s="18">
        <f t="shared" si="10"/>
        <v>505</v>
      </c>
      <c r="V19" s="14">
        <f t="shared" si="1"/>
        <v>270</v>
      </c>
      <c r="W19" s="18">
        <f t="shared" si="11"/>
        <v>505</v>
      </c>
      <c r="X19" s="14">
        <f t="shared" si="1"/>
        <v>270</v>
      </c>
      <c r="Y19" s="18">
        <f t="shared" si="12"/>
        <v>495</v>
      </c>
      <c r="Z19" s="14">
        <f t="shared" si="1"/>
        <v>260</v>
      </c>
      <c r="AA19" s="18">
        <f t="shared" si="13"/>
        <v>495</v>
      </c>
      <c r="AB19" s="4" t="s">
        <v>0</v>
      </c>
    </row>
    <row r="20" spans="1:28">
      <c r="A20" s="9" t="s">
        <v>65</v>
      </c>
      <c r="B20" s="24"/>
      <c r="C20" s="26">
        <v>3</v>
      </c>
      <c r="D20" s="25">
        <f t="shared" si="15"/>
        <v>217</v>
      </c>
      <c r="E20" s="28">
        <f t="shared" ref="E20" si="23">ROUND(E$11+12.4*$C20, 0)</f>
        <v>257</v>
      </c>
      <c r="F20" s="25">
        <f t="shared" si="17"/>
        <v>227</v>
      </c>
      <c r="G20" s="28">
        <f t="shared" ref="G20" si="24">ROUND(G$11+12.4*$C20, 0)</f>
        <v>267</v>
      </c>
      <c r="H20" s="4" t="s">
        <v>0</v>
      </c>
      <c r="I20" s="16" t="str">
        <f t="shared" si="0"/>
        <v>07-08</v>
      </c>
      <c r="J20" s="14">
        <f t="shared" si="2"/>
        <v>217</v>
      </c>
      <c r="K20" s="15">
        <f t="shared" si="2"/>
        <v>257</v>
      </c>
      <c r="L20" s="17">
        <f t="shared" si="3"/>
        <v>227</v>
      </c>
      <c r="M20" s="18">
        <f t="shared" si="4"/>
        <v>257</v>
      </c>
      <c r="N20" s="14">
        <f t="shared" si="5"/>
        <v>227</v>
      </c>
      <c r="O20" s="15">
        <f t="shared" si="5"/>
        <v>267</v>
      </c>
      <c r="P20" s="17">
        <f t="shared" si="6"/>
        <v>217</v>
      </c>
      <c r="Q20" s="18">
        <f t="shared" si="7"/>
        <v>267</v>
      </c>
      <c r="R20" s="4" t="s">
        <v>0</v>
      </c>
      <c r="S20" s="16" t="str">
        <f t="shared" si="8"/>
        <v>07-08</v>
      </c>
      <c r="T20" s="14">
        <f t="shared" si="9"/>
        <v>217</v>
      </c>
      <c r="U20" s="18">
        <f t="shared" si="10"/>
        <v>493</v>
      </c>
      <c r="V20" s="14">
        <f t="shared" si="1"/>
        <v>227</v>
      </c>
      <c r="W20" s="18">
        <f t="shared" si="11"/>
        <v>493</v>
      </c>
      <c r="X20" s="14">
        <f t="shared" si="1"/>
        <v>227</v>
      </c>
      <c r="Y20" s="18">
        <f t="shared" si="12"/>
        <v>483</v>
      </c>
      <c r="Z20" s="14">
        <f t="shared" si="1"/>
        <v>217</v>
      </c>
      <c r="AA20" s="18">
        <f t="shared" si="13"/>
        <v>483</v>
      </c>
      <c r="AB20" s="4" t="s">
        <v>0</v>
      </c>
    </row>
    <row r="21" spans="1:28">
      <c r="A21" s="9" t="s">
        <v>56</v>
      </c>
      <c r="B21" s="24"/>
      <c r="C21" s="26"/>
      <c r="D21" s="25">
        <f t="shared" si="15"/>
        <v>238</v>
      </c>
      <c r="E21" s="29">
        <f t="shared" ref="E21" si="25">E20</f>
        <v>257</v>
      </c>
      <c r="F21" s="25">
        <f t="shared" si="17"/>
        <v>248</v>
      </c>
      <c r="G21" s="29">
        <f t="shared" ref="G21" si="26">G20</f>
        <v>267</v>
      </c>
      <c r="H21" s="4" t="s">
        <v>0</v>
      </c>
      <c r="I21" s="16" t="str">
        <f t="shared" si="0"/>
        <v>06-08</v>
      </c>
      <c r="J21" s="14">
        <f t="shared" si="2"/>
        <v>238</v>
      </c>
      <c r="K21" s="15">
        <f t="shared" si="2"/>
        <v>257</v>
      </c>
      <c r="L21" s="17">
        <f t="shared" si="3"/>
        <v>248</v>
      </c>
      <c r="M21" s="18">
        <f t="shared" si="4"/>
        <v>257</v>
      </c>
      <c r="N21" s="14">
        <f t="shared" si="5"/>
        <v>248</v>
      </c>
      <c r="O21" s="15">
        <f t="shared" si="5"/>
        <v>267</v>
      </c>
      <c r="P21" s="17">
        <f t="shared" si="6"/>
        <v>238</v>
      </c>
      <c r="Q21" s="18">
        <f t="shared" si="7"/>
        <v>267</v>
      </c>
      <c r="R21" s="4" t="s">
        <v>0</v>
      </c>
      <c r="S21" s="16" t="str">
        <f t="shared" si="8"/>
        <v>06-08</v>
      </c>
      <c r="T21" s="14">
        <f t="shared" si="9"/>
        <v>238</v>
      </c>
      <c r="U21" s="18">
        <f t="shared" si="10"/>
        <v>493</v>
      </c>
      <c r="V21" s="14">
        <f t="shared" si="1"/>
        <v>248</v>
      </c>
      <c r="W21" s="18">
        <f t="shared" si="11"/>
        <v>493</v>
      </c>
      <c r="X21" s="14">
        <f t="shared" si="1"/>
        <v>248</v>
      </c>
      <c r="Y21" s="18">
        <f t="shared" si="12"/>
        <v>483</v>
      </c>
      <c r="Z21" s="14">
        <f t="shared" si="1"/>
        <v>238</v>
      </c>
      <c r="AA21" s="18">
        <f t="shared" si="13"/>
        <v>483</v>
      </c>
      <c r="AB21" s="4" t="s">
        <v>0</v>
      </c>
    </row>
    <row r="22" spans="1:28">
      <c r="A22" s="9" t="s">
        <v>46</v>
      </c>
      <c r="B22" s="24"/>
      <c r="C22" s="26"/>
      <c r="D22" s="25">
        <f t="shared" si="15"/>
        <v>260</v>
      </c>
      <c r="E22" s="29">
        <f t="shared" ref="E22" si="27">E21</f>
        <v>257</v>
      </c>
      <c r="F22" s="25">
        <f t="shared" si="17"/>
        <v>270</v>
      </c>
      <c r="G22" s="29">
        <f t="shared" ref="G22" si="28">G21</f>
        <v>267</v>
      </c>
      <c r="H22" s="4" t="s">
        <v>0</v>
      </c>
      <c r="I22" s="16" t="str">
        <f t="shared" si="0"/>
        <v>05-08</v>
      </c>
      <c r="J22" s="14">
        <f t="shared" si="2"/>
        <v>260</v>
      </c>
      <c r="K22" s="15">
        <f t="shared" si="2"/>
        <v>257</v>
      </c>
      <c r="L22" s="17">
        <f t="shared" si="3"/>
        <v>270</v>
      </c>
      <c r="M22" s="18">
        <f t="shared" si="4"/>
        <v>257</v>
      </c>
      <c r="N22" s="14">
        <f t="shared" si="5"/>
        <v>270</v>
      </c>
      <c r="O22" s="15">
        <f t="shared" si="5"/>
        <v>267</v>
      </c>
      <c r="P22" s="17">
        <f t="shared" si="6"/>
        <v>260</v>
      </c>
      <c r="Q22" s="18">
        <f t="shared" si="7"/>
        <v>267</v>
      </c>
      <c r="R22" s="4" t="s">
        <v>0</v>
      </c>
      <c r="S22" s="16" t="str">
        <f t="shared" si="8"/>
        <v>05-08</v>
      </c>
      <c r="T22" s="14">
        <f t="shared" si="9"/>
        <v>260</v>
      </c>
      <c r="U22" s="18">
        <f t="shared" si="10"/>
        <v>493</v>
      </c>
      <c r="V22" s="14">
        <f t="shared" si="1"/>
        <v>270</v>
      </c>
      <c r="W22" s="18">
        <f t="shared" si="11"/>
        <v>493</v>
      </c>
      <c r="X22" s="14">
        <f t="shared" si="1"/>
        <v>270</v>
      </c>
      <c r="Y22" s="18">
        <f t="shared" si="12"/>
        <v>483</v>
      </c>
      <c r="Z22" s="14">
        <f t="shared" si="1"/>
        <v>260</v>
      </c>
      <c r="AA22" s="18">
        <f t="shared" si="13"/>
        <v>483</v>
      </c>
      <c r="AB22" s="4" t="s">
        <v>0</v>
      </c>
    </row>
    <row r="23" spans="1:28">
      <c r="A23" s="9" t="s">
        <v>64</v>
      </c>
      <c r="B23" s="24"/>
      <c r="C23" s="26">
        <v>4</v>
      </c>
      <c r="D23" s="25">
        <f t="shared" si="15"/>
        <v>217</v>
      </c>
      <c r="E23" s="28">
        <f t="shared" ref="E23" si="29">ROUND(E$11+12.4*$C23, 0)</f>
        <v>270</v>
      </c>
      <c r="F23" s="25">
        <f t="shared" si="17"/>
        <v>227</v>
      </c>
      <c r="G23" s="28">
        <f t="shared" ref="G23" si="30">ROUND(G$11+12.4*$C23, 0)</f>
        <v>280</v>
      </c>
      <c r="H23" s="4" t="s">
        <v>0</v>
      </c>
      <c r="I23" s="16" t="str">
        <f t="shared" si="0"/>
        <v>07-07</v>
      </c>
      <c r="J23" s="14">
        <f t="shared" si="2"/>
        <v>217</v>
      </c>
      <c r="K23" s="15">
        <f t="shared" si="2"/>
        <v>270</v>
      </c>
      <c r="L23" s="17">
        <f t="shared" si="3"/>
        <v>227</v>
      </c>
      <c r="M23" s="18">
        <f t="shared" si="4"/>
        <v>270</v>
      </c>
      <c r="N23" s="14">
        <f t="shared" si="5"/>
        <v>227</v>
      </c>
      <c r="O23" s="15">
        <f t="shared" si="5"/>
        <v>280</v>
      </c>
      <c r="P23" s="17">
        <f t="shared" si="6"/>
        <v>217</v>
      </c>
      <c r="Q23" s="18">
        <f t="shared" si="7"/>
        <v>280</v>
      </c>
      <c r="R23" s="4" t="s">
        <v>0</v>
      </c>
      <c r="S23" s="16" t="str">
        <f t="shared" si="8"/>
        <v>07-07</v>
      </c>
      <c r="T23" s="14">
        <f t="shared" si="9"/>
        <v>217</v>
      </c>
      <c r="U23" s="18">
        <f t="shared" si="10"/>
        <v>480</v>
      </c>
      <c r="V23" s="14">
        <f t="shared" si="1"/>
        <v>227</v>
      </c>
      <c r="W23" s="18">
        <f t="shared" si="11"/>
        <v>480</v>
      </c>
      <c r="X23" s="14">
        <f t="shared" si="1"/>
        <v>227</v>
      </c>
      <c r="Y23" s="18">
        <f t="shared" si="12"/>
        <v>470</v>
      </c>
      <c r="Z23" s="14">
        <f t="shared" si="1"/>
        <v>217</v>
      </c>
      <c r="AA23" s="18">
        <f t="shared" si="13"/>
        <v>470</v>
      </c>
      <c r="AB23" s="4" t="s">
        <v>0</v>
      </c>
    </row>
    <row r="24" spans="1:28">
      <c r="A24" s="9" t="s">
        <v>55</v>
      </c>
      <c r="B24" s="24"/>
      <c r="C24" s="26"/>
      <c r="D24" s="25">
        <f t="shared" si="15"/>
        <v>238</v>
      </c>
      <c r="E24" s="29">
        <f t="shared" ref="E24" si="31">E23</f>
        <v>270</v>
      </c>
      <c r="F24" s="25">
        <f t="shared" si="17"/>
        <v>248</v>
      </c>
      <c r="G24" s="29">
        <f t="shared" ref="G24" si="32">G23</f>
        <v>280</v>
      </c>
      <c r="H24" s="4" t="s">
        <v>0</v>
      </c>
      <c r="I24" s="16" t="str">
        <f t="shared" si="0"/>
        <v>06-07</v>
      </c>
      <c r="J24" s="14">
        <f t="shared" si="2"/>
        <v>238</v>
      </c>
      <c r="K24" s="15">
        <f t="shared" si="2"/>
        <v>270</v>
      </c>
      <c r="L24" s="17">
        <f t="shared" si="3"/>
        <v>248</v>
      </c>
      <c r="M24" s="18">
        <f t="shared" si="4"/>
        <v>270</v>
      </c>
      <c r="N24" s="14">
        <f t="shared" si="5"/>
        <v>248</v>
      </c>
      <c r="O24" s="15">
        <f t="shared" si="5"/>
        <v>280</v>
      </c>
      <c r="P24" s="17">
        <f t="shared" si="6"/>
        <v>238</v>
      </c>
      <c r="Q24" s="18">
        <f t="shared" si="7"/>
        <v>280</v>
      </c>
      <c r="R24" s="4" t="s">
        <v>0</v>
      </c>
      <c r="S24" s="16" t="str">
        <f t="shared" si="8"/>
        <v>06-07</v>
      </c>
      <c r="T24" s="14">
        <f t="shared" si="9"/>
        <v>238</v>
      </c>
      <c r="U24" s="18">
        <f t="shared" si="10"/>
        <v>480</v>
      </c>
      <c r="V24" s="14">
        <f t="shared" si="1"/>
        <v>248</v>
      </c>
      <c r="W24" s="18">
        <f t="shared" si="11"/>
        <v>480</v>
      </c>
      <c r="X24" s="14">
        <f t="shared" si="1"/>
        <v>248</v>
      </c>
      <c r="Y24" s="18">
        <f t="shared" si="12"/>
        <v>470</v>
      </c>
      <c r="Z24" s="14">
        <f t="shared" si="1"/>
        <v>238</v>
      </c>
      <c r="AA24" s="18">
        <f t="shared" si="13"/>
        <v>470</v>
      </c>
      <c r="AB24" s="4" t="s">
        <v>0</v>
      </c>
    </row>
    <row r="25" spans="1:28">
      <c r="A25" s="9" t="s">
        <v>45</v>
      </c>
      <c r="B25" s="24"/>
      <c r="C25" s="26"/>
      <c r="D25" s="25">
        <f t="shared" si="15"/>
        <v>260</v>
      </c>
      <c r="E25" s="29">
        <f t="shared" ref="E25" si="33">E24</f>
        <v>270</v>
      </c>
      <c r="F25" s="25">
        <f t="shared" si="17"/>
        <v>270</v>
      </c>
      <c r="G25" s="29">
        <f t="shared" ref="G25" si="34">G24</f>
        <v>280</v>
      </c>
      <c r="H25" s="4" t="s">
        <v>0</v>
      </c>
      <c r="I25" s="16" t="str">
        <f t="shared" si="0"/>
        <v>05-07</v>
      </c>
      <c r="J25" s="14">
        <f t="shared" si="2"/>
        <v>260</v>
      </c>
      <c r="K25" s="15">
        <f t="shared" si="2"/>
        <v>270</v>
      </c>
      <c r="L25" s="17">
        <f t="shared" si="3"/>
        <v>270</v>
      </c>
      <c r="M25" s="18">
        <f t="shared" si="4"/>
        <v>270</v>
      </c>
      <c r="N25" s="14">
        <f t="shared" si="5"/>
        <v>270</v>
      </c>
      <c r="O25" s="15">
        <f t="shared" si="5"/>
        <v>280</v>
      </c>
      <c r="P25" s="17">
        <f t="shared" si="6"/>
        <v>260</v>
      </c>
      <c r="Q25" s="18">
        <f t="shared" si="7"/>
        <v>280</v>
      </c>
      <c r="R25" s="4" t="s">
        <v>0</v>
      </c>
      <c r="S25" s="16" t="str">
        <f t="shared" si="8"/>
        <v>05-07</v>
      </c>
      <c r="T25" s="14">
        <f t="shared" si="9"/>
        <v>260</v>
      </c>
      <c r="U25" s="18">
        <f t="shared" si="10"/>
        <v>480</v>
      </c>
      <c r="V25" s="14">
        <f t="shared" si="1"/>
        <v>270</v>
      </c>
      <c r="W25" s="18">
        <f t="shared" si="11"/>
        <v>480</v>
      </c>
      <c r="X25" s="14">
        <f t="shared" si="1"/>
        <v>270</v>
      </c>
      <c r="Y25" s="18">
        <f t="shared" si="12"/>
        <v>470</v>
      </c>
      <c r="Z25" s="14">
        <f t="shared" si="1"/>
        <v>260</v>
      </c>
      <c r="AA25" s="18">
        <f t="shared" si="13"/>
        <v>470</v>
      </c>
      <c r="AB25" s="4" t="s">
        <v>0</v>
      </c>
    </row>
    <row r="26" spans="1:28">
      <c r="A26" s="9" t="s">
        <v>63</v>
      </c>
      <c r="B26" s="24"/>
      <c r="C26" s="26"/>
      <c r="D26" s="27">
        <f t="shared" si="15"/>
        <v>217</v>
      </c>
      <c r="E26" s="31">
        <v>295</v>
      </c>
      <c r="F26" s="31">
        <f t="shared" si="17"/>
        <v>227</v>
      </c>
      <c r="G26" s="31">
        <v>305</v>
      </c>
      <c r="H26" s="4" t="s">
        <v>0</v>
      </c>
      <c r="I26" s="16" t="str">
        <f t="shared" si="0"/>
        <v>07-06</v>
      </c>
      <c r="J26" s="14">
        <f t="shared" si="2"/>
        <v>217</v>
      </c>
      <c r="K26" s="15">
        <f t="shared" si="2"/>
        <v>295</v>
      </c>
      <c r="L26" s="17">
        <f t="shared" si="3"/>
        <v>227</v>
      </c>
      <c r="M26" s="18">
        <f t="shared" si="4"/>
        <v>295</v>
      </c>
      <c r="N26" s="14">
        <f t="shared" si="5"/>
        <v>227</v>
      </c>
      <c r="O26" s="15">
        <f t="shared" si="5"/>
        <v>305</v>
      </c>
      <c r="P26" s="17">
        <f t="shared" si="6"/>
        <v>217</v>
      </c>
      <c r="Q26" s="18">
        <f t="shared" si="7"/>
        <v>305</v>
      </c>
      <c r="R26" s="4" t="s">
        <v>0</v>
      </c>
      <c r="S26" s="16" t="str">
        <f t="shared" si="8"/>
        <v>07-06</v>
      </c>
      <c r="T26" s="14">
        <f t="shared" si="9"/>
        <v>217</v>
      </c>
      <c r="U26" s="18">
        <f t="shared" si="10"/>
        <v>455</v>
      </c>
      <c r="V26" s="14">
        <f t="shared" si="1"/>
        <v>227</v>
      </c>
      <c r="W26" s="18">
        <f t="shared" si="11"/>
        <v>455</v>
      </c>
      <c r="X26" s="14">
        <f t="shared" si="1"/>
        <v>227</v>
      </c>
      <c r="Y26" s="18">
        <f t="shared" si="12"/>
        <v>445</v>
      </c>
      <c r="Z26" s="14">
        <f t="shared" si="1"/>
        <v>217</v>
      </c>
      <c r="AA26" s="18">
        <f t="shared" si="13"/>
        <v>445</v>
      </c>
      <c r="AB26" s="4" t="s">
        <v>0</v>
      </c>
    </row>
    <row r="27" spans="1:28">
      <c r="A27" s="9" t="s">
        <v>54</v>
      </c>
      <c r="B27" s="24"/>
      <c r="C27" s="26"/>
      <c r="D27" s="25">
        <f t="shared" si="15"/>
        <v>238</v>
      </c>
      <c r="E27" s="29">
        <f t="shared" ref="E27" si="35">E26</f>
        <v>295</v>
      </c>
      <c r="F27" s="25">
        <f t="shared" si="17"/>
        <v>248</v>
      </c>
      <c r="G27" s="29">
        <f t="shared" ref="G27:G28" si="36">G26</f>
        <v>305</v>
      </c>
      <c r="H27" s="4" t="s">
        <v>0</v>
      </c>
      <c r="I27" s="16" t="str">
        <f t="shared" si="0"/>
        <v>06-06</v>
      </c>
      <c r="J27" s="14">
        <f t="shared" si="2"/>
        <v>238</v>
      </c>
      <c r="K27" s="15">
        <f t="shared" si="2"/>
        <v>295</v>
      </c>
      <c r="L27" s="17">
        <f t="shared" si="3"/>
        <v>248</v>
      </c>
      <c r="M27" s="18">
        <f t="shared" si="4"/>
        <v>295</v>
      </c>
      <c r="N27" s="14">
        <f t="shared" si="5"/>
        <v>248</v>
      </c>
      <c r="O27" s="15">
        <f t="shared" si="5"/>
        <v>305</v>
      </c>
      <c r="P27" s="17">
        <f t="shared" si="6"/>
        <v>238</v>
      </c>
      <c r="Q27" s="18">
        <f t="shared" si="7"/>
        <v>305</v>
      </c>
      <c r="R27" s="4" t="s">
        <v>0</v>
      </c>
      <c r="S27" s="16" t="str">
        <f t="shared" si="8"/>
        <v>06-06</v>
      </c>
      <c r="T27" s="14">
        <f t="shared" si="9"/>
        <v>238</v>
      </c>
      <c r="U27" s="18">
        <f t="shared" si="10"/>
        <v>455</v>
      </c>
      <c r="V27" s="14">
        <f t="shared" ref="V27:V55" si="37">IF(L27&lt;&gt;"",L27,"")</f>
        <v>248</v>
      </c>
      <c r="W27" s="18">
        <f t="shared" si="11"/>
        <v>455</v>
      </c>
      <c r="X27" s="14">
        <f t="shared" ref="X27:X55" si="38">IF(N27&lt;&gt;"",N27,"")</f>
        <v>248</v>
      </c>
      <c r="Y27" s="18">
        <f t="shared" si="12"/>
        <v>445</v>
      </c>
      <c r="Z27" s="14">
        <f t="shared" ref="Z27:Z55" si="39">IF(P27&lt;&gt;"",P27,"")</f>
        <v>238</v>
      </c>
      <c r="AA27" s="18">
        <f t="shared" si="13"/>
        <v>445</v>
      </c>
      <c r="AB27" s="4" t="s">
        <v>0</v>
      </c>
    </row>
    <row r="28" spans="1:28">
      <c r="A28" s="9" t="s">
        <v>44</v>
      </c>
      <c r="B28" s="24"/>
      <c r="C28" s="26"/>
      <c r="D28" s="25">
        <f t="shared" si="15"/>
        <v>260</v>
      </c>
      <c r="E28" s="29">
        <f t="shared" ref="E28" si="40">E27</f>
        <v>295</v>
      </c>
      <c r="F28" s="25">
        <f t="shared" si="17"/>
        <v>270</v>
      </c>
      <c r="G28" s="29">
        <f t="shared" si="36"/>
        <v>305</v>
      </c>
      <c r="H28" s="4" t="s">
        <v>0</v>
      </c>
      <c r="I28" s="16" t="str">
        <f t="shared" si="0"/>
        <v>05-06</v>
      </c>
      <c r="J28" s="14">
        <f t="shared" ref="J28:K55" si="41">IF(D28&lt;&gt;"",D28,0)</f>
        <v>260</v>
      </c>
      <c r="K28" s="15">
        <f t="shared" si="41"/>
        <v>295</v>
      </c>
      <c r="L28" s="17">
        <f t="shared" si="3"/>
        <v>270</v>
      </c>
      <c r="M28" s="18">
        <f t="shared" si="4"/>
        <v>295</v>
      </c>
      <c r="N28" s="14">
        <f t="shared" ref="N28:O55" si="42">IF(F28&lt;&gt;"",F28,0)</f>
        <v>270</v>
      </c>
      <c r="O28" s="15">
        <f t="shared" si="42"/>
        <v>305</v>
      </c>
      <c r="P28" s="17">
        <f t="shared" si="6"/>
        <v>260</v>
      </c>
      <c r="Q28" s="18">
        <f t="shared" si="7"/>
        <v>305</v>
      </c>
      <c r="R28" s="4" t="s">
        <v>0</v>
      </c>
      <c r="S28" s="16" t="str">
        <f t="shared" si="8"/>
        <v>05-06</v>
      </c>
      <c r="T28" s="14">
        <f t="shared" si="9"/>
        <v>260</v>
      </c>
      <c r="U28" s="18">
        <f t="shared" si="10"/>
        <v>455</v>
      </c>
      <c r="V28" s="14">
        <f t="shared" si="37"/>
        <v>270</v>
      </c>
      <c r="W28" s="18">
        <f t="shared" si="11"/>
        <v>455</v>
      </c>
      <c r="X28" s="14">
        <f t="shared" si="38"/>
        <v>270</v>
      </c>
      <c r="Y28" s="18">
        <f t="shared" si="12"/>
        <v>445</v>
      </c>
      <c r="Z28" s="14">
        <f t="shared" si="39"/>
        <v>260</v>
      </c>
      <c r="AA28" s="18">
        <f t="shared" si="13"/>
        <v>445</v>
      </c>
      <c r="AB28" s="4" t="s">
        <v>0</v>
      </c>
    </row>
    <row r="29" spans="1:28">
      <c r="A29" s="9" t="s">
        <v>62</v>
      </c>
      <c r="B29" s="24"/>
      <c r="C29" s="26">
        <v>1</v>
      </c>
      <c r="D29" s="25">
        <f t="shared" ref="D29:D40" si="43">D26</f>
        <v>217</v>
      </c>
      <c r="E29" s="28">
        <f>ROUND(E$26+12.4*$C29, 0)</f>
        <v>307</v>
      </c>
      <c r="F29" s="25">
        <f t="shared" ref="F29:F40" si="44">F26</f>
        <v>227</v>
      </c>
      <c r="G29" s="28">
        <f>ROUND(G$26+12.4*$C29, 0)</f>
        <v>317</v>
      </c>
      <c r="H29" s="4" t="s">
        <v>0</v>
      </c>
      <c r="I29" s="16" t="str">
        <f t="shared" si="0"/>
        <v>07-05</v>
      </c>
      <c r="J29" s="14">
        <f t="shared" si="41"/>
        <v>217</v>
      </c>
      <c r="K29" s="15">
        <f t="shared" si="41"/>
        <v>307</v>
      </c>
      <c r="L29" s="17">
        <f t="shared" si="3"/>
        <v>227</v>
      </c>
      <c r="M29" s="18">
        <f t="shared" si="4"/>
        <v>307</v>
      </c>
      <c r="N29" s="14">
        <f t="shared" si="42"/>
        <v>227</v>
      </c>
      <c r="O29" s="15">
        <f t="shared" si="42"/>
        <v>317</v>
      </c>
      <c r="P29" s="17">
        <f t="shared" si="6"/>
        <v>217</v>
      </c>
      <c r="Q29" s="18">
        <f t="shared" si="7"/>
        <v>317</v>
      </c>
      <c r="R29" s="4" t="s">
        <v>0</v>
      </c>
      <c r="S29" s="16" t="str">
        <f t="shared" si="8"/>
        <v>07-05</v>
      </c>
      <c r="T29" s="14">
        <f t="shared" si="9"/>
        <v>217</v>
      </c>
      <c r="U29" s="18">
        <f t="shared" si="10"/>
        <v>443</v>
      </c>
      <c r="V29" s="14">
        <f t="shared" si="37"/>
        <v>227</v>
      </c>
      <c r="W29" s="18">
        <f t="shared" si="11"/>
        <v>443</v>
      </c>
      <c r="X29" s="14">
        <f t="shared" si="38"/>
        <v>227</v>
      </c>
      <c r="Y29" s="18">
        <f t="shared" si="12"/>
        <v>433</v>
      </c>
      <c r="Z29" s="14">
        <f t="shared" si="39"/>
        <v>217</v>
      </c>
      <c r="AA29" s="18">
        <f t="shared" si="13"/>
        <v>433</v>
      </c>
      <c r="AB29" s="4" t="s">
        <v>0</v>
      </c>
    </row>
    <row r="30" spans="1:28">
      <c r="A30" s="9" t="s">
        <v>53</v>
      </c>
      <c r="B30" s="24"/>
      <c r="C30" s="26"/>
      <c r="D30" s="25">
        <f t="shared" si="43"/>
        <v>238</v>
      </c>
      <c r="E30" s="29">
        <f t="shared" ref="E30" si="45">E29</f>
        <v>307</v>
      </c>
      <c r="F30" s="25">
        <f t="shared" si="44"/>
        <v>248</v>
      </c>
      <c r="G30" s="29">
        <f t="shared" ref="G30" si="46">G29</f>
        <v>317</v>
      </c>
      <c r="H30" s="4" t="s">
        <v>0</v>
      </c>
      <c r="I30" s="16" t="str">
        <f t="shared" si="0"/>
        <v>06-05</v>
      </c>
      <c r="J30" s="14">
        <f t="shared" si="41"/>
        <v>238</v>
      </c>
      <c r="K30" s="15">
        <f t="shared" si="41"/>
        <v>307</v>
      </c>
      <c r="L30" s="17">
        <f t="shared" si="3"/>
        <v>248</v>
      </c>
      <c r="M30" s="18">
        <f t="shared" si="4"/>
        <v>307</v>
      </c>
      <c r="N30" s="14">
        <f t="shared" si="42"/>
        <v>248</v>
      </c>
      <c r="O30" s="15">
        <f t="shared" si="42"/>
        <v>317</v>
      </c>
      <c r="P30" s="17">
        <f t="shared" si="6"/>
        <v>238</v>
      </c>
      <c r="Q30" s="18">
        <f t="shared" si="7"/>
        <v>317</v>
      </c>
      <c r="R30" s="4" t="s">
        <v>0</v>
      </c>
      <c r="S30" s="16" t="str">
        <f t="shared" si="8"/>
        <v>06-05</v>
      </c>
      <c r="T30" s="14">
        <f t="shared" si="9"/>
        <v>238</v>
      </c>
      <c r="U30" s="18">
        <f t="shared" si="10"/>
        <v>443</v>
      </c>
      <c r="V30" s="14">
        <f t="shared" si="37"/>
        <v>248</v>
      </c>
      <c r="W30" s="18">
        <f t="shared" si="11"/>
        <v>443</v>
      </c>
      <c r="X30" s="14">
        <f t="shared" si="38"/>
        <v>248</v>
      </c>
      <c r="Y30" s="18">
        <f t="shared" si="12"/>
        <v>433</v>
      </c>
      <c r="Z30" s="14">
        <f t="shared" si="39"/>
        <v>238</v>
      </c>
      <c r="AA30" s="18">
        <f t="shared" si="13"/>
        <v>433</v>
      </c>
      <c r="AB30" s="4" t="s">
        <v>0</v>
      </c>
    </row>
    <row r="31" spans="1:28">
      <c r="A31" s="9" t="s">
        <v>43</v>
      </c>
      <c r="B31" s="24"/>
      <c r="C31" s="26"/>
      <c r="D31" s="25">
        <f t="shared" si="43"/>
        <v>260</v>
      </c>
      <c r="E31" s="29">
        <f t="shared" ref="E31" si="47">E30</f>
        <v>307</v>
      </c>
      <c r="F31" s="25">
        <f t="shared" si="44"/>
        <v>270</v>
      </c>
      <c r="G31" s="29">
        <f t="shared" ref="G31" si="48">G30</f>
        <v>317</v>
      </c>
      <c r="H31" s="4" t="s">
        <v>0</v>
      </c>
      <c r="I31" s="16" t="str">
        <f t="shared" si="0"/>
        <v>05-05</v>
      </c>
      <c r="J31" s="14">
        <f t="shared" si="41"/>
        <v>260</v>
      </c>
      <c r="K31" s="15">
        <f t="shared" si="41"/>
        <v>307</v>
      </c>
      <c r="L31" s="17">
        <f t="shared" si="3"/>
        <v>270</v>
      </c>
      <c r="M31" s="18">
        <f t="shared" si="4"/>
        <v>307</v>
      </c>
      <c r="N31" s="14">
        <f t="shared" si="42"/>
        <v>270</v>
      </c>
      <c r="O31" s="15">
        <f t="shared" si="42"/>
        <v>317</v>
      </c>
      <c r="P31" s="17">
        <f t="shared" si="6"/>
        <v>260</v>
      </c>
      <c r="Q31" s="18">
        <f t="shared" si="7"/>
        <v>317</v>
      </c>
      <c r="R31" s="4" t="s">
        <v>0</v>
      </c>
      <c r="S31" s="16" t="str">
        <f t="shared" si="8"/>
        <v>05-05</v>
      </c>
      <c r="T31" s="14">
        <f t="shared" si="9"/>
        <v>260</v>
      </c>
      <c r="U31" s="18">
        <f t="shared" si="10"/>
        <v>443</v>
      </c>
      <c r="V31" s="14">
        <f t="shared" si="37"/>
        <v>270</v>
      </c>
      <c r="W31" s="18">
        <f t="shared" si="11"/>
        <v>443</v>
      </c>
      <c r="X31" s="14">
        <f t="shared" si="38"/>
        <v>270</v>
      </c>
      <c r="Y31" s="18">
        <f t="shared" si="12"/>
        <v>433</v>
      </c>
      <c r="Z31" s="14">
        <f t="shared" si="39"/>
        <v>260</v>
      </c>
      <c r="AA31" s="18">
        <f t="shared" si="13"/>
        <v>433</v>
      </c>
      <c r="AB31" s="4" t="s">
        <v>0</v>
      </c>
    </row>
    <row r="32" spans="1:28">
      <c r="A32" s="9" t="s">
        <v>3</v>
      </c>
      <c r="B32" s="24"/>
      <c r="C32" s="26">
        <v>2</v>
      </c>
      <c r="D32" s="25">
        <f t="shared" si="43"/>
        <v>217</v>
      </c>
      <c r="E32" s="28">
        <f>ROUND(E$26+12.4*$C32, 0)</f>
        <v>320</v>
      </c>
      <c r="F32" s="25">
        <f t="shared" si="44"/>
        <v>227</v>
      </c>
      <c r="G32" s="28">
        <f>ROUND(G$26+12.4*$C32, 0)</f>
        <v>330</v>
      </c>
      <c r="H32" s="4" t="s">
        <v>0</v>
      </c>
      <c r="I32" s="16" t="str">
        <f t="shared" si="0"/>
        <v>07-03</v>
      </c>
      <c r="J32" s="14">
        <f t="shared" si="41"/>
        <v>217</v>
      </c>
      <c r="K32" s="15">
        <f t="shared" si="41"/>
        <v>320</v>
      </c>
      <c r="L32" s="17">
        <f t="shared" si="3"/>
        <v>227</v>
      </c>
      <c r="M32" s="18">
        <f t="shared" si="4"/>
        <v>320</v>
      </c>
      <c r="N32" s="14">
        <f t="shared" si="42"/>
        <v>227</v>
      </c>
      <c r="O32" s="15">
        <f t="shared" si="42"/>
        <v>330</v>
      </c>
      <c r="P32" s="17">
        <f t="shared" si="6"/>
        <v>217</v>
      </c>
      <c r="Q32" s="18">
        <f t="shared" si="7"/>
        <v>330</v>
      </c>
      <c r="R32" s="4" t="s">
        <v>0</v>
      </c>
      <c r="S32" s="16" t="str">
        <f t="shared" si="8"/>
        <v>07-03</v>
      </c>
      <c r="T32" s="14">
        <f t="shared" si="9"/>
        <v>217</v>
      </c>
      <c r="U32" s="18">
        <f t="shared" si="10"/>
        <v>430</v>
      </c>
      <c r="V32" s="14">
        <f t="shared" si="37"/>
        <v>227</v>
      </c>
      <c r="W32" s="18">
        <f t="shared" si="11"/>
        <v>430</v>
      </c>
      <c r="X32" s="14">
        <f t="shared" si="38"/>
        <v>227</v>
      </c>
      <c r="Y32" s="18">
        <f t="shared" si="12"/>
        <v>420</v>
      </c>
      <c r="Z32" s="14">
        <f t="shared" si="39"/>
        <v>217</v>
      </c>
      <c r="AA32" s="18">
        <f t="shared" si="13"/>
        <v>420</v>
      </c>
      <c r="AB32" s="4" t="s">
        <v>0</v>
      </c>
    </row>
    <row r="33" spans="1:28">
      <c r="A33" s="9" t="s">
        <v>52</v>
      </c>
      <c r="B33" s="24"/>
      <c r="C33" s="26"/>
      <c r="D33" s="25">
        <f t="shared" si="43"/>
        <v>238</v>
      </c>
      <c r="E33" s="29">
        <f t="shared" ref="E33" si="49">E32</f>
        <v>320</v>
      </c>
      <c r="F33" s="25">
        <f t="shared" si="44"/>
        <v>248</v>
      </c>
      <c r="G33" s="29">
        <f t="shared" ref="G33:G34" si="50">G32</f>
        <v>330</v>
      </c>
      <c r="H33" s="4" t="s">
        <v>0</v>
      </c>
      <c r="I33" s="16" t="str">
        <f t="shared" si="0"/>
        <v>06-03</v>
      </c>
      <c r="J33" s="14">
        <f t="shared" si="41"/>
        <v>238</v>
      </c>
      <c r="K33" s="15">
        <f t="shared" si="41"/>
        <v>320</v>
      </c>
      <c r="L33" s="17">
        <f t="shared" si="3"/>
        <v>248</v>
      </c>
      <c r="M33" s="18">
        <f t="shared" si="4"/>
        <v>320</v>
      </c>
      <c r="N33" s="14">
        <f t="shared" si="42"/>
        <v>248</v>
      </c>
      <c r="O33" s="15">
        <f t="shared" si="42"/>
        <v>330</v>
      </c>
      <c r="P33" s="17">
        <f t="shared" si="6"/>
        <v>238</v>
      </c>
      <c r="Q33" s="18">
        <f t="shared" si="7"/>
        <v>330</v>
      </c>
      <c r="R33" s="4" t="s">
        <v>0</v>
      </c>
      <c r="S33" s="16" t="str">
        <f t="shared" si="8"/>
        <v>06-03</v>
      </c>
      <c r="T33" s="14">
        <f t="shared" si="9"/>
        <v>238</v>
      </c>
      <c r="U33" s="18">
        <f t="shared" si="10"/>
        <v>430</v>
      </c>
      <c r="V33" s="14">
        <f t="shared" si="37"/>
        <v>248</v>
      </c>
      <c r="W33" s="18">
        <f t="shared" si="11"/>
        <v>430</v>
      </c>
      <c r="X33" s="14">
        <f t="shared" si="38"/>
        <v>248</v>
      </c>
      <c r="Y33" s="18">
        <f t="shared" si="12"/>
        <v>420</v>
      </c>
      <c r="Z33" s="14">
        <f t="shared" si="39"/>
        <v>238</v>
      </c>
      <c r="AA33" s="18">
        <f t="shared" si="13"/>
        <v>420</v>
      </c>
      <c r="AB33" s="4" t="s">
        <v>0</v>
      </c>
    </row>
    <row r="34" spans="1:28">
      <c r="A34" s="9" t="s">
        <v>42</v>
      </c>
      <c r="B34" s="24"/>
      <c r="C34" s="26"/>
      <c r="D34" s="25">
        <f t="shared" si="43"/>
        <v>260</v>
      </c>
      <c r="E34" s="29">
        <f t="shared" ref="E34" si="51">E33</f>
        <v>320</v>
      </c>
      <c r="F34" s="25">
        <f t="shared" si="44"/>
        <v>270</v>
      </c>
      <c r="G34" s="29">
        <f t="shared" si="50"/>
        <v>330</v>
      </c>
      <c r="H34" s="4" t="s">
        <v>0</v>
      </c>
      <c r="I34" s="16" t="str">
        <f t="shared" si="0"/>
        <v>05-03</v>
      </c>
      <c r="J34" s="14">
        <f t="shared" si="41"/>
        <v>260</v>
      </c>
      <c r="K34" s="15">
        <f t="shared" si="41"/>
        <v>320</v>
      </c>
      <c r="L34" s="17">
        <f t="shared" si="3"/>
        <v>270</v>
      </c>
      <c r="M34" s="18">
        <f t="shared" si="4"/>
        <v>320</v>
      </c>
      <c r="N34" s="14">
        <f t="shared" si="42"/>
        <v>270</v>
      </c>
      <c r="O34" s="15">
        <f t="shared" si="42"/>
        <v>330</v>
      </c>
      <c r="P34" s="17">
        <f t="shared" si="6"/>
        <v>260</v>
      </c>
      <c r="Q34" s="18">
        <f t="shared" si="7"/>
        <v>330</v>
      </c>
      <c r="R34" s="4" t="s">
        <v>0</v>
      </c>
      <c r="S34" s="16" t="str">
        <f t="shared" si="8"/>
        <v>05-03</v>
      </c>
      <c r="T34" s="14">
        <f t="shared" si="9"/>
        <v>260</v>
      </c>
      <c r="U34" s="18">
        <f t="shared" si="10"/>
        <v>430</v>
      </c>
      <c r="V34" s="14">
        <f t="shared" si="37"/>
        <v>270</v>
      </c>
      <c r="W34" s="18">
        <f t="shared" si="11"/>
        <v>430</v>
      </c>
      <c r="X34" s="14">
        <f t="shared" si="38"/>
        <v>270</v>
      </c>
      <c r="Y34" s="18">
        <f t="shared" si="12"/>
        <v>420</v>
      </c>
      <c r="Z34" s="14">
        <f t="shared" si="39"/>
        <v>260</v>
      </c>
      <c r="AA34" s="18">
        <f t="shared" si="13"/>
        <v>420</v>
      </c>
      <c r="AB34" s="4" t="s">
        <v>0</v>
      </c>
    </row>
    <row r="35" spans="1:28">
      <c r="A35" s="9" t="s">
        <v>61</v>
      </c>
      <c r="B35" s="24"/>
      <c r="C35" s="26">
        <v>3</v>
      </c>
      <c r="D35" s="25">
        <f t="shared" si="43"/>
        <v>217</v>
      </c>
      <c r="E35" s="28">
        <f>ROUND(E$26+12.4*$C35, 0)</f>
        <v>332</v>
      </c>
      <c r="F35" s="25">
        <f t="shared" si="44"/>
        <v>227</v>
      </c>
      <c r="G35" s="28">
        <f>ROUND(G$26+12.4*$C35, 0)</f>
        <v>342</v>
      </c>
      <c r="H35" s="4" t="s">
        <v>0</v>
      </c>
      <c r="I35" s="16" t="str">
        <f t="shared" si="0"/>
        <v>07-02</v>
      </c>
      <c r="J35" s="14">
        <f t="shared" si="41"/>
        <v>217</v>
      </c>
      <c r="K35" s="15">
        <f t="shared" si="41"/>
        <v>332</v>
      </c>
      <c r="L35" s="17">
        <f t="shared" si="3"/>
        <v>227</v>
      </c>
      <c r="M35" s="18">
        <f t="shared" si="4"/>
        <v>332</v>
      </c>
      <c r="N35" s="14">
        <f t="shared" si="42"/>
        <v>227</v>
      </c>
      <c r="O35" s="15">
        <f t="shared" si="42"/>
        <v>342</v>
      </c>
      <c r="P35" s="17">
        <f t="shared" si="6"/>
        <v>217</v>
      </c>
      <c r="Q35" s="18">
        <f t="shared" si="7"/>
        <v>342</v>
      </c>
      <c r="R35" s="4" t="s">
        <v>0</v>
      </c>
      <c r="S35" s="16" t="str">
        <f t="shared" si="8"/>
        <v>07-02</v>
      </c>
      <c r="T35" s="14">
        <f t="shared" si="9"/>
        <v>217</v>
      </c>
      <c r="U35" s="18">
        <f t="shared" si="10"/>
        <v>418</v>
      </c>
      <c r="V35" s="14">
        <f t="shared" si="37"/>
        <v>227</v>
      </c>
      <c r="W35" s="18">
        <f t="shared" si="11"/>
        <v>418</v>
      </c>
      <c r="X35" s="14">
        <f t="shared" si="38"/>
        <v>227</v>
      </c>
      <c r="Y35" s="18">
        <f t="shared" si="12"/>
        <v>408</v>
      </c>
      <c r="Z35" s="14">
        <f t="shared" si="39"/>
        <v>217</v>
      </c>
      <c r="AA35" s="18">
        <f t="shared" si="13"/>
        <v>408</v>
      </c>
      <c r="AB35" s="4" t="s">
        <v>0</v>
      </c>
    </row>
    <row r="36" spans="1:28">
      <c r="A36" s="9" t="s">
        <v>51</v>
      </c>
      <c r="B36" s="24"/>
      <c r="C36" s="26"/>
      <c r="D36" s="25">
        <f t="shared" si="43"/>
        <v>238</v>
      </c>
      <c r="E36" s="29">
        <f t="shared" ref="E36" si="52">E35</f>
        <v>332</v>
      </c>
      <c r="F36" s="25">
        <f t="shared" si="44"/>
        <v>248</v>
      </c>
      <c r="G36" s="29">
        <f t="shared" ref="G36:G37" si="53">G35</f>
        <v>342</v>
      </c>
      <c r="H36" s="4" t="s">
        <v>0</v>
      </c>
      <c r="I36" s="16" t="str">
        <f t="shared" si="0"/>
        <v>06-02</v>
      </c>
      <c r="J36" s="14">
        <f t="shared" si="41"/>
        <v>238</v>
      </c>
      <c r="K36" s="15">
        <f t="shared" si="41"/>
        <v>332</v>
      </c>
      <c r="L36" s="17">
        <f t="shared" si="3"/>
        <v>248</v>
      </c>
      <c r="M36" s="18">
        <f t="shared" si="4"/>
        <v>332</v>
      </c>
      <c r="N36" s="14">
        <f t="shared" si="42"/>
        <v>248</v>
      </c>
      <c r="O36" s="15">
        <f t="shared" si="42"/>
        <v>342</v>
      </c>
      <c r="P36" s="17">
        <f t="shared" si="6"/>
        <v>238</v>
      </c>
      <c r="Q36" s="18">
        <f t="shared" si="7"/>
        <v>342</v>
      </c>
      <c r="R36" s="4" t="s">
        <v>0</v>
      </c>
      <c r="S36" s="16" t="str">
        <f t="shared" si="8"/>
        <v>06-02</v>
      </c>
      <c r="T36" s="14">
        <f t="shared" si="9"/>
        <v>238</v>
      </c>
      <c r="U36" s="18">
        <f t="shared" si="10"/>
        <v>418</v>
      </c>
      <c r="V36" s="14">
        <f t="shared" si="37"/>
        <v>248</v>
      </c>
      <c r="W36" s="18">
        <f t="shared" si="11"/>
        <v>418</v>
      </c>
      <c r="X36" s="14">
        <f t="shared" si="38"/>
        <v>248</v>
      </c>
      <c r="Y36" s="18">
        <f t="shared" si="12"/>
        <v>408</v>
      </c>
      <c r="Z36" s="14">
        <f t="shared" si="39"/>
        <v>238</v>
      </c>
      <c r="AA36" s="18">
        <f t="shared" si="13"/>
        <v>408</v>
      </c>
      <c r="AB36" s="4" t="s">
        <v>0</v>
      </c>
    </row>
    <row r="37" spans="1:28">
      <c r="A37" s="9" t="s">
        <v>41</v>
      </c>
      <c r="B37" s="24"/>
      <c r="C37" s="26"/>
      <c r="D37" s="25">
        <f t="shared" si="43"/>
        <v>260</v>
      </c>
      <c r="E37" s="29">
        <f t="shared" ref="E37" si="54">E36</f>
        <v>332</v>
      </c>
      <c r="F37" s="25">
        <f t="shared" si="44"/>
        <v>270</v>
      </c>
      <c r="G37" s="29">
        <f t="shared" si="53"/>
        <v>342</v>
      </c>
      <c r="H37" s="4" t="s">
        <v>0</v>
      </c>
      <c r="I37" s="16" t="str">
        <f t="shared" si="0"/>
        <v>05-02</v>
      </c>
      <c r="J37" s="14">
        <f t="shared" si="41"/>
        <v>260</v>
      </c>
      <c r="K37" s="15">
        <f t="shared" si="41"/>
        <v>332</v>
      </c>
      <c r="L37" s="17">
        <f t="shared" si="3"/>
        <v>270</v>
      </c>
      <c r="M37" s="18">
        <f t="shared" si="4"/>
        <v>332</v>
      </c>
      <c r="N37" s="14">
        <f t="shared" si="42"/>
        <v>270</v>
      </c>
      <c r="O37" s="15">
        <f t="shared" si="42"/>
        <v>342</v>
      </c>
      <c r="P37" s="17">
        <f t="shared" si="6"/>
        <v>260</v>
      </c>
      <c r="Q37" s="18">
        <f t="shared" si="7"/>
        <v>342</v>
      </c>
      <c r="R37" s="4" t="s">
        <v>0</v>
      </c>
      <c r="S37" s="16" t="str">
        <f t="shared" si="8"/>
        <v>05-02</v>
      </c>
      <c r="T37" s="14">
        <f t="shared" si="9"/>
        <v>260</v>
      </c>
      <c r="U37" s="18">
        <f t="shared" si="10"/>
        <v>418</v>
      </c>
      <c r="V37" s="14">
        <f t="shared" si="37"/>
        <v>270</v>
      </c>
      <c r="W37" s="18">
        <f t="shared" si="11"/>
        <v>418</v>
      </c>
      <c r="X37" s="14">
        <f t="shared" si="38"/>
        <v>270</v>
      </c>
      <c r="Y37" s="18">
        <f t="shared" si="12"/>
        <v>408</v>
      </c>
      <c r="Z37" s="14">
        <f t="shared" si="39"/>
        <v>260</v>
      </c>
      <c r="AA37" s="18">
        <f t="shared" si="13"/>
        <v>408</v>
      </c>
      <c r="AB37" s="4" t="s">
        <v>0</v>
      </c>
    </row>
    <row r="38" spans="1:28">
      <c r="A38" s="9" t="s">
        <v>60</v>
      </c>
      <c r="B38" s="24"/>
      <c r="C38" s="26">
        <v>4</v>
      </c>
      <c r="D38" s="25">
        <f t="shared" si="43"/>
        <v>217</v>
      </c>
      <c r="E38" s="28">
        <f>ROUND(E$26+12.4*$C38, 0)</f>
        <v>345</v>
      </c>
      <c r="F38" s="25">
        <f t="shared" si="44"/>
        <v>227</v>
      </c>
      <c r="G38" s="28">
        <f>ROUND(G$26+12.4*$C38, 0)</f>
        <v>355</v>
      </c>
      <c r="H38" s="4" t="s">
        <v>0</v>
      </c>
      <c r="I38" s="16" t="str">
        <f t="shared" si="0"/>
        <v>07-01</v>
      </c>
      <c r="J38" s="14">
        <f t="shared" si="41"/>
        <v>217</v>
      </c>
      <c r="K38" s="15">
        <f t="shared" si="41"/>
        <v>345</v>
      </c>
      <c r="L38" s="17">
        <f t="shared" si="3"/>
        <v>227</v>
      </c>
      <c r="M38" s="18">
        <f t="shared" si="4"/>
        <v>345</v>
      </c>
      <c r="N38" s="14">
        <f t="shared" si="42"/>
        <v>227</v>
      </c>
      <c r="O38" s="15">
        <f t="shared" si="42"/>
        <v>355</v>
      </c>
      <c r="P38" s="17">
        <f t="shared" si="6"/>
        <v>217</v>
      </c>
      <c r="Q38" s="18">
        <f t="shared" si="7"/>
        <v>355</v>
      </c>
      <c r="R38" s="4" t="s">
        <v>0</v>
      </c>
      <c r="S38" s="16" t="str">
        <f t="shared" si="8"/>
        <v>07-01</v>
      </c>
      <c r="T38" s="14">
        <f t="shared" si="9"/>
        <v>217</v>
      </c>
      <c r="U38" s="18">
        <f t="shared" si="10"/>
        <v>405</v>
      </c>
      <c r="V38" s="14">
        <f t="shared" si="37"/>
        <v>227</v>
      </c>
      <c r="W38" s="18">
        <f t="shared" si="11"/>
        <v>405</v>
      </c>
      <c r="X38" s="14">
        <f t="shared" si="38"/>
        <v>227</v>
      </c>
      <c r="Y38" s="18">
        <f t="shared" si="12"/>
        <v>395</v>
      </c>
      <c r="Z38" s="14">
        <f t="shared" si="39"/>
        <v>217</v>
      </c>
      <c r="AA38" s="18">
        <f t="shared" si="13"/>
        <v>395</v>
      </c>
      <c r="AB38" s="4" t="s">
        <v>0</v>
      </c>
    </row>
    <row r="39" spans="1:28">
      <c r="A39" s="9" t="s">
        <v>50</v>
      </c>
      <c r="B39" s="24"/>
      <c r="C39" s="26"/>
      <c r="D39" s="25">
        <f t="shared" si="43"/>
        <v>238</v>
      </c>
      <c r="E39" s="29">
        <f t="shared" ref="E39" si="55">E38</f>
        <v>345</v>
      </c>
      <c r="F39" s="25">
        <f t="shared" si="44"/>
        <v>248</v>
      </c>
      <c r="G39" s="29">
        <f t="shared" ref="G39:G40" si="56">G38</f>
        <v>355</v>
      </c>
      <c r="H39" s="4" t="s">
        <v>0</v>
      </c>
      <c r="I39" s="16" t="str">
        <f t="shared" si="0"/>
        <v>06-01</v>
      </c>
      <c r="J39" s="14">
        <f t="shared" si="41"/>
        <v>238</v>
      </c>
      <c r="K39" s="15">
        <f t="shared" si="41"/>
        <v>345</v>
      </c>
      <c r="L39" s="17">
        <f t="shared" si="3"/>
        <v>248</v>
      </c>
      <c r="M39" s="18">
        <f t="shared" si="4"/>
        <v>345</v>
      </c>
      <c r="N39" s="14">
        <f t="shared" si="42"/>
        <v>248</v>
      </c>
      <c r="O39" s="15">
        <f t="shared" si="42"/>
        <v>355</v>
      </c>
      <c r="P39" s="17">
        <f t="shared" si="6"/>
        <v>238</v>
      </c>
      <c r="Q39" s="18">
        <f t="shared" si="7"/>
        <v>355</v>
      </c>
      <c r="R39" s="4" t="s">
        <v>0</v>
      </c>
      <c r="S39" s="16" t="str">
        <f t="shared" si="8"/>
        <v>06-01</v>
      </c>
      <c r="T39" s="14">
        <f t="shared" si="9"/>
        <v>238</v>
      </c>
      <c r="U39" s="18">
        <f t="shared" si="10"/>
        <v>405</v>
      </c>
      <c r="V39" s="14">
        <f t="shared" si="37"/>
        <v>248</v>
      </c>
      <c r="W39" s="18">
        <f t="shared" si="11"/>
        <v>405</v>
      </c>
      <c r="X39" s="14">
        <f t="shared" si="38"/>
        <v>248</v>
      </c>
      <c r="Y39" s="18">
        <f t="shared" si="12"/>
        <v>395</v>
      </c>
      <c r="Z39" s="14">
        <f t="shared" si="39"/>
        <v>238</v>
      </c>
      <c r="AA39" s="18">
        <f t="shared" si="13"/>
        <v>395</v>
      </c>
      <c r="AB39" s="4" t="s">
        <v>0</v>
      </c>
    </row>
    <row r="40" spans="1:28">
      <c r="A40" s="9" t="s">
        <v>40</v>
      </c>
      <c r="B40" s="24"/>
      <c r="C40" s="26"/>
      <c r="D40" s="25">
        <f t="shared" si="43"/>
        <v>260</v>
      </c>
      <c r="E40" s="29">
        <f t="shared" ref="E40" si="57">E39</f>
        <v>345</v>
      </c>
      <c r="F40" s="25">
        <f t="shared" si="44"/>
        <v>270</v>
      </c>
      <c r="G40" s="29">
        <f t="shared" si="56"/>
        <v>355</v>
      </c>
      <c r="H40" s="4" t="s">
        <v>0</v>
      </c>
      <c r="I40" s="16" t="str">
        <f t="shared" si="0"/>
        <v>05-01</v>
      </c>
      <c r="J40" s="14">
        <f t="shared" si="41"/>
        <v>260</v>
      </c>
      <c r="K40" s="15">
        <f t="shared" si="41"/>
        <v>345</v>
      </c>
      <c r="L40" s="17">
        <f t="shared" si="3"/>
        <v>270</v>
      </c>
      <c r="M40" s="18">
        <f t="shared" si="4"/>
        <v>345</v>
      </c>
      <c r="N40" s="14">
        <f t="shared" si="42"/>
        <v>270</v>
      </c>
      <c r="O40" s="15">
        <f t="shared" si="42"/>
        <v>355</v>
      </c>
      <c r="P40" s="17">
        <f t="shared" si="6"/>
        <v>260</v>
      </c>
      <c r="Q40" s="18">
        <f t="shared" si="7"/>
        <v>355</v>
      </c>
      <c r="R40" s="4" t="s">
        <v>0</v>
      </c>
      <c r="S40" s="16" t="str">
        <f t="shared" si="8"/>
        <v>05-01</v>
      </c>
      <c r="T40" s="14">
        <f t="shared" si="9"/>
        <v>260</v>
      </c>
      <c r="U40" s="18">
        <f t="shared" si="10"/>
        <v>405</v>
      </c>
      <c r="V40" s="14">
        <f t="shared" si="37"/>
        <v>270</v>
      </c>
      <c r="W40" s="18">
        <f t="shared" si="11"/>
        <v>405</v>
      </c>
      <c r="X40" s="14">
        <f t="shared" si="38"/>
        <v>270</v>
      </c>
      <c r="Y40" s="18">
        <f t="shared" si="12"/>
        <v>395</v>
      </c>
      <c r="Z40" s="14">
        <f t="shared" si="39"/>
        <v>260</v>
      </c>
      <c r="AA40" s="18">
        <f t="shared" si="13"/>
        <v>395</v>
      </c>
      <c r="AB40" s="4" t="s">
        <v>0</v>
      </c>
    </row>
    <row r="41" spans="1:28">
      <c r="A41" s="9" t="s">
        <v>34</v>
      </c>
      <c r="B41" s="24"/>
      <c r="C41" s="26"/>
      <c r="D41" s="27">
        <v>210</v>
      </c>
      <c r="E41" s="31">
        <v>371</v>
      </c>
      <c r="F41" s="31">
        <v>224</v>
      </c>
      <c r="G41" s="31">
        <v>381</v>
      </c>
      <c r="H41" s="4" t="s">
        <v>0</v>
      </c>
      <c r="I41" s="16" t="str">
        <f t="shared" si="0"/>
        <v>03-06</v>
      </c>
      <c r="J41" s="14">
        <f t="shared" si="41"/>
        <v>210</v>
      </c>
      <c r="K41" s="15">
        <f t="shared" si="41"/>
        <v>371</v>
      </c>
      <c r="L41" s="17">
        <f t="shared" si="3"/>
        <v>224</v>
      </c>
      <c r="M41" s="18">
        <f t="shared" si="4"/>
        <v>371</v>
      </c>
      <c r="N41" s="14">
        <f t="shared" si="42"/>
        <v>224</v>
      </c>
      <c r="O41" s="15">
        <f t="shared" si="42"/>
        <v>381</v>
      </c>
      <c r="P41" s="17">
        <f t="shared" si="6"/>
        <v>210</v>
      </c>
      <c r="Q41" s="18">
        <f t="shared" si="7"/>
        <v>381</v>
      </c>
      <c r="R41" s="4" t="s">
        <v>0</v>
      </c>
      <c r="S41" s="16" t="str">
        <f t="shared" si="8"/>
        <v>03-06</v>
      </c>
      <c r="T41" s="14">
        <f t="shared" si="9"/>
        <v>210</v>
      </c>
      <c r="U41" s="18">
        <f t="shared" si="10"/>
        <v>379</v>
      </c>
      <c r="V41" s="14">
        <f t="shared" si="37"/>
        <v>224</v>
      </c>
      <c r="W41" s="18">
        <f t="shared" si="11"/>
        <v>379</v>
      </c>
      <c r="X41" s="14">
        <f t="shared" si="38"/>
        <v>224</v>
      </c>
      <c r="Y41" s="18">
        <f t="shared" si="12"/>
        <v>369</v>
      </c>
      <c r="Z41" s="14">
        <f t="shared" si="39"/>
        <v>210</v>
      </c>
      <c r="AA41" s="18">
        <f t="shared" si="13"/>
        <v>369</v>
      </c>
      <c r="AB41" s="4" t="s">
        <v>0</v>
      </c>
    </row>
    <row r="42" spans="1:28">
      <c r="A42" s="9" t="s">
        <v>24</v>
      </c>
      <c r="B42" s="24"/>
      <c r="C42" s="26"/>
      <c r="D42" s="27">
        <v>234</v>
      </c>
      <c r="E42" s="27">
        <f t="shared" ref="E42" si="58">E41</f>
        <v>371</v>
      </c>
      <c r="F42" s="27">
        <v>247</v>
      </c>
      <c r="G42" s="27">
        <f t="shared" ref="G42:G43" si="59">G41</f>
        <v>381</v>
      </c>
      <c r="H42" s="4" t="s">
        <v>0</v>
      </c>
      <c r="I42" s="16" t="str">
        <f t="shared" si="0"/>
        <v>02-06</v>
      </c>
      <c r="J42" s="14">
        <f t="shared" si="41"/>
        <v>234</v>
      </c>
      <c r="K42" s="15">
        <f t="shared" si="41"/>
        <v>371</v>
      </c>
      <c r="L42" s="17">
        <f t="shared" si="3"/>
        <v>247</v>
      </c>
      <c r="M42" s="18">
        <f t="shared" si="4"/>
        <v>371</v>
      </c>
      <c r="N42" s="14">
        <f t="shared" si="42"/>
        <v>247</v>
      </c>
      <c r="O42" s="15">
        <f t="shared" si="42"/>
        <v>381</v>
      </c>
      <c r="P42" s="17">
        <f t="shared" si="6"/>
        <v>234</v>
      </c>
      <c r="Q42" s="18">
        <f t="shared" si="7"/>
        <v>381</v>
      </c>
      <c r="R42" s="4" t="s">
        <v>0</v>
      </c>
      <c r="S42" s="16" t="str">
        <f t="shared" si="8"/>
        <v>02-06</v>
      </c>
      <c r="T42" s="14">
        <f t="shared" si="9"/>
        <v>234</v>
      </c>
      <c r="U42" s="18">
        <f t="shared" si="10"/>
        <v>379</v>
      </c>
      <c r="V42" s="14">
        <f t="shared" si="37"/>
        <v>247</v>
      </c>
      <c r="W42" s="18">
        <f t="shared" si="11"/>
        <v>379</v>
      </c>
      <c r="X42" s="14">
        <f t="shared" si="38"/>
        <v>247</v>
      </c>
      <c r="Y42" s="18">
        <f t="shared" si="12"/>
        <v>369</v>
      </c>
      <c r="Z42" s="14">
        <f t="shared" si="39"/>
        <v>234</v>
      </c>
      <c r="AA42" s="18">
        <f t="shared" si="13"/>
        <v>369</v>
      </c>
      <c r="AB42" s="4" t="s">
        <v>0</v>
      </c>
    </row>
    <row r="43" spans="1:28">
      <c r="A43" s="9" t="s">
        <v>6</v>
      </c>
      <c r="B43" s="24"/>
      <c r="C43" s="26"/>
      <c r="D43" s="27">
        <v>257</v>
      </c>
      <c r="E43" s="27">
        <f t="shared" ref="E43" si="60">E42</f>
        <v>371</v>
      </c>
      <c r="F43" s="27">
        <f t="shared" ref="F43" si="61">F40</f>
        <v>270</v>
      </c>
      <c r="G43" s="27">
        <f t="shared" si="59"/>
        <v>381</v>
      </c>
      <c r="H43" s="4" t="s">
        <v>0</v>
      </c>
      <c r="I43" s="16" t="str">
        <f t="shared" si="0"/>
        <v>01-06</v>
      </c>
      <c r="J43" s="14">
        <f t="shared" si="41"/>
        <v>257</v>
      </c>
      <c r="K43" s="15">
        <f t="shared" si="41"/>
        <v>371</v>
      </c>
      <c r="L43" s="17">
        <f t="shared" si="3"/>
        <v>270</v>
      </c>
      <c r="M43" s="18">
        <f t="shared" si="4"/>
        <v>371</v>
      </c>
      <c r="N43" s="14">
        <f t="shared" si="42"/>
        <v>270</v>
      </c>
      <c r="O43" s="15">
        <f t="shared" si="42"/>
        <v>381</v>
      </c>
      <c r="P43" s="17">
        <f t="shared" si="6"/>
        <v>257</v>
      </c>
      <c r="Q43" s="18">
        <f t="shared" si="7"/>
        <v>381</v>
      </c>
      <c r="R43" s="4" t="s">
        <v>0</v>
      </c>
      <c r="S43" s="16" t="str">
        <f t="shared" si="8"/>
        <v>01-06</v>
      </c>
      <c r="T43" s="14">
        <f t="shared" si="9"/>
        <v>257</v>
      </c>
      <c r="U43" s="18">
        <f t="shared" si="10"/>
        <v>379</v>
      </c>
      <c r="V43" s="14">
        <f t="shared" si="37"/>
        <v>270</v>
      </c>
      <c r="W43" s="18">
        <f t="shared" si="11"/>
        <v>379</v>
      </c>
      <c r="X43" s="14">
        <f t="shared" si="38"/>
        <v>270</v>
      </c>
      <c r="Y43" s="18">
        <f t="shared" si="12"/>
        <v>369</v>
      </c>
      <c r="Z43" s="14">
        <f t="shared" si="39"/>
        <v>257</v>
      </c>
      <c r="AA43" s="18">
        <f t="shared" si="13"/>
        <v>369</v>
      </c>
      <c r="AB43" s="4" t="s">
        <v>0</v>
      </c>
    </row>
    <row r="44" spans="1:28">
      <c r="A44" s="9" t="s">
        <v>33</v>
      </c>
      <c r="B44" s="24"/>
      <c r="C44" s="26">
        <v>1</v>
      </c>
      <c r="D44" s="25">
        <f>D41</f>
        <v>210</v>
      </c>
      <c r="E44" s="28">
        <f>ROUND(E$41+12.8*$C44, 0)</f>
        <v>384</v>
      </c>
      <c r="F44" s="25">
        <f>F41</f>
        <v>224</v>
      </c>
      <c r="G44" s="28">
        <f>ROUND(G$41+12.8*$C44, 0)</f>
        <v>394</v>
      </c>
      <c r="H44" s="4" t="s">
        <v>0</v>
      </c>
      <c r="I44" s="16" t="str">
        <f t="shared" si="0"/>
        <v>03-05</v>
      </c>
      <c r="J44" s="14">
        <f t="shared" si="41"/>
        <v>210</v>
      </c>
      <c r="K44" s="15">
        <f t="shared" si="41"/>
        <v>384</v>
      </c>
      <c r="L44" s="17">
        <f t="shared" si="3"/>
        <v>224</v>
      </c>
      <c r="M44" s="18">
        <f t="shared" si="4"/>
        <v>384</v>
      </c>
      <c r="N44" s="14">
        <f t="shared" si="42"/>
        <v>224</v>
      </c>
      <c r="O44" s="15">
        <f t="shared" si="42"/>
        <v>394</v>
      </c>
      <c r="P44" s="17">
        <f t="shared" si="6"/>
        <v>210</v>
      </c>
      <c r="Q44" s="18">
        <f t="shared" si="7"/>
        <v>394</v>
      </c>
      <c r="R44" s="4" t="s">
        <v>0</v>
      </c>
      <c r="S44" s="16" t="str">
        <f t="shared" si="8"/>
        <v>03-05</v>
      </c>
      <c r="T44" s="14">
        <f t="shared" si="9"/>
        <v>210</v>
      </c>
      <c r="U44" s="18">
        <f t="shared" si="10"/>
        <v>366</v>
      </c>
      <c r="V44" s="14">
        <f t="shared" si="37"/>
        <v>224</v>
      </c>
      <c r="W44" s="18">
        <f t="shared" si="11"/>
        <v>366</v>
      </c>
      <c r="X44" s="14">
        <f t="shared" si="38"/>
        <v>224</v>
      </c>
      <c r="Y44" s="18">
        <f t="shared" si="12"/>
        <v>356</v>
      </c>
      <c r="Z44" s="14">
        <f t="shared" si="39"/>
        <v>210</v>
      </c>
      <c r="AA44" s="18">
        <f t="shared" si="13"/>
        <v>356</v>
      </c>
      <c r="AB44" s="4" t="s">
        <v>0</v>
      </c>
    </row>
    <row r="45" spans="1:28">
      <c r="A45" s="9" t="s">
        <v>23</v>
      </c>
      <c r="B45" s="24"/>
      <c r="C45" s="26"/>
      <c r="D45" s="25">
        <f>D42</f>
        <v>234</v>
      </c>
      <c r="E45" s="29">
        <f t="shared" ref="E45" si="62">E44</f>
        <v>384</v>
      </c>
      <c r="F45" s="25">
        <f>F42</f>
        <v>247</v>
      </c>
      <c r="G45" s="29">
        <f t="shared" ref="G45:G55" si="63">G44</f>
        <v>394</v>
      </c>
      <c r="H45" s="4" t="s">
        <v>0</v>
      </c>
      <c r="I45" s="16" t="str">
        <f t="shared" si="0"/>
        <v>02-05</v>
      </c>
      <c r="J45" s="14">
        <f t="shared" si="41"/>
        <v>234</v>
      </c>
      <c r="K45" s="15">
        <f t="shared" si="41"/>
        <v>384</v>
      </c>
      <c r="L45" s="17">
        <f t="shared" si="3"/>
        <v>247</v>
      </c>
      <c r="M45" s="18">
        <f t="shared" si="4"/>
        <v>384</v>
      </c>
      <c r="N45" s="14">
        <f t="shared" si="42"/>
        <v>247</v>
      </c>
      <c r="O45" s="15">
        <f t="shared" si="42"/>
        <v>394</v>
      </c>
      <c r="P45" s="17">
        <f t="shared" si="6"/>
        <v>234</v>
      </c>
      <c r="Q45" s="18">
        <f t="shared" si="7"/>
        <v>394</v>
      </c>
      <c r="R45" s="4" t="s">
        <v>0</v>
      </c>
      <c r="S45" s="16" t="str">
        <f t="shared" si="8"/>
        <v>02-05</v>
      </c>
      <c r="T45" s="14">
        <f t="shared" si="9"/>
        <v>234</v>
      </c>
      <c r="U45" s="18">
        <f t="shared" si="10"/>
        <v>366</v>
      </c>
      <c r="V45" s="14">
        <f t="shared" si="37"/>
        <v>247</v>
      </c>
      <c r="W45" s="18">
        <f t="shared" si="11"/>
        <v>366</v>
      </c>
      <c r="X45" s="14">
        <f t="shared" si="38"/>
        <v>247</v>
      </c>
      <c r="Y45" s="18">
        <f t="shared" si="12"/>
        <v>356</v>
      </c>
      <c r="Z45" s="14">
        <f t="shared" si="39"/>
        <v>234</v>
      </c>
      <c r="AA45" s="18">
        <f t="shared" si="13"/>
        <v>356</v>
      </c>
      <c r="AB45" s="4" t="s">
        <v>0</v>
      </c>
    </row>
    <row r="46" spans="1:28">
      <c r="A46" s="9" t="s">
        <v>5</v>
      </c>
      <c r="B46" s="24"/>
      <c r="C46" s="26"/>
      <c r="D46" s="25">
        <f>D43</f>
        <v>257</v>
      </c>
      <c r="E46" s="29">
        <f t="shared" ref="E46" si="64">E45</f>
        <v>384</v>
      </c>
      <c r="F46" s="25">
        <f>F43</f>
        <v>270</v>
      </c>
      <c r="G46" s="29">
        <f t="shared" si="63"/>
        <v>394</v>
      </c>
      <c r="H46" s="4" t="s">
        <v>0</v>
      </c>
      <c r="I46" s="16" t="str">
        <f t="shared" si="0"/>
        <v>01-05</v>
      </c>
      <c r="J46" s="14">
        <f t="shared" si="41"/>
        <v>257</v>
      </c>
      <c r="K46" s="15">
        <f t="shared" si="41"/>
        <v>384</v>
      </c>
      <c r="L46" s="17">
        <f t="shared" si="3"/>
        <v>270</v>
      </c>
      <c r="M46" s="18">
        <f t="shared" si="4"/>
        <v>384</v>
      </c>
      <c r="N46" s="14">
        <f t="shared" si="42"/>
        <v>270</v>
      </c>
      <c r="O46" s="15">
        <f t="shared" si="42"/>
        <v>394</v>
      </c>
      <c r="P46" s="17">
        <f t="shared" si="6"/>
        <v>257</v>
      </c>
      <c r="Q46" s="18">
        <f t="shared" si="7"/>
        <v>394</v>
      </c>
      <c r="R46" s="4" t="s">
        <v>0</v>
      </c>
      <c r="S46" s="16" t="str">
        <f t="shared" si="8"/>
        <v>01-05</v>
      </c>
      <c r="T46" s="14">
        <f t="shared" si="9"/>
        <v>257</v>
      </c>
      <c r="U46" s="18">
        <f t="shared" si="10"/>
        <v>366</v>
      </c>
      <c r="V46" s="14">
        <f t="shared" si="37"/>
        <v>270</v>
      </c>
      <c r="W46" s="18">
        <f t="shared" si="11"/>
        <v>366</v>
      </c>
      <c r="X46" s="14">
        <f t="shared" si="38"/>
        <v>270</v>
      </c>
      <c r="Y46" s="18">
        <f t="shared" si="12"/>
        <v>356</v>
      </c>
      <c r="Z46" s="14">
        <f t="shared" si="39"/>
        <v>257</v>
      </c>
      <c r="AA46" s="18">
        <f t="shared" si="13"/>
        <v>356</v>
      </c>
      <c r="AB46" s="4" t="s">
        <v>0</v>
      </c>
    </row>
    <row r="47" spans="1:28">
      <c r="A47" s="9" t="s">
        <v>32</v>
      </c>
      <c r="B47" s="24"/>
      <c r="C47" s="26">
        <v>2</v>
      </c>
      <c r="D47" s="25">
        <f t="shared" ref="D47:D55" si="65">D44</f>
        <v>210</v>
      </c>
      <c r="E47" s="28">
        <f t="shared" ref="E47" si="66">ROUND(E$41+12.8*$C47, 0)</f>
        <v>397</v>
      </c>
      <c r="F47" s="25">
        <f t="shared" ref="F47:F55" si="67">F44</f>
        <v>224</v>
      </c>
      <c r="G47" s="28">
        <f t="shared" ref="G47" si="68">ROUND(G$41+12.8*$C47, 0)</f>
        <v>407</v>
      </c>
      <c r="H47" s="4" t="s">
        <v>0</v>
      </c>
      <c r="I47" s="16" t="str">
        <f t="shared" si="0"/>
        <v>03-03</v>
      </c>
      <c r="J47" s="14">
        <f t="shared" si="41"/>
        <v>210</v>
      </c>
      <c r="K47" s="15">
        <f t="shared" si="41"/>
        <v>397</v>
      </c>
      <c r="L47" s="17">
        <f t="shared" si="3"/>
        <v>224</v>
      </c>
      <c r="M47" s="18">
        <f t="shared" si="4"/>
        <v>397</v>
      </c>
      <c r="N47" s="14">
        <f t="shared" si="42"/>
        <v>224</v>
      </c>
      <c r="O47" s="15">
        <f t="shared" si="42"/>
        <v>407</v>
      </c>
      <c r="P47" s="17">
        <f t="shared" si="6"/>
        <v>210</v>
      </c>
      <c r="Q47" s="18">
        <f t="shared" si="7"/>
        <v>407</v>
      </c>
      <c r="R47" s="4" t="s">
        <v>0</v>
      </c>
      <c r="S47" s="16" t="str">
        <f t="shared" si="8"/>
        <v>03-03</v>
      </c>
      <c r="T47" s="14">
        <f t="shared" si="9"/>
        <v>210</v>
      </c>
      <c r="U47" s="18">
        <f t="shared" si="10"/>
        <v>353</v>
      </c>
      <c r="V47" s="14">
        <f t="shared" si="37"/>
        <v>224</v>
      </c>
      <c r="W47" s="18">
        <f t="shared" si="11"/>
        <v>353</v>
      </c>
      <c r="X47" s="14">
        <f t="shared" si="38"/>
        <v>224</v>
      </c>
      <c r="Y47" s="18">
        <f t="shared" si="12"/>
        <v>343</v>
      </c>
      <c r="Z47" s="14">
        <f t="shared" si="39"/>
        <v>210</v>
      </c>
      <c r="AA47" s="18">
        <f t="shared" si="13"/>
        <v>343</v>
      </c>
      <c r="AB47" s="4" t="s">
        <v>0</v>
      </c>
    </row>
    <row r="48" spans="1:28">
      <c r="A48" s="9" t="s">
        <v>22</v>
      </c>
      <c r="B48" s="24"/>
      <c r="C48" s="26"/>
      <c r="D48" s="25">
        <f t="shared" si="65"/>
        <v>234</v>
      </c>
      <c r="E48" s="29">
        <f t="shared" ref="E48" si="69">E47</f>
        <v>397</v>
      </c>
      <c r="F48" s="25">
        <f t="shared" si="67"/>
        <v>247</v>
      </c>
      <c r="G48" s="29">
        <f t="shared" si="63"/>
        <v>407</v>
      </c>
      <c r="H48" s="4" t="s">
        <v>0</v>
      </c>
      <c r="I48" s="16" t="str">
        <f t="shared" si="0"/>
        <v>02-03</v>
      </c>
      <c r="J48" s="14">
        <f t="shared" si="41"/>
        <v>234</v>
      </c>
      <c r="K48" s="15">
        <f t="shared" si="41"/>
        <v>397</v>
      </c>
      <c r="L48" s="17">
        <f t="shared" si="3"/>
        <v>247</v>
      </c>
      <c r="M48" s="18">
        <f t="shared" si="4"/>
        <v>397</v>
      </c>
      <c r="N48" s="14">
        <f t="shared" si="42"/>
        <v>247</v>
      </c>
      <c r="O48" s="15">
        <f t="shared" si="42"/>
        <v>407</v>
      </c>
      <c r="P48" s="17">
        <f t="shared" si="6"/>
        <v>234</v>
      </c>
      <c r="Q48" s="18">
        <f t="shared" si="7"/>
        <v>407</v>
      </c>
      <c r="R48" s="4" t="s">
        <v>0</v>
      </c>
      <c r="S48" s="16" t="str">
        <f t="shared" si="8"/>
        <v>02-03</v>
      </c>
      <c r="T48" s="14">
        <f t="shared" si="9"/>
        <v>234</v>
      </c>
      <c r="U48" s="18">
        <f t="shared" si="10"/>
        <v>353</v>
      </c>
      <c r="V48" s="14">
        <f t="shared" si="37"/>
        <v>247</v>
      </c>
      <c r="W48" s="18">
        <f t="shared" si="11"/>
        <v>353</v>
      </c>
      <c r="X48" s="14">
        <f t="shared" si="38"/>
        <v>247</v>
      </c>
      <c r="Y48" s="18">
        <f t="shared" si="12"/>
        <v>343</v>
      </c>
      <c r="Z48" s="14">
        <f t="shared" si="39"/>
        <v>234</v>
      </c>
      <c r="AA48" s="18">
        <f t="shared" si="13"/>
        <v>343</v>
      </c>
      <c r="AB48" s="4" t="s">
        <v>0</v>
      </c>
    </row>
    <row r="49" spans="1:28">
      <c r="A49" s="9" t="s">
        <v>4</v>
      </c>
      <c r="B49" s="24"/>
      <c r="C49" s="26"/>
      <c r="D49" s="25">
        <f t="shared" si="65"/>
        <v>257</v>
      </c>
      <c r="E49" s="29">
        <f t="shared" ref="E49" si="70">E48</f>
        <v>397</v>
      </c>
      <c r="F49" s="25">
        <f t="shared" si="67"/>
        <v>270</v>
      </c>
      <c r="G49" s="29">
        <f t="shared" si="63"/>
        <v>407</v>
      </c>
      <c r="H49" s="4" t="s">
        <v>0</v>
      </c>
      <c r="I49" s="16" t="str">
        <f t="shared" si="0"/>
        <v>01-03</v>
      </c>
      <c r="J49" s="14">
        <f t="shared" si="41"/>
        <v>257</v>
      </c>
      <c r="K49" s="15">
        <f t="shared" si="41"/>
        <v>397</v>
      </c>
      <c r="L49" s="17">
        <f t="shared" si="3"/>
        <v>270</v>
      </c>
      <c r="M49" s="18">
        <f t="shared" si="4"/>
        <v>397</v>
      </c>
      <c r="N49" s="14">
        <f t="shared" si="42"/>
        <v>270</v>
      </c>
      <c r="O49" s="15">
        <f t="shared" si="42"/>
        <v>407</v>
      </c>
      <c r="P49" s="17">
        <f t="shared" si="6"/>
        <v>257</v>
      </c>
      <c r="Q49" s="18">
        <f t="shared" si="7"/>
        <v>407</v>
      </c>
      <c r="R49" s="4" t="s">
        <v>0</v>
      </c>
      <c r="S49" s="16" t="str">
        <f t="shared" si="8"/>
        <v>01-03</v>
      </c>
      <c r="T49" s="14">
        <f t="shared" si="9"/>
        <v>257</v>
      </c>
      <c r="U49" s="18">
        <f t="shared" si="10"/>
        <v>353</v>
      </c>
      <c r="V49" s="14">
        <f t="shared" si="37"/>
        <v>270</v>
      </c>
      <c r="W49" s="18">
        <f t="shared" si="11"/>
        <v>353</v>
      </c>
      <c r="X49" s="14">
        <f t="shared" si="38"/>
        <v>270</v>
      </c>
      <c r="Y49" s="18">
        <f t="shared" si="12"/>
        <v>343</v>
      </c>
      <c r="Z49" s="14">
        <f t="shared" si="39"/>
        <v>257</v>
      </c>
      <c r="AA49" s="18">
        <f t="shared" si="13"/>
        <v>343</v>
      </c>
      <c r="AB49" s="4" t="s">
        <v>0</v>
      </c>
    </row>
    <row r="50" spans="1:28">
      <c r="A50" s="9" t="s">
        <v>31</v>
      </c>
      <c r="B50" s="24"/>
      <c r="C50" s="26">
        <v>3</v>
      </c>
      <c r="D50" s="25">
        <f t="shared" si="65"/>
        <v>210</v>
      </c>
      <c r="E50" s="28">
        <f t="shared" ref="E50" si="71">ROUND(E$41+12.8*$C50, 0)</f>
        <v>409</v>
      </c>
      <c r="F50" s="25">
        <f t="shared" si="67"/>
        <v>224</v>
      </c>
      <c r="G50" s="28">
        <f t="shared" ref="G50" si="72">ROUND(G$41+12.8*$C50, 0)</f>
        <v>419</v>
      </c>
      <c r="H50" s="4" t="s">
        <v>0</v>
      </c>
      <c r="I50" s="16" t="str">
        <f t="shared" si="0"/>
        <v>03-02</v>
      </c>
      <c r="J50" s="14">
        <f t="shared" si="41"/>
        <v>210</v>
      </c>
      <c r="K50" s="15">
        <f t="shared" si="41"/>
        <v>409</v>
      </c>
      <c r="L50" s="17">
        <f t="shared" si="3"/>
        <v>224</v>
      </c>
      <c r="M50" s="18">
        <f t="shared" si="4"/>
        <v>409</v>
      </c>
      <c r="N50" s="14">
        <f t="shared" si="42"/>
        <v>224</v>
      </c>
      <c r="O50" s="15">
        <f t="shared" si="42"/>
        <v>419</v>
      </c>
      <c r="P50" s="17">
        <f t="shared" si="6"/>
        <v>210</v>
      </c>
      <c r="Q50" s="18">
        <f t="shared" si="7"/>
        <v>419</v>
      </c>
      <c r="R50" s="4" t="s">
        <v>0</v>
      </c>
      <c r="S50" s="16" t="str">
        <f t="shared" si="8"/>
        <v>03-02</v>
      </c>
      <c r="T50" s="14">
        <f t="shared" si="9"/>
        <v>210</v>
      </c>
      <c r="U50" s="18">
        <f t="shared" si="10"/>
        <v>341</v>
      </c>
      <c r="V50" s="14">
        <f t="shared" si="37"/>
        <v>224</v>
      </c>
      <c r="W50" s="18">
        <f t="shared" si="11"/>
        <v>341</v>
      </c>
      <c r="X50" s="14">
        <f t="shared" si="38"/>
        <v>224</v>
      </c>
      <c r="Y50" s="18">
        <f t="shared" si="12"/>
        <v>331</v>
      </c>
      <c r="Z50" s="14">
        <f t="shared" si="39"/>
        <v>210</v>
      </c>
      <c r="AA50" s="18">
        <f t="shared" si="13"/>
        <v>331</v>
      </c>
      <c r="AB50" s="4" t="s">
        <v>0</v>
      </c>
    </row>
    <row r="51" spans="1:28">
      <c r="A51" s="9" t="s">
        <v>21</v>
      </c>
      <c r="B51" s="24"/>
      <c r="C51" s="26"/>
      <c r="D51" s="25">
        <f t="shared" si="65"/>
        <v>234</v>
      </c>
      <c r="E51" s="29">
        <f t="shared" ref="E51" si="73">E50</f>
        <v>409</v>
      </c>
      <c r="F51" s="25">
        <f t="shared" si="67"/>
        <v>247</v>
      </c>
      <c r="G51" s="29">
        <f t="shared" si="63"/>
        <v>419</v>
      </c>
      <c r="H51" s="4" t="s">
        <v>0</v>
      </c>
      <c r="I51" s="16" t="str">
        <f t="shared" si="0"/>
        <v>02-02</v>
      </c>
      <c r="J51" s="14">
        <f t="shared" si="41"/>
        <v>234</v>
      </c>
      <c r="K51" s="15">
        <f t="shared" si="41"/>
        <v>409</v>
      </c>
      <c r="L51" s="17">
        <f t="shared" si="3"/>
        <v>247</v>
      </c>
      <c r="M51" s="18">
        <f t="shared" si="4"/>
        <v>409</v>
      </c>
      <c r="N51" s="14">
        <f t="shared" si="42"/>
        <v>247</v>
      </c>
      <c r="O51" s="15">
        <f t="shared" si="42"/>
        <v>419</v>
      </c>
      <c r="P51" s="17">
        <f t="shared" si="6"/>
        <v>234</v>
      </c>
      <c r="Q51" s="18">
        <f t="shared" si="7"/>
        <v>419</v>
      </c>
      <c r="R51" s="4" t="s">
        <v>0</v>
      </c>
      <c r="S51" s="16" t="str">
        <f t="shared" si="8"/>
        <v>02-02</v>
      </c>
      <c r="T51" s="14">
        <f t="shared" si="9"/>
        <v>234</v>
      </c>
      <c r="U51" s="18">
        <f t="shared" si="10"/>
        <v>341</v>
      </c>
      <c r="V51" s="14">
        <f t="shared" si="37"/>
        <v>247</v>
      </c>
      <c r="W51" s="18">
        <f t="shared" si="11"/>
        <v>341</v>
      </c>
      <c r="X51" s="14">
        <f t="shared" si="38"/>
        <v>247</v>
      </c>
      <c r="Y51" s="18">
        <f t="shared" si="12"/>
        <v>331</v>
      </c>
      <c r="Z51" s="14">
        <f t="shared" si="39"/>
        <v>234</v>
      </c>
      <c r="AA51" s="18">
        <f t="shared" si="13"/>
        <v>331</v>
      </c>
      <c r="AB51" s="4" t="s">
        <v>0</v>
      </c>
    </row>
    <row r="52" spans="1:28">
      <c r="A52" s="9" t="s">
        <v>142</v>
      </c>
      <c r="B52" s="24"/>
      <c r="C52" s="26"/>
      <c r="D52" s="25">
        <f t="shared" si="65"/>
        <v>257</v>
      </c>
      <c r="E52" s="29">
        <f t="shared" ref="E52" si="74">E51</f>
        <v>409</v>
      </c>
      <c r="F52" s="25">
        <f t="shared" si="67"/>
        <v>270</v>
      </c>
      <c r="G52" s="29">
        <f t="shared" si="63"/>
        <v>419</v>
      </c>
      <c r="H52" s="4" t="s">
        <v>0</v>
      </c>
      <c r="I52" s="16" t="str">
        <f t="shared" si="0"/>
        <v>01-02</v>
      </c>
      <c r="J52" s="14">
        <f t="shared" si="41"/>
        <v>257</v>
      </c>
      <c r="K52" s="15">
        <f t="shared" si="41"/>
        <v>409</v>
      </c>
      <c r="L52" s="17">
        <f t="shared" si="3"/>
        <v>270</v>
      </c>
      <c r="M52" s="18">
        <f t="shared" si="4"/>
        <v>409</v>
      </c>
      <c r="N52" s="14">
        <f t="shared" si="42"/>
        <v>270</v>
      </c>
      <c r="O52" s="15">
        <f t="shared" si="42"/>
        <v>419</v>
      </c>
      <c r="P52" s="17">
        <f t="shared" si="6"/>
        <v>257</v>
      </c>
      <c r="Q52" s="18">
        <f t="shared" si="7"/>
        <v>419</v>
      </c>
      <c r="R52" s="4" t="s">
        <v>0</v>
      </c>
      <c r="S52" s="16" t="str">
        <f t="shared" si="8"/>
        <v>01-02</v>
      </c>
      <c r="T52" s="14">
        <f t="shared" si="9"/>
        <v>257</v>
      </c>
      <c r="U52" s="18">
        <f t="shared" si="10"/>
        <v>341</v>
      </c>
      <c r="V52" s="14">
        <f t="shared" si="37"/>
        <v>270</v>
      </c>
      <c r="W52" s="18">
        <f t="shared" si="11"/>
        <v>341</v>
      </c>
      <c r="X52" s="14">
        <f t="shared" si="38"/>
        <v>270</v>
      </c>
      <c r="Y52" s="18">
        <f t="shared" si="12"/>
        <v>331</v>
      </c>
      <c r="Z52" s="14">
        <f t="shared" si="39"/>
        <v>257</v>
      </c>
      <c r="AA52" s="18">
        <f t="shared" si="13"/>
        <v>331</v>
      </c>
      <c r="AB52" s="4" t="s">
        <v>0</v>
      </c>
    </row>
    <row r="53" spans="1:28">
      <c r="A53" s="9" t="s">
        <v>30</v>
      </c>
      <c r="B53" s="24"/>
      <c r="C53" s="26">
        <v>4</v>
      </c>
      <c r="D53" s="25">
        <f t="shared" si="65"/>
        <v>210</v>
      </c>
      <c r="E53" s="28">
        <f t="shared" ref="E53" si="75">ROUND(E$41+12.8*$C53, 0)</f>
        <v>422</v>
      </c>
      <c r="F53" s="25">
        <f t="shared" si="67"/>
        <v>224</v>
      </c>
      <c r="G53" s="28">
        <f t="shared" ref="G53" si="76">ROUND(G$41+12.8*$C53, 0)</f>
        <v>432</v>
      </c>
      <c r="H53" s="4" t="s">
        <v>0</v>
      </c>
      <c r="I53" s="16" t="str">
        <f t="shared" si="0"/>
        <v>03-01</v>
      </c>
      <c r="J53" s="14">
        <f t="shared" si="41"/>
        <v>210</v>
      </c>
      <c r="K53" s="15">
        <f t="shared" si="41"/>
        <v>422</v>
      </c>
      <c r="L53" s="17">
        <f t="shared" si="3"/>
        <v>224</v>
      </c>
      <c r="M53" s="18">
        <f t="shared" si="4"/>
        <v>422</v>
      </c>
      <c r="N53" s="14">
        <f t="shared" si="42"/>
        <v>224</v>
      </c>
      <c r="O53" s="15">
        <f t="shared" si="42"/>
        <v>432</v>
      </c>
      <c r="P53" s="17">
        <f t="shared" si="6"/>
        <v>210</v>
      </c>
      <c r="Q53" s="18">
        <f t="shared" si="7"/>
        <v>432</v>
      </c>
      <c r="R53" s="4" t="s">
        <v>0</v>
      </c>
      <c r="S53" s="16" t="str">
        <f t="shared" si="8"/>
        <v>03-01</v>
      </c>
      <c r="T53" s="14">
        <f t="shared" si="9"/>
        <v>210</v>
      </c>
      <c r="U53" s="18">
        <f t="shared" si="10"/>
        <v>328</v>
      </c>
      <c r="V53" s="14">
        <f t="shared" si="37"/>
        <v>224</v>
      </c>
      <c r="W53" s="18">
        <f t="shared" si="11"/>
        <v>328</v>
      </c>
      <c r="X53" s="14">
        <f t="shared" si="38"/>
        <v>224</v>
      </c>
      <c r="Y53" s="18">
        <f t="shared" si="12"/>
        <v>318</v>
      </c>
      <c r="Z53" s="14">
        <f t="shared" si="39"/>
        <v>210</v>
      </c>
      <c r="AA53" s="18">
        <f t="shared" si="13"/>
        <v>318</v>
      </c>
      <c r="AB53" s="4" t="s">
        <v>0</v>
      </c>
    </row>
    <row r="54" spans="1:28">
      <c r="A54" s="9" t="s">
        <v>20</v>
      </c>
      <c r="B54" s="24"/>
      <c r="C54" s="26"/>
      <c r="D54" s="25">
        <f t="shared" si="65"/>
        <v>234</v>
      </c>
      <c r="E54" s="29">
        <f t="shared" ref="E54" si="77">E53</f>
        <v>422</v>
      </c>
      <c r="F54" s="25">
        <f t="shared" si="67"/>
        <v>247</v>
      </c>
      <c r="G54" s="29">
        <f t="shared" si="63"/>
        <v>432</v>
      </c>
      <c r="H54" s="4" t="s">
        <v>0</v>
      </c>
      <c r="I54" s="16" t="str">
        <f t="shared" si="0"/>
        <v>02-01</v>
      </c>
      <c r="J54" s="14">
        <f t="shared" si="41"/>
        <v>234</v>
      </c>
      <c r="K54" s="15">
        <f t="shared" si="41"/>
        <v>422</v>
      </c>
      <c r="L54" s="17">
        <f t="shared" si="3"/>
        <v>247</v>
      </c>
      <c r="M54" s="18">
        <f t="shared" si="4"/>
        <v>422</v>
      </c>
      <c r="N54" s="14">
        <f t="shared" si="42"/>
        <v>247</v>
      </c>
      <c r="O54" s="15">
        <f t="shared" si="42"/>
        <v>432</v>
      </c>
      <c r="P54" s="17">
        <f t="shared" si="6"/>
        <v>234</v>
      </c>
      <c r="Q54" s="18">
        <f t="shared" si="7"/>
        <v>432</v>
      </c>
      <c r="R54" s="4" t="s">
        <v>0</v>
      </c>
      <c r="S54" s="16" t="str">
        <f t="shared" si="8"/>
        <v>02-01</v>
      </c>
      <c r="T54" s="14">
        <f t="shared" si="9"/>
        <v>234</v>
      </c>
      <c r="U54" s="18">
        <f t="shared" si="10"/>
        <v>328</v>
      </c>
      <c r="V54" s="14">
        <f t="shared" si="37"/>
        <v>247</v>
      </c>
      <c r="W54" s="18">
        <f t="shared" si="11"/>
        <v>328</v>
      </c>
      <c r="X54" s="14">
        <f t="shared" si="38"/>
        <v>247</v>
      </c>
      <c r="Y54" s="18">
        <f t="shared" si="12"/>
        <v>318</v>
      </c>
      <c r="Z54" s="14">
        <f t="shared" si="39"/>
        <v>234</v>
      </c>
      <c r="AA54" s="18">
        <f t="shared" si="13"/>
        <v>318</v>
      </c>
      <c r="AB54" s="4" t="s">
        <v>0</v>
      </c>
    </row>
    <row r="55" spans="1:28">
      <c r="A55" s="9" t="s">
        <v>141</v>
      </c>
      <c r="B55" s="24"/>
      <c r="C55" s="26"/>
      <c r="D55" s="25">
        <f t="shared" si="65"/>
        <v>257</v>
      </c>
      <c r="E55" s="29">
        <f t="shared" ref="E55" si="78">E54</f>
        <v>422</v>
      </c>
      <c r="F55" s="25">
        <f t="shared" si="67"/>
        <v>270</v>
      </c>
      <c r="G55" s="29">
        <f t="shared" si="63"/>
        <v>432</v>
      </c>
      <c r="H55" s="4" t="s">
        <v>0</v>
      </c>
      <c r="I55" s="16" t="str">
        <f t="shared" si="0"/>
        <v>01-01</v>
      </c>
      <c r="J55" s="14">
        <f t="shared" si="41"/>
        <v>257</v>
      </c>
      <c r="K55" s="15">
        <f t="shared" si="41"/>
        <v>422</v>
      </c>
      <c r="L55" s="17">
        <f t="shared" si="3"/>
        <v>270</v>
      </c>
      <c r="M55" s="18">
        <f t="shared" si="4"/>
        <v>422</v>
      </c>
      <c r="N55" s="14">
        <f t="shared" si="42"/>
        <v>270</v>
      </c>
      <c r="O55" s="15">
        <f t="shared" si="42"/>
        <v>432</v>
      </c>
      <c r="P55" s="17">
        <f t="shared" si="6"/>
        <v>257</v>
      </c>
      <c r="Q55" s="18">
        <f t="shared" si="7"/>
        <v>432</v>
      </c>
      <c r="R55" s="4" t="s">
        <v>0</v>
      </c>
      <c r="S55" s="16" t="str">
        <f t="shared" si="8"/>
        <v>01-01</v>
      </c>
      <c r="T55" s="14">
        <f t="shared" si="9"/>
        <v>257</v>
      </c>
      <c r="U55" s="18">
        <f t="shared" si="10"/>
        <v>328</v>
      </c>
      <c r="V55" s="14">
        <f t="shared" si="37"/>
        <v>270</v>
      </c>
      <c r="W55" s="18">
        <f t="shared" si="11"/>
        <v>328</v>
      </c>
      <c r="X55" s="14">
        <f t="shared" si="38"/>
        <v>270</v>
      </c>
      <c r="Y55" s="18">
        <f t="shared" si="12"/>
        <v>318</v>
      </c>
      <c r="Z55" s="14">
        <f t="shared" si="39"/>
        <v>257</v>
      </c>
      <c r="AA55" s="18">
        <f t="shared" si="13"/>
        <v>318</v>
      </c>
      <c r="AB55" s="4" t="s">
        <v>0</v>
      </c>
    </row>
  </sheetData>
  <autoFilter ref="A10:AB55" xr:uid="{00000000-0001-0000-0000-000000000000}"/>
  <mergeCells count="2">
    <mergeCell ref="D3:G3"/>
    <mergeCell ref="D4:G4"/>
  </mergeCells>
  <phoneticPr fontId="1"/>
  <hyperlinks>
    <hyperlink ref="N4" r:id="rId1" xr:uid="{4E0A4091-6977-4859-B2F1-F3F4ABDB1E8D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サンプル</vt:lpstr>
      <vt:lpstr>日</vt:lpstr>
      <vt:lpstr>日A</vt:lpstr>
      <vt:lpstr>日B</vt:lpstr>
      <vt:lpstr>日C</vt:lpstr>
      <vt:lpstr>日D</vt:lpstr>
      <vt:lpstr>親A</vt:lpstr>
      <vt:lpstr>親B</vt:lpstr>
      <vt:lpstr>親C</vt:lpstr>
      <vt:lpstr>親D</vt:lpstr>
      <vt:lpstr>親E</vt:lpstr>
      <vt:lpstr>親F</vt:lpstr>
      <vt:lpstr>釈A</vt:lpstr>
      <vt:lpstr>釈B</vt:lpstr>
      <vt:lpstr>釈C</vt:lpstr>
      <vt:lpstr>釈D</vt:lpstr>
      <vt:lpstr>釈E</vt:lpstr>
      <vt:lpstr>釈F</vt:lpstr>
      <vt:lpstr>釈ｼﾝB</vt:lpstr>
      <vt:lpstr>釈ｼﾝC</vt:lpstr>
      <vt:lpstr>釈ｼﾝD</vt:lpstr>
      <vt:lpstr>釈ｼﾝE</vt:lpstr>
      <vt:lpstr>釈ﾄｸA</vt:lpstr>
      <vt:lpstr>緑風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higashijima</dc:creator>
  <cp:lastModifiedBy>潤一 東嶋</cp:lastModifiedBy>
  <cp:lastPrinted>2024-06-10T07:08:43Z</cp:lastPrinted>
  <dcterms:created xsi:type="dcterms:W3CDTF">2015-06-05T18:19:34Z</dcterms:created>
  <dcterms:modified xsi:type="dcterms:W3CDTF">2024-06-25T01:49:02Z</dcterms:modified>
</cp:coreProperties>
</file>